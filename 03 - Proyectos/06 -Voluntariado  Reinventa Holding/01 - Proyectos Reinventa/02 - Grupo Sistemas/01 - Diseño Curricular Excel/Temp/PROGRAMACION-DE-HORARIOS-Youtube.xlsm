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98e41fc05090364/Ofimatica Empresarial/PLANTILLAS YOUTUBE/PROGRAMACION DE HORARIOS/"/>
    </mc:Choice>
  </mc:AlternateContent>
  <xr:revisionPtr revIDLastSave="50" documentId="11_724294AB664B492160F1288209181CD13BBB174D" xr6:coauthVersionLast="47" xr6:coauthVersionMax="47" xr10:uidLastSave="{1B147C86-51E4-480F-B675-ED1A83920A9D}"/>
  <bookViews>
    <workbookView xWindow="-108" yWindow="-108" windowWidth="23256" windowHeight="12456" activeTab="2" xr2:uid="{00000000-000D-0000-FFFF-FFFF00000000}"/>
  </bookViews>
  <sheets>
    <sheet name="BaseNombres" sheetId="3" r:id="rId1"/>
    <sheet name="Horarios" sheetId="29" r:id="rId2"/>
    <sheet name="Programación" sheetId="4" r:id="rId3"/>
    <sheet name="Hoja1" sheetId="30" state="hidden" r:id="rId4"/>
  </sheets>
  <definedNames>
    <definedName name="_xlnm._FilterDatabase" localSheetId="0" hidden="1">BaseNombres!$A$1:$C$1201</definedName>
    <definedName name="_xlnm._FilterDatabase" localSheetId="1" hidden="1">Horarios!$H$3:$I$10</definedName>
    <definedName name="_xlnm._FilterDatabase" localSheetId="2" hidden="1">Programación!$A$9:$JA$300</definedName>
    <definedName name="_xlnm.Print_Area" localSheetId="2">Programación!$A$2:$JA$31</definedName>
    <definedName name="Columnas_Ocultas">Programación!$F$9,Programación!$G$9,Programación!$L$9,Programación!$M$9,Programación!$R$9,Programación!$S$9,Programación!$X$9,Programación!$Y$9,Programación!$AD$9,Programación!$AE$9,Programación!$AJ$9,Programación!$AK$9,Programación!$AP$9,Programación!$AQ$9,Programación!$AW$9,Programación!$AX$9,Programación!$BC$9,Programación!$BD$9,Programación!$BI$9,Programación!$BJ$9,Programación!$BO$9,Programación!$BP$9,Programación!$BU$9,Programación!$BV$9,Programación!$CA$9,Programación!$CB$9,Programación!$CG$9,Programación!$CH$9,Programación!$CN$9,Programación!$CO$9,Programación!$CT$9,Programación!$CU$9,Programación!$CZ$9,Programación!$DA$9,Programación!$DF$9,Programación!$DG$9,Programación!$DL$9,Programación!$DM$9,Programación!$DR$9,Programación!$DS$9,Programación!$DX$9,Programación!$DY$9,Programación!$EE$9,Programación!$EF$9,Programación!$EK$9,Programación!$EL$9,Programación!$EQ$9,Programación!$ER$9,Programación!$EW$9,Programación!$EX$9,Programación!$FC$9,Programación!$FD$9,Programación!$FI$9,Programación!$FJ$9,Programación!$FO$9,Programación!$FP$9,Programación!$FV$9,Programación!$FW$9,Programación!$GB$9,Programación!$GC$9,Programación!$GH$9,Programación!$GI$9,Programación!$GN$9,Programación!$GO$9,Programación!$GT$9,Programación!$GU$9,Programación!$GZ$9,Programación!$HA$9,Programación!$HF$9,Programación!$HG$9,Programación!$HM$9,Programación!$HN$9,Programación!$HS$9,Programación!$HT$9,Programación!$HY$9,Programación!$HZ$9,Programación!$IE$9,Programación!$IF$9,Programación!$IK$9,Programación!$IL$9,Programación!$IQ$9,Programación!$IR$9,Programación!$IW$9,Programación!$IX$9</definedName>
    <definedName name="Horario_1">Programación!$D$9,Programación!$J$9,Programación!$P$9,Programación!$V$9,Programación!$AB$9,Programación!$AH$9,Programación!$AN$9,Programación!$AU$9,Programación!$BA$9,Programación!$BG$9,Programación!$BM$9,Programación!$BS$9,Programación!$BY$9,Programación!$CE$9,Programación!$CL$9,Programación!$CR$9,Programación!$CX$9,Programación!$DD$9,Programación!$DJ$9,Programación!$DP$9,Programación!$DV$9,Programación!$EC$9,Programación!$EI$9,Programación!$EO$9,Programación!$EU$9,Programación!$FA$9,Programación!$FG$9,Programación!$FM$9,Programación!$FT$9,Programación!$FZ$9,Programación!$GF$9,Programación!$GL$9,Programación!$GR$9,Programación!$GX$9,Programación!$HD$9,Programación!$HK$9,Programación!$HQ$9,Programación!$HW$9,Programación!$IC$9,Programación!$II$9,Programación!$IO$9,Programación!$IU$9</definedName>
    <definedName name="Horario_2">Programación!$E$9,Programación!$K$9,Programación!$Q$9,Programación!$W$9,Programación!$AC$9,Programación!$AI$9,Programación!$AO$9,Programación!$AV$9,Programación!$BB$9,Programación!$BH$9,Programación!$BN$9,Programación!$BT$9,Programación!$BZ$9,Programación!$CF$9,Programación!$CM$9,Programación!$CS$9,Programación!$CY$9,Programación!$DE$9,Programación!$DK$9,Programación!$DQ$9,Programación!$DW$9,Programación!$ED$9,Programación!$EJ$9,Programación!$EP$9,Programación!$EV$9,Programación!$FB$9,Programación!$FH$9,Programación!$FN$9,Programación!$FU$9,Programación!$GA$9,Programación!$GG$9,Programación!$GM$9,Programación!$GS$9,Programación!$GY$9,Programación!$HE$9,Programación!$HL$9,Programación!$HR$9,Programación!$HX$9,Programación!$ID$9,Programación!$IJ$9,Programación!$IP$9,Programación!$IV$9</definedName>
    <definedName name="Horarios">OFFSET(Horarios!$H$4,0,0,COUNTA(Horarios!$H$4:$H$1048576))</definedName>
    <definedName name="Limpiar_Registros">Programación!$A$10:$A$300,Programación!$D$10:$E$300,Programación!$J$10:$K$300,Programación!$P$10:$Q$300,Programación!$V$10:$W$300,Programación!$AB$10:$AC$300,Programación!$AH$10:$AI$300,Programación!$AN$10:$AO$300,Programación!$AU$10:$AV$300,Programación!$BA$10:$BB$300,Programación!$BG$10:$BH$300,Programación!$BM$10:$BN$300,Programación!$BS$10:$BT$300,Programación!$BY$10:$BZ$300,Programación!$CE$10:$CF$300,Programación!$CL$10:$CM$300,Programación!$CR$10:$CS$300,Programación!$CX$10:$CY$300,Programación!$DD$10:$DE$300,Programación!$DJ$10:$DK$300,Programación!$DP$10:$DQ$300,Programación!$DV$10:$DW$300,Programación!$EC$10:$ED$300,Programación!$EI$10:$EJ$300,Programación!$EO$10:$EP$300,Programación!$EU$10:$EV$300,Programación!$FA$10:$FB$300,Programación!$FG$10:$FH$300,Programación!$FM$10:$FN$300,Programación!$FT$10:$FU$300,Programación!$FZ$10:$GA$300,Programación!$GF$10:$GG$300,Programación!$GL$10:$GM$300,Programación!$GR$10:$GS$300,Programación!$GX$10:$GY$300,Programación!$HD$10:$HE$300,Programación!$HK$10:$HL$300,Programación!$HQ$10:$HR$300,Programación!$HW$10:$HX$300,Programación!$IC$10:$ID$300,Programación!$II$10:$IJ$300,Programación!$IO$10:$IP$300,Programación!$IU$10:$IV$300</definedName>
    <definedName name="Semana_1">Programación!$D$9:$AT$9</definedName>
    <definedName name="Semana_2">Programación!$AU$9:$CK$9</definedName>
    <definedName name="Semana_3">Programación!$CL$9:$EB$9</definedName>
    <definedName name="Semana_4">Programación!$EC$9:$FS$9</definedName>
    <definedName name="Semana_5">Programación!$FT$9:$HJ$9</definedName>
    <definedName name="Semana_6">Programación!$HK$9:$JA$9</definedName>
    <definedName name="Total_día">Programación!$H$10:$H$300,Programación!$N$10:$N$300,Programación!$T$10:$T$300,Programación!$Z$10:$Z$300,Programación!$AF$10:$AF$300,Programación!$AL$10:$AL$300,Programación!$AR$10:$AR$300,Programación!$AY$10:$AY$300,Programación!$BE$10:$BE$300,Programación!$BK$10:$BK$300,Programación!$BQ$10:$BQ$300,Programación!$BW$10:$BW$300,Programación!$CC$10:$CC$300,Programación!$CI$10:$CI$300,Programación!$CP$10:$CP$300,Programación!$CV$10:$CV$300,Programación!$DB$10:$DB$300,Programación!$DH$10:$DH$300,Programación!$DN$10:$DN$300,Programación!$DT$10:$DT$300,Programación!$DZ$10:$DZ$300,Programación!$EG$10:$EG$300,Programación!$EM$10:$EM$300,Programación!$ES$10:$ES$300,Programación!$EY$10:$EY$300,Programación!$FE$10:$FE$300,Programación!$FK$10:$FK$300,Programación!$FQ$10:$FQ$300,Programación!$FX$10:$FX$300,Programación!$GD$10:$GD$300,Programación!$GJ$10:$GJ$300,Programación!$GP$10:$GP$300,Programación!$GV$10:$GV$300,Programación!$HB$10:$HB$300,Programación!$HH$10:$HH$300,Programación!$HO$10:$HO$300,Programación!$HU$10:$HU$300,Programación!$IA$10:$IA$300,Programación!$IG$10:$IG$300,Programación!$IM$10:$IM$300,Programación!$IS$10:$IS$300,Programación!$IY$10:$IY$300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W300" i="4" l="1"/>
  <c r="AW299" i="4"/>
  <c r="AW298" i="4"/>
  <c r="AW297" i="4"/>
  <c r="AW296" i="4"/>
  <c r="AW295" i="4"/>
  <c r="AW294" i="4"/>
  <c r="AW293" i="4"/>
  <c r="AW292" i="4"/>
  <c r="AW291" i="4"/>
  <c r="AW290" i="4"/>
  <c r="AW289" i="4"/>
  <c r="AW288" i="4"/>
  <c r="AW287" i="4"/>
  <c r="AW286" i="4"/>
  <c r="AW285" i="4"/>
  <c r="AW284" i="4"/>
  <c r="AW283" i="4"/>
  <c r="AW282" i="4"/>
  <c r="AW281" i="4"/>
  <c r="AW280" i="4"/>
  <c r="AW279" i="4"/>
  <c r="AW278" i="4"/>
  <c r="AW277" i="4"/>
  <c r="AW276" i="4"/>
  <c r="AW275" i="4"/>
  <c r="AW274" i="4"/>
  <c r="AW273" i="4"/>
  <c r="AW272" i="4"/>
  <c r="AW271" i="4"/>
  <c r="AW270" i="4"/>
  <c r="AW269" i="4"/>
  <c r="AW268" i="4"/>
  <c r="AW267" i="4"/>
  <c r="AW266" i="4"/>
  <c r="AW265" i="4"/>
  <c r="AW264" i="4"/>
  <c r="AW263" i="4"/>
  <c r="AW262" i="4"/>
  <c r="AW261" i="4"/>
  <c r="AW260" i="4"/>
  <c r="AW259" i="4"/>
  <c r="AW258" i="4"/>
  <c r="AW257" i="4"/>
  <c r="AW256" i="4"/>
  <c r="AW255" i="4"/>
  <c r="AW254" i="4"/>
  <c r="AW253" i="4"/>
  <c r="AW252" i="4"/>
  <c r="AW251" i="4"/>
  <c r="AW250" i="4"/>
  <c r="AW249" i="4"/>
  <c r="AW248" i="4"/>
  <c r="AW247" i="4"/>
  <c r="AW246" i="4"/>
  <c r="AW245" i="4"/>
  <c r="AW244" i="4"/>
  <c r="AW243" i="4"/>
  <c r="AW242" i="4"/>
  <c r="AW241" i="4"/>
  <c r="AW240" i="4"/>
  <c r="AW239" i="4"/>
  <c r="AW238" i="4"/>
  <c r="AW237" i="4"/>
  <c r="AW236" i="4"/>
  <c r="AW235" i="4"/>
  <c r="AW234" i="4"/>
  <c r="AW233" i="4"/>
  <c r="AW232" i="4"/>
  <c r="AW231" i="4"/>
  <c r="AW230" i="4"/>
  <c r="AW229" i="4"/>
  <c r="AW228" i="4"/>
  <c r="AW227" i="4"/>
  <c r="AW226" i="4"/>
  <c r="AW225" i="4"/>
  <c r="AW224" i="4"/>
  <c r="AW223" i="4"/>
  <c r="AW222" i="4"/>
  <c r="AW221" i="4"/>
  <c r="AW220" i="4"/>
  <c r="AW219" i="4"/>
  <c r="AW218" i="4"/>
  <c r="AW217" i="4"/>
  <c r="AW216" i="4"/>
  <c r="AW215" i="4"/>
  <c r="AW214" i="4"/>
  <c r="AW213" i="4"/>
  <c r="AW212" i="4"/>
  <c r="AW211" i="4"/>
  <c r="AW210" i="4"/>
  <c r="AW209" i="4"/>
  <c r="AW208" i="4"/>
  <c r="AW207" i="4"/>
  <c r="AW206" i="4"/>
  <c r="AW205" i="4"/>
  <c r="AW204" i="4"/>
  <c r="AW203" i="4"/>
  <c r="AW202" i="4"/>
  <c r="AW201" i="4"/>
  <c r="AW200" i="4"/>
  <c r="AW199" i="4"/>
  <c r="AW198" i="4"/>
  <c r="AW197" i="4"/>
  <c r="AW196" i="4"/>
  <c r="AW195" i="4"/>
  <c r="AW194" i="4"/>
  <c r="AW193" i="4"/>
  <c r="AW192" i="4"/>
  <c r="AW191" i="4"/>
  <c r="AW190" i="4"/>
  <c r="AW189" i="4"/>
  <c r="AW188" i="4"/>
  <c r="AW187" i="4"/>
  <c r="AW186" i="4"/>
  <c r="AW185" i="4"/>
  <c r="AW184" i="4"/>
  <c r="AW183" i="4"/>
  <c r="AW182" i="4"/>
  <c r="AW181" i="4"/>
  <c r="AW180" i="4"/>
  <c r="AW179" i="4"/>
  <c r="AW178" i="4"/>
  <c r="AW177" i="4"/>
  <c r="AW176" i="4"/>
  <c r="AW175" i="4"/>
  <c r="AW174" i="4"/>
  <c r="AW173" i="4"/>
  <c r="AW172" i="4"/>
  <c r="AW171" i="4"/>
  <c r="AW170" i="4"/>
  <c r="AW169" i="4"/>
  <c r="AW168" i="4"/>
  <c r="AW167" i="4"/>
  <c r="AW166" i="4"/>
  <c r="AW165" i="4"/>
  <c r="AW164" i="4"/>
  <c r="AW163" i="4"/>
  <c r="AW162" i="4"/>
  <c r="AW161" i="4"/>
  <c r="AW160" i="4"/>
  <c r="AW159" i="4"/>
  <c r="AW158" i="4"/>
  <c r="AW157" i="4"/>
  <c r="AW156" i="4"/>
  <c r="AW155" i="4"/>
  <c r="AW154" i="4"/>
  <c r="AW153" i="4"/>
  <c r="AW152" i="4"/>
  <c r="AW151" i="4"/>
  <c r="AW150" i="4"/>
  <c r="AW149" i="4"/>
  <c r="AW148" i="4"/>
  <c r="AW147" i="4"/>
  <c r="AW146" i="4"/>
  <c r="AW145" i="4"/>
  <c r="AW144" i="4"/>
  <c r="AW143" i="4"/>
  <c r="AW142" i="4"/>
  <c r="AW141" i="4"/>
  <c r="AW140" i="4"/>
  <c r="AW139" i="4"/>
  <c r="AW138" i="4"/>
  <c r="AW137" i="4"/>
  <c r="AW136" i="4"/>
  <c r="AW135" i="4"/>
  <c r="AW134" i="4"/>
  <c r="AW133" i="4"/>
  <c r="AW132" i="4"/>
  <c r="AW131" i="4"/>
  <c r="AW130" i="4"/>
  <c r="AW129" i="4"/>
  <c r="AW128" i="4"/>
  <c r="AW127" i="4"/>
  <c r="AW126" i="4"/>
  <c r="AW125" i="4"/>
  <c r="AW124" i="4"/>
  <c r="AW123" i="4"/>
  <c r="AW122" i="4"/>
  <c r="AW121" i="4"/>
  <c r="AW120" i="4"/>
  <c r="AW119" i="4"/>
  <c r="AW118" i="4"/>
  <c r="AW117" i="4"/>
  <c r="AW116" i="4"/>
  <c r="AW115" i="4"/>
  <c r="AW114" i="4"/>
  <c r="AW113" i="4"/>
  <c r="AW112" i="4"/>
  <c r="AW111" i="4"/>
  <c r="AW110" i="4"/>
  <c r="AW109" i="4"/>
  <c r="AW108" i="4"/>
  <c r="AW107" i="4"/>
  <c r="AW106" i="4"/>
  <c r="AW105" i="4"/>
  <c r="AW104" i="4"/>
  <c r="AW103" i="4"/>
  <c r="AW102" i="4"/>
  <c r="AW101" i="4"/>
  <c r="AW100" i="4"/>
  <c r="AW99" i="4"/>
  <c r="AW98" i="4"/>
  <c r="AW97" i="4"/>
  <c r="AW96" i="4"/>
  <c r="AW95" i="4"/>
  <c r="AW94" i="4"/>
  <c r="AW93" i="4"/>
  <c r="AW92" i="4"/>
  <c r="AW91" i="4"/>
  <c r="AW90" i="4"/>
  <c r="AW89" i="4"/>
  <c r="AW88" i="4"/>
  <c r="AW87" i="4"/>
  <c r="AW86" i="4"/>
  <c r="AW85" i="4"/>
  <c r="AW84" i="4"/>
  <c r="AW83" i="4"/>
  <c r="AW82" i="4"/>
  <c r="AW81" i="4"/>
  <c r="AW80" i="4"/>
  <c r="AW79" i="4"/>
  <c r="AW78" i="4"/>
  <c r="AW77" i="4"/>
  <c r="AW76" i="4"/>
  <c r="AW75" i="4"/>
  <c r="AW74" i="4"/>
  <c r="AW73" i="4"/>
  <c r="AW72" i="4"/>
  <c r="AW71" i="4"/>
  <c r="AW70" i="4"/>
  <c r="AW69" i="4"/>
  <c r="AW68" i="4"/>
  <c r="AW67" i="4"/>
  <c r="AW66" i="4"/>
  <c r="AW65" i="4"/>
  <c r="AW64" i="4"/>
  <c r="AW63" i="4"/>
  <c r="AW62" i="4"/>
  <c r="AW61" i="4"/>
  <c r="AW60" i="4"/>
  <c r="AW59" i="4"/>
  <c r="AW58" i="4"/>
  <c r="AW57" i="4"/>
  <c r="AW56" i="4"/>
  <c r="AW55" i="4"/>
  <c r="AW54" i="4"/>
  <c r="AW53" i="4"/>
  <c r="AW52" i="4"/>
  <c r="AW51" i="4"/>
  <c r="AW50" i="4"/>
  <c r="AW49" i="4"/>
  <c r="AW48" i="4"/>
  <c r="AW47" i="4"/>
  <c r="AW46" i="4"/>
  <c r="AW45" i="4"/>
  <c r="AW44" i="4"/>
  <c r="AW43" i="4"/>
  <c r="AW42" i="4"/>
  <c r="AW41" i="4"/>
  <c r="AW40" i="4"/>
  <c r="AW39" i="4"/>
  <c r="AW38" i="4"/>
  <c r="AW37" i="4"/>
  <c r="AW36" i="4"/>
  <c r="AW35" i="4"/>
  <c r="AW34" i="4"/>
  <c r="AW33" i="4"/>
  <c r="AW32" i="4"/>
  <c r="AW31" i="4"/>
  <c r="AW30" i="4"/>
  <c r="AW29" i="4"/>
  <c r="AW28" i="4"/>
  <c r="AW27" i="4"/>
  <c r="AW26" i="4"/>
  <c r="AW25" i="4"/>
  <c r="AW24" i="4"/>
  <c r="AW23" i="4"/>
  <c r="AW22" i="4"/>
  <c r="AW21" i="4"/>
  <c r="AW20" i="4"/>
  <c r="AW19" i="4"/>
  <c r="AW18" i="4"/>
  <c r="AW17" i="4"/>
  <c r="AW16" i="4"/>
  <c r="AW15" i="4"/>
  <c r="AW14" i="4"/>
  <c r="AW13" i="4"/>
  <c r="AW12" i="4"/>
  <c r="AW11" i="4"/>
  <c r="AW10" i="4"/>
  <c r="BD18" i="4" l="1"/>
  <c r="BC18" i="4"/>
  <c r="BD17" i="4"/>
  <c r="BC17" i="4"/>
  <c r="BD16" i="4"/>
  <c r="BC16" i="4"/>
  <c r="BD15" i="4"/>
  <c r="BC15" i="4"/>
  <c r="BD14" i="4"/>
  <c r="BC14" i="4"/>
  <c r="BD13" i="4"/>
  <c r="BC13" i="4"/>
  <c r="BD12" i="4"/>
  <c r="BC12" i="4"/>
  <c r="BD11" i="4"/>
  <c r="BC11" i="4"/>
  <c r="BD10" i="4"/>
  <c r="BC10" i="4"/>
  <c r="A7" i="4" l="1"/>
  <c r="B7" i="4" s="1"/>
  <c r="K5" i="29" l="1"/>
  <c r="I400" i="29" l="1"/>
  <c r="H400" i="29"/>
  <c r="G400" i="29"/>
  <c r="F400" i="29"/>
  <c r="I399" i="29"/>
  <c r="H399" i="29"/>
  <c r="G399" i="29"/>
  <c r="F399" i="29"/>
  <c r="I398" i="29"/>
  <c r="H398" i="29"/>
  <c r="G398" i="29"/>
  <c r="F398" i="29"/>
  <c r="I397" i="29"/>
  <c r="H397" i="29"/>
  <c r="G397" i="29"/>
  <c r="F397" i="29"/>
  <c r="I396" i="29"/>
  <c r="H396" i="29"/>
  <c r="G396" i="29"/>
  <c r="F396" i="29"/>
  <c r="I395" i="29"/>
  <c r="H395" i="29"/>
  <c r="G395" i="29"/>
  <c r="F395" i="29"/>
  <c r="I394" i="29"/>
  <c r="H394" i="29"/>
  <c r="G394" i="29"/>
  <c r="F394" i="29"/>
  <c r="I393" i="29"/>
  <c r="H393" i="29"/>
  <c r="G393" i="29"/>
  <c r="F393" i="29"/>
  <c r="I392" i="29"/>
  <c r="H392" i="29"/>
  <c r="G392" i="29"/>
  <c r="F392" i="29"/>
  <c r="I391" i="29"/>
  <c r="H391" i="29"/>
  <c r="G391" i="29"/>
  <c r="F391" i="29"/>
  <c r="I390" i="29"/>
  <c r="H390" i="29"/>
  <c r="G390" i="29"/>
  <c r="F390" i="29"/>
  <c r="I389" i="29"/>
  <c r="H389" i="29"/>
  <c r="G389" i="29"/>
  <c r="F389" i="29"/>
  <c r="I388" i="29"/>
  <c r="H388" i="29"/>
  <c r="G388" i="29"/>
  <c r="F388" i="29"/>
  <c r="I387" i="29"/>
  <c r="H387" i="29"/>
  <c r="G387" i="29"/>
  <c r="F387" i="29"/>
  <c r="I386" i="29"/>
  <c r="H386" i="29"/>
  <c r="G386" i="29"/>
  <c r="F386" i="29"/>
  <c r="I385" i="29"/>
  <c r="H385" i="29"/>
  <c r="G385" i="29"/>
  <c r="F385" i="29"/>
  <c r="I384" i="29"/>
  <c r="H384" i="29"/>
  <c r="G384" i="29"/>
  <c r="F384" i="29"/>
  <c r="I383" i="29"/>
  <c r="H383" i="29"/>
  <c r="G383" i="29"/>
  <c r="F383" i="29"/>
  <c r="I382" i="29"/>
  <c r="H382" i="29"/>
  <c r="G382" i="29"/>
  <c r="F382" i="29"/>
  <c r="I381" i="29"/>
  <c r="H381" i="29"/>
  <c r="G381" i="29"/>
  <c r="F381" i="29"/>
  <c r="I380" i="29"/>
  <c r="H380" i="29"/>
  <c r="G380" i="29"/>
  <c r="F380" i="29"/>
  <c r="I379" i="29"/>
  <c r="H379" i="29"/>
  <c r="G379" i="29"/>
  <c r="F379" i="29"/>
  <c r="I378" i="29"/>
  <c r="H378" i="29"/>
  <c r="G378" i="29"/>
  <c r="F378" i="29"/>
  <c r="I377" i="29"/>
  <c r="H377" i="29"/>
  <c r="G377" i="29"/>
  <c r="F377" i="29"/>
  <c r="I376" i="29"/>
  <c r="H376" i="29"/>
  <c r="G376" i="29"/>
  <c r="F376" i="29"/>
  <c r="I375" i="29"/>
  <c r="H375" i="29"/>
  <c r="G375" i="29"/>
  <c r="F375" i="29"/>
  <c r="I374" i="29"/>
  <c r="H374" i="29"/>
  <c r="G374" i="29"/>
  <c r="F374" i="29"/>
  <c r="I373" i="29"/>
  <c r="H373" i="29"/>
  <c r="G373" i="29"/>
  <c r="F373" i="29"/>
  <c r="I372" i="29"/>
  <c r="H372" i="29"/>
  <c r="G372" i="29"/>
  <c r="F372" i="29"/>
  <c r="I371" i="29"/>
  <c r="H371" i="29"/>
  <c r="G371" i="29"/>
  <c r="F371" i="29"/>
  <c r="I370" i="29"/>
  <c r="H370" i="29"/>
  <c r="G370" i="29"/>
  <c r="F370" i="29"/>
  <c r="I369" i="29"/>
  <c r="H369" i="29"/>
  <c r="G369" i="29"/>
  <c r="F369" i="29"/>
  <c r="I368" i="29"/>
  <c r="H368" i="29"/>
  <c r="G368" i="29"/>
  <c r="F368" i="29"/>
  <c r="I367" i="29"/>
  <c r="H367" i="29"/>
  <c r="G367" i="29"/>
  <c r="F367" i="29"/>
  <c r="I366" i="29"/>
  <c r="H366" i="29"/>
  <c r="G366" i="29"/>
  <c r="F366" i="29"/>
  <c r="I365" i="29"/>
  <c r="H365" i="29"/>
  <c r="G365" i="29"/>
  <c r="F365" i="29"/>
  <c r="I364" i="29"/>
  <c r="H364" i="29"/>
  <c r="G364" i="29"/>
  <c r="F364" i="29"/>
  <c r="I363" i="29"/>
  <c r="H363" i="29"/>
  <c r="G363" i="29"/>
  <c r="F363" i="29"/>
  <c r="I362" i="29"/>
  <c r="H362" i="29"/>
  <c r="G362" i="29"/>
  <c r="F362" i="29"/>
  <c r="I361" i="29"/>
  <c r="H361" i="29"/>
  <c r="G361" i="29"/>
  <c r="F361" i="29"/>
  <c r="I360" i="29"/>
  <c r="H360" i="29"/>
  <c r="G360" i="29"/>
  <c r="F360" i="29"/>
  <c r="I359" i="29"/>
  <c r="H359" i="29"/>
  <c r="G359" i="29"/>
  <c r="F359" i="29"/>
  <c r="I358" i="29"/>
  <c r="H358" i="29"/>
  <c r="G358" i="29"/>
  <c r="F358" i="29"/>
  <c r="I357" i="29"/>
  <c r="H357" i="29"/>
  <c r="G357" i="29"/>
  <c r="F357" i="29"/>
  <c r="I356" i="29"/>
  <c r="H356" i="29"/>
  <c r="G356" i="29"/>
  <c r="F356" i="29"/>
  <c r="I355" i="29"/>
  <c r="H355" i="29"/>
  <c r="G355" i="29"/>
  <c r="F355" i="29"/>
  <c r="I354" i="29"/>
  <c r="H354" i="29"/>
  <c r="G354" i="29"/>
  <c r="F354" i="29"/>
  <c r="I353" i="29"/>
  <c r="H353" i="29"/>
  <c r="G353" i="29"/>
  <c r="F353" i="29"/>
  <c r="I352" i="29"/>
  <c r="H352" i="29"/>
  <c r="G352" i="29"/>
  <c r="F352" i="29"/>
  <c r="I351" i="29"/>
  <c r="H351" i="29"/>
  <c r="G351" i="29"/>
  <c r="F351" i="29"/>
  <c r="I350" i="29"/>
  <c r="H350" i="29"/>
  <c r="G350" i="29"/>
  <c r="F350" i="29"/>
  <c r="I349" i="29"/>
  <c r="H349" i="29"/>
  <c r="G349" i="29"/>
  <c r="F349" i="29"/>
  <c r="I348" i="29"/>
  <c r="H348" i="29"/>
  <c r="G348" i="29"/>
  <c r="F348" i="29"/>
  <c r="I347" i="29"/>
  <c r="H347" i="29"/>
  <c r="G347" i="29"/>
  <c r="F347" i="29"/>
  <c r="I346" i="29"/>
  <c r="H346" i="29"/>
  <c r="G346" i="29"/>
  <c r="F346" i="29"/>
  <c r="I345" i="29"/>
  <c r="H345" i="29"/>
  <c r="G345" i="29"/>
  <c r="F345" i="29"/>
  <c r="I344" i="29"/>
  <c r="H344" i="29"/>
  <c r="G344" i="29"/>
  <c r="F344" i="29"/>
  <c r="I343" i="29"/>
  <c r="H343" i="29"/>
  <c r="G343" i="29"/>
  <c r="F343" i="29"/>
  <c r="I342" i="29"/>
  <c r="H342" i="29"/>
  <c r="G342" i="29"/>
  <c r="F342" i="29"/>
  <c r="I341" i="29"/>
  <c r="H341" i="29"/>
  <c r="G341" i="29"/>
  <c r="F341" i="29"/>
  <c r="I340" i="29"/>
  <c r="H340" i="29"/>
  <c r="G340" i="29"/>
  <c r="F340" i="29"/>
  <c r="I339" i="29"/>
  <c r="H339" i="29"/>
  <c r="G339" i="29"/>
  <c r="F339" i="29"/>
  <c r="I338" i="29"/>
  <c r="H338" i="29"/>
  <c r="G338" i="29"/>
  <c r="F338" i="29"/>
  <c r="I337" i="29"/>
  <c r="H337" i="29"/>
  <c r="G337" i="29"/>
  <c r="F337" i="29"/>
  <c r="I336" i="29"/>
  <c r="H336" i="29"/>
  <c r="G336" i="29"/>
  <c r="F336" i="29"/>
  <c r="I335" i="29"/>
  <c r="H335" i="29"/>
  <c r="G335" i="29"/>
  <c r="F335" i="29"/>
  <c r="I334" i="29"/>
  <c r="H334" i="29"/>
  <c r="G334" i="29"/>
  <c r="F334" i="29"/>
  <c r="I333" i="29"/>
  <c r="H333" i="29"/>
  <c r="G333" i="29"/>
  <c r="F333" i="29"/>
  <c r="I332" i="29"/>
  <c r="H332" i="29"/>
  <c r="G332" i="29"/>
  <c r="F332" i="29"/>
  <c r="I331" i="29"/>
  <c r="H331" i="29"/>
  <c r="G331" i="29"/>
  <c r="F331" i="29"/>
  <c r="I330" i="29"/>
  <c r="H330" i="29"/>
  <c r="G330" i="29"/>
  <c r="F330" i="29"/>
  <c r="I329" i="29"/>
  <c r="H329" i="29"/>
  <c r="G329" i="29"/>
  <c r="F329" i="29"/>
  <c r="I328" i="29"/>
  <c r="H328" i="29"/>
  <c r="G328" i="29"/>
  <c r="F328" i="29"/>
  <c r="I327" i="29"/>
  <c r="H327" i="29"/>
  <c r="G327" i="29"/>
  <c r="F327" i="29"/>
  <c r="I326" i="29"/>
  <c r="H326" i="29"/>
  <c r="G326" i="29"/>
  <c r="F326" i="29"/>
  <c r="I325" i="29"/>
  <c r="H325" i="29"/>
  <c r="G325" i="29"/>
  <c r="F325" i="29"/>
  <c r="I324" i="29"/>
  <c r="H324" i="29"/>
  <c r="G324" i="29"/>
  <c r="F324" i="29"/>
  <c r="I323" i="29"/>
  <c r="H323" i="29"/>
  <c r="G323" i="29"/>
  <c r="F323" i="29"/>
  <c r="I322" i="29"/>
  <c r="H322" i="29"/>
  <c r="G322" i="29"/>
  <c r="F322" i="29"/>
  <c r="I321" i="29"/>
  <c r="H321" i="29"/>
  <c r="G321" i="29"/>
  <c r="F321" i="29"/>
  <c r="I320" i="29"/>
  <c r="H320" i="29"/>
  <c r="G320" i="29"/>
  <c r="F320" i="29"/>
  <c r="I319" i="29"/>
  <c r="H319" i="29"/>
  <c r="G319" i="29"/>
  <c r="F319" i="29"/>
  <c r="I318" i="29"/>
  <c r="H318" i="29"/>
  <c r="G318" i="29"/>
  <c r="F318" i="29"/>
  <c r="I317" i="29"/>
  <c r="H317" i="29"/>
  <c r="G317" i="29"/>
  <c r="F317" i="29"/>
  <c r="I316" i="29"/>
  <c r="H316" i="29"/>
  <c r="G316" i="29"/>
  <c r="F316" i="29"/>
  <c r="I315" i="29"/>
  <c r="H315" i="29"/>
  <c r="G315" i="29"/>
  <c r="F315" i="29"/>
  <c r="I314" i="29"/>
  <c r="H314" i="29"/>
  <c r="G314" i="29"/>
  <c r="F314" i="29"/>
  <c r="I313" i="29"/>
  <c r="H313" i="29"/>
  <c r="G313" i="29"/>
  <c r="F313" i="29"/>
  <c r="I312" i="29"/>
  <c r="H312" i="29"/>
  <c r="G312" i="29"/>
  <c r="F312" i="29"/>
  <c r="I311" i="29"/>
  <c r="H311" i="29"/>
  <c r="G311" i="29"/>
  <c r="F311" i="29"/>
  <c r="I310" i="29"/>
  <c r="H310" i="29"/>
  <c r="G310" i="29"/>
  <c r="F310" i="29"/>
  <c r="I309" i="29"/>
  <c r="H309" i="29"/>
  <c r="G309" i="29"/>
  <c r="F309" i="29"/>
  <c r="I308" i="29"/>
  <c r="H308" i="29"/>
  <c r="G308" i="29"/>
  <c r="F308" i="29"/>
  <c r="I307" i="29"/>
  <c r="H307" i="29"/>
  <c r="G307" i="29"/>
  <c r="F307" i="29"/>
  <c r="I306" i="29"/>
  <c r="H306" i="29"/>
  <c r="G306" i="29"/>
  <c r="F306" i="29"/>
  <c r="I305" i="29"/>
  <c r="H305" i="29"/>
  <c r="G305" i="29"/>
  <c r="F305" i="29"/>
  <c r="I304" i="29"/>
  <c r="H304" i="29"/>
  <c r="G304" i="29"/>
  <c r="F304" i="29"/>
  <c r="I303" i="29"/>
  <c r="H303" i="29"/>
  <c r="G303" i="29"/>
  <c r="F303" i="29"/>
  <c r="I302" i="29"/>
  <c r="H302" i="29"/>
  <c r="G302" i="29"/>
  <c r="F302" i="29"/>
  <c r="I301" i="29"/>
  <c r="H301" i="29"/>
  <c r="G301" i="29"/>
  <c r="F301" i="29"/>
  <c r="I300" i="29"/>
  <c r="H300" i="29"/>
  <c r="G300" i="29"/>
  <c r="F300" i="29"/>
  <c r="I299" i="29"/>
  <c r="H299" i="29"/>
  <c r="G299" i="29"/>
  <c r="F299" i="29"/>
  <c r="I298" i="29"/>
  <c r="H298" i="29"/>
  <c r="G298" i="29"/>
  <c r="F298" i="29"/>
  <c r="I297" i="29"/>
  <c r="H297" i="29"/>
  <c r="G297" i="29"/>
  <c r="F297" i="29"/>
  <c r="I296" i="29"/>
  <c r="H296" i="29"/>
  <c r="G296" i="29"/>
  <c r="F296" i="29"/>
  <c r="I295" i="29"/>
  <c r="H295" i="29"/>
  <c r="G295" i="29"/>
  <c r="F295" i="29"/>
  <c r="I294" i="29"/>
  <c r="H294" i="29"/>
  <c r="G294" i="29"/>
  <c r="F294" i="29"/>
  <c r="I293" i="29"/>
  <c r="H293" i="29"/>
  <c r="G293" i="29"/>
  <c r="F293" i="29"/>
  <c r="I292" i="29"/>
  <c r="H292" i="29"/>
  <c r="G292" i="29"/>
  <c r="F292" i="29"/>
  <c r="I291" i="29"/>
  <c r="H291" i="29"/>
  <c r="G291" i="29"/>
  <c r="F291" i="29"/>
  <c r="I290" i="29"/>
  <c r="H290" i="29"/>
  <c r="G290" i="29"/>
  <c r="F290" i="29"/>
  <c r="I289" i="29"/>
  <c r="H289" i="29"/>
  <c r="G289" i="29"/>
  <c r="F289" i="29"/>
  <c r="I288" i="29"/>
  <c r="H288" i="29"/>
  <c r="G288" i="29"/>
  <c r="F288" i="29"/>
  <c r="I287" i="29"/>
  <c r="H287" i="29"/>
  <c r="G287" i="29"/>
  <c r="F287" i="29"/>
  <c r="I286" i="29"/>
  <c r="H286" i="29"/>
  <c r="G286" i="29"/>
  <c r="F286" i="29"/>
  <c r="I285" i="29"/>
  <c r="H285" i="29"/>
  <c r="G285" i="29"/>
  <c r="F285" i="29"/>
  <c r="I284" i="29"/>
  <c r="H284" i="29"/>
  <c r="G284" i="29"/>
  <c r="F284" i="29"/>
  <c r="I283" i="29"/>
  <c r="H283" i="29"/>
  <c r="G283" i="29"/>
  <c r="F283" i="29"/>
  <c r="I282" i="29"/>
  <c r="H282" i="29"/>
  <c r="G282" i="29"/>
  <c r="F282" i="29"/>
  <c r="I281" i="29"/>
  <c r="H281" i="29"/>
  <c r="G281" i="29"/>
  <c r="F281" i="29"/>
  <c r="I280" i="29"/>
  <c r="H280" i="29"/>
  <c r="G280" i="29"/>
  <c r="F280" i="29"/>
  <c r="I279" i="29"/>
  <c r="H279" i="29"/>
  <c r="G279" i="29"/>
  <c r="F279" i="29"/>
  <c r="I278" i="29"/>
  <c r="H278" i="29"/>
  <c r="G278" i="29"/>
  <c r="F278" i="29"/>
  <c r="I277" i="29"/>
  <c r="H277" i="29"/>
  <c r="G277" i="29"/>
  <c r="F277" i="29"/>
  <c r="I276" i="29"/>
  <c r="H276" i="29"/>
  <c r="G276" i="29"/>
  <c r="F276" i="29"/>
  <c r="I275" i="29"/>
  <c r="H275" i="29"/>
  <c r="G275" i="29"/>
  <c r="F275" i="29"/>
  <c r="I274" i="29"/>
  <c r="H274" i="29"/>
  <c r="G274" i="29"/>
  <c r="F274" i="29"/>
  <c r="I273" i="29"/>
  <c r="H273" i="29"/>
  <c r="G273" i="29"/>
  <c r="F273" i="29"/>
  <c r="I272" i="29"/>
  <c r="H272" i="29"/>
  <c r="G272" i="29"/>
  <c r="F272" i="29"/>
  <c r="I271" i="29"/>
  <c r="H271" i="29"/>
  <c r="G271" i="29"/>
  <c r="F271" i="29"/>
  <c r="I270" i="29"/>
  <c r="H270" i="29"/>
  <c r="G270" i="29"/>
  <c r="F270" i="29"/>
  <c r="I269" i="29"/>
  <c r="H269" i="29"/>
  <c r="G269" i="29"/>
  <c r="F269" i="29"/>
  <c r="I268" i="29"/>
  <c r="H268" i="29"/>
  <c r="G268" i="29"/>
  <c r="F268" i="29"/>
  <c r="I267" i="29"/>
  <c r="H267" i="29"/>
  <c r="G267" i="29"/>
  <c r="F267" i="29"/>
  <c r="I266" i="29"/>
  <c r="H266" i="29"/>
  <c r="G266" i="29"/>
  <c r="F266" i="29"/>
  <c r="I265" i="29"/>
  <c r="H265" i="29"/>
  <c r="G265" i="29"/>
  <c r="F265" i="29"/>
  <c r="I264" i="29"/>
  <c r="H264" i="29"/>
  <c r="G264" i="29"/>
  <c r="F264" i="29"/>
  <c r="I263" i="29"/>
  <c r="H263" i="29"/>
  <c r="G263" i="29"/>
  <c r="F263" i="29"/>
  <c r="I262" i="29"/>
  <c r="H262" i="29"/>
  <c r="G262" i="29"/>
  <c r="F262" i="29"/>
  <c r="I261" i="29"/>
  <c r="H261" i="29"/>
  <c r="G261" i="29"/>
  <c r="F261" i="29"/>
  <c r="I260" i="29"/>
  <c r="H260" i="29"/>
  <c r="G260" i="29"/>
  <c r="F260" i="29"/>
  <c r="I259" i="29"/>
  <c r="H259" i="29"/>
  <c r="G259" i="29"/>
  <c r="F259" i="29"/>
  <c r="I258" i="29"/>
  <c r="H258" i="29"/>
  <c r="G258" i="29"/>
  <c r="F258" i="29"/>
  <c r="I257" i="29"/>
  <c r="H257" i="29"/>
  <c r="G257" i="29"/>
  <c r="F257" i="29"/>
  <c r="I256" i="29"/>
  <c r="H256" i="29"/>
  <c r="G256" i="29"/>
  <c r="F256" i="29"/>
  <c r="I255" i="29"/>
  <c r="H255" i="29"/>
  <c r="G255" i="29"/>
  <c r="F255" i="29"/>
  <c r="I254" i="29"/>
  <c r="H254" i="29"/>
  <c r="G254" i="29"/>
  <c r="F254" i="29"/>
  <c r="I253" i="29"/>
  <c r="H253" i="29"/>
  <c r="G253" i="29"/>
  <c r="F253" i="29"/>
  <c r="I252" i="29"/>
  <c r="H252" i="29"/>
  <c r="G252" i="29"/>
  <c r="F252" i="29"/>
  <c r="I251" i="29"/>
  <c r="H251" i="29"/>
  <c r="G251" i="29"/>
  <c r="F251" i="29"/>
  <c r="I250" i="29"/>
  <c r="H250" i="29"/>
  <c r="G250" i="29"/>
  <c r="F250" i="29"/>
  <c r="I249" i="29"/>
  <c r="H249" i="29"/>
  <c r="G249" i="29"/>
  <c r="F249" i="29"/>
  <c r="I248" i="29"/>
  <c r="H248" i="29"/>
  <c r="G248" i="29"/>
  <c r="F248" i="29"/>
  <c r="I247" i="29"/>
  <c r="H247" i="29"/>
  <c r="G247" i="29"/>
  <c r="F247" i="29"/>
  <c r="I246" i="29"/>
  <c r="H246" i="29"/>
  <c r="G246" i="29"/>
  <c r="F246" i="29"/>
  <c r="I245" i="29"/>
  <c r="H245" i="29"/>
  <c r="G245" i="29"/>
  <c r="F245" i="29"/>
  <c r="I244" i="29"/>
  <c r="H244" i="29"/>
  <c r="G244" i="29"/>
  <c r="F244" i="29"/>
  <c r="I243" i="29"/>
  <c r="H243" i="29"/>
  <c r="G243" i="29"/>
  <c r="F243" i="29"/>
  <c r="I242" i="29"/>
  <c r="H242" i="29"/>
  <c r="G242" i="29"/>
  <c r="F242" i="29"/>
  <c r="I241" i="29"/>
  <c r="H241" i="29"/>
  <c r="G241" i="29"/>
  <c r="F241" i="29"/>
  <c r="I240" i="29"/>
  <c r="H240" i="29"/>
  <c r="G240" i="29"/>
  <c r="F240" i="29"/>
  <c r="I239" i="29"/>
  <c r="H239" i="29"/>
  <c r="G239" i="29"/>
  <c r="F239" i="29"/>
  <c r="I238" i="29"/>
  <c r="H238" i="29"/>
  <c r="G238" i="29"/>
  <c r="F238" i="29"/>
  <c r="I237" i="29"/>
  <c r="H237" i="29"/>
  <c r="G237" i="29"/>
  <c r="F237" i="29"/>
  <c r="I236" i="29"/>
  <c r="H236" i="29"/>
  <c r="G236" i="29"/>
  <c r="F236" i="29"/>
  <c r="I235" i="29"/>
  <c r="H235" i="29"/>
  <c r="G235" i="29"/>
  <c r="F235" i="29"/>
  <c r="I234" i="29"/>
  <c r="H234" i="29"/>
  <c r="G234" i="29"/>
  <c r="F234" i="29"/>
  <c r="I233" i="29"/>
  <c r="H233" i="29"/>
  <c r="G233" i="29"/>
  <c r="F233" i="29"/>
  <c r="I232" i="29"/>
  <c r="H232" i="29"/>
  <c r="G232" i="29"/>
  <c r="F232" i="29"/>
  <c r="I231" i="29"/>
  <c r="H231" i="29"/>
  <c r="G231" i="29"/>
  <c r="F231" i="29"/>
  <c r="I230" i="29"/>
  <c r="H230" i="29"/>
  <c r="G230" i="29"/>
  <c r="F230" i="29"/>
  <c r="I229" i="29"/>
  <c r="H229" i="29"/>
  <c r="G229" i="29"/>
  <c r="F229" i="29"/>
  <c r="I228" i="29"/>
  <c r="H228" i="29"/>
  <c r="G228" i="29"/>
  <c r="F228" i="29"/>
  <c r="I227" i="29"/>
  <c r="H227" i="29"/>
  <c r="G227" i="29"/>
  <c r="F227" i="29"/>
  <c r="I226" i="29"/>
  <c r="H226" i="29"/>
  <c r="G226" i="29"/>
  <c r="F226" i="29"/>
  <c r="I225" i="29"/>
  <c r="H225" i="29"/>
  <c r="G225" i="29"/>
  <c r="F225" i="29"/>
  <c r="I224" i="29"/>
  <c r="H224" i="29"/>
  <c r="G224" i="29"/>
  <c r="F224" i="29"/>
  <c r="I223" i="29"/>
  <c r="H223" i="29"/>
  <c r="G223" i="29"/>
  <c r="F223" i="29"/>
  <c r="I222" i="29"/>
  <c r="H222" i="29"/>
  <c r="G222" i="29"/>
  <c r="F222" i="29"/>
  <c r="I221" i="29"/>
  <c r="H221" i="29"/>
  <c r="G221" i="29"/>
  <c r="F221" i="29"/>
  <c r="I220" i="29"/>
  <c r="H220" i="29"/>
  <c r="G220" i="29"/>
  <c r="F220" i="29"/>
  <c r="I219" i="29"/>
  <c r="H219" i="29"/>
  <c r="G219" i="29"/>
  <c r="F219" i="29"/>
  <c r="I218" i="29"/>
  <c r="H218" i="29"/>
  <c r="G218" i="29"/>
  <c r="F218" i="29"/>
  <c r="I217" i="29"/>
  <c r="H217" i="29"/>
  <c r="G217" i="29"/>
  <c r="F217" i="29"/>
  <c r="I216" i="29"/>
  <c r="H216" i="29"/>
  <c r="G216" i="29"/>
  <c r="F216" i="29"/>
  <c r="I215" i="29"/>
  <c r="H215" i="29"/>
  <c r="G215" i="29"/>
  <c r="F215" i="29"/>
  <c r="I214" i="29"/>
  <c r="H214" i="29"/>
  <c r="G214" i="29"/>
  <c r="F214" i="29"/>
  <c r="I213" i="29"/>
  <c r="H213" i="29"/>
  <c r="G213" i="29"/>
  <c r="F213" i="29"/>
  <c r="I212" i="29"/>
  <c r="H212" i="29"/>
  <c r="G212" i="29"/>
  <c r="F212" i="29"/>
  <c r="I211" i="29"/>
  <c r="H211" i="29"/>
  <c r="G211" i="29"/>
  <c r="F211" i="29"/>
  <c r="I210" i="29"/>
  <c r="H210" i="29"/>
  <c r="G210" i="29"/>
  <c r="F210" i="29"/>
  <c r="I209" i="29"/>
  <c r="H209" i="29"/>
  <c r="G209" i="29"/>
  <c r="F209" i="29"/>
  <c r="I208" i="29"/>
  <c r="H208" i="29"/>
  <c r="G208" i="29"/>
  <c r="F208" i="29"/>
  <c r="I207" i="29"/>
  <c r="H207" i="29"/>
  <c r="G207" i="29"/>
  <c r="F207" i="29"/>
  <c r="I206" i="29"/>
  <c r="H206" i="29"/>
  <c r="G206" i="29"/>
  <c r="F206" i="29"/>
  <c r="I205" i="29"/>
  <c r="H205" i="29"/>
  <c r="G205" i="29"/>
  <c r="F205" i="29"/>
  <c r="I204" i="29"/>
  <c r="H204" i="29"/>
  <c r="G204" i="29"/>
  <c r="F204" i="29"/>
  <c r="I203" i="29"/>
  <c r="H203" i="29"/>
  <c r="G203" i="29"/>
  <c r="F203" i="29"/>
  <c r="I202" i="29"/>
  <c r="H202" i="29"/>
  <c r="G202" i="29"/>
  <c r="F202" i="29"/>
  <c r="I201" i="29"/>
  <c r="H201" i="29"/>
  <c r="G201" i="29"/>
  <c r="F201" i="29"/>
  <c r="I200" i="29"/>
  <c r="H200" i="29"/>
  <c r="G200" i="29"/>
  <c r="F200" i="29"/>
  <c r="I199" i="29"/>
  <c r="H199" i="29"/>
  <c r="G199" i="29"/>
  <c r="F199" i="29"/>
  <c r="I198" i="29"/>
  <c r="H198" i="29"/>
  <c r="G198" i="29"/>
  <c r="F198" i="29"/>
  <c r="I197" i="29"/>
  <c r="H197" i="29"/>
  <c r="G197" i="29"/>
  <c r="F197" i="29"/>
  <c r="I196" i="29"/>
  <c r="H196" i="29"/>
  <c r="G196" i="29"/>
  <c r="F196" i="29"/>
  <c r="I195" i="29"/>
  <c r="H195" i="29"/>
  <c r="G195" i="29"/>
  <c r="F195" i="29"/>
  <c r="I194" i="29"/>
  <c r="H194" i="29"/>
  <c r="G194" i="29"/>
  <c r="F194" i="29"/>
  <c r="I193" i="29"/>
  <c r="H193" i="29"/>
  <c r="G193" i="29"/>
  <c r="F193" i="29"/>
  <c r="I192" i="29"/>
  <c r="H192" i="29"/>
  <c r="G192" i="29"/>
  <c r="F192" i="29"/>
  <c r="I191" i="29"/>
  <c r="H191" i="29"/>
  <c r="G191" i="29"/>
  <c r="F191" i="29"/>
  <c r="I190" i="29"/>
  <c r="H190" i="29"/>
  <c r="G190" i="29"/>
  <c r="F190" i="29"/>
  <c r="I189" i="29"/>
  <c r="H189" i="29"/>
  <c r="G189" i="29"/>
  <c r="F189" i="29"/>
  <c r="I188" i="29"/>
  <c r="H188" i="29"/>
  <c r="G188" i="29"/>
  <c r="F188" i="29"/>
  <c r="I187" i="29"/>
  <c r="H187" i="29"/>
  <c r="G187" i="29"/>
  <c r="F187" i="29"/>
  <c r="I186" i="29"/>
  <c r="H186" i="29"/>
  <c r="G186" i="29"/>
  <c r="F186" i="29"/>
  <c r="I185" i="29"/>
  <c r="H185" i="29"/>
  <c r="G185" i="29"/>
  <c r="F185" i="29"/>
  <c r="I184" i="29"/>
  <c r="H184" i="29"/>
  <c r="G184" i="29"/>
  <c r="F184" i="29"/>
  <c r="I183" i="29"/>
  <c r="H183" i="29"/>
  <c r="G183" i="29"/>
  <c r="F183" i="29"/>
  <c r="I182" i="29"/>
  <c r="H182" i="29"/>
  <c r="G182" i="29"/>
  <c r="F182" i="29"/>
  <c r="I181" i="29"/>
  <c r="H181" i="29"/>
  <c r="G181" i="29"/>
  <c r="F181" i="29"/>
  <c r="I180" i="29"/>
  <c r="H180" i="29"/>
  <c r="G180" i="29"/>
  <c r="F180" i="29"/>
  <c r="I179" i="29"/>
  <c r="H179" i="29"/>
  <c r="G179" i="29"/>
  <c r="F179" i="29"/>
  <c r="I178" i="29"/>
  <c r="H178" i="29"/>
  <c r="G178" i="29"/>
  <c r="F178" i="29"/>
  <c r="I177" i="29"/>
  <c r="H177" i="29"/>
  <c r="G177" i="29"/>
  <c r="F177" i="29"/>
  <c r="I176" i="29"/>
  <c r="H176" i="29"/>
  <c r="G176" i="29"/>
  <c r="F176" i="29"/>
  <c r="I175" i="29"/>
  <c r="H175" i="29"/>
  <c r="G175" i="29"/>
  <c r="F175" i="29"/>
  <c r="I174" i="29"/>
  <c r="H174" i="29"/>
  <c r="G174" i="29"/>
  <c r="F174" i="29"/>
  <c r="I173" i="29"/>
  <c r="H173" i="29"/>
  <c r="G173" i="29"/>
  <c r="F173" i="29"/>
  <c r="I172" i="29"/>
  <c r="H172" i="29"/>
  <c r="G172" i="29"/>
  <c r="F172" i="29"/>
  <c r="I171" i="29"/>
  <c r="H171" i="29"/>
  <c r="G171" i="29"/>
  <c r="F171" i="29"/>
  <c r="I170" i="29"/>
  <c r="H170" i="29"/>
  <c r="G170" i="29"/>
  <c r="F170" i="29"/>
  <c r="I169" i="29"/>
  <c r="H169" i="29"/>
  <c r="G169" i="29"/>
  <c r="F169" i="29"/>
  <c r="I168" i="29"/>
  <c r="H168" i="29"/>
  <c r="G168" i="29"/>
  <c r="F168" i="29"/>
  <c r="I167" i="29"/>
  <c r="H167" i="29"/>
  <c r="G167" i="29"/>
  <c r="F167" i="29"/>
  <c r="I166" i="29"/>
  <c r="H166" i="29"/>
  <c r="G166" i="29"/>
  <c r="F166" i="29"/>
  <c r="I165" i="29"/>
  <c r="H165" i="29"/>
  <c r="G165" i="29"/>
  <c r="F165" i="29"/>
  <c r="I164" i="29"/>
  <c r="H164" i="29"/>
  <c r="G164" i="29"/>
  <c r="F164" i="29"/>
  <c r="I163" i="29"/>
  <c r="H163" i="29"/>
  <c r="G163" i="29"/>
  <c r="F163" i="29"/>
  <c r="I162" i="29"/>
  <c r="H162" i="29"/>
  <c r="G162" i="29"/>
  <c r="F162" i="29"/>
  <c r="I161" i="29"/>
  <c r="H161" i="29"/>
  <c r="G161" i="29"/>
  <c r="F161" i="29"/>
  <c r="I160" i="29"/>
  <c r="H160" i="29"/>
  <c r="G160" i="29"/>
  <c r="F160" i="29"/>
  <c r="I159" i="29"/>
  <c r="H159" i="29"/>
  <c r="G159" i="29"/>
  <c r="F159" i="29"/>
  <c r="I158" i="29"/>
  <c r="H158" i="29"/>
  <c r="G158" i="29"/>
  <c r="F158" i="29"/>
  <c r="I157" i="29"/>
  <c r="H157" i="29"/>
  <c r="G157" i="29"/>
  <c r="F157" i="29"/>
  <c r="I156" i="29"/>
  <c r="H156" i="29"/>
  <c r="G156" i="29"/>
  <c r="F156" i="29"/>
  <c r="I155" i="29"/>
  <c r="H155" i="29"/>
  <c r="G155" i="29"/>
  <c r="F155" i="29"/>
  <c r="I154" i="29"/>
  <c r="H154" i="29"/>
  <c r="G154" i="29"/>
  <c r="F154" i="29"/>
  <c r="I153" i="29"/>
  <c r="H153" i="29"/>
  <c r="G153" i="29"/>
  <c r="F153" i="29"/>
  <c r="I152" i="29"/>
  <c r="H152" i="29"/>
  <c r="G152" i="29"/>
  <c r="F152" i="29"/>
  <c r="I151" i="29"/>
  <c r="H151" i="29"/>
  <c r="G151" i="29"/>
  <c r="F151" i="29"/>
  <c r="I150" i="29"/>
  <c r="H150" i="29"/>
  <c r="G150" i="29"/>
  <c r="F150" i="29"/>
  <c r="I149" i="29"/>
  <c r="H149" i="29"/>
  <c r="G149" i="29"/>
  <c r="F149" i="29"/>
  <c r="I148" i="29"/>
  <c r="H148" i="29"/>
  <c r="G148" i="29"/>
  <c r="F148" i="29"/>
  <c r="I147" i="29"/>
  <c r="H147" i="29"/>
  <c r="G147" i="29"/>
  <c r="F147" i="29"/>
  <c r="I146" i="29"/>
  <c r="H146" i="29"/>
  <c r="G146" i="29"/>
  <c r="F146" i="29"/>
  <c r="I145" i="29"/>
  <c r="H145" i="29"/>
  <c r="G145" i="29"/>
  <c r="F145" i="29"/>
  <c r="I144" i="29"/>
  <c r="H144" i="29"/>
  <c r="G144" i="29"/>
  <c r="F144" i="29"/>
  <c r="I143" i="29"/>
  <c r="H143" i="29"/>
  <c r="G143" i="29"/>
  <c r="F143" i="29"/>
  <c r="I142" i="29"/>
  <c r="H142" i="29"/>
  <c r="G142" i="29"/>
  <c r="F142" i="29"/>
  <c r="I141" i="29"/>
  <c r="H141" i="29"/>
  <c r="G141" i="29"/>
  <c r="F141" i="29"/>
  <c r="I140" i="29"/>
  <c r="H140" i="29"/>
  <c r="G140" i="29"/>
  <c r="F140" i="29"/>
  <c r="I139" i="29"/>
  <c r="H139" i="29"/>
  <c r="G139" i="29"/>
  <c r="F139" i="29"/>
  <c r="I138" i="29"/>
  <c r="H138" i="29"/>
  <c r="G138" i="29"/>
  <c r="F138" i="29"/>
  <c r="I137" i="29"/>
  <c r="H137" i="29"/>
  <c r="G137" i="29"/>
  <c r="F137" i="29"/>
  <c r="I136" i="29"/>
  <c r="H136" i="29"/>
  <c r="G136" i="29"/>
  <c r="F136" i="29"/>
  <c r="I135" i="29"/>
  <c r="H135" i="29"/>
  <c r="G135" i="29"/>
  <c r="F135" i="29"/>
  <c r="I134" i="29"/>
  <c r="H134" i="29"/>
  <c r="G134" i="29"/>
  <c r="F134" i="29"/>
  <c r="I133" i="29"/>
  <c r="H133" i="29"/>
  <c r="G133" i="29"/>
  <c r="F133" i="29"/>
  <c r="I132" i="29"/>
  <c r="H132" i="29"/>
  <c r="G132" i="29"/>
  <c r="F132" i="29"/>
  <c r="I131" i="29"/>
  <c r="H131" i="29"/>
  <c r="G131" i="29"/>
  <c r="F131" i="29"/>
  <c r="I130" i="29"/>
  <c r="H130" i="29"/>
  <c r="G130" i="29"/>
  <c r="F130" i="29"/>
  <c r="I129" i="29"/>
  <c r="H129" i="29"/>
  <c r="G129" i="29"/>
  <c r="F129" i="29"/>
  <c r="I128" i="29"/>
  <c r="H128" i="29"/>
  <c r="G128" i="29"/>
  <c r="F128" i="29"/>
  <c r="I127" i="29"/>
  <c r="H127" i="29"/>
  <c r="G127" i="29"/>
  <c r="F127" i="29"/>
  <c r="I126" i="29"/>
  <c r="H126" i="29"/>
  <c r="G126" i="29"/>
  <c r="F126" i="29"/>
  <c r="I125" i="29"/>
  <c r="H125" i="29"/>
  <c r="G125" i="29"/>
  <c r="F125" i="29"/>
  <c r="I124" i="29"/>
  <c r="H124" i="29"/>
  <c r="G124" i="29"/>
  <c r="F124" i="29"/>
  <c r="I123" i="29"/>
  <c r="H123" i="29"/>
  <c r="G123" i="29"/>
  <c r="F123" i="29"/>
  <c r="I122" i="29"/>
  <c r="H122" i="29"/>
  <c r="G122" i="29"/>
  <c r="F122" i="29"/>
  <c r="I121" i="29"/>
  <c r="H121" i="29"/>
  <c r="G121" i="29"/>
  <c r="F121" i="29"/>
  <c r="I120" i="29"/>
  <c r="H120" i="29"/>
  <c r="G120" i="29"/>
  <c r="F120" i="29"/>
  <c r="I119" i="29"/>
  <c r="H119" i="29"/>
  <c r="G119" i="29"/>
  <c r="F119" i="29"/>
  <c r="I118" i="29"/>
  <c r="H118" i="29"/>
  <c r="G118" i="29"/>
  <c r="F118" i="29"/>
  <c r="I117" i="29"/>
  <c r="H117" i="29"/>
  <c r="G117" i="29"/>
  <c r="F117" i="29"/>
  <c r="I116" i="29"/>
  <c r="H116" i="29"/>
  <c r="G116" i="29"/>
  <c r="F116" i="29"/>
  <c r="I115" i="29"/>
  <c r="H115" i="29"/>
  <c r="G115" i="29"/>
  <c r="F115" i="29"/>
  <c r="I114" i="29"/>
  <c r="H114" i="29"/>
  <c r="G114" i="29"/>
  <c r="F114" i="29"/>
  <c r="I113" i="29"/>
  <c r="H113" i="29"/>
  <c r="G113" i="29"/>
  <c r="F113" i="29"/>
  <c r="I112" i="29"/>
  <c r="H112" i="29"/>
  <c r="G112" i="29"/>
  <c r="F112" i="29"/>
  <c r="I111" i="29"/>
  <c r="H111" i="29"/>
  <c r="G111" i="29"/>
  <c r="F111" i="29"/>
  <c r="I110" i="29"/>
  <c r="H110" i="29"/>
  <c r="G110" i="29"/>
  <c r="F110" i="29"/>
  <c r="I109" i="29"/>
  <c r="H109" i="29"/>
  <c r="G109" i="29"/>
  <c r="F109" i="29"/>
  <c r="I108" i="29"/>
  <c r="H108" i="29"/>
  <c r="G108" i="29"/>
  <c r="F108" i="29"/>
  <c r="I107" i="29"/>
  <c r="H107" i="29"/>
  <c r="G107" i="29"/>
  <c r="F107" i="29"/>
  <c r="I106" i="29"/>
  <c r="H106" i="29"/>
  <c r="G106" i="29"/>
  <c r="F106" i="29"/>
  <c r="I105" i="29"/>
  <c r="H105" i="29"/>
  <c r="G105" i="29"/>
  <c r="F105" i="29"/>
  <c r="I104" i="29"/>
  <c r="H104" i="29"/>
  <c r="G104" i="29"/>
  <c r="F104" i="29"/>
  <c r="I103" i="29"/>
  <c r="H103" i="29"/>
  <c r="G103" i="29"/>
  <c r="F103" i="29"/>
  <c r="I102" i="29"/>
  <c r="H102" i="29"/>
  <c r="G102" i="29"/>
  <c r="F102" i="29"/>
  <c r="I101" i="29"/>
  <c r="H101" i="29"/>
  <c r="G101" i="29"/>
  <c r="F101" i="29"/>
  <c r="I100" i="29"/>
  <c r="H100" i="29"/>
  <c r="G100" i="29"/>
  <c r="F100" i="29"/>
  <c r="I99" i="29"/>
  <c r="H99" i="29"/>
  <c r="G99" i="29"/>
  <c r="F99" i="29"/>
  <c r="I98" i="29"/>
  <c r="H98" i="29"/>
  <c r="G98" i="29"/>
  <c r="F98" i="29"/>
  <c r="I97" i="29"/>
  <c r="H97" i="29"/>
  <c r="G97" i="29"/>
  <c r="F97" i="29"/>
  <c r="I96" i="29"/>
  <c r="H96" i="29"/>
  <c r="G96" i="29"/>
  <c r="F96" i="29"/>
  <c r="I95" i="29"/>
  <c r="H95" i="29"/>
  <c r="G95" i="29"/>
  <c r="F95" i="29"/>
  <c r="I94" i="29"/>
  <c r="H94" i="29"/>
  <c r="G94" i="29"/>
  <c r="F94" i="29"/>
  <c r="I93" i="29"/>
  <c r="H93" i="29"/>
  <c r="G93" i="29"/>
  <c r="F93" i="29"/>
  <c r="I92" i="29"/>
  <c r="H92" i="29"/>
  <c r="G92" i="29"/>
  <c r="F92" i="29"/>
  <c r="I91" i="29"/>
  <c r="H91" i="29"/>
  <c r="G91" i="29"/>
  <c r="F91" i="29"/>
  <c r="I90" i="29"/>
  <c r="H90" i="29"/>
  <c r="G90" i="29"/>
  <c r="F90" i="29"/>
  <c r="I89" i="29"/>
  <c r="H89" i="29"/>
  <c r="G89" i="29"/>
  <c r="F89" i="29"/>
  <c r="I88" i="29"/>
  <c r="H88" i="29"/>
  <c r="G88" i="29"/>
  <c r="F88" i="29"/>
  <c r="I87" i="29"/>
  <c r="H87" i="29"/>
  <c r="G87" i="29"/>
  <c r="F87" i="29"/>
  <c r="I86" i="29"/>
  <c r="H86" i="29"/>
  <c r="G86" i="29"/>
  <c r="F86" i="29"/>
  <c r="I85" i="29"/>
  <c r="H85" i="29"/>
  <c r="G85" i="29"/>
  <c r="F85" i="29"/>
  <c r="I84" i="29"/>
  <c r="H84" i="29"/>
  <c r="G84" i="29"/>
  <c r="F84" i="29"/>
  <c r="I83" i="29"/>
  <c r="H83" i="29"/>
  <c r="G83" i="29"/>
  <c r="F83" i="29"/>
  <c r="I82" i="29"/>
  <c r="H82" i="29"/>
  <c r="G82" i="29"/>
  <c r="F82" i="29"/>
  <c r="I81" i="29"/>
  <c r="H81" i="29"/>
  <c r="G81" i="29"/>
  <c r="F81" i="29"/>
  <c r="I80" i="29"/>
  <c r="H80" i="29"/>
  <c r="G80" i="29"/>
  <c r="F80" i="29"/>
  <c r="I79" i="29"/>
  <c r="H79" i="29"/>
  <c r="G79" i="29"/>
  <c r="F79" i="29"/>
  <c r="I78" i="29"/>
  <c r="H78" i="29"/>
  <c r="G78" i="29"/>
  <c r="F78" i="29"/>
  <c r="I77" i="29"/>
  <c r="H77" i="29"/>
  <c r="G77" i="29"/>
  <c r="F77" i="29"/>
  <c r="I76" i="29"/>
  <c r="H76" i="29"/>
  <c r="G76" i="29"/>
  <c r="F76" i="29"/>
  <c r="I75" i="29"/>
  <c r="H75" i="29"/>
  <c r="G75" i="29"/>
  <c r="F75" i="29"/>
  <c r="I74" i="29"/>
  <c r="H74" i="29"/>
  <c r="G74" i="29"/>
  <c r="F74" i="29"/>
  <c r="I73" i="29"/>
  <c r="H73" i="29"/>
  <c r="G73" i="29"/>
  <c r="F73" i="29"/>
  <c r="I72" i="29"/>
  <c r="H72" i="29"/>
  <c r="G72" i="29"/>
  <c r="F72" i="29"/>
  <c r="I71" i="29"/>
  <c r="H71" i="29"/>
  <c r="G71" i="29"/>
  <c r="F71" i="29"/>
  <c r="I70" i="29"/>
  <c r="H70" i="29"/>
  <c r="G70" i="29"/>
  <c r="F70" i="29"/>
  <c r="I69" i="29"/>
  <c r="H69" i="29"/>
  <c r="G69" i="29"/>
  <c r="F69" i="29"/>
  <c r="I68" i="29"/>
  <c r="H68" i="29"/>
  <c r="G68" i="29"/>
  <c r="F68" i="29"/>
  <c r="I67" i="29"/>
  <c r="H67" i="29"/>
  <c r="G67" i="29"/>
  <c r="F67" i="29"/>
  <c r="I66" i="29"/>
  <c r="H66" i="29"/>
  <c r="G66" i="29"/>
  <c r="F66" i="29"/>
  <c r="I65" i="29"/>
  <c r="H65" i="29"/>
  <c r="G65" i="29"/>
  <c r="F65" i="29"/>
  <c r="I64" i="29"/>
  <c r="H64" i="29"/>
  <c r="G64" i="29"/>
  <c r="F64" i="29"/>
  <c r="I63" i="29"/>
  <c r="H63" i="29"/>
  <c r="G63" i="29"/>
  <c r="F63" i="29"/>
  <c r="I62" i="29"/>
  <c r="H62" i="29"/>
  <c r="G62" i="29"/>
  <c r="F62" i="29"/>
  <c r="I61" i="29"/>
  <c r="H61" i="29"/>
  <c r="G61" i="29"/>
  <c r="F61" i="29"/>
  <c r="I60" i="29"/>
  <c r="H60" i="29"/>
  <c r="G60" i="29"/>
  <c r="F60" i="29"/>
  <c r="I59" i="29"/>
  <c r="H59" i="29"/>
  <c r="G59" i="29"/>
  <c r="F59" i="29"/>
  <c r="I58" i="29"/>
  <c r="H58" i="29"/>
  <c r="G58" i="29"/>
  <c r="F58" i="29"/>
  <c r="I57" i="29"/>
  <c r="H57" i="29"/>
  <c r="G57" i="29"/>
  <c r="F57" i="29"/>
  <c r="I56" i="29"/>
  <c r="H56" i="29"/>
  <c r="G56" i="29"/>
  <c r="F56" i="29"/>
  <c r="I55" i="29"/>
  <c r="H55" i="29"/>
  <c r="G55" i="29"/>
  <c r="F55" i="29"/>
  <c r="I54" i="29"/>
  <c r="H54" i="29"/>
  <c r="G54" i="29"/>
  <c r="F54" i="29"/>
  <c r="I53" i="29"/>
  <c r="H53" i="29"/>
  <c r="G53" i="29"/>
  <c r="F53" i="29"/>
  <c r="I52" i="29"/>
  <c r="H52" i="29"/>
  <c r="G52" i="29"/>
  <c r="F52" i="29"/>
  <c r="I51" i="29"/>
  <c r="H51" i="29"/>
  <c r="G51" i="29"/>
  <c r="F51" i="29"/>
  <c r="I50" i="29"/>
  <c r="H50" i="29"/>
  <c r="G50" i="29"/>
  <c r="F50" i="29"/>
  <c r="I49" i="29"/>
  <c r="H49" i="29"/>
  <c r="G49" i="29"/>
  <c r="F49" i="29"/>
  <c r="I48" i="29"/>
  <c r="H48" i="29"/>
  <c r="G48" i="29"/>
  <c r="F48" i="29"/>
  <c r="I47" i="29"/>
  <c r="H47" i="29"/>
  <c r="G47" i="29"/>
  <c r="F47" i="29"/>
  <c r="I46" i="29"/>
  <c r="H46" i="29"/>
  <c r="G46" i="29"/>
  <c r="F46" i="29"/>
  <c r="I45" i="29"/>
  <c r="H45" i="29"/>
  <c r="G45" i="29"/>
  <c r="F45" i="29"/>
  <c r="I44" i="29"/>
  <c r="H44" i="29"/>
  <c r="G44" i="29"/>
  <c r="F44" i="29"/>
  <c r="I43" i="29"/>
  <c r="H43" i="29"/>
  <c r="G43" i="29"/>
  <c r="F43" i="29"/>
  <c r="I42" i="29"/>
  <c r="H42" i="29"/>
  <c r="G42" i="29"/>
  <c r="F42" i="29"/>
  <c r="I41" i="29"/>
  <c r="H41" i="29"/>
  <c r="G41" i="29"/>
  <c r="F41" i="29"/>
  <c r="I40" i="29"/>
  <c r="H40" i="29"/>
  <c r="G40" i="29"/>
  <c r="F40" i="29"/>
  <c r="I39" i="29"/>
  <c r="H39" i="29"/>
  <c r="G39" i="29"/>
  <c r="F39" i="29"/>
  <c r="I38" i="29"/>
  <c r="H38" i="29"/>
  <c r="G38" i="29"/>
  <c r="F38" i="29"/>
  <c r="I37" i="29"/>
  <c r="H37" i="29"/>
  <c r="G37" i="29"/>
  <c r="F37" i="29"/>
  <c r="I36" i="29"/>
  <c r="H36" i="29"/>
  <c r="G36" i="29"/>
  <c r="F36" i="29"/>
  <c r="I35" i="29"/>
  <c r="H35" i="29"/>
  <c r="G35" i="29"/>
  <c r="F35" i="29"/>
  <c r="I34" i="29"/>
  <c r="H34" i="29"/>
  <c r="G34" i="29"/>
  <c r="F34" i="29"/>
  <c r="I33" i="29"/>
  <c r="H33" i="29"/>
  <c r="G33" i="29"/>
  <c r="F33" i="29"/>
  <c r="I32" i="29"/>
  <c r="H32" i="29"/>
  <c r="G32" i="29"/>
  <c r="F32" i="29"/>
  <c r="I31" i="29"/>
  <c r="H31" i="29"/>
  <c r="G31" i="29"/>
  <c r="F31" i="29"/>
  <c r="I30" i="29"/>
  <c r="H30" i="29"/>
  <c r="G30" i="29"/>
  <c r="F30" i="29"/>
  <c r="I29" i="29"/>
  <c r="H29" i="29"/>
  <c r="G29" i="29"/>
  <c r="F29" i="29"/>
  <c r="I28" i="29"/>
  <c r="H28" i="29"/>
  <c r="G28" i="29"/>
  <c r="F28" i="29"/>
  <c r="I27" i="29"/>
  <c r="H27" i="29"/>
  <c r="G27" i="29"/>
  <c r="F27" i="29"/>
  <c r="I26" i="29"/>
  <c r="H26" i="29"/>
  <c r="G26" i="29"/>
  <c r="F26" i="29"/>
  <c r="I25" i="29"/>
  <c r="H25" i="29"/>
  <c r="G25" i="29"/>
  <c r="F25" i="29"/>
  <c r="I24" i="29"/>
  <c r="H24" i="29"/>
  <c r="G24" i="29"/>
  <c r="F24" i="29"/>
  <c r="I23" i="29"/>
  <c r="H23" i="29"/>
  <c r="G23" i="29"/>
  <c r="F23" i="29"/>
  <c r="I22" i="29"/>
  <c r="H22" i="29"/>
  <c r="G22" i="29"/>
  <c r="F22" i="29"/>
  <c r="I21" i="29"/>
  <c r="H21" i="29"/>
  <c r="G21" i="29"/>
  <c r="F21" i="29"/>
  <c r="I20" i="29"/>
  <c r="H20" i="29"/>
  <c r="G20" i="29"/>
  <c r="F20" i="29"/>
  <c r="I19" i="29"/>
  <c r="H19" i="29"/>
  <c r="G19" i="29"/>
  <c r="F19" i="29"/>
  <c r="I18" i="29"/>
  <c r="H18" i="29"/>
  <c r="G18" i="29"/>
  <c r="F18" i="29"/>
  <c r="H17" i="29"/>
  <c r="G17" i="29"/>
  <c r="F17" i="29"/>
  <c r="H16" i="29"/>
  <c r="G16" i="29"/>
  <c r="F16" i="29"/>
  <c r="H15" i="29"/>
  <c r="G15" i="29"/>
  <c r="F15" i="29"/>
  <c r="H14" i="29"/>
  <c r="G14" i="29"/>
  <c r="F14" i="29"/>
  <c r="H13" i="29"/>
  <c r="G13" i="29"/>
  <c r="F13" i="29"/>
  <c r="H12" i="29"/>
  <c r="G12" i="29"/>
  <c r="F12" i="29"/>
  <c r="H10" i="29"/>
  <c r="G10" i="29"/>
  <c r="F10" i="29"/>
  <c r="H9" i="29"/>
  <c r="G9" i="29"/>
  <c r="F9" i="29"/>
  <c r="H8" i="29"/>
  <c r="G8" i="29"/>
  <c r="F8" i="29"/>
  <c r="H7" i="29"/>
  <c r="G7" i="29"/>
  <c r="F7" i="29"/>
  <c r="H6" i="29"/>
  <c r="G6" i="29"/>
  <c r="F6" i="29"/>
  <c r="H5" i="29"/>
  <c r="G5" i="29"/>
  <c r="F5" i="29"/>
  <c r="H4" i="29"/>
  <c r="G4" i="29"/>
  <c r="F4" i="29"/>
  <c r="H11" i="29"/>
  <c r="G11" i="29"/>
  <c r="F11" i="29"/>
  <c r="I16" i="29" l="1"/>
  <c r="I17" i="29"/>
  <c r="I12" i="29"/>
  <c r="I7" i="29"/>
  <c r="I6" i="29"/>
  <c r="I10" i="29"/>
  <c r="I15" i="29"/>
  <c r="I5" i="29"/>
  <c r="I9" i="29"/>
  <c r="I14" i="29"/>
  <c r="I4" i="29"/>
  <c r="I8" i="29"/>
  <c r="I13" i="29"/>
  <c r="I11" i="29"/>
  <c r="IX300" i="4"/>
  <c r="IW300" i="4"/>
  <c r="IX299" i="4"/>
  <c r="IW299" i="4"/>
  <c r="IX298" i="4"/>
  <c r="IW298" i="4"/>
  <c r="IX297" i="4"/>
  <c r="IW297" i="4"/>
  <c r="IX296" i="4"/>
  <c r="IW296" i="4"/>
  <c r="IX295" i="4"/>
  <c r="IW295" i="4"/>
  <c r="IX294" i="4"/>
  <c r="IW294" i="4"/>
  <c r="IX293" i="4"/>
  <c r="IW293" i="4"/>
  <c r="IX292" i="4"/>
  <c r="IW292" i="4"/>
  <c r="IX291" i="4"/>
  <c r="IW291" i="4"/>
  <c r="IX290" i="4"/>
  <c r="IW290" i="4"/>
  <c r="IX289" i="4"/>
  <c r="IW289" i="4"/>
  <c r="IX288" i="4"/>
  <c r="IW288" i="4"/>
  <c r="IX287" i="4"/>
  <c r="IW287" i="4"/>
  <c r="IX286" i="4"/>
  <c r="IW286" i="4"/>
  <c r="IX285" i="4"/>
  <c r="IW285" i="4"/>
  <c r="IX284" i="4"/>
  <c r="IW284" i="4"/>
  <c r="IX283" i="4"/>
  <c r="IW283" i="4"/>
  <c r="IX282" i="4"/>
  <c r="IW282" i="4"/>
  <c r="IX281" i="4"/>
  <c r="IW281" i="4"/>
  <c r="IX280" i="4"/>
  <c r="IW280" i="4"/>
  <c r="IX279" i="4"/>
  <c r="IW279" i="4"/>
  <c r="IX278" i="4"/>
  <c r="IW278" i="4"/>
  <c r="IX277" i="4"/>
  <c r="IW277" i="4"/>
  <c r="IX276" i="4"/>
  <c r="IW276" i="4"/>
  <c r="IX275" i="4"/>
  <c r="IW275" i="4"/>
  <c r="IX274" i="4"/>
  <c r="IW274" i="4"/>
  <c r="IX273" i="4"/>
  <c r="IW273" i="4"/>
  <c r="IX272" i="4"/>
  <c r="IW272" i="4"/>
  <c r="IX271" i="4"/>
  <c r="IW271" i="4"/>
  <c r="IX270" i="4"/>
  <c r="IW270" i="4"/>
  <c r="IX269" i="4"/>
  <c r="IW269" i="4"/>
  <c r="IX268" i="4"/>
  <c r="IW268" i="4"/>
  <c r="IX267" i="4"/>
  <c r="IW267" i="4"/>
  <c r="IX266" i="4"/>
  <c r="IW266" i="4"/>
  <c r="IX265" i="4"/>
  <c r="IW265" i="4"/>
  <c r="IX264" i="4"/>
  <c r="IW264" i="4"/>
  <c r="IX263" i="4"/>
  <c r="IW263" i="4"/>
  <c r="IX262" i="4"/>
  <c r="IW262" i="4"/>
  <c r="IX261" i="4"/>
  <c r="IW261" i="4"/>
  <c r="IX260" i="4"/>
  <c r="IW260" i="4"/>
  <c r="IX259" i="4"/>
  <c r="IW259" i="4"/>
  <c r="IX258" i="4"/>
  <c r="IW258" i="4"/>
  <c r="IX257" i="4"/>
  <c r="IW257" i="4"/>
  <c r="IX256" i="4"/>
  <c r="IW256" i="4"/>
  <c r="IX255" i="4"/>
  <c r="IW255" i="4"/>
  <c r="IX254" i="4"/>
  <c r="IW254" i="4"/>
  <c r="IX253" i="4"/>
  <c r="IW253" i="4"/>
  <c r="IX252" i="4"/>
  <c r="IW252" i="4"/>
  <c r="IX251" i="4"/>
  <c r="IW251" i="4"/>
  <c r="IX250" i="4"/>
  <c r="IW250" i="4"/>
  <c r="IX249" i="4"/>
  <c r="IW249" i="4"/>
  <c r="IX248" i="4"/>
  <c r="IW248" i="4"/>
  <c r="IX247" i="4"/>
  <c r="IW247" i="4"/>
  <c r="IX246" i="4"/>
  <c r="IW246" i="4"/>
  <c r="IX245" i="4"/>
  <c r="IW245" i="4"/>
  <c r="IX244" i="4"/>
  <c r="IW244" i="4"/>
  <c r="IX243" i="4"/>
  <c r="IW243" i="4"/>
  <c r="IX242" i="4"/>
  <c r="IW242" i="4"/>
  <c r="IX241" i="4"/>
  <c r="IW241" i="4"/>
  <c r="IX240" i="4"/>
  <c r="IW240" i="4"/>
  <c r="IX239" i="4"/>
  <c r="IW239" i="4"/>
  <c r="IX238" i="4"/>
  <c r="IW238" i="4"/>
  <c r="IX237" i="4"/>
  <c r="IW237" i="4"/>
  <c r="IX236" i="4"/>
  <c r="IW236" i="4"/>
  <c r="IX235" i="4"/>
  <c r="IW235" i="4"/>
  <c r="IX234" i="4"/>
  <c r="IW234" i="4"/>
  <c r="IX233" i="4"/>
  <c r="IW233" i="4"/>
  <c r="IX232" i="4"/>
  <c r="IW232" i="4"/>
  <c r="IX231" i="4"/>
  <c r="IW231" i="4"/>
  <c r="IX230" i="4"/>
  <c r="IW230" i="4"/>
  <c r="IX229" i="4"/>
  <c r="IW229" i="4"/>
  <c r="IX228" i="4"/>
  <c r="IW228" i="4"/>
  <c r="IX227" i="4"/>
  <c r="IW227" i="4"/>
  <c r="IX226" i="4"/>
  <c r="IW226" i="4"/>
  <c r="IX225" i="4"/>
  <c r="IW225" i="4"/>
  <c r="IX224" i="4"/>
  <c r="IW224" i="4"/>
  <c r="IX223" i="4"/>
  <c r="IW223" i="4"/>
  <c r="IX222" i="4"/>
  <c r="IW222" i="4"/>
  <c r="IX221" i="4"/>
  <c r="IW221" i="4"/>
  <c r="IX220" i="4"/>
  <c r="IW220" i="4"/>
  <c r="IX219" i="4"/>
  <c r="IW219" i="4"/>
  <c r="IX218" i="4"/>
  <c r="IW218" i="4"/>
  <c r="IX217" i="4"/>
  <c r="IW217" i="4"/>
  <c r="IX216" i="4"/>
  <c r="IW216" i="4"/>
  <c r="IX215" i="4"/>
  <c r="IW215" i="4"/>
  <c r="IX214" i="4"/>
  <c r="IW214" i="4"/>
  <c r="IX213" i="4"/>
  <c r="IW213" i="4"/>
  <c r="IX212" i="4"/>
  <c r="IW212" i="4"/>
  <c r="IX211" i="4"/>
  <c r="IW211" i="4"/>
  <c r="IX210" i="4"/>
  <c r="IW210" i="4"/>
  <c r="IX209" i="4"/>
  <c r="IW209" i="4"/>
  <c r="IX208" i="4"/>
  <c r="IW208" i="4"/>
  <c r="IX207" i="4"/>
  <c r="IW207" i="4"/>
  <c r="IX206" i="4"/>
  <c r="IW206" i="4"/>
  <c r="IX205" i="4"/>
  <c r="IW205" i="4"/>
  <c r="IX204" i="4"/>
  <c r="IW204" i="4"/>
  <c r="IX203" i="4"/>
  <c r="IW203" i="4"/>
  <c r="IX202" i="4"/>
  <c r="IW202" i="4"/>
  <c r="IX201" i="4"/>
  <c r="IW201" i="4"/>
  <c r="IX200" i="4"/>
  <c r="IW200" i="4"/>
  <c r="IX199" i="4"/>
  <c r="IW199" i="4"/>
  <c r="IX198" i="4"/>
  <c r="IW198" i="4"/>
  <c r="IX197" i="4"/>
  <c r="IW197" i="4"/>
  <c r="IX196" i="4"/>
  <c r="IW196" i="4"/>
  <c r="IX195" i="4"/>
  <c r="IW195" i="4"/>
  <c r="IX194" i="4"/>
  <c r="IW194" i="4"/>
  <c r="IX193" i="4"/>
  <c r="IW193" i="4"/>
  <c r="IX192" i="4"/>
  <c r="IW192" i="4"/>
  <c r="IX191" i="4"/>
  <c r="IW191" i="4"/>
  <c r="IX190" i="4"/>
  <c r="IW190" i="4"/>
  <c r="IX189" i="4"/>
  <c r="IW189" i="4"/>
  <c r="IX188" i="4"/>
  <c r="IW188" i="4"/>
  <c r="IX187" i="4"/>
  <c r="IW187" i="4"/>
  <c r="IX186" i="4"/>
  <c r="IW186" i="4"/>
  <c r="IX185" i="4"/>
  <c r="IW185" i="4"/>
  <c r="IX184" i="4"/>
  <c r="IW184" i="4"/>
  <c r="IX183" i="4"/>
  <c r="IW183" i="4"/>
  <c r="IX182" i="4"/>
  <c r="IW182" i="4"/>
  <c r="IX181" i="4"/>
  <c r="IW181" i="4"/>
  <c r="IX180" i="4"/>
  <c r="IW180" i="4"/>
  <c r="IX179" i="4"/>
  <c r="IW179" i="4"/>
  <c r="IX178" i="4"/>
  <c r="IW178" i="4"/>
  <c r="IX177" i="4"/>
  <c r="IW177" i="4"/>
  <c r="IX176" i="4"/>
  <c r="IW176" i="4"/>
  <c r="IX175" i="4"/>
  <c r="IW175" i="4"/>
  <c r="IX174" i="4"/>
  <c r="IW174" i="4"/>
  <c r="IX173" i="4"/>
  <c r="IW173" i="4"/>
  <c r="IX172" i="4"/>
  <c r="IW172" i="4"/>
  <c r="IX171" i="4"/>
  <c r="IW171" i="4"/>
  <c r="IX170" i="4"/>
  <c r="IW170" i="4"/>
  <c r="IX169" i="4"/>
  <c r="IW169" i="4"/>
  <c r="IX168" i="4"/>
  <c r="IW168" i="4"/>
  <c r="IX167" i="4"/>
  <c r="IW167" i="4"/>
  <c r="IX166" i="4"/>
  <c r="IW166" i="4"/>
  <c r="IX165" i="4"/>
  <c r="IW165" i="4"/>
  <c r="IX164" i="4"/>
  <c r="IW164" i="4"/>
  <c r="IX163" i="4"/>
  <c r="IW163" i="4"/>
  <c r="IX162" i="4"/>
  <c r="IW162" i="4"/>
  <c r="IX161" i="4"/>
  <c r="IW161" i="4"/>
  <c r="IX160" i="4"/>
  <c r="IW160" i="4"/>
  <c r="IX159" i="4"/>
  <c r="IW159" i="4"/>
  <c r="IX158" i="4"/>
  <c r="IW158" i="4"/>
  <c r="IX157" i="4"/>
  <c r="IW157" i="4"/>
  <c r="IX156" i="4"/>
  <c r="IW156" i="4"/>
  <c r="IX155" i="4"/>
  <c r="IW155" i="4"/>
  <c r="IX154" i="4"/>
  <c r="IW154" i="4"/>
  <c r="IX153" i="4"/>
  <c r="IW153" i="4"/>
  <c r="IX152" i="4"/>
  <c r="IW152" i="4"/>
  <c r="IX151" i="4"/>
  <c r="IW151" i="4"/>
  <c r="IX150" i="4"/>
  <c r="IW150" i="4"/>
  <c r="IX149" i="4"/>
  <c r="IW149" i="4"/>
  <c r="IX148" i="4"/>
  <c r="IW148" i="4"/>
  <c r="IX147" i="4"/>
  <c r="IW147" i="4"/>
  <c r="IX146" i="4"/>
  <c r="IW146" i="4"/>
  <c r="IX145" i="4"/>
  <c r="IW145" i="4"/>
  <c r="IX144" i="4"/>
  <c r="IW144" i="4"/>
  <c r="IX143" i="4"/>
  <c r="IW143" i="4"/>
  <c r="IX142" i="4"/>
  <c r="IW142" i="4"/>
  <c r="IX141" i="4"/>
  <c r="IW141" i="4"/>
  <c r="IX140" i="4"/>
  <c r="IW140" i="4"/>
  <c r="IX139" i="4"/>
  <c r="IW139" i="4"/>
  <c r="IX138" i="4"/>
  <c r="IW138" i="4"/>
  <c r="IX137" i="4"/>
  <c r="IW137" i="4"/>
  <c r="IX136" i="4"/>
  <c r="IW136" i="4"/>
  <c r="IX135" i="4"/>
  <c r="IW135" i="4"/>
  <c r="IX134" i="4"/>
  <c r="IW134" i="4"/>
  <c r="IX133" i="4"/>
  <c r="IW133" i="4"/>
  <c r="IX132" i="4"/>
  <c r="IW132" i="4"/>
  <c r="IX131" i="4"/>
  <c r="IW131" i="4"/>
  <c r="IX130" i="4"/>
  <c r="IW130" i="4"/>
  <c r="IX129" i="4"/>
  <c r="IW129" i="4"/>
  <c r="IX128" i="4"/>
  <c r="IW128" i="4"/>
  <c r="IX127" i="4"/>
  <c r="IW127" i="4"/>
  <c r="IX126" i="4"/>
  <c r="IW126" i="4"/>
  <c r="IX125" i="4"/>
  <c r="IW125" i="4"/>
  <c r="IX124" i="4"/>
  <c r="IW124" i="4"/>
  <c r="IX123" i="4"/>
  <c r="IW123" i="4"/>
  <c r="IX122" i="4"/>
  <c r="IW122" i="4"/>
  <c r="IX121" i="4"/>
  <c r="IW121" i="4"/>
  <c r="IX120" i="4"/>
  <c r="IW120" i="4"/>
  <c r="IX119" i="4"/>
  <c r="IW119" i="4"/>
  <c r="IX118" i="4"/>
  <c r="IW118" i="4"/>
  <c r="IX117" i="4"/>
  <c r="IW117" i="4"/>
  <c r="IX116" i="4"/>
  <c r="IW116" i="4"/>
  <c r="IX115" i="4"/>
  <c r="IW115" i="4"/>
  <c r="IX114" i="4"/>
  <c r="IW114" i="4"/>
  <c r="IX113" i="4"/>
  <c r="IW113" i="4"/>
  <c r="IX112" i="4"/>
  <c r="IW112" i="4"/>
  <c r="IX111" i="4"/>
  <c r="IW111" i="4"/>
  <c r="IX110" i="4"/>
  <c r="IW110" i="4"/>
  <c r="IX109" i="4"/>
  <c r="IW109" i="4"/>
  <c r="IX108" i="4"/>
  <c r="IW108" i="4"/>
  <c r="IX107" i="4"/>
  <c r="IW107" i="4"/>
  <c r="IX106" i="4"/>
  <c r="IW106" i="4"/>
  <c r="IX105" i="4"/>
  <c r="IW105" i="4"/>
  <c r="IX104" i="4"/>
  <c r="IW104" i="4"/>
  <c r="IX103" i="4"/>
  <c r="IW103" i="4"/>
  <c r="IX102" i="4"/>
  <c r="IW102" i="4"/>
  <c r="IX101" i="4"/>
  <c r="IW101" i="4"/>
  <c r="IX100" i="4"/>
  <c r="IW100" i="4"/>
  <c r="IX99" i="4"/>
  <c r="IW99" i="4"/>
  <c r="IX98" i="4"/>
  <c r="IW98" i="4"/>
  <c r="IX97" i="4"/>
  <c r="IW97" i="4"/>
  <c r="IX96" i="4"/>
  <c r="IW96" i="4"/>
  <c r="IX95" i="4"/>
  <c r="IW95" i="4"/>
  <c r="IX94" i="4"/>
  <c r="IW94" i="4"/>
  <c r="IX93" i="4"/>
  <c r="IW93" i="4"/>
  <c r="IX92" i="4"/>
  <c r="IW92" i="4"/>
  <c r="IX91" i="4"/>
  <c r="IW91" i="4"/>
  <c r="IX90" i="4"/>
  <c r="IW90" i="4"/>
  <c r="IX89" i="4"/>
  <c r="IW89" i="4"/>
  <c r="IX88" i="4"/>
  <c r="IW88" i="4"/>
  <c r="IX87" i="4"/>
  <c r="IW87" i="4"/>
  <c r="IX86" i="4"/>
  <c r="IW86" i="4"/>
  <c r="IX85" i="4"/>
  <c r="IW85" i="4"/>
  <c r="IX84" i="4"/>
  <c r="IW84" i="4"/>
  <c r="IX83" i="4"/>
  <c r="IW83" i="4"/>
  <c r="IX82" i="4"/>
  <c r="IW82" i="4"/>
  <c r="IX81" i="4"/>
  <c r="IW81" i="4"/>
  <c r="IX80" i="4"/>
  <c r="IW80" i="4"/>
  <c r="IX79" i="4"/>
  <c r="IW79" i="4"/>
  <c r="IX78" i="4"/>
  <c r="IW78" i="4"/>
  <c r="IX77" i="4"/>
  <c r="IW77" i="4"/>
  <c r="IX76" i="4"/>
  <c r="IW76" i="4"/>
  <c r="IX75" i="4"/>
  <c r="IW75" i="4"/>
  <c r="IX74" i="4"/>
  <c r="IW74" i="4"/>
  <c r="IX73" i="4"/>
  <c r="IW73" i="4"/>
  <c r="IX72" i="4"/>
  <c r="IW72" i="4"/>
  <c r="IX71" i="4"/>
  <c r="IW71" i="4"/>
  <c r="IX70" i="4"/>
  <c r="IW70" i="4"/>
  <c r="IX69" i="4"/>
  <c r="IW69" i="4"/>
  <c r="IX68" i="4"/>
  <c r="IW68" i="4"/>
  <c r="IX67" i="4"/>
  <c r="IW67" i="4"/>
  <c r="IX66" i="4"/>
  <c r="IW66" i="4"/>
  <c r="IX65" i="4"/>
  <c r="IW65" i="4"/>
  <c r="IX64" i="4"/>
  <c r="IW64" i="4"/>
  <c r="IX63" i="4"/>
  <c r="IW63" i="4"/>
  <c r="IX62" i="4"/>
  <c r="IW62" i="4"/>
  <c r="IX61" i="4"/>
  <c r="IW61" i="4"/>
  <c r="IX60" i="4"/>
  <c r="IW60" i="4"/>
  <c r="IX59" i="4"/>
  <c r="IW59" i="4"/>
  <c r="IX58" i="4"/>
  <c r="IW58" i="4"/>
  <c r="IX57" i="4"/>
  <c r="IW57" i="4"/>
  <c r="IX56" i="4"/>
  <c r="IW56" i="4"/>
  <c r="IX55" i="4"/>
  <c r="IW55" i="4"/>
  <c r="IX54" i="4"/>
  <c r="IW54" i="4"/>
  <c r="IX53" i="4"/>
  <c r="IW53" i="4"/>
  <c r="IX52" i="4"/>
  <c r="IW52" i="4"/>
  <c r="IX51" i="4"/>
  <c r="IW51" i="4"/>
  <c r="IX50" i="4"/>
  <c r="IW50" i="4"/>
  <c r="IX49" i="4"/>
  <c r="IW49" i="4"/>
  <c r="IX48" i="4"/>
  <c r="IW48" i="4"/>
  <c r="IX47" i="4"/>
  <c r="IW47" i="4"/>
  <c r="IX46" i="4"/>
  <c r="IW46" i="4"/>
  <c r="IX45" i="4"/>
  <c r="IW45" i="4"/>
  <c r="IX44" i="4"/>
  <c r="IW44" i="4"/>
  <c r="IX43" i="4"/>
  <c r="IW43" i="4"/>
  <c r="IX42" i="4"/>
  <c r="IW42" i="4"/>
  <c r="IX41" i="4"/>
  <c r="IW41" i="4"/>
  <c r="IX40" i="4"/>
  <c r="IW40" i="4"/>
  <c r="IX39" i="4"/>
  <c r="IW39" i="4"/>
  <c r="IX38" i="4"/>
  <c r="IW38" i="4"/>
  <c r="IX37" i="4"/>
  <c r="IW37" i="4"/>
  <c r="IX36" i="4"/>
  <c r="IW36" i="4"/>
  <c r="IX35" i="4"/>
  <c r="IW35" i="4"/>
  <c r="IX34" i="4"/>
  <c r="IW34" i="4"/>
  <c r="IX33" i="4"/>
  <c r="IW33" i="4"/>
  <c r="IX32" i="4"/>
  <c r="IW32" i="4"/>
  <c r="IX31" i="4"/>
  <c r="IW31" i="4"/>
  <c r="IX30" i="4"/>
  <c r="IW30" i="4"/>
  <c r="IX29" i="4"/>
  <c r="IW29" i="4"/>
  <c r="IX28" i="4"/>
  <c r="IW28" i="4"/>
  <c r="IX27" i="4"/>
  <c r="IW27" i="4"/>
  <c r="IX26" i="4"/>
  <c r="IW26" i="4"/>
  <c r="IX25" i="4"/>
  <c r="IW25" i="4"/>
  <c r="IX24" i="4"/>
  <c r="IW24" i="4"/>
  <c r="IX23" i="4"/>
  <c r="IW23" i="4"/>
  <c r="IX22" i="4"/>
  <c r="IW22" i="4"/>
  <c r="IX21" i="4"/>
  <c r="IW21" i="4"/>
  <c r="IX20" i="4"/>
  <c r="IW20" i="4"/>
  <c r="IX19" i="4"/>
  <c r="IW19" i="4"/>
  <c r="IX18" i="4"/>
  <c r="IW18" i="4"/>
  <c r="IX17" i="4"/>
  <c r="IW17" i="4"/>
  <c r="IX16" i="4"/>
  <c r="IW16" i="4"/>
  <c r="IX15" i="4"/>
  <c r="IW15" i="4"/>
  <c r="IX14" i="4"/>
  <c r="IW14" i="4"/>
  <c r="IX13" i="4"/>
  <c r="IW13" i="4"/>
  <c r="IX12" i="4"/>
  <c r="IW12" i="4"/>
  <c r="IX11" i="4"/>
  <c r="IW11" i="4"/>
  <c r="IX10" i="4"/>
  <c r="IW10" i="4"/>
  <c r="IR300" i="4"/>
  <c r="IQ300" i="4"/>
  <c r="IR299" i="4"/>
  <c r="IQ299" i="4"/>
  <c r="IR298" i="4"/>
  <c r="IQ298" i="4"/>
  <c r="IR297" i="4"/>
  <c r="IQ297" i="4"/>
  <c r="IR296" i="4"/>
  <c r="IQ296" i="4"/>
  <c r="IR295" i="4"/>
  <c r="IQ295" i="4"/>
  <c r="IR294" i="4"/>
  <c r="IQ294" i="4"/>
  <c r="IR293" i="4"/>
  <c r="IQ293" i="4"/>
  <c r="IR292" i="4"/>
  <c r="IQ292" i="4"/>
  <c r="IR291" i="4"/>
  <c r="IQ291" i="4"/>
  <c r="IR290" i="4"/>
  <c r="IQ290" i="4"/>
  <c r="IR289" i="4"/>
  <c r="IQ289" i="4"/>
  <c r="IR288" i="4"/>
  <c r="IQ288" i="4"/>
  <c r="IR287" i="4"/>
  <c r="IQ287" i="4"/>
  <c r="IR286" i="4"/>
  <c r="IQ286" i="4"/>
  <c r="IR285" i="4"/>
  <c r="IQ285" i="4"/>
  <c r="IR284" i="4"/>
  <c r="IQ284" i="4"/>
  <c r="IR283" i="4"/>
  <c r="IQ283" i="4"/>
  <c r="IR282" i="4"/>
  <c r="IQ282" i="4"/>
  <c r="IR281" i="4"/>
  <c r="IQ281" i="4"/>
  <c r="IR280" i="4"/>
  <c r="IQ280" i="4"/>
  <c r="IR279" i="4"/>
  <c r="IQ279" i="4"/>
  <c r="IR278" i="4"/>
  <c r="IQ278" i="4"/>
  <c r="IR277" i="4"/>
  <c r="IQ277" i="4"/>
  <c r="IR276" i="4"/>
  <c r="IQ276" i="4"/>
  <c r="IR275" i="4"/>
  <c r="IQ275" i="4"/>
  <c r="IR274" i="4"/>
  <c r="IQ274" i="4"/>
  <c r="IR273" i="4"/>
  <c r="IQ273" i="4"/>
  <c r="IR272" i="4"/>
  <c r="IQ272" i="4"/>
  <c r="IR271" i="4"/>
  <c r="IQ271" i="4"/>
  <c r="IR270" i="4"/>
  <c r="IQ270" i="4"/>
  <c r="IR269" i="4"/>
  <c r="IQ269" i="4"/>
  <c r="IR268" i="4"/>
  <c r="IQ268" i="4"/>
  <c r="IR267" i="4"/>
  <c r="IQ267" i="4"/>
  <c r="IR266" i="4"/>
  <c r="IQ266" i="4"/>
  <c r="IR265" i="4"/>
  <c r="IQ265" i="4"/>
  <c r="IR264" i="4"/>
  <c r="IQ264" i="4"/>
  <c r="IR263" i="4"/>
  <c r="IQ263" i="4"/>
  <c r="IR262" i="4"/>
  <c r="IQ262" i="4"/>
  <c r="IR261" i="4"/>
  <c r="IQ261" i="4"/>
  <c r="IR260" i="4"/>
  <c r="IQ260" i="4"/>
  <c r="IR259" i="4"/>
  <c r="IQ259" i="4"/>
  <c r="IR258" i="4"/>
  <c r="IQ258" i="4"/>
  <c r="IR257" i="4"/>
  <c r="IQ257" i="4"/>
  <c r="IR256" i="4"/>
  <c r="IQ256" i="4"/>
  <c r="IR255" i="4"/>
  <c r="IQ255" i="4"/>
  <c r="IR254" i="4"/>
  <c r="IQ254" i="4"/>
  <c r="IR253" i="4"/>
  <c r="IQ253" i="4"/>
  <c r="IR252" i="4"/>
  <c r="IQ252" i="4"/>
  <c r="IR251" i="4"/>
  <c r="IQ251" i="4"/>
  <c r="IR250" i="4"/>
  <c r="IQ250" i="4"/>
  <c r="IR249" i="4"/>
  <c r="IQ249" i="4"/>
  <c r="IR248" i="4"/>
  <c r="IQ248" i="4"/>
  <c r="IR247" i="4"/>
  <c r="IQ247" i="4"/>
  <c r="IR246" i="4"/>
  <c r="IQ246" i="4"/>
  <c r="IR245" i="4"/>
  <c r="IQ245" i="4"/>
  <c r="IR244" i="4"/>
  <c r="IQ244" i="4"/>
  <c r="IR243" i="4"/>
  <c r="IQ243" i="4"/>
  <c r="IR242" i="4"/>
  <c r="IQ242" i="4"/>
  <c r="IR241" i="4"/>
  <c r="IQ241" i="4"/>
  <c r="IR240" i="4"/>
  <c r="IQ240" i="4"/>
  <c r="IR239" i="4"/>
  <c r="IQ239" i="4"/>
  <c r="IR238" i="4"/>
  <c r="IQ238" i="4"/>
  <c r="IR237" i="4"/>
  <c r="IQ237" i="4"/>
  <c r="IR236" i="4"/>
  <c r="IQ236" i="4"/>
  <c r="IR235" i="4"/>
  <c r="IQ235" i="4"/>
  <c r="IR234" i="4"/>
  <c r="IQ234" i="4"/>
  <c r="IR233" i="4"/>
  <c r="IQ233" i="4"/>
  <c r="IR232" i="4"/>
  <c r="IQ232" i="4"/>
  <c r="IR231" i="4"/>
  <c r="IQ231" i="4"/>
  <c r="IR230" i="4"/>
  <c r="IQ230" i="4"/>
  <c r="IR229" i="4"/>
  <c r="IQ229" i="4"/>
  <c r="IR228" i="4"/>
  <c r="IQ228" i="4"/>
  <c r="IR227" i="4"/>
  <c r="IQ227" i="4"/>
  <c r="IR226" i="4"/>
  <c r="IQ226" i="4"/>
  <c r="IR225" i="4"/>
  <c r="IQ225" i="4"/>
  <c r="IR224" i="4"/>
  <c r="IQ224" i="4"/>
  <c r="IR223" i="4"/>
  <c r="IQ223" i="4"/>
  <c r="IR222" i="4"/>
  <c r="IQ222" i="4"/>
  <c r="IR221" i="4"/>
  <c r="IQ221" i="4"/>
  <c r="IR220" i="4"/>
  <c r="IQ220" i="4"/>
  <c r="IR219" i="4"/>
  <c r="IQ219" i="4"/>
  <c r="IR218" i="4"/>
  <c r="IQ218" i="4"/>
  <c r="IR217" i="4"/>
  <c r="IQ217" i="4"/>
  <c r="IR216" i="4"/>
  <c r="IQ216" i="4"/>
  <c r="IR215" i="4"/>
  <c r="IQ215" i="4"/>
  <c r="IR214" i="4"/>
  <c r="IQ214" i="4"/>
  <c r="IR213" i="4"/>
  <c r="IQ213" i="4"/>
  <c r="IR212" i="4"/>
  <c r="IQ212" i="4"/>
  <c r="IR211" i="4"/>
  <c r="IQ211" i="4"/>
  <c r="IR210" i="4"/>
  <c r="IQ210" i="4"/>
  <c r="IR209" i="4"/>
  <c r="IQ209" i="4"/>
  <c r="IR208" i="4"/>
  <c r="IQ208" i="4"/>
  <c r="IR207" i="4"/>
  <c r="IQ207" i="4"/>
  <c r="IR206" i="4"/>
  <c r="IQ206" i="4"/>
  <c r="IR205" i="4"/>
  <c r="IQ205" i="4"/>
  <c r="IR204" i="4"/>
  <c r="IQ204" i="4"/>
  <c r="IR203" i="4"/>
  <c r="IQ203" i="4"/>
  <c r="IR202" i="4"/>
  <c r="IQ202" i="4"/>
  <c r="IR201" i="4"/>
  <c r="IQ201" i="4"/>
  <c r="IR200" i="4"/>
  <c r="IQ200" i="4"/>
  <c r="IR199" i="4"/>
  <c r="IQ199" i="4"/>
  <c r="IR198" i="4"/>
  <c r="IQ198" i="4"/>
  <c r="IR197" i="4"/>
  <c r="IQ197" i="4"/>
  <c r="IR196" i="4"/>
  <c r="IQ196" i="4"/>
  <c r="IR195" i="4"/>
  <c r="IQ195" i="4"/>
  <c r="IR194" i="4"/>
  <c r="IQ194" i="4"/>
  <c r="IR193" i="4"/>
  <c r="IQ193" i="4"/>
  <c r="IR192" i="4"/>
  <c r="IQ192" i="4"/>
  <c r="IR191" i="4"/>
  <c r="IQ191" i="4"/>
  <c r="IR190" i="4"/>
  <c r="IQ190" i="4"/>
  <c r="IR189" i="4"/>
  <c r="IQ189" i="4"/>
  <c r="IR188" i="4"/>
  <c r="IQ188" i="4"/>
  <c r="IR187" i="4"/>
  <c r="IQ187" i="4"/>
  <c r="IR186" i="4"/>
  <c r="IQ186" i="4"/>
  <c r="IR185" i="4"/>
  <c r="IQ185" i="4"/>
  <c r="IR184" i="4"/>
  <c r="IQ184" i="4"/>
  <c r="IR183" i="4"/>
  <c r="IQ183" i="4"/>
  <c r="IR182" i="4"/>
  <c r="IQ182" i="4"/>
  <c r="IR181" i="4"/>
  <c r="IQ181" i="4"/>
  <c r="IR180" i="4"/>
  <c r="IQ180" i="4"/>
  <c r="IR179" i="4"/>
  <c r="IQ179" i="4"/>
  <c r="IR178" i="4"/>
  <c r="IQ178" i="4"/>
  <c r="IR177" i="4"/>
  <c r="IQ177" i="4"/>
  <c r="IR176" i="4"/>
  <c r="IQ176" i="4"/>
  <c r="IR175" i="4"/>
  <c r="IQ175" i="4"/>
  <c r="IR174" i="4"/>
  <c r="IQ174" i="4"/>
  <c r="IR173" i="4"/>
  <c r="IQ173" i="4"/>
  <c r="IR172" i="4"/>
  <c r="IQ172" i="4"/>
  <c r="IR171" i="4"/>
  <c r="IQ171" i="4"/>
  <c r="IR170" i="4"/>
  <c r="IQ170" i="4"/>
  <c r="IR169" i="4"/>
  <c r="IQ169" i="4"/>
  <c r="IR168" i="4"/>
  <c r="IQ168" i="4"/>
  <c r="IR167" i="4"/>
  <c r="IQ167" i="4"/>
  <c r="IR166" i="4"/>
  <c r="IQ166" i="4"/>
  <c r="IR165" i="4"/>
  <c r="IQ165" i="4"/>
  <c r="IR164" i="4"/>
  <c r="IQ164" i="4"/>
  <c r="IR163" i="4"/>
  <c r="IQ163" i="4"/>
  <c r="IR162" i="4"/>
  <c r="IQ162" i="4"/>
  <c r="IR161" i="4"/>
  <c r="IQ161" i="4"/>
  <c r="IR160" i="4"/>
  <c r="IQ160" i="4"/>
  <c r="IR159" i="4"/>
  <c r="IQ159" i="4"/>
  <c r="IR158" i="4"/>
  <c r="IQ158" i="4"/>
  <c r="IR157" i="4"/>
  <c r="IQ157" i="4"/>
  <c r="IR156" i="4"/>
  <c r="IQ156" i="4"/>
  <c r="IR155" i="4"/>
  <c r="IQ155" i="4"/>
  <c r="IR154" i="4"/>
  <c r="IQ154" i="4"/>
  <c r="IR153" i="4"/>
  <c r="IQ153" i="4"/>
  <c r="IR152" i="4"/>
  <c r="IQ152" i="4"/>
  <c r="IR151" i="4"/>
  <c r="IQ151" i="4"/>
  <c r="IR150" i="4"/>
  <c r="IQ150" i="4"/>
  <c r="IR149" i="4"/>
  <c r="IQ149" i="4"/>
  <c r="IR148" i="4"/>
  <c r="IQ148" i="4"/>
  <c r="IR147" i="4"/>
  <c r="IQ147" i="4"/>
  <c r="IR146" i="4"/>
  <c r="IQ146" i="4"/>
  <c r="IR145" i="4"/>
  <c r="IQ145" i="4"/>
  <c r="IR144" i="4"/>
  <c r="IQ144" i="4"/>
  <c r="IR143" i="4"/>
  <c r="IQ143" i="4"/>
  <c r="IR142" i="4"/>
  <c r="IQ142" i="4"/>
  <c r="IR141" i="4"/>
  <c r="IQ141" i="4"/>
  <c r="IR140" i="4"/>
  <c r="IQ140" i="4"/>
  <c r="IR139" i="4"/>
  <c r="IQ139" i="4"/>
  <c r="IR138" i="4"/>
  <c r="IQ138" i="4"/>
  <c r="IR137" i="4"/>
  <c r="IQ137" i="4"/>
  <c r="IR136" i="4"/>
  <c r="IQ136" i="4"/>
  <c r="IR135" i="4"/>
  <c r="IQ135" i="4"/>
  <c r="IR134" i="4"/>
  <c r="IQ134" i="4"/>
  <c r="IR133" i="4"/>
  <c r="IQ133" i="4"/>
  <c r="IR132" i="4"/>
  <c r="IQ132" i="4"/>
  <c r="IR131" i="4"/>
  <c r="IQ131" i="4"/>
  <c r="IR130" i="4"/>
  <c r="IQ130" i="4"/>
  <c r="IR129" i="4"/>
  <c r="IQ129" i="4"/>
  <c r="IR128" i="4"/>
  <c r="IQ128" i="4"/>
  <c r="IR127" i="4"/>
  <c r="IQ127" i="4"/>
  <c r="IR126" i="4"/>
  <c r="IQ126" i="4"/>
  <c r="IR125" i="4"/>
  <c r="IQ125" i="4"/>
  <c r="IR124" i="4"/>
  <c r="IQ124" i="4"/>
  <c r="IR123" i="4"/>
  <c r="IQ123" i="4"/>
  <c r="IR122" i="4"/>
  <c r="IQ122" i="4"/>
  <c r="IR121" i="4"/>
  <c r="IQ121" i="4"/>
  <c r="IR120" i="4"/>
  <c r="IQ120" i="4"/>
  <c r="IR119" i="4"/>
  <c r="IQ119" i="4"/>
  <c r="IR118" i="4"/>
  <c r="IQ118" i="4"/>
  <c r="IR117" i="4"/>
  <c r="IQ117" i="4"/>
  <c r="IR116" i="4"/>
  <c r="IQ116" i="4"/>
  <c r="IR115" i="4"/>
  <c r="IQ115" i="4"/>
  <c r="IR114" i="4"/>
  <c r="IQ114" i="4"/>
  <c r="IR113" i="4"/>
  <c r="IQ113" i="4"/>
  <c r="IR112" i="4"/>
  <c r="IQ112" i="4"/>
  <c r="IR111" i="4"/>
  <c r="IQ111" i="4"/>
  <c r="IR110" i="4"/>
  <c r="IQ110" i="4"/>
  <c r="IR109" i="4"/>
  <c r="IQ109" i="4"/>
  <c r="IR108" i="4"/>
  <c r="IQ108" i="4"/>
  <c r="IR107" i="4"/>
  <c r="IQ107" i="4"/>
  <c r="IR106" i="4"/>
  <c r="IQ106" i="4"/>
  <c r="IR105" i="4"/>
  <c r="IQ105" i="4"/>
  <c r="IR104" i="4"/>
  <c r="IQ104" i="4"/>
  <c r="IR103" i="4"/>
  <c r="IQ103" i="4"/>
  <c r="IR102" i="4"/>
  <c r="IQ102" i="4"/>
  <c r="IR101" i="4"/>
  <c r="IQ101" i="4"/>
  <c r="IR100" i="4"/>
  <c r="IQ100" i="4"/>
  <c r="IR99" i="4"/>
  <c r="IQ99" i="4"/>
  <c r="IR98" i="4"/>
  <c r="IQ98" i="4"/>
  <c r="IR97" i="4"/>
  <c r="IQ97" i="4"/>
  <c r="IR96" i="4"/>
  <c r="IQ96" i="4"/>
  <c r="IR95" i="4"/>
  <c r="IQ95" i="4"/>
  <c r="IR94" i="4"/>
  <c r="IQ94" i="4"/>
  <c r="IR93" i="4"/>
  <c r="IQ93" i="4"/>
  <c r="IR92" i="4"/>
  <c r="IQ92" i="4"/>
  <c r="IR91" i="4"/>
  <c r="IQ91" i="4"/>
  <c r="IR90" i="4"/>
  <c r="IQ90" i="4"/>
  <c r="IR89" i="4"/>
  <c r="IQ89" i="4"/>
  <c r="IR88" i="4"/>
  <c r="IQ88" i="4"/>
  <c r="IR87" i="4"/>
  <c r="IQ87" i="4"/>
  <c r="IR86" i="4"/>
  <c r="IQ86" i="4"/>
  <c r="IR85" i="4"/>
  <c r="IQ85" i="4"/>
  <c r="IR84" i="4"/>
  <c r="IQ84" i="4"/>
  <c r="IR83" i="4"/>
  <c r="IQ83" i="4"/>
  <c r="IR82" i="4"/>
  <c r="IQ82" i="4"/>
  <c r="IR81" i="4"/>
  <c r="IQ81" i="4"/>
  <c r="IR80" i="4"/>
  <c r="IQ80" i="4"/>
  <c r="IR79" i="4"/>
  <c r="IQ79" i="4"/>
  <c r="IR78" i="4"/>
  <c r="IQ78" i="4"/>
  <c r="IR77" i="4"/>
  <c r="IQ77" i="4"/>
  <c r="IR76" i="4"/>
  <c r="IQ76" i="4"/>
  <c r="IR75" i="4"/>
  <c r="IQ75" i="4"/>
  <c r="IR74" i="4"/>
  <c r="IQ74" i="4"/>
  <c r="IR73" i="4"/>
  <c r="IQ73" i="4"/>
  <c r="IR72" i="4"/>
  <c r="IQ72" i="4"/>
  <c r="IR71" i="4"/>
  <c r="IQ71" i="4"/>
  <c r="IR70" i="4"/>
  <c r="IQ70" i="4"/>
  <c r="IR69" i="4"/>
  <c r="IQ69" i="4"/>
  <c r="IR68" i="4"/>
  <c r="IQ68" i="4"/>
  <c r="IR67" i="4"/>
  <c r="IQ67" i="4"/>
  <c r="IR66" i="4"/>
  <c r="IQ66" i="4"/>
  <c r="IR65" i="4"/>
  <c r="IQ65" i="4"/>
  <c r="IR64" i="4"/>
  <c r="IQ64" i="4"/>
  <c r="IR63" i="4"/>
  <c r="IQ63" i="4"/>
  <c r="IR62" i="4"/>
  <c r="IQ62" i="4"/>
  <c r="IR61" i="4"/>
  <c r="IQ61" i="4"/>
  <c r="IR60" i="4"/>
  <c r="IQ60" i="4"/>
  <c r="IR59" i="4"/>
  <c r="IQ59" i="4"/>
  <c r="IR58" i="4"/>
  <c r="IQ58" i="4"/>
  <c r="IR57" i="4"/>
  <c r="IQ57" i="4"/>
  <c r="IR56" i="4"/>
  <c r="IQ56" i="4"/>
  <c r="IR55" i="4"/>
  <c r="IQ55" i="4"/>
  <c r="IR54" i="4"/>
  <c r="IQ54" i="4"/>
  <c r="IR53" i="4"/>
  <c r="IQ53" i="4"/>
  <c r="IR52" i="4"/>
  <c r="IQ52" i="4"/>
  <c r="IR51" i="4"/>
  <c r="IQ51" i="4"/>
  <c r="IR50" i="4"/>
  <c r="IQ50" i="4"/>
  <c r="IR49" i="4"/>
  <c r="IQ49" i="4"/>
  <c r="IR48" i="4"/>
  <c r="IQ48" i="4"/>
  <c r="IR47" i="4"/>
  <c r="IQ47" i="4"/>
  <c r="IR46" i="4"/>
  <c r="IQ46" i="4"/>
  <c r="IR45" i="4"/>
  <c r="IQ45" i="4"/>
  <c r="IR44" i="4"/>
  <c r="IQ44" i="4"/>
  <c r="IR43" i="4"/>
  <c r="IQ43" i="4"/>
  <c r="IR42" i="4"/>
  <c r="IQ42" i="4"/>
  <c r="IR41" i="4"/>
  <c r="IQ41" i="4"/>
  <c r="IR40" i="4"/>
  <c r="IQ40" i="4"/>
  <c r="IR39" i="4"/>
  <c r="IQ39" i="4"/>
  <c r="IR38" i="4"/>
  <c r="IQ38" i="4"/>
  <c r="IR37" i="4"/>
  <c r="IQ37" i="4"/>
  <c r="IR36" i="4"/>
  <c r="IQ36" i="4"/>
  <c r="IR35" i="4"/>
  <c r="IQ35" i="4"/>
  <c r="IR34" i="4"/>
  <c r="IQ34" i="4"/>
  <c r="IR33" i="4"/>
  <c r="IQ33" i="4"/>
  <c r="IR32" i="4"/>
  <c r="IQ32" i="4"/>
  <c r="IR31" i="4"/>
  <c r="IQ31" i="4"/>
  <c r="IR30" i="4"/>
  <c r="IQ30" i="4"/>
  <c r="IR29" i="4"/>
  <c r="IQ29" i="4"/>
  <c r="IR28" i="4"/>
  <c r="IQ28" i="4"/>
  <c r="IR27" i="4"/>
  <c r="IQ27" i="4"/>
  <c r="IR26" i="4"/>
  <c r="IQ26" i="4"/>
  <c r="IR25" i="4"/>
  <c r="IQ25" i="4"/>
  <c r="IR24" i="4"/>
  <c r="IQ24" i="4"/>
  <c r="IR23" i="4"/>
  <c r="IQ23" i="4"/>
  <c r="IR22" i="4"/>
  <c r="IQ22" i="4"/>
  <c r="IR21" i="4"/>
  <c r="IQ21" i="4"/>
  <c r="IR20" i="4"/>
  <c r="IQ20" i="4"/>
  <c r="IR19" i="4"/>
  <c r="IQ19" i="4"/>
  <c r="IR18" i="4"/>
  <c r="IQ18" i="4"/>
  <c r="IR17" i="4"/>
  <c r="IQ17" i="4"/>
  <c r="IR16" i="4"/>
  <c r="IQ16" i="4"/>
  <c r="IR15" i="4"/>
  <c r="IQ15" i="4"/>
  <c r="IR14" i="4"/>
  <c r="IQ14" i="4"/>
  <c r="IR13" i="4"/>
  <c r="IQ13" i="4"/>
  <c r="IR12" i="4"/>
  <c r="IQ12" i="4"/>
  <c r="IR11" i="4"/>
  <c r="IQ11" i="4"/>
  <c r="IR10" i="4"/>
  <c r="IQ10" i="4"/>
  <c r="IL300" i="4"/>
  <c r="IK300" i="4"/>
  <c r="IL299" i="4"/>
  <c r="IK299" i="4"/>
  <c r="IL298" i="4"/>
  <c r="IK298" i="4"/>
  <c r="IL297" i="4"/>
  <c r="IK297" i="4"/>
  <c r="IL296" i="4"/>
  <c r="IK296" i="4"/>
  <c r="IL295" i="4"/>
  <c r="IK295" i="4"/>
  <c r="IL294" i="4"/>
  <c r="IK294" i="4"/>
  <c r="IL293" i="4"/>
  <c r="IK293" i="4"/>
  <c r="IL292" i="4"/>
  <c r="IK292" i="4"/>
  <c r="IL291" i="4"/>
  <c r="IK291" i="4"/>
  <c r="IL290" i="4"/>
  <c r="IK290" i="4"/>
  <c r="IL289" i="4"/>
  <c r="IK289" i="4"/>
  <c r="IL288" i="4"/>
  <c r="IK288" i="4"/>
  <c r="IL287" i="4"/>
  <c r="IK287" i="4"/>
  <c r="IL286" i="4"/>
  <c r="IK286" i="4"/>
  <c r="IL285" i="4"/>
  <c r="IK285" i="4"/>
  <c r="IL284" i="4"/>
  <c r="IK284" i="4"/>
  <c r="IL283" i="4"/>
  <c r="IK283" i="4"/>
  <c r="IL282" i="4"/>
  <c r="IK282" i="4"/>
  <c r="IL281" i="4"/>
  <c r="IK281" i="4"/>
  <c r="IL280" i="4"/>
  <c r="IK280" i="4"/>
  <c r="IL279" i="4"/>
  <c r="IK279" i="4"/>
  <c r="IL278" i="4"/>
  <c r="IK278" i="4"/>
  <c r="IL277" i="4"/>
  <c r="IK277" i="4"/>
  <c r="IL276" i="4"/>
  <c r="IK276" i="4"/>
  <c r="IL275" i="4"/>
  <c r="IK275" i="4"/>
  <c r="IL274" i="4"/>
  <c r="IK274" i="4"/>
  <c r="IL273" i="4"/>
  <c r="IK273" i="4"/>
  <c r="IL272" i="4"/>
  <c r="IK272" i="4"/>
  <c r="IL271" i="4"/>
  <c r="IK271" i="4"/>
  <c r="IL270" i="4"/>
  <c r="IK270" i="4"/>
  <c r="IL269" i="4"/>
  <c r="IK269" i="4"/>
  <c r="IL268" i="4"/>
  <c r="IK268" i="4"/>
  <c r="IL267" i="4"/>
  <c r="IK267" i="4"/>
  <c r="IL266" i="4"/>
  <c r="IK266" i="4"/>
  <c r="IL265" i="4"/>
  <c r="IK265" i="4"/>
  <c r="IL264" i="4"/>
  <c r="IK264" i="4"/>
  <c r="IL263" i="4"/>
  <c r="IK263" i="4"/>
  <c r="IL262" i="4"/>
  <c r="IK262" i="4"/>
  <c r="IL261" i="4"/>
  <c r="IK261" i="4"/>
  <c r="IL260" i="4"/>
  <c r="IK260" i="4"/>
  <c r="IL259" i="4"/>
  <c r="IK259" i="4"/>
  <c r="IL258" i="4"/>
  <c r="IK258" i="4"/>
  <c r="IL257" i="4"/>
  <c r="IK257" i="4"/>
  <c r="IL256" i="4"/>
  <c r="IK256" i="4"/>
  <c r="IL255" i="4"/>
  <c r="IK255" i="4"/>
  <c r="IL254" i="4"/>
  <c r="IK254" i="4"/>
  <c r="IL253" i="4"/>
  <c r="IK253" i="4"/>
  <c r="IL252" i="4"/>
  <c r="IK252" i="4"/>
  <c r="IL251" i="4"/>
  <c r="IK251" i="4"/>
  <c r="IL250" i="4"/>
  <c r="IK250" i="4"/>
  <c r="IL249" i="4"/>
  <c r="IK249" i="4"/>
  <c r="IL248" i="4"/>
  <c r="IK248" i="4"/>
  <c r="IL247" i="4"/>
  <c r="IK247" i="4"/>
  <c r="IL246" i="4"/>
  <c r="IK246" i="4"/>
  <c r="IL245" i="4"/>
  <c r="IK245" i="4"/>
  <c r="IL244" i="4"/>
  <c r="IK244" i="4"/>
  <c r="IL243" i="4"/>
  <c r="IK243" i="4"/>
  <c r="IL242" i="4"/>
  <c r="IK242" i="4"/>
  <c r="IL241" i="4"/>
  <c r="IK241" i="4"/>
  <c r="IL240" i="4"/>
  <c r="IK240" i="4"/>
  <c r="IL239" i="4"/>
  <c r="IK239" i="4"/>
  <c r="IL238" i="4"/>
  <c r="IK238" i="4"/>
  <c r="IL237" i="4"/>
  <c r="IK237" i="4"/>
  <c r="IL236" i="4"/>
  <c r="IK236" i="4"/>
  <c r="IL235" i="4"/>
  <c r="IK235" i="4"/>
  <c r="IL234" i="4"/>
  <c r="IK234" i="4"/>
  <c r="IL233" i="4"/>
  <c r="IK233" i="4"/>
  <c r="IL232" i="4"/>
  <c r="IK232" i="4"/>
  <c r="IL231" i="4"/>
  <c r="IK231" i="4"/>
  <c r="IL230" i="4"/>
  <c r="IK230" i="4"/>
  <c r="IL229" i="4"/>
  <c r="IK229" i="4"/>
  <c r="IL228" i="4"/>
  <c r="IK228" i="4"/>
  <c r="IL227" i="4"/>
  <c r="IK227" i="4"/>
  <c r="IL226" i="4"/>
  <c r="IK226" i="4"/>
  <c r="IL225" i="4"/>
  <c r="IK225" i="4"/>
  <c r="IL224" i="4"/>
  <c r="IK224" i="4"/>
  <c r="IL223" i="4"/>
  <c r="IK223" i="4"/>
  <c r="IL222" i="4"/>
  <c r="IK222" i="4"/>
  <c r="IL221" i="4"/>
  <c r="IK221" i="4"/>
  <c r="IL220" i="4"/>
  <c r="IK220" i="4"/>
  <c r="IL219" i="4"/>
  <c r="IK219" i="4"/>
  <c r="IL218" i="4"/>
  <c r="IK218" i="4"/>
  <c r="IL217" i="4"/>
  <c r="IK217" i="4"/>
  <c r="IL216" i="4"/>
  <c r="IK216" i="4"/>
  <c r="IL215" i="4"/>
  <c r="IK215" i="4"/>
  <c r="IL214" i="4"/>
  <c r="IK214" i="4"/>
  <c r="IL213" i="4"/>
  <c r="IK213" i="4"/>
  <c r="IL212" i="4"/>
  <c r="IK212" i="4"/>
  <c r="IL211" i="4"/>
  <c r="IK211" i="4"/>
  <c r="IL210" i="4"/>
  <c r="IK210" i="4"/>
  <c r="IL209" i="4"/>
  <c r="IK209" i="4"/>
  <c r="IL208" i="4"/>
  <c r="IK208" i="4"/>
  <c r="IL207" i="4"/>
  <c r="IK207" i="4"/>
  <c r="IL206" i="4"/>
  <c r="IK206" i="4"/>
  <c r="IL205" i="4"/>
  <c r="IK205" i="4"/>
  <c r="IL204" i="4"/>
  <c r="IK204" i="4"/>
  <c r="IL203" i="4"/>
  <c r="IK203" i="4"/>
  <c r="IL202" i="4"/>
  <c r="IK202" i="4"/>
  <c r="IL201" i="4"/>
  <c r="IK201" i="4"/>
  <c r="IL200" i="4"/>
  <c r="IK200" i="4"/>
  <c r="IL199" i="4"/>
  <c r="IK199" i="4"/>
  <c r="IL198" i="4"/>
  <c r="IK198" i="4"/>
  <c r="IL197" i="4"/>
  <c r="IK197" i="4"/>
  <c r="IL196" i="4"/>
  <c r="IK196" i="4"/>
  <c r="IL195" i="4"/>
  <c r="IK195" i="4"/>
  <c r="IL194" i="4"/>
  <c r="IK194" i="4"/>
  <c r="IL193" i="4"/>
  <c r="IK193" i="4"/>
  <c r="IL192" i="4"/>
  <c r="IK192" i="4"/>
  <c r="IL191" i="4"/>
  <c r="IK191" i="4"/>
  <c r="IL190" i="4"/>
  <c r="IK190" i="4"/>
  <c r="IL189" i="4"/>
  <c r="IK189" i="4"/>
  <c r="IL188" i="4"/>
  <c r="IK188" i="4"/>
  <c r="IL187" i="4"/>
  <c r="IK187" i="4"/>
  <c r="IL186" i="4"/>
  <c r="IK186" i="4"/>
  <c r="IL185" i="4"/>
  <c r="IK185" i="4"/>
  <c r="IL184" i="4"/>
  <c r="IK184" i="4"/>
  <c r="IL183" i="4"/>
  <c r="IK183" i="4"/>
  <c r="IL182" i="4"/>
  <c r="IK182" i="4"/>
  <c r="IL181" i="4"/>
  <c r="IK181" i="4"/>
  <c r="IL180" i="4"/>
  <c r="IK180" i="4"/>
  <c r="IL179" i="4"/>
  <c r="IK179" i="4"/>
  <c r="IL178" i="4"/>
  <c r="IK178" i="4"/>
  <c r="IL177" i="4"/>
  <c r="IK177" i="4"/>
  <c r="IL176" i="4"/>
  <c r="IK176" i="4"/>
  <c r="IL175" i="4"/>
  <c r="IK175" i="4"/>
  <c r="IL174" i="4"/>
  <c r="IK174" i="4"/>
  <c r="IL173" i="4"/>
  <c r="IK173" i="4"/>
  <c r="IL172" i="4"/>
  <c r="IK172" i="4"/>
  <c r="IL171" i="4"/>
  <c r="IK171" i="4"/>
  <c r="IL170" i="4"/>
  <c r="IK170" i="4"/>
  <c r="IL169" i="4"/>
  <c r="IK169" i="4"/>
  <c r="IL168" i="4"/>
  <c r="IK168" i="4"/>
  <c r="IL167" i="4"/>
  <c r="IK167" i="4"/>
  <c r="IL166" i="4"/>
  <c r="IK166" i="4"/>
  <c r="IL165" i="4"/>
  <c r="IK165" i="4"/>
  <c r="IL164" i="4"/>
  <c r="IK164" i="4"/>
  <c r="IL163" i="4"/>
  <c r="IK163" i="4"/>
  <c r="IL162" i="4"/>
  <c r="IK162" i="4"/>
  <c r="IL161" i="4"/>
  <c r="IK161" i="4"/>
  <c r="IL160" i="4"/>
  <c r="IK160" i="4"/>
  <c r="IL159" i="4"/>
  <c r="IK159" i="4"/>
  <c r="IL158" i="4"/>
  <c r="IK158" i="4"/>
  <c r="IL157" i="4"/>
  <c r="IK157" i="4"/>
  <c r="IL156" i="4"/>
  <c r="IK156" i="4"/>
  <c r="IL155" i="4"/>
  <c r="IK155" i="4"/>
  <c r="IL154" i="4"/>
  <c r="IK154" i="4"/>
  <c r="IL153" i="4"/>
  <c r="IK153" i="4"/>
  <c r="IL152" i="4"/>
  <c r="IK152" i="4"/>
  <c r="IL151" i="4"/>
  <c r="IK151" i="4"/>
  <c r="IL150" i="4"/>
  <c r="IK150" i="4"/>
  <c r="IL149" i="4"/>
  <c r="IK149" i="4"/>
  <c r="IL148" i="4"/>
  <c r="IK148" i="4"/>
  <c r="IL147" i="4"/>
  <c r="IK147" i="4"/>
  <c r="IL146" i="4"/>
  <c r="IK146" i="4"/>
  <c r="IL145" i="4"/>
  <c r="IK145" i="4"/>
  <c r="IL144" i="4"/>
  <c r="IK144" i="4"/>
  <c r="IL143" i="4"/>
  <c r="IK143" i="4"/>
  <c r="IL142" i="4"/>
  <c r="IK142" i="4"/>
  <c r="IL141" i="4"/>
  <c r="IK141" i="4"/>
  <c r="IL140" i="4"/>
  <c r="IK140" i="4"/>
  <c r="IL139" i="4"/>
  <c r="IK139" i="4"/>
  <c r="IL138" i="4"/>
  <c r="IK138" i="4"/>
  <c r="IL137" i="4"/>
  <c r="IK137" i="4"/>
  <c r="IL136" i="4"/>
  <c r="IK136" i="4"/>
  <c r="IL135" i="4"/>
  <c r="IK135" i="4"/>
  <c r="IL134" i="4"/>
  <c r="IK134" i="4"/>
  <c r="IL133" i="4"/>
  <c r="IK133" i="4"/>
  <c r="IL132" i="4"/>
  <c r="IK132" i="4"/>
  <c r="IL131" i="4"/>
  <c r="IK131" i="4"/>
  <c r="IL130" i="4"/>
  <c r="IK130" i="4"/>
  <c r="IL129" i="4"/>
  <c r="IK129" i="4"/>
  <c r="IL128" i="4"/>
  <c r="IK128" i="4"/>
  <c r="IL127" i="4"/>
  <c r="IK127" i="4"/>
  <c r="IL126" i="4"/>
  <c r="IK126" i="4"/>
  <c r="IL125" i="4"/>
  <c r="IK125" i="4"/>
  <c r="IL124" i="4"/>
  <c r="IK124" i="4"/>
  <c r="IL123" i="4"/>
  <c r="IK123" i="4"/>
  <c r="IL122" i="4"/>
  <c r="IK122" i="4"/>
  <c r="IL121" i="4"/>
  <c r="IK121" i="4"/>
  <c r="IL120" i="4"/>
  <c r="IK120" i="4"/>
  <c r="IL119" i="4"/>
  <c r="IK119" i="4"/>
  <c r="IL118" i="4"/>
  <c r="IK118" i="4"/>
  <c r="IL117" i="4"/>
  <c r="IK117" i="4"/>
  <c r="IL116" i="4"/>
  <c r="IK116" i="4"/>
  <c r="IL115" i="4"/>
  <c r="IK115" i="4"/>
  <c r="IL114" i="4"/>
  <c r="IK114" i="4"/>
  <c r="IL113" i="4"/>
  <c r="IK113" i="4"/>
  <c r="IL112" i="4"/>
  <c r="IK112" i="4"/>
  <c r="IL111" i="4"/>
  <c r="IK111" i="4"/>
  <c r="IL110" i="4"/>
  <c r="IK110" i="4"/>
  <c r="IL109" i="4"/>
  <c r="IK109" i="4"/>
  <c r="IL108" i="4"/>
  <c r="IK108" i="4"/>
  <c r="IL107" i="4"/>
  <c r="IK107" i="4"/>
  <c r="IL106" i="4"/>
  <c r="IK106" i="4"/>
  <c r="IL105" i="4"/>
  <c r="IK105" i="4"/>
  <c r="IL104" i="4"/>
  <c r="IK104" i="4"/>
  <c r="IL103" i="4"/>
  <c r="IK103" i="4"/>
  <c r="IL102" i="4"/>
  <c r="IK102" i="4"/>
  <c r="IL101" i="4"/>
  <c r="IK101" i="4"/>
  <c r="IL100" i="4"/>
  <c r="IK100" i="4"/>
  <c r="IL99" i="4"/>
  <c r="IK99" i="4"/>
  <c r="IL98" i="4"/>
  <c r="IK98" i="4"/>
  <c r="IL97" i="4"/>
  <c r="IK97" i="4"/>
  <c r="IL96" i="4"/>
  <c r="IK96" i="4"/>
  <c r="IL95" i="4"/>
  <c r="IK95" i="4"/>
  <c r="IL94" i="4"/>
  <c r="IK94" i="4"/>
  <c r="IL93" i="4"/>
  <c r="IK93" i="4"/>
  <c r="IL92" i="4"/>
  <c r="IK92" i="4"/>
  <c r="IL91" i="4"/>
  <c r="IK91" i="4"/>
  <c r="IL90" i="4"/>
  <c r="IK90" i="4"/>
  <c r="IL89" i="4"/>
  <c r="IK89" i="4"/>
  <c r="IL88" i="4"/>
  <c r="IK88" i="4"/>
  <c r="IL87" i="4"/>
  <c r="IK87" i="4"/>
  <c r="IL86" i="4"/>
  <c r="IK86" i="4"/>
  <c r="IL85" i="4"/>
  <c r="IK85" i="4"/>
  <c r="IL84" i="4"/>
  <c r="IK84" i="4"/>
  <c r="IL83" i="4"/>
  <c r="IK83" i="4"/>
  <c r="IL82" i="4"/>
  <c r="IK82" i="4"/>
  <c r="IL81" i="4"/>
  <c r="IK81" i="4"/>
  <c r="IL80" i="4"/>
  <c r="IK80" i="4"/>
  <c r="IL79" i="4"/>
  <c r="IK79" i="4"/>
  <c r="IL78" i="4"/>
  <c r="IK78" i="4"/>
  <c r="IL77" i="4"/>
  <c r="IK77" i="4"/>
  <c r="IL76" i="4"/>
  <c r="IK76" i="4"/>
  <c r="IL75" i="4"/>
  <c r="IK75" i="4"/>
  <c r="IL74" i="4"/>
  <c r="IK74" i="4"/>
  <c r="IL73" i="4"/>
  <c r="IK73" i="4"/>
  <c r="IL72" i="4"/>
  <c r="IK72" i="4"/>
  <c r="IL71" i="4"/>
  <c r="IK71" i="4"/>
  <c r="IL70" i="4"/>
  <c r="IK70" i="4"/>
  <c r="IL69" i="4"/>
  <c r="IK69" i="4"/>
  <c r="IL68" i="4"/>
  <c r="IK68" i="4"/>
  <c r="IL67" i="4"/>
  <c r="IK67" i="4"/>
  <c r="IL66" i="4"/>
  <c r="IK66" i="4"/>
  <c r="IL65" i="4"/>
  <c r="IK65" i="4"/>
  <c r="IL64" i="4"/>
  <c r="IK64" i="4"/>
  <c r="IL63" i="4"/>
  <c r="IK63" i="4"/>
  <c r="IL62" i="4"/>
  <c r="IK62" i="4"/>
  <c r="IL61" i="4"/>
  <c r="IK61" i="4"/>
  <c r="IL60" i="4"/>
  <c r="IK60" i="4"/>
  <c r="IL59" i="4"/>
  <c r="IK59" i="4"/>
  <c r="IL58" i="4"/>
  <c r="IK58" i="4"/>
  <c r="IL57" i="4"/>
  <c r="IK57" i="4"/>
  <c r="IL56" i="4"/>
  <c r="IK56" i="4"/>
  <c r="IL55" i="4"/>
  <c r="IK55" i="4"/>
  <c r="IL54" i="4"/>
  <c r="IK54" i="4"/>
  <c r="IL53" i="4"/>
  <c r="IK53" i="4"/>
  <c r="IL52" i="4"/>
  <c r="IK52" i="4"/>
  <c r="IL51" i="4"/>
  <c r="IK51" i="4"/>
  <c r="IL50" i="4"/>
  <c r="IK50" i="4"/>
  <c r="IL49" i="4"/>
  <c r="IK49" i="4"/>
  <c r="IL48" i="4"/>
  <c r="IK48" i="4"/>
  <c r="IL47" i="4"/>
  <c r="IK47" i="4"/>
  <c r="IL46" i="4"/>
  <c r="IK46" i="4"/>
  <c r="IL45" i="4"/>
  <c r="IK45" i="4"/>
  <c r="IL44" i="4"/>
  <c r="IK44" i="4"/>
  <c r="IL43" i="4"/>
  <c r="IK43" i="4"/>
  <c r="IL42" i="4"/>
  <c r="IK42" i="4"/>
  <c r="IL41" i="4"/>
  <c r="IK41" i="4"/>
  <c r="IL40" i="4"/>
  <c r="IK40" i="4"/>
  <c r="IL39" i="4"/>
  <c r="IK39" i="4"/>
  <c r="IL38" i="4"/>
  <c r="IK38" i="4"/>
  <c r="IL37" i="4"/>
  <c r="IK37" i="4"/>
  <c r="IL36" i="4"/>
  <c r="IK36" i="4"/>
  <c r="IL35" i="4"/>
  <c r="IK35" i="4"/>
  <c r="IL34" i="4"/>
  <c r="IK34" i="4"/>
  <c r="IL33" i="4"/>
  <c r="IK33" i="4"/>
  <c r="IL32" i="4"/>
  <c r="IK32" i="4"/>
  <c r="IL31" i="4"/>
  <c r="IK31" i="4"/>
  <c r="IL30" i="4"/>
  <c r="IK30" i="4"/>
  <c r="IL29" i="4"/>
  <c r="IK29" i="4"/>
  <c r="IL28" i="4"/>
  <c r="IK28" i="4"/>
  <c r="IL27" i="4"/>
  <c r="IK27" i="4"/>
  <c r="IL26" i="4"/>
  <c r="IK26" i="4"/>
  <c r="IL25" i="4"/>
  <c r="IK25" i="4"/>
  <c r="IL24" i="4"/>
  <c r="IK24" i="4"/>
  <c r="IL23" i="4"/>
  <c r="IK23" i="4"/>
  <c r="IL22" i="4"/>
  <c r="IK22" i="4"/>
  <c r="IL21" i="4"/>
  <c r="IK21" i="4"/>
  <c r="IL20" i="4"/>
  <c r="IK20" i="4"/>
  <c r="IL19" i="4"/>
  <c r="IK19" i="4"/>
  <c r="IL18" i="4"/>
  <c r="IK18" i="4"/>
  <c r="IL17" i="4"/>
  <c r="IK17" i="4"/>
  <c r="IL16" i="4"/>
  <c r="IK16" i="4"/>
  <c r="IL15" i="4"/>
  <c r="IK15" i="4"/>
  <c r="IL14" i="4"/>
  <c r="IK14" i="4"/>
  <c r="IL13" i="4"/>
  <c r="IK13" i="4"/>
  <c r="IL12" i="4"/>
  <c r="IK12" i="4"/>
  <c r="IL11" i="4"/>
  <c r="IK11" i="4"/>
  <c r="IL10" i="4"/>
  <c r="IK10" i="4"/>
  <c r="IF300" i="4"/>
  <c r="IE300" i="4"/>
  <c r="IF299" i="4"/>
  <c r="IE299" i="4"/>
  <c r="IF298" i="4"/>
  <c r="IE298" i="4"/>
  <c r="IF297" i="4"/>
  <c r="IE297" i="4"/>
  <c r="IF296" i="4"/>
  <c r="IE296" i="4"/>
  <c r="IF295" i="4"/>
  <c r="IE295" i="4"/>
  <c r="IF294" i="4"/>
  <c r="IE294" i="4"/>
  <c r="IF293" i="4"/>
  <c r="IE293" i="4"/>
  <c r="IF292" i="4"/>
  <c r="IE292" i="4"/>
  <c r="IF291" i="4"/>
  <c r="IE291" i="4"/>
  <c r="IF290" i="4"/>
  <c r="IE290" i="4"/>
  <c r="IF289" i="4"/>
  <c r="IE289" i="4"/>
  <c r="IF288" i="4"/>
  <c r="IE288" i="4"/>
  <c r="IF287" i="4"/>
  <c r="IE287" i="4"/>
  <c r="IF286" i="4"/>
  <c r="IE286" i="4"/>
  <c r="IF285" i="4"/>
  <c r="IE285" i="4"/>
  <c r="IF284" i="4"/>
  <c r="IE284" i="4"/>
  <c r="IF283" i="4"/>
  <c r="IE283" i="4"/>
  <c r="IF282" i="4"/>
  <c r="IE282" i="4"/>
  <c r="IF281" i="4"/>
  <c r="IE281" i="4"/>
  <c r="IF280" i="4"/>
  <c r="IE280" i="4"/>
  <c r="IF279" i="4"/>
  <c r="IE279" i="4"/>
  <c r="IF278" i="4"/>
  <c r="IE278" i="4"/>
  <c r="IF277" i="4"/>
  <c r="IE277" i="4"/>
  <c r="IF276" i="4"/>
  <c r="IE276" i="4"/>
  <c r="IF275" i="4"/>
  <c r="IE275" i="4"/>
  <c r="IF274" i="4"/>
  <c r="IE274" i="4"/>
  <c r="IF273" i="4"/>
  <c r="IE273" i="4"/>
  <c r="IF272" i="4"/>
  <c r="IE272" i="4"/>
  <c r="IF271" i="4"/>
  <c r="IE271" i="4"/>
  <c r="IF270" i="4"/>
  <c r="IE270" i="4"/>
  <c r="IF269" i="4"/>
  <c r="IE269" i="4"/>
  <c r="IF268" i="4"/>
  <c r="IE268" i="4"/>
  <c r="IF267" i="4"/>
  <c r="IE267" i="4"/>
  <c r="IF266" i="4"/>
  <c r="IE266" i="4"/>
  <c r="IF265" i="4"/>
  <c r="IE265" i="4"/>
  <c r="IF264" i="4"/>
  <c r="IE264" i="4"/>
  <c r="IF263" i="4"/>
  <c r="IE263" i="4"/>
  <c r="IF262" i="4"/>
  <c r="IE262" i="4"/>
  <c r="IF261" i="4"/>
  <c r="IE261" i="4"/>
  <c r="IF260" i="4"/>
  <c r="IE260" i="4"/>
  <c r="IF259" i="4"/>
  <c r="IE259" i="4"/>
  <c r="IF258" i="4"/>
  <c r="IE258" i="4"/>
  <c r="IF257" i="4"/>
  <c r="IE257" i="4"/>
  <c r="IF256" i="4"/>
  <c r="IE256" i="4"/>
  <c r="IF255" i="4"/>
  <c r="IE255" i="4"/>
  <c r="IF254" i="4"/>
  <c r="IE254" i="4"/>
  <c r="IF253" i="4"/>
  <c r="IE253" i="4"/>
  <c r="IF252" i="4"/>
  <c r="IE252" i="4"/>
  <c r="IF251" i="4"/>
  <c r="IE251" i="4"/>
  <c r="IF250" i="4"/>
  <c r="IE250" i="4"/>
  <c r="IF249" i="4"/>
  <c r="IE249" i="4"/>
  <c r="IF248" i="4"/>
  <c r="IE248" i="4"/>
  <c r="IF247" i="4"/>
  <c r="IE247" i="4"/>
  <c r="IF246" i="4"/>
  <c r="IE246" i="4"/>
  <c r="IF245" i="4"/>
  <c r="IE245" i="4"/>
  <c r="IF244" i="4"/>
  <c r="IE244" i="4"/>
  <c r="IF243" i="4"/>
  <c r="IE243" i="4"/>
  <c r="IF242" i="4"/>
  <c r="IE242" i="4"/>
  <c r="IF241" i="4"/>
  <c r="IE241" i="4"/>
  <c r="IF240" i="4"/>
  <c r="IE240" i="4"/>
  <c r="IF239" i="4"/>
  <c r="IE239" i="4"/>
  <c r="IF238" i="4"/>
  <c r="IE238" i="4"/>
  <c r="IF237" i="4"/>
  <c r="IE237" i="4"/>
  <c r="IF236" i="4"/>
  <c r="IE236" i="4"/>
  <c r="IF235" i="4"/>
  <c r="IE235" i="4"/>
  <c r="IF234" i="4"/>
  <c r="IE234" i="4"/>
  <c r="IF233" i="4"/>
  <c r="IE233" i="4"/>
  <c r="IF232" i="4"/>
  <c r="IE232" i="4"/>
  <c r="IF231" i="4"/>
  <c r="IE231" i="4"/>
  <c r="IF230" i="4"/>
  <c r="IE230" i="4"/>
  <c r="IF229" i="4"/>
  <c r="IE229" i="4"/>
  <c r="IF228" i="4"/>
  <c r="IE228" i="4"/>
  <c r="IF227" i="4"/>
  <c r="IE227" i="4"/>
  <c r="IF226" i="4"/>
  <c r="IE226" i="4"/>
  <c r="IF225" i="4"/>
  <c r="IE225" i="4"/>
  <c r="IF224" i="4"/>
  <c r="IE224" i="4"/>
  <c r="IF223" i="4"/>
  <c r="IE223" i="4"/>
  <c r="IF222" i="4"/>
  <c r="IE222" i="4"/>
  <c r="IF221" i="4"/>
  <c r="IE221" i="4"/>
  <c r="IF220" i="4"/>
  <c r="IE220" i="4"/>
  <c r="IF219" i="4"/>
  <c r="IE219" i="4"/>
  <c r="IF218" i="4"/>
  <c r="IE218" i="4"/>
  <c r="IF217" i="4"/>
  <c r="IE217" i="4"/>
  <c r="IF216" i="4"/>
  <c r="IE216" i="4"/>
  <c r="IF215" i="4"/>
  <c r="IE215" i="4"/>
  <c r="IF214" i="4"/>
  <c r="IE214" i="4"/>
  <c r="IF213" i="4"/>
  <c r="IE213" i="4"/>
  <c r="IF212" i="4"/>
  <c r="IE212" i="4"/>
  <c r="IF211" i="4"/>
  <c r="IE211" i="4"/>
  <c r="IF210" i="4"/>
  <c r="IE210" i="4"/>
  <c r="IF209" i="4"/>
  <c r="IE209" i="4"/>
  <c r="IF208" i="4"/>
  <c r="IE208" i="4"/>
  <c r="IF207" i="4"/>
  <c r="IE207" i="4"/>
  <c r="IF206" i="4"/>
  <c r="IE206" i="4"/>
  <c r="IF205" i="4"/>
  <c r="IE205" i="4"/>
  <c r="IF204" i="4"/>
  <c r="IE204" i="4"/>
  <c r="IF203" i="4"/>
  <c r="IE203" i="4"/>
  <c r="IF202" i="4"/>
  <c r="IE202" i="4"/>
  <c r="IF201" i="4"/>
  <c r="IE201" i="4"/>
  <c r="IF200" i="4"/>
  <c r="IE200" i="4"/>
  <c r="IF199" i="4"/>
  <c r="IE199" i="4"/>
  <c r="IF198" i="4"/>
  <c r="IE198" i="4"/>
  <c r="IF197" i="4"/>
  <c r="IE197" i="4"/>
  <c r="IF196" i="4"/>
  <c r="IE196" i="4"/>
  <c r="IF195" i="4"/>
  <c r="IE195" i="4"/>
  <c r="IF194" i="4"/>
  <c r="IE194" i="4"/>
  <c r="IF193" i="4"/>
  <c r="IE193" i="4"/>
  <c r="IF192" i="4"/>
  <c r="IE192" i="4"/>
  <c r="IF191" i="4"/>
  <c r="IE191" i="4"/>
  <c r="IF190" i="4"/>
  <c r="IE190" i="4"/>
  <c r="IF189" i="4"/>
  <c r="IE189" i="4"/>
  <c r="IF188" i="4"/>
  <c r="IE188" i="4"/>
  <c r="IF187" i="4"/>
  <c r="IE187" i="4"/>
  <c r="IF186" i="4"/>
  <c r="IE186" i="4"/>
  <c r="IF185" i="4"/>
  <c r="IE185" i="4"/>
  <c r="IF184" i="4"/>
  <c r="IE184" i="4"/>
  <c r="IF183" i="4"/>
  <c r="IE183" i="4"/>
  <c r="IF182" i="4"/>
  <c r="IE182" i="4"/>
  <c r="IF181" i="4"/>
  <c r="IE181" i="4"/>
  <c r="IF180" i="4"/>
  <c r="IE180" i="4"/>
  <c r="IF179" i="4"/>
  <c r="IE179" i="4"/>
  <c r="IF178" i="4"/>
  <c r="IE178" i="4"/>
  <c r="IF177" i="4"/>
  <c r="IE177" i="4"/>
  <c r="IF176" i="4"/>
  <c r="IE176" i="4"/>
  <c r="IF175" i="4"/>
  <c r="IE175" i="4"/>
  <c r="IF174" i="4"/>
  <c r="IE174" i="4"/>
  <c r="IF173" i="4"/>
  <c r="IE173" i="4"/>
  <c r="IF172" i="4"/>
  <c r="IE172" i="4"/>
  <c r="IF171" i="4"/>
  <c r="IE171" i="4"/>
  <c r="IF170" i="4"/>
  <c r="IE170" i="4"/>
  <c r="IF169" i="4"/>
  <c r="IE169" i="4"/>
  <c r="IF168" i="4"/>
  <c r="IE168" i="4"/>
  <c r="IF167" i="4"/>
  <c r="IE167" i="4"/>
  <c r="IF166" i="4"/>
  <c r="IE166" i="4"/>
  <c r="IF165" i="4"/>
  <c r="IE165" i="4"/>
  <c r="IF164" i="4"/>
  <c r="IE164" i="4"/>
  <c r="IF163" i="4"/>
  <c r="IE163" i="4"/>
  <c r="IF162" i="4"/>
  <c r="IE162" i="4"/>
  <c r="IF161" i="4"/>
  <c r="IE161" i="4"/>
  <c r="IF160" i="4"/>
  <c r="IE160" i="4"/>
  <c r="IF159" i="4"/>
  <c r="IE159" i="4"/>
  <c r="IF158" i="4"/>
  <c r="IE158" i="4"/>
  <c r="IF157" i="4"/>
  <c r="IE157" i="4"/>
  <c r="IF156" i="4"/>
  <c r="IE156" i="4"/>
  <c r="IF155" i="4"/>
  <c r="IE155" i="4"/>
  <c r="IF154" i="4"/>
  <c r="IE154" i="4"/>
  <c r="IF153" i="4"/>
  <c r="IE153" i="4"/>
  <c r="IF152" i="4"/>
  <c r="IE152" i="4"/>
  <c r="IF151" i="4"/>
  <c r="IE151" i="4"/>
  <c r="IF150" i="4"/>
  <c r="IE150" i="4"/>
  <c r="IF149" i="4"/>
  <c r="IE149" i="4"/>
  <c r="IF148" i="4"/>
  <c r="IE148" i="4"/>
  <c r="IF147" i="4"/>
  <c r="IE147" i="4"/>
  <c r="IF146" i="4"/>
  <c r="IE146" i="4"/>
  <c r="IF145" i="4"/>
  <c r="IE145" i="4"/>
  <c r="IF144" i="4"/>
  <c r="IE144" i="4"/>
  <c r="IF143" i="4"/>
  <c r="IE143" i="4"/>
  <c r="IF142" i="4"/>
  <c r="IE142" i="4"/>
  <c r="IF141" i="4"/>
  <c r="IE141" i="4"/>
  <c r="IF140" i="4"/>
  <c r="IE140" i="4"/>
  <c r="IF139" i="4"/>
  <c r="IE139" i="4"/>
  <c r="IF138" i="4"/>
  <c r="IE138" i="4"/>
  <c r="IF137" i="4"/>
  <c r="IE137" i="4"/>
  <c r="IF136" i="4"/>
  <c r="IE136" i="4"/>
  <c r="IF135" i="4"/>
  <c r="IE135" i="4"/>
  <c r="IF134" i="4"/>
  <c r="IE134" i="4"/>
  <c r="IF133" i="4"/>
  <c r="IE133" i="4"/>
  <c r="IF132" i="4"/>
  <c r="IE132" i="4"/>
  <c r="IF131" i="4"/>
  <c r="IE131" i="4"/>
  <c r="IF130" i="4"/>
  <c r="IE130" i="4"/>
  <c r="IF129" i="4"/>
  <c r="IE129" i="4"/>
  <c r="IF128" i="4"/>
  <c r="IE128" i="4"/>
  <c r="IF127" i="4"/>
  <c r="IE127" i="4"/>
  <c r="IF126" i="4"/>
  <c r="IE126" i="4"/>
  <c r="IF125" i="4"/>
  <c r="IE125" i="4"/>
  <c r="IF124" i="4"/>
  <c r="IE124" i="4"/>
  <c r="IF123" i="4"/>
  <c r="IE123" i="4"/>
  <c r="IF122" i="4"/>
  <c r="IE122" i="4"/>
  <c r="IF121" i="4"/>
  <c r="IE121" i="4"/>
  <c r="IF120" i="4"/>
  <c r="IE120" i="4"/>
  <c r="IF119" i="4"/>
  <c r="IE119" i="4"/>
  <c r="IF118" i="4"/>
  <c r="IE118" i="4"/>
  <c r="IF117" i="4"/>
  <c r="IE117" i="4"/>
  <c r="IF116" i="4"/>
  <c r="IE116" i="4"/>
  <c r="IF115" i="4"/>
  <c r="IE115" i="4"/>
  <c r="IF114" i="4"/>
  <c r="IE114" i="4"/>
  <c r="IF113" i="4"/>
  <c r="IE113" i="4"/>
  <c r="IF112" i="4"/>
  <c r="IE112" i="4"/>
  <c r="IF111" i="4"/>
  <c r="IE111" i="4"/>
  <c r="IF110" i="4"/>
  <c r="IE110" i="4"/>
  <c r="IF109" i="4"/>
  <c r="IE109" i="4"/>
  <c r="IF108" i="4"/>
  <c r="IE108" i="4"/>
  <c r="IF107" i="4"/>
  <c r="IE107" i="4"/>
  <c r="IF106" i="4"/>
  <c r="IE106" i="4"/>
  <c r="IF105" i="4"/>
  <c r="IE105" i="4"/>
  <c r="IF104" i="4"/>
  <c r="IE104" i="4"/>
  <c r="IF103" i="4"/>
  <c r="IE103" i="4"/>
  <c r="IF102" i="4"/>
  <c r="IE102" i="4"/>
  <c r="IF101" i="4"/>
  <c r="IE101" i="4"/>
  <c r="IF100" i="4"/>
  <c r="IE100" i="4"/>
  <c r="IF99" i="4"/>
  <c r="IE99" i="4"/>
  <c r="IF98" i="4"/>
  <c r="IE98" i="4"/>
  <c r="IF97" i="4"/>
  <c r="IE97" i="4"/>
  <c r="IF96" i="4"/>
  <c r="IE96" i="4"/>
  <c r="IF95" i="4"/>
  <c r="IE95" i="4"/>
  <c r="IF94" i="4"/>
  <c r="IE94" i="4"/>
  <c r="IF93" i="4"/>
  <c r="IE93" i="4"/>
  <c r="IF92" i="4"/>
  <c r="IE92" i="4"/>
  <c r="IF91" i="4"/>
  <c r="IE91" i="4"/>
  <c r="IF90" i="4"/>
  <c r="IE90" i="4"/>
  <c r="IF89" i="4"/>
  <c r="IE89" i="4"/>
  <c r="IF88" i="4"/>
  <c r="IE88" i="4"/>
  <c r="IF87" i="4"/>
  <c r="IE87" i="4"/>
  <c r="IF86" i="4"/>
  <c r="IE86" i="4"/>
  <c r="IF85" i="4"/>
  <c r="IE85" i="4"/>
  <c r="IF84" i="4"/>
  <c r="IE84" i="4"/>
  <c r="IF83" i="4"/>
  <c r="IE83" i="4"/>
  <c r="IF82" i="4"/>
  <c r="IE82" i="4"/>
  <c r="IF81" i="4"/>
  <c r="IE81" i="4"/>
  <c r="IF80" i="4"/>
  <c r="IE80" i="4"/>
  <c r="IF79" i="4"/>
  <c r="IE79" i="4"/>
  <c r="IF78" i="4"/>
  <c r="IE78" i="4"/>
  <c r="IF77" i="4"/>
  <c r="IE77" i="4"/>
  <c r="IF76" i="4"/>
  <c r="IE76" i="4"/>
  <c r="IF75" i="4"/>
  <c r="IE75" i="4"/>
  <c r="IF74" i="4"/>
  <c r="IE74" i="4"/>
  <c r="IF73" i="4"/>
  <c r="IE73" i="4"/>
  <c r="IF72" i="4"/>
  <c r="IE72" i="4"/>
  <c r="IF71" i="4"/>
  <c r="IE71" i="4"/>
  <c r="IF70" i="4"/>
  <c r="IE70" i="4"/>
  <c r="IF69" i="4"/>
  <c r="IE69" i="4"/>
  <c r="IF68" i="4"/>
  <c r="IE68" i="4"/>
  <c r="IF67" i="4"/>
  <c r="IE67" i="4"/>
  <c r="IF66" i="4"/>
  <c r="IE66" i="4"/>
  <c r="IF65" i="4"/>
  <c r="IE65" i="4"/>
  <c r="IF64" i="4"/>
  <c r="IE64" i="4"/>
  <c r="IF63" i="4"/>
  <c r="IE63" i="4"/>
  <c r="IF62" i="4"/>
  <c r="IE62" i="4"/>
  <c r="IF61" i="4"/>
  <c r="IE61" i="4"/>
  <c r="IF60" i="4"/>
  <c r="IE60" i="4"/>
  <c r="IF59" i="4"/>
  <c r="IE59" i="4"/>
  <c r="IF58" i="4"/>
  <c r="IE58" i="4"/>
  <c r="IF57" i="4"/>
  <c r="IE57" i="4"/>
  <c r="IF56" i="4"/>
  <c r="IE56" i="4"/>
  <c r="IF55" i="4"/>
  <c r="IE55" i="4"/>
  <c r="IF54" i="4"/>
  <c r="IE54" i="4"/>
  <c r="IF53" i="4"/>
  <c r="IE53" i="4"/>
  <c r="IF52" i="4"/>
  <c r="IE52" i="4"/>
  <c r="IF51" i="4"/>
  <c r="IE51" i="4"/>
  <c r="IF50" i="4"/>
  <c r="IE50" i="4"/>
  <c r="IF49" i="4"/>
  <c r="IE49" i="4"/>
  <c r="IF48" i="4"/>
  <c r="IE48" i="4"/>
  <c r="IF47" i="4"/>
  <c r="IE47" i="4"/>
  <c r="IF46" i="4"/>
  <c r="IE46" i="4"/>
  <c r="IF45" i="4"/>
  <c r="IE45" i="4"/>
  <c r="IF44" i="4"/>
  <c r="IE44" i="4"/>
  <c r="IF43" i="4"/>
  <c r="IE43" i="4"/>
  <c r="IF42" i="4"/>
  <c r="IE42" i="4"/>
  <c r="IF41" i="4"/>
  <c r="IE41" i="4"/>
  <c r="IF40" i="4"/>
  <c r="IE40" i="4"/>
  <c r="IF39" i="4"/>
  <c r="IE39" i="4"/>
  <c r="IF38" i="4"/>
  <c r="IE38" i="4"/>
  <c r="IF37" i="4"/>
  <c r="IE37" i="4"/>
  <c r="IF36" i="4"/>
  <c r="IE36" i="4"/>
  <c r="IF35" i="4"/>
  <c r="IE35" i="4"/>
  <c r="IF34" i="4"/>
  <c r="IE34" i="4"/>
  <c r="IF33" i="4"/>
  <c r="IE33" i="4"/>
  <c r="IF32" i="4"/>
  <c r="IE32" i="4"/>
  <c r="IF31" i="4"/>
  <c r="IE31" i="4"/>
  <c r="IF30" i="4"/>
  <c r="IE30" i="4"/>
  <c r="IF29" i="4"/>
  <c r="IE29" i="4"/>
  <c r="IF28" i="4"/>
  <c r="IE28" i="4"/>
  <c r="IF27" i="4"/>
  <c r="IE27" i="4"/>
  <c r="IF26" i="4"/>
  <c r="IE26" i="4"/>
  <c r="IF25" i="4"/>
  <c r="IE25" i="4"/>
  <c r="IF24" i="4"/>
  <c r="IE24" i="4"/>
  <c r="IF23" i="4"/>
  <c r="IE23" i="4"/>
  <c r="IF22" i="4"/>
  <c r="IE22" i="4"/>
  <c r="IF21" i="4"/>
  <c r="IE21" i="4"/>
  <c r="IF20" i="4"/>
  <c r="IE20" i="4"/>
  <c r="IF19" i="4"/>
  <c r="IE19" i="4"/>
  <c r="IF18" i="4"/>
  <c r="IE18" i="4"/>
  <c r="IF17" i="4"/>
  <c r="IE17" i="4"/>
  <c r="IF16" i="4"/>
  <c r="IE16" i="4"/>
  <c r="IF15" i="4"/>
  <c r="IE15" i="4"/>
  <c r="IF14" i="4"/>
  <c r="IE14" i="4"/>
  <c r="IF13" i="4"/>
  <c r="IE13" i="4"/>
  <c r="IF12" i="4"/>
  <c r="IE12" i="4"/>
  <c r="IF11" i="4"/>
  <c r="IE11" i="4"/>
  <c r="IF10" i="4"/>
  <c r="IE10" i="4"/>
  <c r="HZ300" i="4"/>
  <c r="HY300" i="4"/>
  <c r="HZ299" i="4"/>
  <c r="HY299" i="4"/>
  <c r="HZ298" i="4"/>
  <c r="HY298" i="4"/>
  <c r="HZ297" i="4"/>
  <c r="HY297" i="4"/>
  <c r="HZ296" i="4"/>
  <c r="HY296" i="4"/>
  <c r="HZ295" i="4"/>
  <c r="HY295" i="4"/>
  <c r="HZ294" i="4"/>
  <c r="HY294" i="4"/>
  <c r="HZ293" i="4"/>
  <c r="HY293" i="4"/>
  <c r="HZ292" i="4"/>
  <c r="HY292" i="4"/>
  <c r="HZ291" i="4"/>
  <c r="HY291" i="4"/>
  <c r="HZ290" i="4"/>
  <c r="HY290" i="4"/>
  <c r="HZ289" i="4"/>
  <c r="HY289" i="4"/>
  <c r="HZ288" i="4"/>
  <c r="HY288" i="4"/>
  <c r="HZ287" i="4"/>
  <c r="HY287" i="4"/>
  <c r="HZ286" i="4"/>
  <c r="HY286" i="4"/>
  <c r="HZ285" i="4"/>
  <c r="HY285" i="4"/>
  <c r="HZ284" i="4"/>
  <c r="HY284" i="4"/>
  <c r="HZ283" i="4"/>
  <c r="HY283" i="4"/>
  <c r="HZ282" i="4"/>
  <c r="HY282" i="4"/>
  <c r="HZ281" i="4"/>
  <c r="HY281" i="4"/>
  <c r="HZ280" i="4"/>
  <c r="HY280" i="4"/>
  <c r="HZ279" i="4"/>
  <c r="HY279" i="4"/>
  <c r="HZ278" i="4"/>
  <c r="HY278" i="4"/>
  <c r="HZ277" i="4"/>
  <c r="HY277" i="4"/>
  <c r="HZ276" i="4"/>
  <c r="HY276" i="4"/>
  <c r="HZ275" i="4"/>
  <c r="HY275" i="4"/>
  <c r="HZ274" i="4"/>
  <c r="HY274" i="4"/>
  <c r="HZ273" i="4"/>
  <c r="HY273" i="4"/>
  <c r="HZ272" i="4"/>
  <c r="HY272" i="4"/>
  <c r="HZ271" i="4"/>
  <c r="HY271" i="4"/>
  <c r="HZ270" i="4"/>
  <c r="HY270" i="4"/>
  <c r="HZ269" i="4"/>
  <c r="HY269" i="4"/>
  <c r="HZ268" i="4"/>
  <c r="HY268" i="4"/>
  <c r="HZ267" i="4"/>
  <c r="HY267" i="4"/>
  <c r="HZ266" i="4"/>
  <c r="HY266" i="4"/>
  <c r="HZ265" i="4"/>
  <c r="HY265" i="4"/>
  <c r="HZ264" i="4"/>
  <c r="HY264" i="4"/>
  <c r="HZ263" i="4"/>
  <c r="HY263" i="4"/>
  <c r="HZ262" i="4"/>
  <c r="HY262" i="4"/>
  <c r="HZ261" i="4"/>
  <c r="HY261" i="4"/>
  <c r="HZ260" i="4"/>
  <c r="HY260" i="4"/>
  <c r="HZ259" i="4"/>
  <c r="HY259" i="4"/>
  <c r="HZ258" i="4"/>
  <c r="HY258" i="4"/>
  <c r="HZ257" i="4"/>
  <c r="HY257" i="4"/>
  <c r="HZ256" i="4"/>
  <c r="HY256" i="4"/>
  <c r="HZ255" i="4"/>
  <c r="HY255" i="4"/>
  <c r="HZ254" i="4"/>
  <c r="HY254" i="4"/>
  <c r="HZ253" i="4"/>
  <c r="HY253" i="4"/>
  <c r="HZ252" i="4"/>
  <c r="HY252" i="4"/>
  <c r="HZ251" i="4"/>
  <c r="HY251" i="4"/>
  <c r="HZ250" i="4"/>
  <c r="HY250" i="4"/>
  <c r="HZ249" i="4"/>
  <c r="HY249" i="4"/>
  <c r="HZ248" i="4"/>
  <c r="HY248" i="4"/>
  <c r="HZ247" i="4"/>
  <c r="HY247" i="4"/>
  <c r="HZ246" i="4"/>
  <c r="HY246" i="4"/>
  <c r="HZ245" i="4"/>
  <c r="HY245" i="4"/>
  <c r="HZ244" i="4"/>
  <c r="HY244" i="4"/>
  <c r="HZ243" i="4"/>
  <c r="HY243" i="4"/>
  <c r="HZ242" i="4"/>
  <c r="HY242" i="4"/>
  <c r="HZ241" i="4"/>
  <c r="HY241" i="4"/>
  <c r="HZ240" i="4"/>
  <c r="HY240" i="4"/>
  <c r="HZ239" i="4"/>
  <c r="HY239" i="4"/>
  <c r="HZ238" i="4"/>
  <c r="HY238" i="4"/>
  <c r="HZ237" i="4"/>
  <c r="HY237" i="4"/>
  <c r="HZ236" i="4"/>
  <c r="HY236" i="4"/>
  <c r="HZ235" i="4"/>
  <c r="HY235" i="4"/>
  <c r="HZ234" i="4"/>
  <c r="HY234" i="4"/>
  <c r="HZ233" i="4"/>
  <c r="HY233" i="4"/>
  <c r="HZ232" i="4"/>
  <c r="HY232" i="4"/>
  <c r="HZ231" i="4"/>
  <c r="HY231" i="4"/>
  <c r="HZ230" i="4"/>
  <c r="HY230" i="4"/>
  <c r="HZ229" i="4"/>
  <c r="HY229" i="4"/>
  <c r="HZ228" i="4"/>
  <c r="HY228" i="4"/>
  <c r="HZ227" i="4"/>
  <c r="HY227" i="4"/>
  <c r="HZ226" i="4"/>
  <c r="HY226" i="4"/>
  <c r="HZ225" i="4"/>
  <c r="HY225" i="4"/>
  <c r="HZ224" i="4"/>
  <c r="HY224" i="4"/>
  <c r="HZ223" i="4"/>
  <c r="HY223" i="4"/>
  <c r="HZ222" i="4"/>
  <c r="HY222" i="4"/>
  <c r="HZ221" i="4"/>
  <c r="HY221" i="4"/>
  <c r="HZ220" i="4"/>
  <c r="HY220" i="4"/>
  <c r="HZ219" i="4"/>
  <c r="HY219" i="4"/>
  <c r="HZ218" i="4"/>
  <c r="HY218" i="4"/>
  <c r="HZ217" i="4"/>
  <c r="HY217" i="4"/>
  <c r="HZ216" i="4"/>
  <c r="HY216" i="4"/>
  <c r="HZ215" i="4"/>
  <c r="HY215" i="4"/>
  <c r="HZ214" i="4"/>
  <c r="HY214" i="4"/>
  <c r="HZ213" i="4"/>
  <c r="HY213" i="4"/>
  <c r="HZ212" i="4"/>
  <c r="HY212" i="4"/>
  <c r="HZ211" i="4"/>
  <c r="HY211" i="4"/>
  <c r="HZ210" i="4"/>
  <c r="HY210" i="4"/>
  <c r="HZ209" i="4"/>
  <c r="HY209" i="4"/>
  <c r="HZ208" i="4"/>
  <c r="HY208" i="4"/>
  <c r="HZ207" i="4"/>
  <c r="HY207" i="4"/>
  <c r="HZ206" i="4"/>
  <c r="HY206" i="4"/>
  <c r="HZ205" i="4"/>
  <c r="HY205" i="4"/>
  <c r="HZ204" i="4"/>
  <c r="HY204" i="4"/>
  <c r="HZ203" i="4"/>
  <c r="HY203" i="4"/>
  <c r="HZ202" i="4"/>
  <c r="HY202" i="4"/>
  <c r="HZ201" i="4"/>
  <c r="HY201" i="4"/>
  <c r="HZ200" i="4"/>
  <c r="HY200" i="4"/>
  <c r="HZ199" i="4"/>
  <c r="HY199" i="4"/>
  <c r="HZ198" i="4"/>
  <c r="HY198" i="4"/>
  <c r="HZ197" i="4"/>
  <c r="HY197" i="4"/>
  <c r="HZ196" i="4"/>
  <c r="HY196" i="4"/>
  <c r="HZ195" i="4"/>
  <c r="HY195" i="4"/>
  <c r="HZ194" i="4"/>
  <c r="HY194" i="4"/>
  <c r="HZ193" i="4"/>
  <c r="HY193" i="4"/>
  <c r="HZ192" i="4"/>
  <c r="HY192" i="4"/>
  <c r="HZ191" i="4"/>
  <c r="HY191" i="4"/>
  <c r="HZ190" i="4"/>
  <c r="HY190" i="4"/>
  <c r="HZ189" i="4"/>
  <c r="HY189" i="4"/>
  <c r="HZ188" i="4"/>
  <c r="HY188" i="4"/>
  <c r="HZ187" i="4"/>
  <c r="HY187" i="4"/>
  <c r="HZ186" i="4"/>
  <c r="HY186" i="4"/>
  <c r="HZ185" i="4"/>
  <c r="HY185" i="4"/>
  <c r="HZ184" i="4"/>
  <c r="HY184" i="4"/>
  <c r="HZ183" i="4"/>
  <c r="HY183" i="4"/>
  <c r="HZ182" i="4"/>
  <c r="HY182" i="4"/>
  <c r="HZ181" i="4"/>
  <c r="HY181" i="4"/>
  <c r="HZ180" i="4"/>
  <c r="HY180" i="4"/>
  <c r="HZ179" i="4"/>
  <c r="HY179" i="4"/>
  <c r="HZ178" i="4"/>
  <c r="HY178" i="4"/>
  <c r="HZ177" i="4"/>
  <c r="HY177" i="4"/>
  <c r="HZ176" i="4"/>
  <c r="HY176" i="4"/>
  <c r="HZ175" i="4"/>
  <c r="HY175" i="4"/>
  <c r="HZ174" i="4"/>
  <c r="HY174" i="4"/>
  <c r="HZ173" i="4"/>
  <c r="HY173" i="4"/>
  <c r="HZ172" i="4"/>
  <c r="HY172" i="4"/>
  <c r="HZ171" i="4"/>
  <c r="HY171" i="4"/>
  <c r="HZ170" i="4"/>
  <c r="HY170" i="4"/>
  <c r="HZ169" i="4"/>
  <c r="HY169" i="4"/>
  <c r="HZ168" i="4"/>
  <c r="HY168" i="4"/>
  <c r="HZ167" i="4"/>
  <c r="HY167" i="4"/>
  <c r="HZ166" i="4"/>
  <c r="HY166" i="4"/>
  <c r="HZ165" i="4"/>
  <c r="HY165" i="4"/>
  <c r="HZ164" i="4"/>
  <c r="HY164" i="4"/>
  <c r="HZ163" i="4"/>
  <c r="HY163" i="4"/>
  <c r="HZ162" i="4"/>
  <c r="HY162" i="4"/>
  <c r="HZ161" i="4"/>
  <c r="HY161" i="4"/>
  <c r="HZ160" i="4"/>
  <c r="HY160" i="4"/>
  <c r="HZ159" i="4"/>
  <c r="HY159" i="4"/>
  <c r="HZ158" i="4"/>
  <c r="HY158" i="4"/>
  <c r="HZ157" i="4"/>
  <c r="HY157" i="4"/>
  <c r="HZ156" i="4"/>
  <c r="HY156" i="4"/>
  <c r="HZ155" i="4"/>
  <c r="HY155" i="4"/>
  <c r="HZ154" i="4"/>
  <c r="HY154" i="4"/>
  <c r="HZ153" i="4"/>
  <c r="HY153" i="4"/>
  <c r="HZ152" i="4"/>
  <c r="HY152" i="4"/>
  <c r="HZ151" i="4"/>
  <c r="HY151" i="4"/>
  <c r="HZ150" i="4"/>
  <c r="HY150" i="4"/>
  <c r="HZ149" i="4"/>
  <c r="HY149" i="4"/>
  <c r="HZ148" i="4"/>
  <c r="HY148" i="4"/>
  <c r="HZ147" i="4"/>
  <c r="HY147" i="4"/>
  <c r="HZ146" i="4"/>
  <c r="HY146" i="4"/>
  <c r="HZ145" i="4"/>
  <c r="HY145" i="4"/>
  <c r="HZ144" i="4"/>
  <c r="HY144" i="4"/>
  <c r="HZ143" i="4"/>
  <c r="HY143" i="4"/>
  <c r="HZ142" i="4"/>
  <c r="HY142" i="4"/>
  <c r="HZ141" i="4"/>
  <c r="HY141" i="4"/>
  <c r="HZ140" i="4"/>
  <c r="HY140" i="4"/>
  <c r="HZ139" i="4"/>
  <c r="HY139" i="4"/>
  <c r="HZ138" i="4"/>
  <c r="HY138" i="4"/>
  <c r="HZ137" i="4"/>
  <c r="HY137" i="4"/>
  <c r="HZ136" i="4"/>
  <c r="HY136" i="4"/>
  <c r="HZ135" i="4"/>
  <c r="HY135" i="4"/>
  <c r="HZ134" i="4"/>
  <c r="HY134" i="4"/>
  <c r="HZ133" i="4"/>
  <c r="HY133" i="4"/>
  <c r="HZ132" i="4"/>
  <c r="HY132" i="4"/>
  <c r="HZ131" i="4"/>
  <c r="HY131" i="4"/>
  <c r="HZ130" i="4"/>
  <c r="HY130" i="4"/>
  <c r="HZ129" i="4"/>
  <c r="HY129" i="4"/>
  <c r="HZ128" i="4"/>
  <c r="HY128" i="4"/>
  <c r="HZ127" i="4"/>
  <c r="HY127" i="4"/>
  <c r="HZ126" i="4"/>
  <c r="HY126" i="4"/>
  <c r="HZ125" i="4"/>
  <c r="HY125" i="4"/>
  <c r="HZ124" i="4"/>
  <c r="HY124" i="4"/>
  <c r="HZ123" i="4"/>
  <c r="HY123" i="4"/>
  <c r="HZ122" i="4"/>
  <c r="HY122" i="4"/>
  <c r="HZ121" i="4"/>
  <c r="HY121" i="4"/>
  <c r="HZ120" i="4"/>
  <c r="HY120" i="4"/>
  <c r="HZ119" i="4"/>
  <c r="HY119" i="4"/>
  <c r="HZ118" i="4"/>
  <c r="HY118" i="4"/>
  <c r="HZ117" i="4"/>
  <c r="HY117" i="4"/>
  <c r="HZ116" i="4"/>
  <c r="HY116" i="4"/>
  <c r="HZ115" i="4"/>
  <c r="HY115" i="4"/>
  <c r="HZ114" i="4"/>
  <c r="HY114" i="4"/>
  <c r="HZ113" i="4"/>
  <c r="HY113" i="4"/>
  <c r="HZ112" i="4"/>
  <c r="HY112" i="4"/>
  <c r="HZ111" i="4"/>
  <c r="HY111" i="4"/>
  <c r="HZ110" i="4"/>
  <c r="HY110" i="4"/>
  <c r="HZ109" i="4"/>
  <c r="HY109" i="4"/>
  <c r="HZ108" i="4"/>
  <c r="HY108" i="4"/>
  <c r="HZ107" i="4"/>
  <c r="HY107" i="4"/>
  <c r="HZ106" i="4"/>
  <c r="HY106" i="4"/>
  <c r="HZ105" i="4"/>
  <c r="HY105" i="4"/>
  <c r="HZ104" i="4"/>
  <c r="HY104" i="4"/>
  <c r="HZ103" i="4"/>
  <c r="HY103" i="4"/>
  <c r="HZ102" i="4"/>
  <c r="HY102" i="4"/>
  <c r="HZ101" i="4"/>
  <c r="HY101" i="4"/>
  <c r="HZ100" i="4"/>
  <c r="HY100" i="4"/>
  <c r="HZ99" i="4"/>
  <c r="HY99" i="4"/>
  <c r="HZ98" i="4"/>
  <c r="HY98" i="4"/>
  <c r="HZ97" i="4"/>
  <c r="HY97" i="4"/>
  <c r="HZ96" i="4"/>
  <c r="HY96" i="4"/>
  <c r="HZ95" i="4"/>
  <c r="HY95" i="4"/>
  <c r="HZ94" i="4"/>
  <c r="HY94" i="4"/>
  <c r="HZ93" i="4"/>
  <c r="HY93" i="4"/>
  <c r="HZ92" i="4"/>
  <c r="HY92" i="4"/>
  <c r="HZ91" i="4"/>
  <c r="HY91" i="4"/>
  <c r="HZ90" i="4"/>
  <c r="HY90" i="4"/>
  <c r="HZ89" i="4"/>
  <c r="HY89" i="4"/>
  <c r="HZ88" i="4"/>
  <c r="HY88" i="4"/>
  <c r="HZ87" i="4"/>
  <c r="HY87" i="4"/>
  <c r="HZ86" i="4"/>
  <c r="HY86" i="4"/>
  <c r="HZ85" i="4"/>
  <c r="HY85" i="4"/>
  <c r="HZ84" i="4"/>
  <c r="HY84" i="4"/>
  <c r="HZ83" i="4"/>
  <c r="HY83" i="4"/>
  <c r="HZ82" i="4"/>
  <c r="HY82" i="4"/>
  <c r="HZ81" i="4"/>
  <c r="HY81" i="4"/>
  <c r="HZ80" i="4"/>
  <c r="HY80" i="4"/>
  <c r="HZ79" i="4"/>
  <c r="HY79" i="4"/>
  <c r="HZ78" i="4"/>
  <c r="HY78" i="4"/>
  <c r="HZ77" i="4"/>
  <c r="HY77" i="4"/>
  <c r="HZ76" i="4"/>
  <c r="HY76" i="4"/>
  <c r="HZ75" i="4"/>
  <c r="HY75" i="4"/>
  <c r="HZ74" i="4"/>
  <c r="HY74" i="4"/>
  <c r="HZ73" i="4"/>
  <c r="HY73" i="4"/>
  <c r="HZ72" i="4"/>
  <c r="HY72" i="4"/>
  <c r="HZ71" i="4"/>
  <c r="HY71" i="4"/>
  <c r="HZ70" i="4"/>
  <c r="HY70" i="4"/>
  <c r="HZ69" i="4"/>
  <c r="HY69" i="4"/>
  <c r="HZ68" i="4"/>
  <c r="HY68" i="4"/>
  <c r="HZ67" i="4"/>
  <c r="HY67" i="4"/>
  <c r="HZ66" i="4"/>
  <c r="HY66" i="4"/>
  <c r="HZ65" i="4"/>
  <c r="HY65" i="4"/>
  <c r="HZ64" i="4"/>
  <c r="HY64" i="4"/>
  <c r="HZ63" i="4"/>
  <c r="HY63" i="4"/>
  <c r="HZ62" i="4"/>
  <c r="HY62" i="4"/>
  <c r="HZ61" i="4"/>
  <c r="HY61" i="4"/>
  <c r="HZ60" i="4"/>
  <c r="HY60" i="4"/>
  <c r="HZ59" i="4"/>
  <c r="HY59" i="4"/>
  <c r="HZ58" i="4"/>
  <c r="HY58" i="4"/>
  <c r="HZ57" i="4"/>
  <c r="HY57" i="4"/>
  <c r="HZ56" i="4"/>
  <c r="HY56" i="4"/>
  <c r="HZ55" i="4"/>
  <c r="HY55" i="4"/>
  <c r="HZ54" i="4"/>
  <c r="HY54" i="4"/>
  <c r="HZ53" i="4"/>
  <c r="HY53" i="4"/>
  <c r="HZ52" i="4"/>
  <c r="HY52" i="4"/>
  <c r="HZ51" i="4"/>
  <c r="HY51" i="4"/>
  <c r="HZ50" i="4"/>
  <c r="HY50" i="4"/>
  <c r="HZ49" i="4"/>
  <c r="HY49" i="4"/>
  <c r="HZ48" i="4"/>
  <c r="HY48" i="4"/>
  <c r="HZ47" i="4"/>
  <c r="HY47" i="4"/>
  <c r="HZ46" i="4"/>
  <c r="HY46" i="4"/>
  <c r="HZ45" i="4"/>
  <c r="HY45" i="4"/>
  <c r="HZ44" i="4"/>
  <c r="HY44" i="4"/>
  <c r="HZ43" i="4"/>
  <c r="HY43" i="4"/>
  <c r="HZ42" i="4"/>
  <c r="HY42" i="4"/>
  <c r="HZ41" i="4"/>
  <c r="HY41" i="4"/>
  <c r="HZ40" i="4"/>
  <c r="HY40" i="4"/>
  <c r="HZ39" i="4"/>
  <c r="HY39" i="4"/>
  <c r="HZ38" i="4"/>
  <c r="HY38" i="4"/>
  <c r="HZ37" i="4"/>
  <c r="HY37" i="4"/>
  <c r="HZ36" i="4"/>
  <c r="HY36" i="4"/>
  <c r="HZ35" i="4"/>
  <c r="HY35" i="4"/>
  <c r="HZ34" i="4"/>
  <c r="HY34" i="4"/>
  <c r="HZ33" i="4"/>
  <c r="HY33" i="4"/>
  <c r="HZ32" i="4"/>
  <c r="HY32" i="4"/>
  <c r="HZ31" i="4"/>
  <c r="HY31" i="4"/>
  <c r="HZ30" i="4"/>
  <c r="HY30" i="4"/>
  <c r="HZ29" i="4"/>
  <c r="HY29" i="4"/>
  <c r="HZ28" i="4"/>
  <c r="HY28" i="4"/>
  <c r="HZ27" i="4"/>
  <c r="HY27" i="4"/>
  <c r="HZ26" i="4"/>
  <c r="HY26" i="4"/>
  <c r="HZ25" i="4"/>
  <c r="HY25" i="4"/>
  <c r="HZ24" i="4"/>
  <c r="HY24" i="4"/>
  <c r="HZ23" i="4"/>
  <c r="HY23" i="4"/>
  <c r="HZ22" i="4"/>
  <c r="HY22" i="4"/>
  <c r="HZ21" i="4"/>
  <c r="HY21" i="4"/>
  <c r="HZ20" i="4"/>
  <c r="HY20" i="4"/>
  <c r="HZ19" i="4"/>
  <c r="HY19" i="4"/>
  <c r="HZ18" i="4"/>
  <c r="HY18" i="4"/>
  <c r="HZ17" i="4"/>
  <c r="HY17" i="4"/>
  <c r="HZ16" i="4"/>
  <c r="HY16" i="4"/>
  <c r="HZ15" i="4"/>
  <c r="HY15" i="4"/>
  <c r="HZ14" i="4"/>
  <c r="HY14" i="4"/>
  <c r="HZ13" i="4"/>
  <c r="HY13" i="4"/>
  <c r="HZ12" i="4"/>
  <c r="HY12" i="4"/>
  <c r="HZ11" i="4"/>
  <c r="HY11" i="4"/>
  <c r="HZ10" i="4"/>
  <c r="HY10" i="4"/>
  <c r="HT300" i="4"/>
  <c r="HS300" i="4"/>
  <c r="HT299" i="4"/>
  <c r="HS299" i="4"/>
  <c r="HT298" i="4"/>
  <c r="HS298" i="4"/>
  <c r="HT297" i="4"/>
  <c r="HS297" i="4"/>
  <c r="HT296" i="4"/>
  <c r="HS296" i="4"/>
  <c r="HT295" i="4"/>
  <c r="HS295" i="4"/>
  <c r="HT294" i="4"/>
  <c r="HS294" i="4"/>
  <c r="HT293" i="4"/>
  <c r="HS293" i="4"/>
  <c r="HT292" i="4"/>
  <c r="HS292" i="4"/>
  <c r="HT291" i="4"/>
  <c r="HS291" i="4"/>
  <c r="HT290" i="4"/>
  <c r="HS290" i="4"/>
  <c r="HT289" i="4"/>
  <c r="HS289" i="4"/>
  <c r="HT288" i="4"/>
  <c r="HS288" i="4"/>
  <c r="HT287" i="4"/>
  <c r="HS287" i="4"/>
  <c r="HT286" i="4"/>
  <c r="HS286" i="4"/>
  <c r="HT285" i="4"/>
  <c r="HS285" i="4"/>
  <c r="HT284" i="4"/>
  <c r="HS284" i="4"/>
  <c r="HT283" i="4"/>
  <c r="HS283" i="4"/>
  <c r="HT282" i="4"/>
  <c r="HS282" i="4"/>
  <c r="HT281" i="4"/>
  <c r="HS281" i="4"/>
  <c r="HT280" i="4"/>
  <c r="HS280" i="4"/>
  <c r="HT279" i="4"/>
  <c r="HS279" i="4"/>
  <c r="HT278" i="4"/>
  <c r="HS278" i="4"/>
  <c r="HT277" i="4"/>
  <c r="HS277" i="4"/>
  <c r="HT276" i="4"/>
  <c r="HS276" i="4"/>
  <c r="HT275" i="4"/>
  <c r="HS275" i="4"/>
  <c r="HT274" i="4"/>
  <c r="HS274" i="4"/>
  <c r="HT273" i="4"/>
  <c r="HS273" i="4"/>
  <c r="HT272" i="4"/>
  <c r="HS272" i="4"/>
  <c r="HT271" i="4"/>
  <c r="HS271" i="4"/>
  <c r="HT270" i="4"/>
  <c r="HS270" i="4"/>
  <c r="HT269" i="4"/>
  <c r="HS269" i="4"/>
  <c r="HT268" i="4"/>
  <c r="HS268" i="4"/>
  <c r="HT267" i="4"/>
  <c r="HS267" i="4"/>
  <c r="HT266" i="4"/>
  <c r="HS266" i="4"/>
  <c r="HT265" i="4"/>
  <c r="HS265" i="4"/>
  <c r="HT264" i="4"/>
  <c r="HS264" i="4"/>
  <c r="HT263" i="4"/>
  <c r="HS263" i="4"/>
  <c r="HT262" i="4"/>
  <c r="HS262" i="4"/>
  <c r="HT261" i="4"/>
  <c r="HS261" i="4"/>
  <c r="HT260" i="4"/>
  <c r="HS260" i="4"/>
  <c r="HT259" i="4"/>
  <c r="HS259" i="4"/>
  <c r="HT258" i="4"/>
  <c r="HS258" i="4"/>
  <c r="HT257" i="4"/>
  <c r="HS257" i="4"/>
  <c r="HT256" i="4"/>
  <c r="HS256" i="4"/>
  <c r="HT255" i="4"/>
  <c r="HS255" i="4"/>
  <c r="HT254" i="4"/>
  <c r="HS254" i="4"/>
  <c r="HT253" i="4"/>
  <c r="HS253" i="4"/>
  <c r="HT252" i="4"/>
  <c r="HS252" i="4"/>
  <c r="HT251" i="4"/>
  <c r="HS251" i="4"/>
  <c r="HT250" i="4"/>
  <c r="HS250" i="4"/>
  <c r="HT249" i="4"/>
  <c r="HS249" i="4"/>
  <c r="HT248" i="4"/>
  <c r="HS248" i="4"/>
  <c r="HT247" i="4"/>
  <c r="HS247" i="4"/>
  <c r="HT246" i="4"/>
  <c r="HS246" i="4"/>
  <c r="HT245" i="4"/>
  <c r="HS245" i="4"/>
  <c r="HT244" i="4"/>
  <c r="HS244" i="4"/>
  <c r="HT243" i="4"/>
  <c r="HS243" i="4"/>
  <c r="HT242" i="4"/>
  <c r="HS242" i="4"/>
  <c r="HT241" i="4"/>
  <c r="HS241" i="4"/>
  <c r="HT240" i="4"/>
  <c r="HS240" i="4"/>
  <c r="HT239" i="4"/>
  <c r="HS239" i="4"/>
  <c r="HT238" i="4"/>
  <c r="HS238" i="4"/>
  <c r="HT237" i="4"/>
  <c r="HS237" i="4"/>
  <c r="HT236" i="4"/>
  <c r="HS236" i="4"/>
  <c r="HT235" i="4"/>
  <c r="HS235" i="4"/>
  <c r="HT234" i="4"/>
  <c r="HS234" i="4"/>
  <c r="HT233" i="4"/>
  <c r="HS233" i="4"/>
  <c r="HT232" i="4"/>
  <c r="HS232" i="4"/>
  <c r="HT231" i="4"/>
  <c r="HS231" i="4"/>
  <c r="HT230" i="4"/>
  <c r="HS230" i="4"/>
  <c r="HT229" i="4"/>
  <c r="HS229" i="4"/>
  <c r="HT228" i="4"/>
  <c r="HS228" i="4"/>
  <c r="HT227" i="4"/>
  <c r="HS227" i="4"/>
  <c r="HT226" i="4"/>
  <c r="HS226" i="4"/>
  <c r="HT225" i="4"/>
  <c r="HS225" i="4"/>
  <c r="HT224" i="4"/>
  <c r="HS224" i="4"/>
  <c r="HT223" i="4"/>
  <c r="HS223" i="4"/>
  <c r="HT222" i="4"/>
  <c r="HS222" i="4"/>
  <c r="HT221" i="4"/>
  <c r="HS221" i="4"/>
  <c r="HT220" i="4"/>
  <c r="HS220" i="4"/>
  <c r="HT219" i="4"/>
  <c r="HS219" i="4"/>
  <c r="HT218" i="4"/>
  <c r="HS218" i="4"/>
  <c r="HT217" i="4"/>
  <c r="HS217" i="4"/>
  <c r="HT216" i="4"/>
  <c r="HS216" i="4"/>
  <c r="HT215" i="4"/>
  <c r="HS215" i="4"/>
  <c r="HT214" i="4"/>
  <c r="HS214" i="4"/>
  <c r="HT213" i="4"/>
  <c r="HS213" i="4"/>
  <c r="HT212" i="4"/>
  <c r="HS212" i="4"/>
  <c r="HT211" i="4"/>
  <c r="HS211" i="4"/>
  <c r="HT210" i="4"/>
  <c r="HS210" i="4"/>
  <c r="HT209" i="4"/>
  <c r="HS209" i="4"/>
  <c r="HT208" i="4"/>
  <c r="HS208" i="4"/>
  <c r="HT207" i="4"/>
  <c r="HS207" i="4"/>
  <c r="HT206" i="4"/>
  <c r="HS206" i="4"/>
  <c r="HT205" i="4"/>
  <c r="HS205" i="4"/>
  <c r="HT204" i="4"/>
  <c r="HS204" i="4"/>
  <c r="HT203" i="4"/>
  <c r="HS203" i="4"/>
  <c r="HT202" i="4"/>
  <c r="HS202" i="4"/>
  <c r="HT201" i="4"/>
  <c r="HS201" i="4"/>
  <c r="HT200" i="4"/>
  <c r="HS200" i="4"/>
  <c r="HT199" i="4"/>
  <c r="HS199" i="4"/>
  <c r="HT198" i="4"/>
  <c r="HS198" i="4"/>
  <c r="HT197" i="4"/>
  <c r="HS197" i="4"/>
  <c r="HT196" i="4"/>
  <c r="HS196" i="4"/>
  <c r="HT195" i="4"/>
  <c r="HS195" i="4"/>
  <c r="HT194" i="4"/>
  <c r="HS194" i="4"/>
  <c r="HT193" i="4"/>
  <c r="HS193" i="4"/>
  <c r="HT192" i="4"/>
  <c r="HS192" i="4"/>
  <c r="HT191" i="4"/>
  <c r="HS191" i="4"/>
  <c r="HT190" i="4"/>
  <c r="HS190" i="4"/>
  <c r="HT189" i="4"/>
  <c r="HS189" i="4"/>
  <c r="HT188" i="4"/>
  <c r="HS188" i="4"/>
  <c r="HT187" i="4"/>
  <c r="HS187" i="4"/>
  <c r="HT186" i="4"/>
  <c r="HS186" i="4"/>
  <c r="HT185" i="4"/>
  <c r="HS185" i="4"/>
  <c r="HT184" i="4"/>
  <c r="HS184" i="4"/>
  <c r="HT183" i="4"/>
  <c r="HS183" i="4"/>
  <c r="HT182" i="4"/>
  <c r="HS182" i="4"/>
  <c r="HT181" i="4"/>
  <c r="HS181" i="4"/>
  <c r="HT180" i="4"/>
  <c r="HS180" i="4"/>
  <c r="HT179" i="4"/>
  <c r="HS179" i="4"/>
  <c r="HT178" i="4"/>
  <c r="HS178" i="4"/>
  <c r="HT177" i="4"/>
  <c r="HS177" i="4"/>
  <c r="HT176" i="4"/>
  <c r="HS176" i="4"/>
  <c r="HT175" i="4"/>
  <c r="HS175" i="4"/>
  <c r="HT174" i="4"/>
  <c r="HS174" i="4"/>
  <c r="HT173" i="4"/>
  <c r="HS173" i="4"/>
  <c r="HT172" i="4"/>
  <c r="HS172" i="4"/>
  <c r="HT171" i="4"/>
  <c r="HS171" i="4"/>
  <c r="HT170" i="4"/>
  <c r="HS170" i="4"/>
  <c r="HT169" i="4"/>
  <c r="HS169" i="4"/>
  <c r="HT168" i="4"/>
  <c r="HS168" i="4"/>
  <c r="HT167" i="4"/>
  <c r="HS167" i="4"/>
  <c r="HT166" i="4"/>
  <c r="HS166" i="4"/>
  <c r="HT165" i="4"/>
  <c r="HS165" i="4"/>
  <c r="HT164" i="4"/>
  <c r="HS164" i="4"/>
  <c r="HT163" i="4"/>
  <c r="HS163" i="4"/>
  <c r="HT162" i="4"/>
  <c r="HS162" i="4"/>
  <c r="HT161" i="4"/>
  <c r="HS161" i="4"/>
  <c r="HT160" i="4"/>
  <c r="HS160" i="4"/>
  <c r="HT159" i="4"/>
  <c r="HS159" i="4"/>
  <c r="HT158" i="4"/>
  <c r="HS158" i="4"/>
  <c r="HT157" i="4"/>
  <c r="HS157" i="4"/>
  <c r="HT156" i="4"/>
  <c r="HS156" i="4"/>
  <c r="HT155" i="4"/>
  <c r="HS155" i="4"/>
  <c r="HT154" i="4"/>
  <c r="HS154" i="4"/>
  <c r="HT153" i="4"/>
  <c r="HS153" i="4"/>
  <c r="HT152" i="4"/>
  <c r="HS152" i="4"/>
  <c r="HT151" i="4"/>
  <c r="HS151" i="4"/>
  <c r="HT150" i="4"/>
  <c r="HS150" i="4"/>
  <c r="HT149" i="4"/>
  <c r="HS149" i="4"/>
  <c r="HT148" i="4"/>
  <c r="HS148" i="4"/>
  <c r="HT147" i="4"/>
  <c r="HS147" i="4"/>
  <c r="HT146" i="4"/>
  <c r="HS146" i="4"/>
  <c r="HT145" i="4"/>
  <c r="HS145" i="4"/>
  <c r="HT144" i="4"/>
  <c r="HS144" i="4"/>
  <c r="HT143" i="4"/>
  <c r="HS143" i="4"/>
  <c r="HT142" i="4"/>
  <c r="HS142" i="4"/>
  <c r="HT141" i="4"/>
  <c r="HS141" i="4"/>
  <c r="HT140" i="4"/>
  <c r="HS140" i="4"/>
  <c r="HT139" i="4"/>
  <c r="HS139" i="4"/>
  <c r="HT138" i="4"/>
  <c r="HS138" i="4"/>
  <c r="HT137" i="4"/>
  <c r="HS137" i="4"/>
  <c r="HT136" i="4"/>
  <c r="HS136" i="4"/>
  <c r="HT135" i="4"/>
  <c r="HS135" i="4"/>
  <c r="HT134" i="4"/>
  <c r="HS134" i="4"/>
  <c r="HT133" i="4"/>
  <c r="HS133" i="4"/>
  <c r="HT132" i="4"/>
  <c r="HS132" i="4"/>
  <c r="HT131" i="4"/>
  <c r="HS131" i="4"/>
  <c r="HT130" i="4"/>
  <c r="HS130" i="4"/>
  <c r="HT129" i="4"/>
  <c r="HS129" i="4"/>
  <c r="HT128" i="4"/>
  <c r="HS128" i="4"/>
  <c r="HT127" i="4"/>
  <c r="HS127" i="4"/>
  <c r="HT126" i="4"/>
  <c r="HS126" i="4"/>
  <c r="HT125" i="4"/>
  <c r="HS125" i="4"/>
  <c r="HT124" i="4"/>
  <c r="HS124" i="4"/>
  <c r="HT123" i="4"/>
  <c r="HS123" i="4"/>
  <c r="HT122" i="4"/>
  <c r="HS122" i="4"/>
  <c r="HT121" i="4"/>
  <c r="HS121" i="4"/>
  <c r="HT120" i="4"/>
  <c r="HS120" i="4"/>
  <c r="HT119" i="4"/>
  <c r="HS119" i="4"/>
  <c r="HT118" i="4"/>
  <c r="HS118" i="4"/>
  <c r="HT117" i="4"/>
  <c r="HS117" i="4"/>
  <c r="HT116" i="4"/>
  <c r="HS116" i="4"/>
  <c r="HT115" i="4"/>
  <c r="HS115" i="4"/>
  <c r="HT114" i="4"/>
  <c r="HS114" i="4"/>
  <c r="HT113" i="4"/>
  <c r="HS113" i="4"/>
  <c r="HT112" i="4"/>
  <c r="HS112" i="4"/>
  <c r="HT111" i="4"/>
  <c r="HS111" i="4"/>
  <c r="HT110" i="4"/>
  <c r="HS110" i="4"/>
  <c r="HT109" i="4"/>
  <c r="HS109" i="4"/>
  <c r="HT108" i="4"/>
  <c r="HS108" i="4"/>
  <c r="HT107" i="4"/>
  <c r="HS107" i="4"/>
  <c r="HT106" i="4"/>
  <c r="HS106" i="4"/>
  <c r="HT105" i="4"/>
  <c r="HS105" i="4"/>
  <c r="HT104" i="4"/>
  <c r="HS104" i="4"/>
  <c r="HT103" i="4"/>
  <c r="HS103" i="4"/>
  <c r="HT102" i="4"/>
  <c r="HS102" i="4"/>
  <c r="HT101" i="4"/>
  <c r="HS101" i="4"/>
  <c r="HT100" i="4"/>
  <c r="HS100" i="4"/>
  <c r="HT99" i="4"/>
  <c r="HS99" i="4"/>
  <c r="HT98" i="4"/>
  <c r="HS98" i="4"/>
  <c r="HT97" i="4"/>
  <c r="HS97" i="4"/>
  <c r="HT96" i="4"/>
  <c r="HS96" i="4"/>
  <c r="HT95" i="4"/>
  <c r="HS95" i="4"/>
  <c r="HT94" i="4"/>
  <c r="HS94" i="4"/>
  <c r="HT93" i="4"/>
  <c r="HS93" i="4"/>
  <c r="HT92" i="4"/>
  <c r="HS92" i="4"/>
  <c r="HT91" i="4"/>
  <c r="HS91" i="4"/>
  <c r="HT90" i="4"/>
  <c r="HS90" i="4"/>
  <c r="HT89" i="4"/>
  <c r="HS89" i="4"/>
  <c r="HT88" i="4"/>
  <c r="HS88" i="4"/>
  <c r="HT87" i="4"/>
  <c r="HS87" i="4"/>
  <c r="HT86" i="4"/>
  <c r="HS86" i="4"/>
  <c r="HT85" i="4"/>
  <c r="HS85" i="4"/>
  <c r="HT84" i="4"/>
  <c r="HS84" i="4"/>
  <c r="HT83" i="4"/>
  <c r="HS83" i="4"/>
  <c r="HT82" i="4"/>
  <c r="HS82" i="4"/>
  <c r="HT81" i="4"/>
  <c r="HS81" i="4"/>
  <c r="HT80" i="4"/>
  <c r="HS80" i="4"/>
  <c r="HT79" i="4"/>
  <c r="HS79" i="4"/>
  <c r="HT78" i="4"/>
  <c r="HS78" i="4"/>
  <c r="HT77" i="4"/>
  <c r="HS77" i="4"/>
  <c r="HT76" i="4"/>
  <c r="HS76" i="4"/>
  <c r="HT75" i="4"/>
  <c r="HS75" i="4"/>
  <c r="HT74" i="4"/>
  <c r="HS74" i="4"/>
  <c r="HT73" i="4"/>
  <c r="HS73" i="4"/>
  <c r="HT72" i="4"/>
  <c r="HS72" i="4"/>
  <c r="HT71" i="4"/>
  <c r="HS71" i="4"/>
  <c r="HT70" i="4"/>
  <c r="HS70" i="4"/>
  <c r="HT69" i="4"/>
  <c r="HS69" i="4"/>
  <c r="HT68" i="4"/>
  <c r="HS68" i="4"/>
  <c r="HT67" i="4"/>
  <c r="HS67" i="4"/>
  <c r="HT66" i="4"/>
  <c r="HS66" i="4"/>
  <c r="HT65" i="4"/>
  <c r="HS65" i="4"/>
  <c r="HT64" i="4"/>
  <c r="HS64" i="4"/>
  <c r="HT63" i="4"/>
  <c r="HS63" i="4"/>
  <c r="HT62" i="4"/>
  <c r="HS62" i="4"/>
  <c r="HT61" i="4"/>
  <c r="HS61" i="4"/>
  <c r="HT60" i="4"/>
  <c r="HS60" i="4"/>
  <c r="HT59" i="4"/>
  <c r="HS59" i="4"/>
  <c r="HT58" i="4"/>
  <c r="HS58" i="4"/>
  <c r="HT57" i="4"/>
  <c r="HS57" i="4"/>
  <c r="HT56" i="4"/>
  <c r="HS56" i="4"/>
  <c r="HT55" i="4"/>
  <c r="HS55" i="4"/>
  <c r="HT54" i="4"/>
  <c r="HS54" i="4"/>
  <c r="HT53" i="4"/>
  <c r="HS53" i="4"/>
  <c r="HT52" i="4"/>
  <c r="HS52" i="4"/>
  <c r="HT51" i="4"/>
  <c r="HS51" i="4"/>
  <c r="HT50" i="4"/>
  <c r="HS50" i="4"/>
  <c r="HT49" i="4"/>
  <c r="HS49" i="4"/>
  <c r="HT48" i="4"/>
  <c r="HS48" i="4"/>
  <c r="HT47" i="4"/>
  <c r="HS47" i="4"/>
  <c r="HT46" i="4"/>
  <c r="HS46" i="4"/>
  <c r="HT45" i="4"/>
  <c r="HS45" i="4"/>
  <c r="HT44" i="4"/>
  <c r="HS44" i="4"/>
  <c r="HT43" i="4"/>
  <c r="HS43" i="4"/>
  <c r="HT42" i="4"/>
  <c r="HS42" i="4"/>
  <c r="HT41" i="4"/>
  <c r="HS41" i="4"/>
  <c r="HT40" i="4"/>
  <c r="HS40" i="4"/>
  <c r="HT39" i="4"/>
  <c r="HS39" i="4"/>
  <c r="HT38" i="4"/>
  <c r="HS38" i="4"/>
  <c r="HT37" i="4"/>
  <c r="HS37" i="4"/>
  <c r="HT36" i="4"/>
  <c r="HS36" i="4"/>
  <c r="HT35" i="4"/>
  <c r="HS35" i="4"/>
  <c r="HT34" i="4"/>
  <c r="HS34" i="4"/>
  <c r="HT33" i="4"/>
  <c r="HS33" i="4"/>
  <c r="HT32" i="4"/>
  <c r="HS32" i="4"/>
  <c r="HT31" i="4"/>
  <c r="HS31" i="4"/>
  <c r="HT30" i="4"/>
  <c r="HS30" i="4"/>
  <c r="HT29" i="4"/>
  <c r="HS29" i="4"/>
  <c r="HT28" i="4"/>
  <c r="HS28" i="4"/>
  <c r="HT27" i="4"/>
  <c r="HS27" i="4"/>
  <c r="HT26" i="4"/>
  <c r="HS26" i="4"/>
  <c r="HT25" i="4"/>
  <c r="HS25" i="4"/>
  <c r="HT24" i="4"/>
  <c r="HS24" i="4"/>
  <c r="HT23" i="4"/>
  <c r="HS23" i="4"/>
  <c r="HT22" i="4"/>
  <c r="HS22" i="4"/>
  <c r="HT21" i="4"/>
  <c r="HS21" i="4"/>
  <c r="HT20" i="4"/>
  <c r="HS20" i="4"/>
  <c r="HT19" i="4"/>
  <c r="HS19" i="4"/>
  <c r="HT18" i="4"/>
  <c r="HS18" i="4"/>
  <c r="HT17" i="4"/>
  <c r="HS17" i="4"/>
  <c r="HT16" i="4"/>
  <c r="HS16" i="4"/>
  <c r="HT15" i="4"/>
  <c r="HS15" i="4"/>
  <c r="HT14" i="4"/>
  <c r="HS14" i="4"/>
  <c r="HT13" i="4"/>
  <c r="HS13" i="4"/>
  <c r="HT12" i="4"/>
  <c r="HS12" i="4"/>
  <c r="HT11" i="4"/>
  <c r="HS11" i="4"/>
  <c r="HT10" i="4"/>
  <c r="HS10" i="4"/>
  <c r="HN300" i="4"/>
  <c r="HM300" i="4"/>
  <c r="HN299" i="4"/>
  <c r="HM299" i="4"/>
  <c r="HN298" i="4"/>
  <c r="HM298" i="4"/>
  <c r="HN297" i="4"/>
  <c r="HM297" i="4"/>
  <c r="HN296" i="4"/>
  <c r="HM296" i="4"/>
  <c r="HN295" i="4"/>
  <c r="HM295" i="4"/>
  <c r="HN294" i="4"/>
  <c r="HM294" i="4"/>
  <c r="HN293" i="4"/>
  <c r="HM293" i="4"/>
  <c r="HN292" i="4"/>
  <c r="HM292" i="4"/>
  <c r="HN291" i="4"/>
  <c r="HM291" i="4"/>
  <c r="HN290" i="4"/>
  <c r="HM290" i="4"/>
  <c r="HN289" i="4"/>
  <c r="HM289" i="4"/>
  <c r="HN288" i="4"/>
  <c r="HM288" i="4"/>
  <c r="HN287" i="4"/>
  <c r="HM287" i="4"/>
  <c r="HN286" i="4"/>
  <c r="HM286" i="4"/>
  <c r="HN285" i="4"/>
  <c r="HM285" i="4"/>
  <c r="HN284" i="4"/>
  <c r="HM284" i="4"/>
  <c r="HN283" i="4"/>
  <c r="HM283" i="4"/>
  <c r="HN282" i="4"/>
  <c r="HM282" i="4"/>
  <c r="HN281" i="4"/>
  <c r="HM281" i="4"/>
  <c r="HN280" i="4"/>
  <c r="HM280" i="4"/>
  <c r="HN279" i="4"/>
  <c r="HM279" i="4"/>
  <c r="HN278" i="4"/>
  <c r="HM278" i="4"/>
  <c r="HN277" i="4"/>
  <c r="HM277" i="4"/>
  <c r="HN276" i="4"/>
  <c r="HM276" i="4"/>
  <c r="HN275" i="4"/>
  <c r="HM275" i="4"/>
  <c r="HN274" i="4"/>
  <c r="HM274" i="4"/>
  <c r="HN273" i="4"/>
  <c r="HM273" i="4"/>
  <c r="HN272" i="4"/>
  <c r="HM272" i="4"/>
  <c r="HN271" i="4"/>
  <c r="HM271" i="4"/>
  <c r="HN270" i="4"/>
  <c r="HM270" i="4"/>
  <c r="HN269" i="4"/>
  <c r="HM269" i="4"/>
  <c r="HN268" i="4"/>
  <c r="HM268" i="4"/>
  <c r="HN267" i="4"/>
  <c r="HM267" i="4"/>
  <c r="HN266" i="4"/>
  <c r="HM266" i="4"/>
  <c r="HN265" i="4"/>
  <c r="HM265" i="4"/>
  <c r="HN264" i="4"/>
  <c r="HM264" i="4"/>
  <c r="HN263" i="4"/>
  <c r="HM263" i="4"/>
  <c r="HN262" i="4"/>
  <c r="HM262" i="4"/>
  <c r="HN261" i="4"/>
  <c r="HM261" i="4"/>
  <c r="HN260" i="4"/>
  <c r="HM260" i="4"/>
  <c r="HN259" i="4"/>
  <c r="HM259" i="4"/>
  <c r="HN258" i="4"/>
  <c r="HM258" i="4"/>
  <c r="HN257" i="4"/>
  <c r="HM257" i="4"/>
  <c r="HN256" i="4"/>
  <c r="HM256" i="4"/>
  <c r="HN255" i="4"/>
  <c r="HM255" i="4"/>
  <c r="HN254" i="4"/>
  <c r="HM254" i="4"/>
  <c r="HN253" i="4"/>
  <c r="HM253" i="4"/>
  <c r="HN252" i="4"/>
  <c r="HM252" i="4"/>
  <c r="HN251" i="4"/>
  <c r="HM251" i="4"/>
  <c r="HN250" i="4"/>
  <c r="HM250" i="4"/>
  <c r="HN249" i="4"/>
  <c r="HM249" i="4"/>
  <c r="HN248" i="4"/>
  <c r="HM248" i="4"/>
  <c r="HN247" i="4"/>
  <c r="HM247" i="4"/>
  <c r="HN246" i="4"/>
  <c r="HM246" i="4"/>
  <c r="HN245" i="4"/>
  <c r="HM245" i="4"/>
  <c r="HN244" i="4"/>
  <c r="HM244" i="4"/>
  <c r="HN243" i="4"/>
  <c r="HM243" i="4"/>
  <c r="HN242" i="4"/>
  <c r="HM242" i="4"/>
  <c r="HN241" i="4"/>
  <c r="HM241" i="4"/>
  <c r="HN240" i="4"/>
  <c r="HM240" i="4"/>
  <c r="HN239" i="4"/>
  <c r="HM239" i="4"/>
  <c r="HN238" i="4"/>
  <c r="HM238" i="4"/>
  <c r="HN237" i="4"/>
  <c r="HM237" i="4"/>
  <c r="HN236" i="4"/>
  <c r="HM236" i="4"/>
  <c r="HN235" i="4"/>
  <c r="HM235" i="4"/>
  <c r="HN234" i="4"/>
  <c r="HM234" i="4"/>
  <c r="HN233" i="4"/>
  <c r="HM233" i="4"/>
  <c r="HN232" i="4"/>
  <c r="HM232" i="4"/>
  <c r="HN231" i="4"/>
  <c r="HM231" i="4"/>
  <c r="HN230" i="4"/>
  <c r="HM230" i="4"/>
  <c r="HN229" i="4"/>
  <c r="HM229" i="4"/>
  <c r="HN228" i="4"/>
  <c r="HM228" i="4"/>
  <c r="HN227" i="4"/>
  <c r="HM227" i="4"/>
  <c r="HN226" i="4"/>
  <c r="HM226" i="4"/>
  <c r="HN225" i="4"/>
  <c r="HM225" i="4"/>
  <c r="HN224" i="4"/>
  <c r="HM224" i="4"/>
  <c r="HN223" i="4"/>
  <c r="HM223" i="4"/>
  <c r="HN222" i="4"/>
  <c r="HM222" i="4"/>
  <c r="HN221" i="4"/>
  <c r="HM221" i="4"/>
  <c r="HN220" i="4"/>
  <c r="HM220" i="4"/>
  <c r="HN219" i="4"/>
  <c r="HM219" i="4"/>
  <c r="HN218" i="4"/>
  <c r="HM218" i="4"/>
  <c r="HN217" i="4"/>
  <c r="HM217" i="4"/>
  <c r="HN216" i="4"/>
  <c r="HM216" i="4"/>
  <c r="HN215" i="4"/>
  <c r="HM215" i="4"/>
  <c r="HN214" i="4"/>
  <c r="HM214" i="4"/>
  <c r="HN213" i="4"/>
  <c r="HM213" i="4"/>
  <c r="HN212" i="4"/>
  <c r="HM212" i="4"/>
  <c r="HN211" i="4"/>
  <c r="HM211" i="4"/>
  <c r="HN210" i="4"/>
  <c r="HM210" i="4"/>
  <c r="HN209" i="4"/>
  <c r="HM209" i="4"/>
  <c r="HN208" i="4"/>
  <c r="HM208" i="4"/>
  <c r="HN207" i="4"/>
  <c r="HM207" i="4"/>
  <c r="HN206" i="4"/>
  <c r="HM206" i="4"/>
  <c r="HN205" i="4"/>
  <c r="HM205" i="4"/>
  <c r="HN204" i="4"/>
  <c r="HM204" i="4"/>
  <c r="HN203" i="4"/>
  <c r="HM203" i="4"/>
  <c r="HN202" i="4"/>
  <c r="HM202" i="4"/>
  <c r="HN201" i="4"/>
  <c r="HM201" i="4"/>
  <c r="HN200" i="4"/>
  <c r="HM200" i="4"/>
  <c r="HN199" i="4"/>
  <c r="HM199" i="4"/>
  <c r="HN198" i="4"/>
  <c r="HM198" i="4"/>
  <c r="HN197" i="4"/>
  <c r="HM197" i="4"/>
  <c r="HN196" i="4"/>
  <c r="HM196" i="4"/>
  <c r="HN195" i="4"/>
  <c r="HM195" i="4"/>
  <c r="HN194" i="4"/>
  <c r="HM194" i="4"/>
  <c r="HN193" i="4"/>
  <c r="HM193" i="4"/>
  <c r="HN192" i="4"/>
  <c r="HM192" i="4"/>
  <c r="HN191" i="4"/>
  <c r="HM191" i="4"/>
  <c r="HN190" i="4"/>
  <c r="HM190" i="4"/>
  <c r="HN189" i="4"/>
  <c r="HM189" i="4"/>
  <c r="HN188" i="4"/>
  <c r="HM188" i="4"/>
  <c r="HN187" i="4"/>
  <c r="HM187" i="4"/>
  <c r="HN186" i="4"/>
  <c r="HM186" i="4"/>
  <c r="HN185" i="4"/>
  <c r="HM185" i="4"/>
  <c r="HN184" i="4"/>
  <c r="HM184" i="4"/>
  <c r="HN183" i="4"/>
  <c r="HM183" i="4"/>
  <c r="HN182" i="4"/>
  <c r="HM182" i="4"/>
  <c r="HN181" i="4"/>
  <c r="HM181" i="4"/>
  <c r="HN180" i="4"/>
  <c r="HM180" i="4"/>
  <c r="HN179" i="4"/>
  <c r="HM179" i="4"/>
  <c r="HN178" i="4"/>
  <c r="HM178" i="4"/>
  <c r="HN177" i="4"/>
  <c r="HM177" i="4"/>
  <c r="HN176" i="4"/>
  <c r="HM176" i="4"/>
  <c r="HN175" i="4"/>
  <c r="HM175" i="4"/>
  <c r="HN174" i="4"/>
  <c r="HM174" i="4"/>
  <c r="HN173" i="4"/>
  <c r="HM173" i="4"/>
  <c r="HN172" i="4"/>
  <c r="HM172" i="4"/>
  <c r="HN171" i="4"/>
  <c r="HM171" i="4"/>
  <c r="HN170" i="4"/>
  <c r="HM170" i="4"/>
  <c r="HN169" i="4"/>
  <c r="HM169" i="4"/>
  <c r="HN168" i="4"/>
  <c r="HM168" i="4"/>
  <c r="HN167" i="4"/>
  <c r="HM167" i="4"/>
  <c r="HN166" i="4"/>
  <c r="HM166" i="4"/>
  <c r="HN165" i="4"/>
  <c r="HM165" i="4"/>
  <c r="HN164" i="4"/>
  <c r="HM164" i="4"/>
  <c r="HN163" i="4"/>
  <c r="HM163" i="4"/>
  <c r="HN162" i="4"/>
  <c r="HM162" i="4"/>
  <c r="HN161" i="4"/>
  <c r="HM161" i="4"/>
  <c r="HN160" i="4"/>
  <c r="HM160" i="4"/>
  <c r="HN159" i="4"/>
  <c r="HM159" i="4"/>
  <c r="HN158" i="4"/>
  <c r="HM158" i="4"/>
  <c r="HN157" i="4"/>
  <c r="HM157" i="4"/>
  <c r="HN156" i="4"/>
  <c r="HM156" i="4"/>
  <c r="HN155" i="4"/>
  <c r="HM155" i="4"/>
  <c r="HN154" i="4"/>
  <c r="HM154" i="4"/>
  <c r="HN153" i="4"/>
  <c r="HM153" i="4"/>
  <c r="HN152" i="4"/>
  <c r="HM152" i="4"/>
  <c r="HN151" i="4"/>
  <c r="HM151" i="4"/>
  <c r="HN150" i="4"/>
  <c r="HM150" i="4"/>
  <c r="HN149" i="4"/>
  <c r="HM149" i="4"/>
  <c r="HN148" i="4"/>
  <c r="HM148" i="4"/>
  <c r="HN147" i="4"/>
  <c r="HM147" i="4"/>
  <c r="HN146" i="4"/>
  <c r="HM146" i="4"/>
  <c r="HN145" i="4"/>
  <c r="HM145" i="4"/>
  <c r="HN144" i="4"/>
  <c r="HM144" i="4"/>
  <c r="HN143" i="4"/>
  <c r="HM143" i="4"/>
  <c r="HN142" i="4"/>
  <c r="HM142" i="4"/>
  <c r="HN141" i="4"/>
  <c r="HM141" i="4"/>
  <c r="HN140" i="4"/>
  <c r="HM140" i="4"/>
  <c r="HN139" i="4"/>
  <c r="HM139" i="4"/>
  <c r="HN138" i="4"/>
  <c r="HM138" i="4"/>
  <c r="HN137" i="4"/>
  <c r="HM137" i="4"/>
  <c r="HN136" i="4"/>
  <c r="HM136" i="4"/>
  <c r="HN135" i="4"/>
  <c r="HM135" i="4"/>
  <c r="HN134" i="4"/>
  <c r="HM134" i="4"/>
  <c r="HN133" i="4"/>
  <c r="HM133" i="4"/>
  <c r="HN132" i="4"/>
  <c r="HM132" i="4"/>
  <c r="HN131" i="4"/>
  <c r="HM131" i="4"/>
  <c r="HN130" i="4"/>
  <c r="HM130" i="4"/>
  <c r="HN129" i="4"/>
  <c r="HM129" i="4"/>
  <c r="HN128" i="4"/>
  <c r="HM128" i="4"/>
  <c r="HN127" i="4"/>
  <c r="HM127" i="4"/>
  <c r="HN126" i="4"/>
  <c r="HM126" i="4"/>
  <c r="HN125" i="4"/>
  <c r="HM125" i="4"/>
  <c r="HN124" i="4"/>
  <c r="HM124" i="4"/>
  <c r="HN123" i="4"/>
  <c r="HM123" i="4"/>
  <c r="HN122" i="4"/>
  <c r="HM122" i="4"/>
  <c r="HN121" i="4"/>
  <c r="HM121" i="4"/>
  <c r="HN120" i="4"/>
  <c r="HM120" i="4"/>
  <c r="HN119" i="4"/>
  <c r="HM119" i="4"/>
  <c r="HN118" i="4"/>
  <c r="HM118" i="4"/>
  <c r="HN117" i="4"/>
  <c r="HM117" i="4"/>
  <c r="HN116" i="4"/>
  <c r="HM116" i="4"/>
  <c r="HN115" i="4"/>
  <c r="HM115" i="4"/>
  <c r="HN114" i="4"/>
  <c r="HM114" i="4"/>
  <c r="HN113" i="4"/>
  <c r="HM113" i="4"/>
  <c r="HN112" i="4"/>
  <c r="HM112" i="4"/>
  <c r="HN111" i="4"/>
  <c r="HM111" i="4"/>
  <c r="HN110" i="4"/>
  <c r="HM110" i="4"/>
  <c r="HN109" i="4"/>
  <c r="HM109" i="4"/>
  <c r="HN108" i="4"/>
  <c r="HM108" i="4"/>
  <c r="HN107" i="4"/>
  <c r="HM107" i="4"/>
  <c r="HN106" i="4"/>
  <c r="HM106" i="4"/>
  <c r="HN105" i="4"/>
  <c r="HM105" i="4"/>
  <c r="HN104" i="4"/>
  <c r="HM104" i="4"/>
  <c r="HN103" i="4"/>
  <c r="HM103" i="4"/>
  <c r="HN102" i="4"/>
  <c r="HM102" i="4"/>
  <c r="HN101" i="4"/>
  <c r="HM101" i="4"/>
  <c r="HN100" i="4"/>
  <c r="HM100" i="4"/>
  <c r="HN99" i="4"/>
  <c r="HM99" i="4"/>
  <c r="HN98" i="4"/>
  <c r="HM98" i="4"/>
  <c r="HN97" i="4"/>
  <c r="HM97" i="4"/>
  <c r="HN96" i="4"/>
  <c r="HM96" i="4"/>
  <c r="HN95" i="4"/>
  <c r="HM95" i="4"/>
  <c r="HN94" i="4"/>
  <c r="HM94" i="4"/>
  <c r="HN93" i="4"/>
  <c r="HM93" i="4"/>
  <c r="HN92" i="4"/>
  <c r="HM92" i="4"/>
  <c r="HN91" i="4"/>
  <c r="HM91" i="4"/>
  <c r="HN90" i="4"/>
  <c r="HM90" i="4"/>
  <c r="HN89" i="4"/>
  <c r="HM89" i="4"/>
  <c r="HN88" i="4"/>
  <c r="HM88" i="4"/>
  <c r="HN87" i="4"/>
  <c r="HM87" i="4"/>
  <c r="HN86" i="4"/>
  <c r="HM86" i="4"/>
  <c r="HN85" i="4"/>
  <c r="HM85" i="4"/>
  <c r="HN84" i="4"/>
  <c r="HM84" i="4"/>
  <c r="HN83" i="4"/>
  <c r="HM83" i="4"/>
  <c r="HN82" i="4"/>
  <c r="HM82" i="4"/>
  <c r="HN81" i="4"/>
  <c r="HM81" i="4"/>
  <c r="HN80" i="4"/>
  <c r="HM80" i="4"/>
  <c r="HN79" i="4"/>
  <c r="HM79" i="4"/>
  <c r="HN78" i="4"/>
  <c r="HM78" i="4"/>
  <c r="HN77" i="4"/>
  <c r="HM77" i="4"/>
  <c r="HN76" i="4"/>
  <c r="HM76" i="4"/>
  <c r="HN75" i="4"/>
  <c r="HM75" i="4"/>
  <c r="HN74" i="4"/>
  <c r="HM74" i="4"/>
  <c r="HN73" i="4"/>
  <c r="HM73" i="4"/>
  <c r="HN72" i="4"/>
  <c r="HM72" i="4"/>
  <c r="HN71" i="4"/>
  <c r="HM71" i="4"/>
  <c r="HN70" i="4"/>
  <c r="HM70" i="4"/>
  <c r="HN69" i="4"/>
  <c r="HM69" i="4"/>
  <c r="HN68" i="4"/>
  <c r="HM68" i="4"/>
  <c r="HN67" i="4"/>
  <c r="HM67" i="4"/>
  <c r="HN66" i="4"/>
  <c r="HM66" i="4"/>
  <c r="HN65" i="4"/>
  <c r="HM65" i="4"/>
  <c r="HN64" i="4"/>
  <c r="HM64" i="4"/>
  <c r="HN63" i="4"/>
  <c r="HM63" i="4"/>
  <c r="HN62" i="4"/>
  <c r="HM62" i="4"/>
  <c r="HN61" i="4"/>
  <c r="HM61" i="4"/>
  <c r="HN60" i="4"/>
  <c r="HM60" i="4"/>
  <c r="HN59" i="4"/>
  <c r="HM59" i="4"/>
  <c r="HN58" i="4"/>
  <c r="HM58" i="4"/>
  <c r="HN57" i="4"/>
  <c r="HM57" i="4"/>
  <c r="HN56" i="4"/>
  <c r="HM56" i="4"/>
  <c r="HN55" i="4"/>
  <c r="HM55" i="4"/>
  <c r="HN54" i="4"/>
  <c r="HM54" i="4"/>
  <c r="HN53" i="4"/>
  <c r="HM53" i="4"/>
  <c r="HN52" i="4"/>
  <c r="HM52" i="4"/>
  <c r="HN51" i="4"/>
  <c r="HM51" i="4"/>
  <c r="HN50" i="4"/>
  <c r="HM50" i="4"/>
  <c r="HN49" i="4"/>
  <c r="HM49" i="4"/>
  <c r="HN48" i="4"/>
  <c r="HM48" i="4"/>
  <c r="HN47" i="4"/>
  <c r="HM47" i="4"/>
  <c r="HN46" i="4"/>
  <c r="HM46" i="4"/>
  <c r="HN45" i="4"/>
  <c r="HM45" i="4"/>
  <c r="HN44" i="4"/>
  <c r="HM44" i="4"/>
  <c r="HN43" i="4"/>
  <c r="HM43" i="4"/>
  <c r="HN42" i="4"/>
  <c r="HM42" i="4"/>
  <c r="HN41" i="4"/>
  <c r="HM41" i="4"/>
  <c r="HN40" i="4"/>
  <c r="HM40" i="4"/>
  <c r="HN39" i="4"/>
  <c r="HM39" i="4"/>
  <c r="HN38" i="4"/>
  <c r="HM38" i="4"/>
  <c r="HN37" i="4"/>
  <c r="HM37" i="4"/>
  <c r="HN36" i="4"/>
  <c r="HM36" i="4"/>
  <c r="HN35" i="4"/>
  <c r="HM35" i="4"/>
  <c r="HN34" i="4"/>
  <c r="HM34" i="4"/>
  <c r="HN33" i="4"/>
  <c r="HM33" i="4"/>
  <c r="HN32" i="4"/>
  <c r="HM32" i="4"/>
  <c r="HN31" i="4"/>
  <c r="HM31" i="4"/>
  <c r="HN30" i="4"/>
  <c r="HM30" i="4"/>
  <c r="HN29" i="4"/>
  <c r="HM29" i="4"/>
  <c r="HN28" i="4"/>
  <c r="HM28" i="4"/>
  <c r="HN27" i="4"/>
  <c r="HM27" i="4"/>
  <c r="HN26" i="4"/>
  <c r="HM26" i="4"/>
  <c r="HN25" i="4"/>
  <c r="HM25" i="4"/>
  <c r="HN24" i="4"/>
  <c r="HM24" i="4"/>
  <c r="HN23" i="4"/>
  <c r="HM23" i="4"/>
  <c r="HN22" i="4"/>
  <c r="HM22" i="4"/>
  <c r="HN21" i="4"/>
  <c r="HM21" i="4"/>
  <c r="HN20" i="4"/>
  <c r="HM20" i="4"/>
  <c r="HN19" i="4"/>
  <c r="HM19" i="4"/>
  <c r="HN18" i="4"/>
  <c r="HM18" i="4"/>
  <c r="HN17" i="4"/>
  <c r="HM17" i="4"/>
  <c r="HN16" i="4"/>
  <c r="HM16" i="4"/>
  <c r="HN15" i="4"/>
  <c r="HM15" i="4"/>
  <c r="HN14" i="4"/>
  <c r="HM14" i="4"/>
  <c r="HN13" i="4"/>
  <c r="HM13" i="4"/>
  <c r="HN12" i="4"/>
  <c r="HM12" i="4"/>
  <c r="HN11" i="4"/>
  <c r="HM11" i="4"/>
  <c r="HN10" i="4"/>
  <c r="HM10" i="4"/>
  <c r="HG300" i="4"/>
  <c r="HF300" i="4"/>
  <c r="HG299" i="4"/>
  <c r="HF299" i="4"/>
  <c r="HG298" i="4"/>
  <c r="HF298" i="4"/>
  <c r="HG297" i="4"/>
  <c r="HF297" i="4"/>
  <c r="HG296" i="4"/>
  <c r="HF296" i="4"/>
  <c r="HG295" i="4"/>
  <c r="HF295" i="4"/>
  <c r="HG294" i="4"/>
  <c r="HF294" i="4"/>
  <c r="HG293" i="4"/>
  <c r="HF293" i="4"/>
  <c r="HG292" i="4"/>
  <c r="HF292" i="4"/>
  <c r="HG291" i="4"/>
  <c r="HF291" i="4"/>
  <c r="HG290" i="4"/>
  <c r="HF290" i="4"/>
  <c r="HG289" i="4"/>
  <c r="HF289" i="4"/>
  <c r="HG288" i="4"/>
  <c r="HF288" i="4"/>
  <c r="HG287" i="4"/>
  <c r="HF287" i="4"/>
  <c r="HG286" i="4"/>
  <c r="HF286" i="4"/>
  <c r="HG285" i="4"/>
  <c r="HF285" i="4"/>
  <c r="HG284" i="4"/>
  <c r="HF284" i="4"/>
  <c r="HG283" i="4"/>
  <c r="HF283" i="4"/>
  <c r="HG282" i="4"/>
  <c r="HF282" i="4"/>
  <c r="HG281" i="4"/>
  <c r="HF281" i="4"/>
  <c r="HG280" i="4"/>
  <c r="HF280" i="4"/>
  <c r="HG279" i="4"/>
  <c r="HF279" i="4"/>
  <c r="HG278" i="4"/>
  <c r="HF278" i="4"/>
  <c r="HG277" i="4"/>
  <c r="HF277" i="4"/>
  <c r="HG276" i="4"/>
  <c r="HF276" i="4"/>
  <c r="HG275" i="4"/>
  <c r="HF275" i="4"/>
  <c r="HG274" i="4"/>
  <c r="HF274" i="4"/>
  <c r="HG273" i="4"/>
  <c r="HF273" i="4"/>
  <c r="HG272" i="4"/>
  <c r="HF272" i="4"/>
  <c r="HG271" i="4"/>
  <c r="HF271" i="4"/>
  <c r="HG270" i="4"/>
  <c r="HF270" i="4"/>
  <c r="HG269" i="4"/>
  <c r="HF269" i="4"/>
  <c r="HG268" i="4"/>
  <c r="HF268" i="4"/>
  <c r="HG267" i="4"/>
  <c r="HF267" i="4"/>
  <c r="HG266" i="4"/>
  <c r="HF266" i="4"/>
  <c r="HG265" i="4"/>
  <c r="HF265" i="4"/>
  <c r="HG264" i="4"/>
  <c r="HF264" i="4"/>
  <c r="HG263" i="4"/>
  <c r="HF263" i="4"/>
  <c r="HG262" i="4"/>
  <c r="HF262" i="4"/>
  <c r="HG261" i="4"/>
  <c r="HF261" i="4"/>
  <c r="HG260" i="4"/>
  <c r="HF260" i="4"/>
  <c r="HG259" i="4"/>
  <c r="HF259" i="4"/>
  <c r="HG258" i="4"/>
  <c r="HF258" i="4"/>
  <c r="HG257" i="4"/>
  <c r="HF257" i="4"/>
  <c r="HG256" i="4"/>
  <c r="HF256" i="4"/>
  <c r="HG255" i="4"/>
  <c r="HF255" i="4"/>
  <c r="HG254" i="4"/>
  <c r="HF254" i="4"/>
  <c r="HG253" i="4"/>
  <c r="HF253" i="4"/>
  <c r="HG252" i="4"/>
  <c r="HF252" i="4"/>
  <c r="HG251" i="4"/>
  <c r="HF251" i="4"/>
  <c r="HG250" i="4"/>
  <c r="HF250" i="4"/>
  <c r="HG249" i="4"/>
  <c r="HF249" i="4"/>
  <c r="HG248" i="4"/>
  <c r="HF248" i="4"/>
  <c r="HG247" i="4"/>
  <c r="HF247" i="4"/>
  <c r="HG246" i="4"/>
  <c r="HF246" i="4"/>
  <c r="HG245" i="4"/>
  <c r="HF245" i="4"/>
  <c r="HG244" i="4"/>
  <c r="HF244" i="4"/>
  <c r="HG243" i="4"/>
  <c r="HF243" i="4"/>
  <c r="HG242" i="4"/>
  <c r="HF242" i="4"/>
  <c r="HG241" i="4"/>
  <c r="HF241" i="4"/>
  <c r="HG240" i="4"/>
  <c r="HF240" i="4"/>
  <c r="HG239" i="4"/>
  <c r="HF239" i="4"/>
  <c r="HG238" i="4"/>
  <c r="HF238" i="4"/>
  <c r="HG237" i="4"/>
  <c r="HF237" i="4"/>
  <c r="HG236" i="4"/>
  <c r="HF236" i="4"/>
  <c r="HG235" i="4"/>
  <c r="HF235" i="4"/>
  <c r="HG234" i="4"/>
  <c r="HF234" i="4"/>
  <c r="HG233" i="4"/>
  <c r="HF233" i="4"/>
  <c r="HG232" i="4"/>
  <c r="HF232" i="4"/>
  <c r="HG231" i="4"/>
  <c r="HF231" i="4"/>
  <c r="HG230" i="4"/>
  <c r="HF230" i="4"/>
  <c r="HG229" i="4"/>
  <c r="HF229" i="4"/>
  <c r="HG228" i="4"/>
  <c r="HF228" i="4"/>
  <c r="HG227" i="4"/>
  <c r="HF227" i="4"/>
  <c r="HG226" i="4"/>
  <c r="HF226" i="4"/>
  <c r="HG225" i="4"/>
  <c r="HF225" i="4"/>
  <c r="HG224" i="4"/>
  <c r="HF224" i="4"/>
  <c r="HG223" i="4"/>
  <c r="HF223" i="4"/>
  <c r="HG222" i="4"/>
  <c r="HF222" i="4"/>
  <c r="HG221" i="4"/>
  <c r="HF221" i="4"/>
  <c r="HG220" i="4"/>
  <c r="HF220" i="4"/>
  <c r="HG219" i="4"/>
  <c r="HF219" i="4"/>
  <c r="HG218" i="4"/>
  <c r="HF218" i="4"/>
  <c r="HG217" i="4"/>
  <c r="HF217" i="4"/>
  <c r="HG216" i="4"/>
  <c r="HF216" i="4"/>
  <c r="HG215" i="4"/>
  <c r="HF215" i="4"/>
  <c r="HG214" i="4"/>
  <c r="HF214" i="4"/>
  <c r="HG213" i="4"/>
  <c r="HF213" i="4"/>
  <c r="HG212" i="4"/>
  <c r="HF212" i="4"/>
  <c r="HG211" i="4"/>
  <c r="HF211" i="4"/>
  <c r="HG210" i="4"/>
  <c r="HF210" i="4"/>
  <c r="HG209" i="4"/>
  <c r="HF209" i="4"/>
  <c r="HG208" i="4"/>
  <c r="HF208" i="4"/>
  <c r="HG207" i="4"/>
  <c r="HF207" i="4"/>
  <c r="HG206" i="4"/>
  <c r="HF206" i="4"/>
  <c r="HG205" i="4"/>
  <c r="HF205" i="4"/>
  <c r="HG204" i="4"/>
  <c r="HF204" i="4"/>
  <c r="HG203" i="4"/>
  <c r="HF203" i="4"/>
  <c r="HG202" i="4"/>
  <c r="HF202" i="4"/>
  <c r="HG201" i="4"/>
  <c r="HF201" i="4"/>
  <c r="HG200" i="4"/>
  <c r="HF200" i="4"/>
  <c r="HG199" i="4"/>
  <c r="HF199" i="4"/>
  <c r="HG198" i="4"/>
  <c r="HF198" i="4"/>
  <c r="HG197" i="4"/>
  <c r="HF197" i="4"/>
  <c r="HG196" i="4"/>
  <c r="HF196" i="4"/>
  <c r="HG195" i="4"/>
  <c r="HF195" i="4"/>
  <c r="HG194" i="4"/>
  <c r="HF194" i="4"/>
  <c r="HG193" i="4"/>
  <c r="HF193" i="4"/>
  <c r="HG192" i="4"/>
  <c r="HF192" i="4"/>
  <c r="HG191" i="4"/>
  <c r="HF191" i="4"/>
  <c r="HG190" i="4"/>
  <c r="HF190" i="4"/>
  <c r="HG189" i="4"/>
  <c r="HF189" i="4"/>
  <c r="HG188" i="4"/>
  <c r="HF188" i="4"/>
  <c r="HG187" i="4"/>
  <c r="HF187" i="4"/>
  <c r="HG186" i="4"/>
  <c r="HF186" i="4"/>
  <c r="HG185" i="4"/>
  <c r="HF185" i="4"/>
  <c r="HG184" i="4"/>
  <c r="HF184" i="4"/>
  <c r="HG183" i="4"/>
  <c r="HF183" i="4"/>
  <c r="HG182" i="4"/>
  <c r="HF182" i="4"/>
  <c r="HG181" i="4"/>
  <c r="HF181" i="4"/>
  <c r="HG180" i="4"/>
  <c r="HF180" i="4"/>
  <c r="HG179" i="4"/>
  <c r="HF179" i="4"/>
  <c r="HG178" i="4"/>
  <c r="HF178" i="4"/>
  <c r="HG177" i="4"/>
  <c r="HF177" i="4"/>
  <c r="HG176" i="4"/>
  <c r="HF176" i="4"/>
  <c r="HG175" i="4"/>
  <c r="HF175" i="4"/>
  <c r="HG174" i="4"/>
  <c r="HF174" i="4"/>
  <c r="HG173" i="4"/>
  <c r="HF173" i="4"/>
  <c r="HG172" i="4"/>
  <c r="HF172" i="4"/>
  <c r="HG171" i="4"/>
  <c r="HF171" i="4"/>
  <c r="HG170" i="4"/>
  <c r="HF170" i="4"/>
  <c r="HG169" i="4"/>
  <c r="HF169" i="4"/>
  <c r="HG168" i="4"/>
  <c r="HF168" i="4"/>
  <c r="HG167" i="4"/>
  <c r="HF167" i="4"/>
  <c r="HG166" i="4"/>
  <c r="HF166" i="4"/>
  <c r="HG165" i="4"/>
  <c r="HF165" i="4"/>
  <c r="HG164" i="4"/>
  <c r="HF164" i="4"/>
  <c r="HG163" i="4"/>
  <c r="HF163" i="4"/>
  <c r="HG162" i="4"/>
  <c r="HF162" i="4"/>
  <c r="HG161" i="4"/>
  <c r="HF161" i="4"/>
  <c r="HG160" i="4"/>
  <c r="HF160" i="4"/>
  <c r="HG159" i="4"/>
  <c r="HF159" i="4"/>
  <c r="HG158" i="4"/>
  <c r="HF158" i="4"/>
  <c r="HG157" i="4"/>
  <c r="HF157" i="4"/>
  <c r="HG156" i="4"/>
  <c r="HF156" i="4"/>
  <c r="HG155" i="4"/>
  <c r="HF155" i="4"/>
  <c r="HG154" i="4"/>
  <c r="HF154" i="4"/>
  <c r="HG153" i="4"/>
  <c r="HF153" i="4"/>
  <c r="HG152" i="4"/>
  <c r="HF152" i="4"/>
  <c r="HG151" i="4"/>
  <c r="HF151" i="4"/>
  <c r="HG150" i="4"/>
  <c r="HF150" i="4"/>
  <c r="HG149" i="4"/>
  <c r="HF149" i="4"/>
  <c r="HG148" i="4"/>
  <c r="HF148" i="4"/>
  <c r="HG147" i="4"/>
  <c r="HF147" i="4"/>
  <c r="HG146" i="4"/>
  <c r="HF146" i="4"/>
  <c r="HG145" i="4"/>
  <c r="HF145" i="4"/>
  <c r="HG144" i="4"/>
  <c r="HF144" i="4"/>
  <c r="HG143" i="4"/>
  <c r="HF143" i="4"/>
  <c r="HG142" i="4"/>
  <c r="HF142" i="4"/>
  <c r="HG141" i="4"/>
  <c r="HF141" i="4"/>
  <c r="HG140" i="4"/>
  <c r="HF140" i="4"/>
  <c r="HG139" i="4"/>
  <c r="HF139" i="4"/>
  <c r="HG138" i="4"/>
  <c r="HF138" i="4"/>
  <c r="HG137" i="4"/>
  <c r="HF137" i="4"/>
  <c r="HG136" i="4"/>
  <c r="HF136" i="4"/>
  <c r="HG135" i="4"/>
  <c r="HF135" i="4"/>
  <c r="HG134" i="4"/>
  <c r="HF134" i="4"/>
  <c r="HG133" i="4"/>
  <c r="HF133" i="4"/>
  <c r="HG132" i="4"/>
  <c r="HF132" i="4"/>
  <c r="HG131" i="4"/>
  <c r="HF131" i="4"/>
  <c r="HG130" i="4"/>
  <c r="HF130" i="4"/>
  <c r="HG129" i="4"/>
  <c r="HF129" i="4"/>
  <c r="HG128" i="4"/>
  <c r="HF128" i="4"/>
  <c r="HG127" i="4"/>
  <c r="HF127" i="4"/>
  <c r="HG126" i="4"/>
  <c r="HF126" i="4"/>
  <c r="HG125" i="4"/>
  <c r="HF125" i="4"/>
  <c r="HG124" i="4"/>
  <c r="HF124" i="4"/>
  <c r="HG123" i="4"/>
  <c r="HF123" i="4"/>
  <c r="HG122" i="4"/>
  <c r="HF122" i="4"/>
  <c r="HG121" i="4"/>
  <c r="HF121" i="4"/>
  <c r="HG120" i="4"/>
  <c r="HF120" i="4"/>
  <c r="HG119" i="4"/>
  <c r="HF119" i="4"/>
  <c r="HG118" i="4"/>
  <c r="HF118" i="4"/>
  <c r="HG117" i="4"/>
  <c r="HF117" i="4"/>
  <c r="HG116" i="4"/>
  <c r="HF116" i="4"/>
  <c r="HG115" i="4"/>
  <c r="HF115" i="4"/>
  <c r="HG114" i="4"/>
  <c r="HF114" i="4"/>
  <c r="HG113" i="4"/>
  <c r="HF113" i="4"/>
  <c r="HG112" i="4"/>
  <c r="HF112" i="4"/>
  <c r="HG111" i="4"/>
  <c r="HF111" i="4"/>
  <c r="HG110" i="4"/>
  <c r="HF110" i="4"/>
  <c r="HG109" i="4"/>
  <c r="HF109" i="4"/>
  <c r="HG108" i="4"/>
  <c r="HF108" i="4"/>
  <c r="HG107" i="4"/>
  <c r="HF107" i="4"/>
  <c r="HG106" i="4"/>
  <c r="HF106" i="4"/>
  <c r="HG105" i="4"/>
  <c r="HF105" i="4"/>
  <c r="HG104" i="4"/>
  <c r="HF104" i="4"/>
  <c r="HG103" i="4"/>
  <c r="HF103" i="4"/>
  <c r="HG102" i="4"/>
  <c r="HF102" i="4"/>
  <c r="HG101" i="4"/>
  <c r="HF101" i="4"/>
  <c r="HG100" i="4"/>
  <c r="HF100" i="4"/>
  <c r="HG99" i="4"/>
  <c r="HF99" i="4"/>
  <c r="HG98" i="4"/>
  <c r="HF98" i="4"/>
  <c r="HG97" i="4"/>
  <c r="HF97" i="4"/>
  <c r="HG96" i="4"/>
  <c r="HF96" i="4"/>
  <c r="HG95" i="4"/>
  <c r="HF95" i="4"/>
  <c r="HG94" i="4"/>
  <c r="HF94" i="4"/>
  <c r="HG93" i="4"/>
  <c r="HF93" i="4"/>
  <c r="HG92" i="4"/>
  <c r="HF92" i="4"/>
  <c r="HG91" i="4"/>
  <c r="HF91" i="4"/>
  <c r="HG90" i="4"/>
  <c r="HF90" i="4"/>
  <c r="HG89" i="4"/>
  <c r="HF89" i="4"/>
  <c r="HG88" i="4"/>
  <c r="HF88" i="4"/>
  <c r="HG87" i="4"/>
  <c r="HF87" i="4"/>
  <c r="HG86" i="4"/>
  <c r="HF86" i="4"/>
  <c r="HG85" i="4"/>
  <c r="HF85" i="4"/>
  <c r="HG84" i="4"/>
  <c r="HF84" i="4"/>
  <c r="HG83" i="4"/>
  <c r="HF83" i="4"/>
  <c r="HG82" i="4"/>
  <c r="HF82" i="4"/>
  <c r="HG81" i="4"/>
  <c r="HF81" i="4"/>
  <c r="HG80" i="4"/>
  <c r="HF80" i="4"/>
  <c r="HG79" i="4"/>
  <c r="HF79" i="4"/>
  <c r="HG78" i="4"/>
  <c r="HF78" i="4"/>
  <c r="HG77" i="4"/>
  <c r="HF77" i="4"/>
  <c r="HG76" i="4"/>
  <c r="HF76" i="4"/>
  <c r="HG75" i="4"/>
  <c r="HF75" i="4"/>
  <c r="HG74" i="4"/>
  <c r="HF74" i="4"/>
  <c r="HG73" i="4"/>
  <c r="HF73" i="4"/>
  <c r="HG72" i="4"/>
  <c r="HF72" i="4"/>
  <c r="HG71" i="4"/>
  <c r="HF71" i="4"/>
  <c r="HG70" i="4"/>
  <c r="HF70" i="4"/>
  <c r="HG69" i="4"/>
  <c r="HF69" i="4"/>
  <c r="HG68" i="4"/>
  <c r="HF68" i="4"/>
  <c r="HG67" i="4"/>
  <c r="HF67" i="4"/>
  <c r="HG66" i="4"/>
  <c r="HF66" i="4"/>
  <c r="HG65" i="4"/>
  <c r="HF65" i="4"/>
  <c r="HG64" i="4"/>
  <c r="HF64" i="4"/>
  <c r="HG63" i="4"/>
  <c r="HF63" i="4"/>
  <c r="HG62" i="4"/>
  <c r="HF62" i="4"/>
  <c r="HG61" i="4"/>
  <c r="HF61" i="4"/>
  <c r="HG60" i="4"/>
  <c r="HF60" i="4"/>
  <c r="HG59" i="4"/>
  <c r="HF59" i="4"/>
  <c r="HG58" i="4"/>
  <c r="HF58" i="4"/>
  <c r="HG57" i="4"/>
  <c r="HF57" i="4"/>
  <c r="HG56" i="4"/>
  <c r="HF56" i="4"/>
  <c r="HG55" i="4"/>
  <c r="HF55" i="4"/>
  <c r="HG54" i="4"/>
  <c r="HF54" i="4"/>
  <c r="HG53" i="4"/>
  <c r="HF53" i="4"/>
  <c r="HG52" i="4"/>
  <c r="HF52" i="4"/>
  <c r="HG51" i="4"/>
  <c r="HF51" i="4"/>
  <c r="HG50" i="4"/>
  <c r="HF50" i="4"/>
  <c r="HG49" i="4"/>
  <c r="HF49" i="4"/>
  <c r="HG48" i="4"/>
  <c r="HF48" i="4"/>
  <c r="HG47" i="4"/>
  <c r="HF47" i="4"/>
  <c r="HG46" i="4"/>
  <c r="HF46" i="4"/>
  <c r="HG45" i="4"/>
  <c r="HF45" i="4"/>
  <c r="HG44" i="4"/>
  <c r="HF44" i="4"/>
  <c r="HG43" i="4"/>
  <c r="HF43" i="4"/>
  <c r="HG42" i="4"/>
  <c r="HF42" i="4"/>
  <c r="HG41" i="4"/>
  <c r="HF41" i="4"/>
  <c r="HG40" i="4"/>
  <c r="HF40" i="4"/>
  <c r="HG39" i="4"/>
  <c r="HF39" i="4"/>
  <c r="HG38" i="4"/>
  <c r="HF38" i="4"/>
  <c r="HG37" i="4"/>
  <c r="HF37" i="4"/>
  <c r="HG36" i="4"/>
  <c r="HF36" i="4"/>
  <c r="HG35" i="4"/>
  <c r="HF35" i="4"/>
  <c r="HG34" i="4"/>
  <c r="HF34" i="4"/>
  <c r="HG33" i="4"/>
  <c r="HF33" i="4"/>
  <c r="HG32" i="4"/>
  <c r="HF32" i="4"/>
  <c r="HG31" i="4"/>
  <c r="HF31" i="4"/>
  <c r="HG30" i="4"/>
  <c r="HF30" i="4"/>
  <c r="HG29" i="4"/>
  <c r="HF29" i="4"/>
  <c r="HG28" i="4"/>
  <c r="HF28" i="4"/>
  <c r="HG27" i="4"/>
  <c r="HF27" i="4"/>
  <c r="HG26" i="4"/>
  <c r="HF26" i="4"/>
  <c r="HG25" i="4"/>
  <c r="HF25" i="4"/>
  <c r="HG24" i="4"/>
  <c r="HF24" i="4"/>
  <c r="HG23" i="4"/>
  <c r="HF23" i="4"/>
  <c r="HG22" i="4"/>
  <c r="HF22" i="4"/>
  <c r="HG21" i="4"/>
  <c r="HF21" i="4"/>
  <c r="HG20" i="4"/>
  <c r="HF20" i="4"/>
  <c r="HG19" i="4"/>
  <c r="HF19" i="4"/>
  <c r="HG18" i="4"/>
  <c r="HF18" i="4"/>
  <c r="HG17" i="4"/>
  <c r="HF17" i="4"/>
  <c r="HG16" i="4"/>
  <c r="HF16" i="4"/>
  <c r="HG15" i="4"/>
  <c r="HF15" i="4"/>
  <c r="HG14" i="4"/>
  <c r="HF14" i="4"/>
  <c r="HG13" i="4"/>
  <c r="HF13" i="4"/>
  <c r="HG12" i="4"/>
  <c r="HF12" i="4"/>
  <c r="HG11" i="4"/>
  <c r="HF11" i="4"/>
  <c r="HG10" i="4"/>
  <c r="HF10" i="4"/>
  <c r="HA300" i="4"/>
  <c r="GZ300" i="4"/>
  <c r="HA299" i="4"/>
  <c r="GZ299" i="4"/>
  <c r="HA298" i="4"/>
  <c r="GZ298" i="4"/>
  <c r="HA297" i="4"/>
  <c r="GZ297" i="4"/>
  <c r="HA296" i="4"/>
  <c r="GZ296" i="4"/>
  <c r="HA295" i="4"/>
  <c r="GZ295" i="4"/>
  <c r="HA294" i="4"/>
  <c r="GZ294" i="4"/>
  <c r="HA293" i="4"/>
  <c r="GZ293" i="4"/>
  <c r="HA292" i="4"/>
  <c r="GZ292" i="4"/>
  <c r="HA291" i="4"/>
  <c r="GZ291" i="4"/>
  <c r="HA290" i="4"/>
  <c r="GZ290" i="4"/>
  <c r="HA289" i="4"/>
  <c r="GZ289" i="4"/>
  <c r="HA288" i="4"/>
  <c r="GZ288" i="4"/>
  <c r="HA287" i="4"/>
  <c r="GZ287" i="4"/>
  <c r="HA286" i="4"/>
  <c r="GZ286" i="4"/>
  <c r="HA285" i="4"/>
  <c r="GZ285" i="4"/>
  <c r="HA284" i="4"/>
  <c r="GZ284" i="4"/>
  <c r="HA283" i="4"/>
  <c r="GZ283" i="4"/>
  <c r="HA282" i="4"/>
  <c r="GZ282" i="4"/>
  <c r="HA281" i="4"/>
  <c r="GZ281" i="4"/>
  <c r="HA280" i="4"/>
  <c r="GZ280" i="4"/>
  <c r="HA279" i="4"/>
  <c r="GZ279" i="4"/>
  <c r="HA278" i="4"/>
  <c r="GZ278" i="4"/>
  <c r="HA277" i="4"/>
  <c r="GZ277" i="4"/>
  <c r="HA276" i="4"/>
  <c r="GZ276" i="4"/>
  <c r="HA275" i="4"/>
  <c r="GZ275" i="4"/>
  <c r="HA274" i="4"/>
  <c r="GZ274" i="4"/>
  <c r="HA273" i="4"/>
  <c r="GZ273" i="4"/>
  <c r="HA272" i="4"/>
  <c r="GZ272" i="4"/>
  <c r="HA271" i="4"/>
  <c r="GZ271" i="4"/>
  <c r="HA270" i="4"/>
  <c r="GZ270" i="4"/>
  <c r="HA269" i="4"/>
  <c r="GZ269" i="4"/>
  <c r="HA268" i="4"/>
  <c r="GZ268" i="4"/>
  <c r="HA267" i="4"/>
  <c r="GZ267" i="4"/>
  <c r="HA266" i="4"/>
  <c r="GZ266" i="4"/>
  <c r="HA265" i="4"/>
  <c r="GZ265" i="4"/>
  <c r="HA264" i="4"/>
  <c r="GZ264" i="4"/>
  <c r="HA263" i="4"/>
  <c r="GZ263" i="4"/>
  <c r="HA262" i="4"/>
  <c r="GZ262" i="4"/>
  <c r="HA261" i="4"/>
  <c r="GZ261" i="4"/>
  <c r="HA260" i="4"/>
  <c r="GZ260" i="4"/>
  <c r="HA259" i="4"/>
  <c r="GZ259" i="4"/>
  <c r="HA258" i="4"/>
  <c r="GZ258" i="4"/>
  <c r="HA257" i="4"/>
  <c r="GZ257" i="4"/>
  <c r="HA256" i="4"/>
  <c r="GZ256" i="4"/>
  <c r="HA255" i="4"/>
  <c r="GZ255" i="4"/>
  <c r="HA254" i="4"/>
  <c r="GZ254" i="4"/>
  <c r="HA253" i="4"/>
  <c r="GZ253" i="4"/>
  <c r="HA252" i="4"/>
  <c r="GZ252" i="4"/>
  <c r="HA251" i="4"/>
  <c r="GZ251" i="4"/>
  <c r="HA250" i="4"/>
  <c r="GZ250" i="4"/>
  <c r="HA249" i="4"/>
  <c r="GZ249" i="4"/>
  <c r="HA248" i="4"/>
  <c r="GZ248" i="4"/>
  <c r="HA247" i="4"/>
  <c r="GZ247" i="4"/>
  <c r="HA246" i="4"/>
  <c r="GZ246" i="4"/>
  <c r="HA245" i="4"/>
  <c r="GZ245" i="4"/>
  <c r="HA244" i="4"/>
  <c r="GZ244" i="4"/>
  <c r="HA243" i="4"/>
  <c r="GZ243" i="4"/>
  <c r="HA242" i="4"/>
  <c r="GZ242" i="4"/>
  <c r="HA241" i="4"/>
  <c r="GZ241" i="4"/>
  <c r="HA240" i="4"/>
  <c r="GZ240" i="4"/>
  <c r="HA239" i="4"/>
  <c r="GZ239" i="4"/>
  <c r="HA238" i="4"/>
  <c r="GZ238" i="4"/>
  <c r="HA237" i="4"/>
  <c r="GZ237" i="4"/>
  <c r="HA236" i="4"/>
  <c r="GZ236" i="4"/>
  <c r="HA235" i="4"/>
  <c r="GZ235" i="4"/>
  <c r="HA234" i="4"/>
  <c r="GZ234" i="4"/>
  <c r="HA233" i="4"/>
  <c r="GZ233" i="4"/>
  <c r="HA232" i="4"/>
  <c r="GZ232" i="4"/>
  <c r="HA231" i="4"/>
  <c r="GZ231" i="4"/>
  <c r="HA230" i="4"/>
  <c r="GZ230" i="4"/>
  <c r="HA229" i="4"/>
  <c r="GZ229" i="4"/>
  <c r="HA228" i="4"/>
  <c r="GZ228" i="4"/>
  <c r="HA227" i="4"/>
  <c r="GZ227" i="4"/>
  <c r="HA226" i="4"/>
  <c r="GZ226" i="4"/>
  <c r="HA225" i="4"/>
  <c r="GZ225" i="4"/>
  <c r="HA224" i="4"/>
  <c r="GZ224" i="4"/>
  <c r="HA223" i="4"/>
  <c r="GZ223" i="4"/>
  <c r="HA222" i="4"/>
  <c r="GZ222" i="4"/>
  <c r="HA221" i="4"/>
  <c r="GZ221" i="4"/>
  <c r="HA220" i="4"/>
  <c r="GZ220" i="4"/>
  <c r="HA219" i="4"/>
  <c r="GZ219" i="4"/>
  <c r="HA218" i="4"/>
  <c r="GZ218" i="4"/>
  <c r="HA217" i="4"/>
  <c r="GZ217" i="4"/>
  <c r="HA216" i="4"/>
  <c r="GZ216" i="4"/>
  <c r="HA215" i="4"/>
  <c r="GZ215" i="4"/>
  <c r="HA214" i="4"/>
  <c r="GZ214" i="4"/>
  <c r="HA213" i="4"/>
  <c r="GZ213" i="4"/>
  <c r="HA212" i="4"/>
  <c r="GZ212" i="4"/>
  <c r="HA211" i="4"/>
  <c r="GZ211" i="4"/>
  <c r="HA210" i="4"/>
  <c r="GZ210" i="4"/>
  <c r="HA209" i="4"/>
  <c r="GZ209" i="4"/>
  <c r="HA208" i="4"/>
  <c r="GZ208" i="4"/>
  <c r="HA207" i="4"/>
  <c r="GZ207" i="4"/>
  <c r="HA206" i="4"/>
  <c r="GZ206" i="4"/>
  <c r="HA205" i="4"/>
  <c r="GZ205" i="4"/>
  <c r="HA204" i="4"/>
  <c r="GZ204" i="4"/>
  <c r="HA203" i="4"/>
  <c r="GZ203" i="4"/>
  <c r="HA202" i="4"/>
  <c r="GZ202" i="4"/>
  <c r="HA201" i="4"/>
  <c r="GZ201" i="4"/>
  <c r="HA200" i="4"/>
  <c r="GZ200" i="4"/>
  <c r="HA199" i="4"/>
  <c r="GZ199" i="4"/>
  <c r="HA198" i="4"/>
  <c r="GZ198" i="4"/>
  <c r="HA197" i="4"/>
  <c r="GZ197" i="4"/>
  <c r="HA196" i="4"/>
  <c r="GZ196" i="4"/>
  <c r="HA195" i="4"/>
  <c r="GZ195" i="4"/>
  <c r="HA194" i="4"/>
  <c r="GZ194" i="4"/>
  <c r="HA193" i="4"/>
  <c r="GZ193" i="4"/>
  <c r="HA192" i="4"/>
  <c r="GZ192" i="4"/>
  <c r="HA191" i="4"/>
  <c r="GZ191" i="4"/>
  <c r="HA190" i="4"/>
  <c r="GZ190" i="4"/>
  <c r="HA189" i="4"/>
  <c r="GZ189" i="4"/>
  <c r="HA188" i="4"/>
  <c r="GZ188" i="4"/>
  <c r="HA187" i="4"/>
  <c r="GZ187" i="4"/>
  <c r="HA186" i="4"/>
  <c r="GZ186" i="4"/>
  <c r="HA185" i="4"/>
  <c r="GZ185" i="4"/>
  <c r="HA184" i="4"/>
  <c r="GZ184" i="4"/>
  <c r="HA183" i="4"/>
  <c r="GZ183" i="4"/>
  <c r="HA182" i="4"/>
  <c r="GZ182" i="4"/>
  <c r="HA181" i="4"/>
  <c r="GZ181" i="4"/>
  <c r="HA180" i="4"/>
  <c r="GZ180" i="4"/>
  <c r="HA179" i="4"/>
  <c r="GZ179" i="4"/>
  <c r="HA178" i="4"/>
  <c r="GZ178" i="4"/>
  <c r="HA177" i="4"/>
  <c r="GZ177" i="4"/>
  <c r="HA176" i="4"/>
  <c r="GZ176" i="4"/>
  <c r="HA175" i="4"/>
  <c r="GZ175" i="4"/>
  <c r="HA174" i="4"/>
  <c r="GZ174" i="4"/>
  <c r="HA173" i="4"/>
  <c r="GZ173" i="4"/>
  <c r="HA172" i="4"/>
  <c r="GZ172" i="4"/>
  <c r="HA171" i="4"/>
  <c r="GZ171" i="4"/>
  <c r="HA170" i="4"/>
  <c r="GZ170" i="4"/>
  <c r="HA169" i="4"/>
  <c r="GZ169" i="4"/>
  <c r="HA168" i="4"/>
  <c r="GZ168" i="4"/>
  <c r="HA167" i="4"/>
  <c r="GZ167" i="4"/>
  <c r="HA166" i="4"/>
  <c r="GZ166" i="4"/>
  <c r="HA165" i="4"/>
  <c r="GZ165" i="4"/>
  <c r="HA164" i="4"/>
  <c r="GZ164" i="4"/>
  <c r="HA163" i="4"/>
  <c r="GZ163" i="4"/>
  <c r="HA162" i="4"/>
  <c r="GZ162" i="4"/>
  <c r="HA161" i="4"/>
  <c r="GZ161" i="4"/>
  <c r="HA160" i="4"/>
  <c r="GZ160" i="4"/>
  <c r="HA159" i="4"/>
  <c r="GZ159" i="4"/>
  <c r="HA158" i="4"/>
  <c r="GZ158" i="4"/>
  <c r="HA157" i="4"/>
  <c r="GZ157" i="4"/>
  <c r="HA156" i="4"/>
  <c r="GZ156" i="4"/>
  <c r="HA155" i="4"/>
  <c r="GZ155" i="4"/>
  <c r="HA154" i="4"/>
  <c r="GZ154" i="4"/>
  <c r="HA153" i="4"/>
  <c r="GZ153" i="4"/>
  <c r="HA152" i="4"/>
  <c r="GZ152" i="4"/>
  <c r="HA151" i="4"/>
  <c r="GZ151" i="4"/>
  <c r="HA150" i="4"/>
  <c r="GZ150" i="4"/>
  <c r="HA149" i="4"/>
  <c r="GZ149" i="4"/>
  <c r="HA148" i="4"/>
  <c r="GZ148" i="4"/>
  <c r="HA147" i="4"/>
  <c r="GZ147" i="4"/>
  <c r="HA146" i="4"/>
  <c r="GZ146" i="4"/>
  <c r="HA145" i="4"/>
  <c r="GZ145" i="4"/>
  <c r="HA144" i="4"/>
  <c r="GZ144" i="4"/>
  <c r="HA143" i="4"/>
  <c r="GZ143" i="4"/>
  <c r="HA142" i="4"/>
  <c r="GZ142" i="4"/>
  <c r="HA141" i="4"/>
  <c r="GZ141" i="4"/>
  <c r="HA140" i="4"/>
  <c r="GZ140" i="4"/>
  <c r="HA139" i="4"/>
  <c r="GZ139" i="4"/>
  <c r="HA138" i="4"/>
  <c r="GZ138" i="4"/>
  <c r="HA137" i="4"/>
  <c r="GZ137" i="4"/>
  <c r="HA136" i="4"/>
  <c r="GZ136" i="4"/>
  <c r="HA135" i="4"/>
  <c r="GZ135" i="4"/>
  <c r="HA134" i="4"/>
  <c r="GZ134" i="4"/>
  <c r="HA133" i="4"/>
  <c r="GZ133" i="4"/>
  <c r="HA132" i="4"/>
  <c r="GZ132" i="4"/>
  <c r="HA131" i="4"/>
  <c r="GZ131" i="4"/>
  <c r="HA130" i="4"/>
  <c r="GZ130" i="4"/>
  <c r="HA129" i="4"/>
  <c r="GZ129" i="4"/>
  <c r="HA128" i="4"/>
  <c r="GZ128" i="4"/>
  <c r="HA127" i="4"/>
  <c r="GZ127" i="4"/>
  <c r="HA126" i="4"/>
  <c r="GZ126" i="4"/>
  <c r="HA125" i="4"/>
  <c r="GZ125" i="4"/>
  <c r="HA124" i="4"/>
  <c r="GZ124" i="4"/>
  <c r="HA123" i="4"/>
  <c r="GZ123" i="4"/>
  <c r="HA122" i="4"/>
  <c r="GZ122" i="4"/>
  <c r="HA121" i="4"/>
  <c r="GZ121" i="4"/>
  <c r="HA120" i="4"/>
  <c r="GZ120" i="4"/>
  <c r="HA119" i="4"/>
  <c r="GZ119" i="4"/>
  <c r="HA118" i="4"/>
  <c r="GZ118" i="4"/>
  <c r="HA117" i="4"/>
  <c r="GZ117" i="4"/>
  <c r="HA116" i="4"/>
  <c r="GZ116" i="4"/>
  <c r="HA115" i="4"/>
  <c r="GZ115" i="4"/>
  <c r="HA114" i="4"/>
  <c r="GZ114" i="4"/>
  <c r="HA113" i="4"/>
  <c r="GZ113" i="4"/>
  <c r="HA112" i="4"/>
  <c r="GZ112" i="4"/>
  <c r="HA111" i="4"/>
  <c r="GZ111" i="4"/>
  <c r="HA110" i="4"/>
  <c r="GZ110" i="4"/>
  <c r="HA109" i="4"/>
  <c r="GZ109" i="4"/>
  <c r="HA108" i="4"/>
  <c r="GZ108" i="4"/>
  <c r="HA107" i="4"/>
  <c r="GZ107" i="4"/>
  <c r="HA106" i="4"/>
  <c r="GZ106" i="4"/>
  <c r="HA105" i="4"/>
  <c r="GZ105" i="4"/>
  <c r="HA104" i="4"/>
  <c r="GZ104" i="4"/>
  <c r="HA103" i="4"/>
  <c r="GZ103" i="4"/>
  <c r="HA102" i="4"/>
  <c r="GZ102" i="4"/>
  <c r="HA101" i="4"/>
  <c r="GZ101" i="4"/>
  <c r="HA100" i="4"/>
  <c r="GZ100" i="4"/>
  <c r="HA99" i="4"/>
  <c r="GZ99" i="4"/>
  <c r="HA98" i="4"/>
  <c r="GZ98" i="4"/>
  <c r="HA97" i="4"/>
  <c r="GZ97" i="4"/>
  <c r="HA96" i="4"/>
  <c r="GZ96" i="4"/>
  <c r="HA95" i="4"/>
  <c r="GZ95" i="4"/>
  <c r="HA94" i="4"/>
  <c r="GZ94" i="4"/>
  <c r="HA93" i="4"/>
  <c r="GZ93" i="4"/>
  <c r="HA92" i="4"/>
  <c r="GZ92" i="4"/>
  <c r="HA91" i="4"/>
  <c r="GZ91" i="4"/>
  <c r="HA90" i="4"/>
  <c r="GZ90" i="4"/>
  <c r="HA89" i="4"/>
  <c r="GZ89" i="4"/>
  <c r="HA88" i="4"/>
  <c r="GZ88" i="4"/>
  <c r="HA87" i="4"/>
  <c r="GZ87" i="4"/>
  <c r="HA86" i="4"/>
  <c r="GZ86" i="4"/>
  <c r="HA85" i="4"/>
  <c r="GZ85" i="4"/>
  <c r="HA84" i="4"/>
  <c r="GZ84" i="4"/>
  <c r="HA83" i="4"/>
  <c r="GZ83" i="4"/>
  <c r="HA82" i="4"/>
  <c r="GZ82" i="4"/>
  <c r="HA81" i="4"/>
  <c r="GZ81" i="4"/>
  <c r="HA80" i="4"/>
  <c r="GZ80" i="4"/>
  <c r="HA79" i="4"/>
  <c r="GZ79" i="4"/>
  <c r="HA78" i="4"/>
  <c r="GZ78" i="4"/>
  <c r="HA77" i="4"/>
  <c r="GZ77" i="4"/>
  <c r="HA76" i="4"/>
  <c r="GZ76" i="4"/>
  <c r="HA75" i="4"/>
  <c r="GZ75" i="4"/>
  <c r="HA74" i="4"/>
  <c r="GZ74" i="4"/>
  <c r="HA73" i="4"/>
  <c r="GZ73" i="4"/>
  <c r="HA72" i="4"/>
  <c r="GZ72" i="4"/>
  <c r="HA71" i="4"/>
  <c r="GZ71" i="4"/>
  <c r="HA70" i="4"/>
  <c r="GZ70" i="4"/>
  <c r="HA69" i="4"/>
  <c r="GZ69" i="4"/>
  <c r="HA68" i="4"/>
  <c r="GZ68" i="4"/>
  <c r="HA67" i="4"/>
  <c r="GZ67" i="4"/>
  <c r="HA66" i="4"/>
  <c r="GZ66" i="4"/>
  <c r="HA65" i="4"/>
  <c r="GZ65" i="4"/>
  <c r="HA64" i="4"/>
  <c r="GZ64" i="4"/>
  <c r="HA63" i="4"/>
  <c r="GZ63" i="4"/>
  <c r="HA62" i="4"/>
  <c r="GZ62" i="4"/>
  <c r="HA61" i="4"/>
  <c r="GZ61" i="4"/>
  <c r="HA60" i="4"/>
  <c r="GZ60" i="4"/>
  <c r="HA59" i="4"/>
  <c r="GZ59" i="4"/>
  <c r="HA58" i="4"/>
  <c r="GZ58" i="4"/>
  <c r="HA57" i="4"/>
  <c r="GZ57" i="4"/>
  <c r="HA56" i="4"/>
  <c r="GZ56" i="4"/>
  <c r="HA55" i="4"/>
  <c r="GZ55" i="4"/>
  <c r="HA54" i="4"/>
  <c r="GZ54" i="4"/>
  <c r="HA53" i="4"/>
  <c r="GZ53" i="4"/>
  <c r="HA52" i="4"/>
  <c r="GZ52" i="4"/>
  <c r="HA51" i="4"/>
  <c r="GZ51" i="4"/>
  <c r="HA50" i="4"/>
  <c r="GZ50" i="4"/>
  <c r="HA49" i="4"/>
  <c r="GZ49" i="4"/>
  <c r="HA48" i="4"/>
  <c r="GZ48" i="4"/>
  <c r="HA47" i="4"/>
  <c r="GZ47" i="4"/>
  <c r="HA46" i="4"/>
  <c r="GZ46" i="4"/>
  <c r="HA45" i="4"/>
  <c r="GZ45" i="4"/>
  <c r="HA44" i="4"/>
  <c r="GZ44" i="4"/>
  <c r="HA43" i="4"/>
  <c r="GZ43" i="4"/>
  <c r="HA42" i="4"/>
  <c r="GZ42" i="4"/>
  <c r="HA41" i="4"/>
  <c r="GZ41" i="4"/>
  <c r="HA40" i="4"/>
  <c r="GZ40" i="4"/>
  <c r="HA39" i="4"/>
  <c r="GZ39" i="4"/>
  <c r="HA38" i="4"/>
  <c r="GZ38" i="4"/>
  <c r="HA37" i="4"/>
  <c r="GZ37" i="4"/>
  <c r="HA36" i="4"/>
  <c r="GZ36" i="4"/>
  <c r="HA35" i="4"/>
  <c r="GZ35" i="4"/>
  <c r="HA34" i="4"/>
  <c r="GZ34" i="4"/>
  <c r="HA33" i="4"/>
  <c r="GZ33" i="4"/>
  <c r="HA32" i="4"/>
  <c r="GZ32" i="4"/>
  <c r="HA31" i="4"/>
  <c r="GZ31" i="4"/>
  <c r="HA30" i="4"/>
  <c r="GZ30" i="4"/>
  <c r="HA29" i="4"/>
  <c r="GZ29" i="4"/>
  <c r="HA28" i="4"/>
  <c r="GZ28" i="4"/>
  <c r="HA27" i="4"/>
  <c r="GZ27" i="4"/>
  <c r="HA26" i="4"/>
  <c r="GZ26" i="4"/>
  <c r="HA25" i="4"/>
  <c r="GZ25" i="4"/>
  <c r="HA24" i="4"/>
  <c r="GZ24" i="4"/>
  <c r="HA23" i="4"/>
  <c r="GZ23" i="4"/>
  <c r="HA22" i="4"/>
  <c r="GZ22" i="4"/>
  <c r="HA21" i="4"/>
  <c r="GZ21" i="4"/>
  <c r="HA20" i="4"/>
  <c r="GZ20" i="4"/>
  <c r="HA19" i="4"/>
  <c r="GZ19" i="4"/>
  <c r="HA18" i="4"/>
  <c r="GZ18" i="4"/>
  <c r="HA17" i="4"/>
  <c r="GZ17" i="4"/>
  <c r="HA16" i="4"/>
  <c r="GZ16" i="4"/>
  <c r="HA15" i="4"/>
  <c r="GZ15" i="4"/>
  <c r="HA14" i="4"/>
  <c r="GZ14" i="4"/>
  <c r="HA13" i="4"/>
  <c r="GZ13" i="4"/>
  <c r="HA12" i="4"/>
  <c r="GZ12" i="4"/>
  <c r="HA11" i="4"/>
  <c r="GZ11" i="4"/>
  <c r="HA10" i="4"/>
  <c r="GZ10" i="4"/>
  <c r="GU300" i="4"/>
  <c r="GT300" i="4"/>
  <c r="GU299" i="4"/>
  <c r="GT299" i="4"/>
  <c r="GU298" i="4"/>
  <c r="GT298" i="4"/>
  <c r="GU297" i="4"/>
  <c r="GT297" i="4"/>
  <c r="GU296" i="4"/>
  <c r="GT296" i="4"/>
  <c r="GU295" i="4"/>
  <c r="GT295" i="4"/>
  <c r="GU294" i="4"/>
  <c r="GT294" i="4"/>
  <c r="GU293" i="4"/>
  <c r="GT293" i="4"/>
  <c r="GU292" i="4"/>
  <c r="GT292" i="4"/>
  <c r="GU291" i="4"/>
  <c r="GT291" i="4"/>
  <c r="GU290" i="4"/>
  <c r="GT290" i="4"/>
  <c r="GU289" i="4"/>
  <c r="GT289" i="4"/>
  <c r="GU288" i="4"/>
  <c r="GT288" i="4"/>
  <c r="GU287" i="4"/>
  <c r="GT287" i="4"/>
  <c r="GU286" i="4"/>
  <c r="GT286" i="4"/>
  <c r="GU285" i="4"/>
  <c r="GT285" i="4"/>
  <c r="GU284" i="4"/>
  <c r="GT284" i="4"/>
  <c r="GU283" i="4"/>
  <c r="GT283" i="4"/>
  <c r="GU282" i="4"/>
  <c r="GT282" i="4"/>
  <c r="GU281" i="4"/>
  <c r="GT281" i="4"/>
  <c r="GU280" i="4"/>
  <c r="GT280" i="4"/>
  <c r="GU279" i="4"/>
  <c r="GT279" i="4"/>
  <c r="GU278" i="4"/>
  <c r="GT278" i="4"/>
  <c r="GU277" i="4"/>
  <c r="GT277" i="4"/>
  <c r="GU276" i="4"/>
  <c r="GT276" i="4"/>
  <c r="GU275" i="4"/>
  <c r="GT275" i="4"/>
  <c r="GU274" i="4"/>
  <c r="GT274" i="4"/>
  <c r="GU273" i="4"/>
  <c r="GT273" i="4"/>
  <c r="GU272" i="4"/>
  <c r="GT272" i="4"/>
  <c r="GU271" i="4"/>
  <c r="GT271" i="4"/>
  <c r="GU270" i="4"/>
  <c r="GT270" i="4"/>
  <c r="GU269" i="4"/>
  <c r="GT269" i="4"/>
  <c r="GU268" i="4"/>
  <c r="GT268" i="4"/>
  <c r="GU267" i="4"/>
  <c r="GT267" i="4"/>
  <c r="GU266" i="4"/>
  <c r="GT266" i="4"/>
  <c r="GU265" i="4"/>
  <c r="GT265" i="4"/>
  <c r="GU264" i="4"/>
  <c r="GT264" i="4"/>
  <c r="GU263" i="4"/>
  <c r="GT263" i="4"/>
  <c r="GU262" i="4"/>
  <c r="GT262" i="4"/>
  <c r="GU261" i="4"/>
  <c r="GT261" i="4"/>
  <c r="GU260" i="4"/>
  <c r="GT260" i="4"/>
  <c r="GU259" i="4"/>
  <c r="GT259" i="4"/>
  <c r="GU258" i="4"/>
  <c r="GT258" i="4"/>
  <c r="GU257" i="4"/>
  <c r="GT257" i="4"/>
  <c r="GU256" i="4"/>
  <c r="GT256" i="4"/>
  <c r="GU255" i="4"/>
  <c r="GT255" i="4"/>
  <c r="GU254" i="4"/>
  <c r="GT254" i="4"/>
  <c r="GU253" i="4"/>
  <c r="GT253" i="4"/>
  <c r="GU252" i="4"/>
  <c r="GT252" i="4"/>
  <c r="GU251" i="4"/>
  <c r="GT251" i="4"/>
  <c r="GU250" i="4"/>
  <c r="GT250" i="4"/>
  <c r="GU249" i="4"/>
  <c r="GT249" i="4"/>
  <c r="GU248" i="4"/>
  <c r="GT248" i="4"/>
  <c r="GU247" i="4"/>
  <c r="GT247" i="4"/>
  <c r="GU246" i="4"/>
  <c r="GT246" i="4"/>
  <c r="GU245" i="4"/>
  <c r="GT245" i="4"/>
  <c r="GU244" i="4"/>
  <c r="GT244" i="4"/>
  <c r="GU243" i="4"/>
  <c r="GT243" i="4"/>
  <c r="GU242" i="4"/>
  <c r="GT242" i="4"/>
  <c r="GU241" i="4"/>
  <c r="GT241" i="4"/>
  <c r="GU240" i="4"/>
  <c r="GT240" i="4"/>
  <c r="GU239" i="4"/>
  <c r="GT239" i="4"/>
  <c r="GU238" i="4"/>
  <c r="GT238" i="4"/>
  <c r="GU237" i="4"/>
  <c r="GT237" i="4"/>
  <c r="GU236" i="4"/>
  <c r="GT236" i="4"/>
  <c r="GU235" i="4"/>
  <c r="GT235" i="4"/>
  <c r="GU234" i="4"/>
  <c r="GT234" i="4"/>
  <c r="GU233" i="4"/>
  <c r="GT233" i="4"/>
  <c r="GU232" i="4"/>
  <c r="GT232" i="4"/>
  <c r="GU231" i="4"/>
  <c r="GT231" i="4"/>
  <c r="GU230" i="4"/>
  <c r="GT230" i="4"/>
  <c r="GU229" i="4"/>
  <c r="GT229" i="4"/>
  <c r="GU228" i="4"/>
  <c r="GT228" i="4"/>
  <c r="GU227" i="4"/>
  <c r="GT227" i="4"/>
  <c r="GU226" i="4"/>
  <c r="GT226" i="4"/>
  <c r="GU225" i="4"/>
  <c r="GT225" i="4"/>
  <c r="GU224" i="4"/>
  <c r="GT224" i="4"/>
  <c r="GU223" i="4"/>
  <c r="GT223" i="4"/>
  <c r="GU222" i="4"/>
  <c r="GT222" i="4"/>
  <c r="GU221" i="4"/>
  <c r="GT221" i="4"/>
  <c r="GU220" i="4"/>
  <c r="GT220" i="4"/>
  <c r="GU219" i="4"/>
  <c r="GT219" i="4"/>
  <c r="GU218" i="4"/>
  <c r="GT218" i="4"/>
  <c r="GU217" i="4"/>
  <c r="GT217" i="4"/>
  <c r="GU216" i="4"/>
  <c r="GT216" i="4"/>
  <c r="GU215" i="4"/>
  <c r="GT215" i="4"/>
  <c r="GU214" i="4"/>
  <c r="GT214" i="4"/>
  <c r="GU213" i="4"/>
  <c r="GT213" i="4"/>
  <c r="GU212" i="4"/>
  <c r="GT212" i="4"/>
  <c r="GU211" i="4"/>
  <c r="GT211" i="4"/>
  <c r="GU210" i="4"/>
  <c r="GT210" i="4"/>
  <c r="GU209" i="4"/>
  <c r="GT209" i="4"/>
  <c r="GU208" i="4"/>
  <c r="GT208" i="4"/>
  <c r="GU207" i="4"/>
  <c r="GT207" i="4"/>
  <c r="GU206" i="4"/>
  <c r="GT206" i="4"/>
  <c r="GU205" i="4"/>
  <c r="GT205" i="4"/>
  <c r="GU204" i="4"/>
  <c r="GT204" i="4"/>
  <c r="GU203" i="4"/>
  <c r="GT203" i="4"/>
  <c r="GU202" i="4"/>
  <c r="GT202" i="4"/>
  <c r="GU201" i="4"/>
  <c r="GT201" i="4"/>
  <c r="GU200" i="4"/>
  <c r="GT200" i="4"/>
  <c r="GU199" i="4"/>
  <c r="GT199" i="4"/>
  <c r="GU198" i="4"/>
  <c r="GT198" i="4"/>
  <c r="GU197" i="4"/>
  <c r="GT197" i="4"/>
  <c r="GU196" i="4"/>
  <c r="GT196" i="4"/>
  <c r="GU195" i="4"/>
  <c r="GT195" i="4"/>
  <c r="GU194" i="4"/>
  <c r="GT194" i="4"/>
  <c r="GU193" i="4"/>
  <c r="GT193" i="4"/>
  <c r="GU192" i="4"/>
  <c r="GT192" i="4"/>
  <c r="GU191" i="4"/>
  <c r="GT191" i="4"/>
  <c r="GU190" i="4"/>
  <c r="GT190" i="4"/>
  <c r="GU189" i="4"/>
  <c r="GT189" i="4"/>
  <c r="GU188" i="4"/>
  <c r="GT188" i="4"/>
  <c r="GU187" i="4"/>
  <c r="GT187" i="4"/>
  <c r="GU186" i="4"/>
  <c r="GT186" i="4"/>
  <c r="GU185" i="4"/>
  <c r="GT185" i="4"/>
  <c r="GU184" i="4"/>
  <c r="GT184" i="4"/>
  <c r="GU183" i="4"/>
  <c r="GT183" i="4"/>
  <c r="GU182" i="4"/>
  <c r="GT182" i="4"/>
  <c r="GU181" i="4"/>
  <c r="GT181" i="4"/>
  <c r="GU180" i="4"/>
  <c r="GT180" i="4"/>
  <c r="GU179" i="4"/>
  <c r="GT179" i="4"/>
  <c r="GU178" i="4"/>
  <c r="GT178" i="4"/>
  <c r="GU177" i="4"/>
  <c r="GT177" i="4"/>
  <c r="GU176" i="4"/>
  <c r="GT176" i="4"/>
  <c r="GU175" i="4"/>
  <c r="GT175" i="4"/>
  <c r="GU174" i="4"/>
  <c r="GT174" i="4"/>
  <c r="GU173" i="4"/>
  <c r="GT173" i="4"/>
  <c r="GU172" i="4"/>
  <c r="GT172" i="4"/>
  <c r="GU171" i="4"/>
  <c r="GT171" i="4"/>
  <c r="GU170" i="4"/>
  <c r="GT170" i="4"/>
  <c r="GU169" i="4"/>
  <c r="GT169" i="4"/>
  <c r="GU168" i="4"/>
  <c r="GT168" i="4"/>
  <c r="GU167" i="4"/>
  <c r="GT167" i="4"/>
  <c r="GU166" i="4"/>
  <c r="GT166" i="4"/>
  <c r="GU165" i="4"/>
  <c r="GT165" i="4"/>
  <c r="GU164" i="4"/>
  <c r="GT164" i="4"/>
  <c r="GU163" i="4"/>
  <c r="GT163" i="4"/>
  <c r="GU162" i="4"/>
  <c r="GT162" i="4"/>
  <c r="GU161" i="4"/>
  <c r="GT161" i="4"/>
  <c r="GU160" i="4"/>
  <c r="GT160" i="4"/>
  <c r="GU159" i="4"/>
  <c r="GT159" i="4"/>
  <c r="GU158" i="4"/>
  <c r="GT158" i="4"/>
  <c r="GU157" i="4"/>
  <c r="GT157" i="4"/>
  <c r="GU156" i="4"/>
  <c r="GT156" i="4"/>
  <c r="GU155" i="4"/>
  <c r="GT155" i="4"/>
  <c r="GU154" i="4"/>
  <c r="GT154" i="4"/>
  <c r="GU153" i="4"/>
  <c r="GT153" i="4"/>
  <c r="GU152" i="4"/>
  <c r="GT152" i="4"/>
  <c r="GU151" i="4"/>
  <c r="GT151" i="4"/>
  <c r="GU150" i="4"/>
  <c r="GT150" i="4"/>
  <c r="GU149" i="4"/>
  <c r="GT149" i="4"/>
  <c r="GU148" i="4"/>
  <c r="GT148" i="4"/>
  <c r="GU147" i="4"/>
  <c r="GT147" i="4"/>
  <c r="GU146" i="4"/>
  <c r="GT146" i="4"/>
  <c r="GU145" i="4"/>
  <c r="GT145" i="4"/>
  <c r="GU144" i="4"/>
  <c r="GT144" i="4"/>
  <c r="GU143" i="4"/>
  <c r="GT143" i="4"/>
  <c r="GU142" i="4"/>
  <c r="GT142" i="4"/>
  <c r="GU141" i="4"/>
  <c r="GT141" i="4"/>
  <c r="GU140" i="4"/>
  <c r="GT140" i="4"/>
  <c r="GU139" i="4"/>
  <c r="GT139" i="4"/>
  <c r="GU138" i="4"/>
  <c r="GT138" i="4"/>
  <c r="GU137" i="4"/>
  <c r="GT137" i="4"/>
  <c r="GU136" i="4"/>
  <c r="GT136" i="4"/>
  <c r="GU135" i="4"/>
  <c r="GT135" i="4"/>
  <c r="GU134" i="4"/>
  <c r="GT134" i="4"/>
  <c r="GU133" i="4"/>
  <c r="GT133" i="4"/>
  <c r="GU132" i="4"/>
  <c r="GT132" i="4"/>
  <c r="GU131" i="4"/>
  <c r="GT131" i="4"/>
  <c r="GU130" i="4"/>
  <c r="GT130" i="4"/>
  <c r="GU129" i="4"/>
  <c r="GT129" i="4"/>
  <c r="GU128" i="4"/>
  <c r="GT128" i="4"/>
  <c r="GU127" i="4"/>
  <c r="GT127" i="4"/>
  <c r="GU126" i="4"/>
  <c r="GT126" i="4"/>
  <c r="GU125" i="4"/>
  <c r="GT125" i="4"/>
  <c r="GU124" i="4"/>
  <c r="GT124" i="4"/>
  <c r="GU123" i="4"/>
  <c r="GT123" i="4"/>
  <c r="GU122" i="4"/>
  <c r="GT122" i="4"/>
  <c r="GU121" i="4"/>
  <c r="GT121" i="4"/>
  <c r="GU120" i="4"/>
  <c r="GT120" i="4"/>
  <c r="GU119" i="4"/>
  <c r="GT119" i="4"/>
  <c r="GU118" i="4"/>
  <c r="GT118" i="4"/>
  <c r="GU117" i="4"/>
  <c r="GT117" i="4"/>
  <c r="GU116" i="4"/>
  <c r="GT116" i="4"/>
  <c r="GU115" i="4"/>
  <c r="GT115" i="4"/>
  <c r="GU114" i="4"/>
  <c r="GT114" i="4"/>
  <c r="GU113" i="4"/>
  <c r="GT113" i="4"/>
  <c r="GU112" i="4"/>
  <c r="GT112" i="4"/>
  <c r="GU111" i="4"/>
  <c r="GT111" i="4"/>
  <c r="GU110" i="4"/>
  <c r="GT110" i="4"/>
  <c r="GU109" i="4"/>
  <c r="GT109" i="4"/>
  <c r="GU108" i="4"/>
  <c r="GT108" i="4"/>
  <c r="GU107" i="4"/>
  <c r="GT107" i="4"/>
  <c r="GU106" i="4"/>
  <c r="GT106" i="4"/>
  <c r="GU105" i="4"/>
  <c r="GT105" i="4"/>
  <c r="GU104" i="4"/>
  <c r="GT104" i="4"/>
  <c r="GU103" i="4"/>
  <c r="GT103" i="4"/>
  <c r="GU102" i="4"/>
  <c r="GT102" i="4"/>
  <c r="GU101" i="4"/>
  <c r="GT101" i="4"/>
  <c r="GU100" i="4"/>
  <c r="GT100" i="4"/>
  <c r="GU99" i="4"/>
  <c r="GT99" i="4"/>
  <c r="GU98" i="4"/>
  <c r="GT98" i="4"/>
  <c r="GU97" i="4"/>
  <c r="GT97" i="4"/>
  <c r="GU96" i="4"/>
  <c r="GT96" i="4"/>
  <c r="GU95" i="4"/>
  <c r="GT95" i="4"/>
  <c r="GU94" i="4"/>
  <c r="GT94" i="4"/>
  <c r="GU93" i="4"/>
  <c r="GT93" i="4"/>
  <c r="GU92" i="4"/>
  <c r="GT92" i="4"/>
  <c r="GU91" i="4"/>
  <c r="GT91" i="4"/>
  <c r="GU90" i="4"/>
  <c r="GT90" i="4"/>
  <c r="GU89" i="4"/>
  <c r="GT89" i="4"/>
  <c r="GU88" i="4"/>
  <c r="GT88" i="4"/>
  <c r="GU87" i="4"/>
  <c r="GT87" i="4"/>
  <c r="GU86" i="4"/>
  <c r="GT86" i="4"/>
  <c r="GU85" i="4"/>
  <c r="GT85" i="4"/>
  <c r="GU84" i="4"/>
  <c r="GT84" i="4"/>
  <c r="GU83" i="4"/>
  <c r="GT83" i="4"/>
  <c r="GU82" i="4"/>
  <c r="GT82" i="4"/>
  <c r="GU81" i="4"/>
  <c r="GT81" i="4"/>
  <c r="GU80" i="4"/>
  <c r="GT80" i="4"/>
  <c r="GU79" i="4"/>
  <c r="GT79" i="4"/>
  <c r="GU78" i="4"/>
  <c r="GT78" i="4"/>
  <c r="GU77" i="4"/>
  <c r="GT77" i="4"/>
  <c r="GU76" i="4"/>
  <c r="GT76" i="4"/>
  <c r="GU75" i="4"/>
  <c r="GT75" i="4"/>
  <c r="GU74" i="4"/>
  <c r="GT74" i="4"/>
  <c r="GU73" i="4"/>
  <c r="GT73" i="4"/>
  <c r="GU72" i="4"/>
  <c r="GT72" i="4"/>
  <c r="GU71" i="4"/>
  <c r="GT71" i="4"/>
  <c r="GU70" i="4"/>
  <c r="GT70" i="4"/>
  <c r="GU69" i="4"/>
  <c r="GT69" i="4"/>
  <c r="GU68" i="4"/>
  <c r="GT68" i="4"/>
  <c r="GU67" i="4"/>
  <c r="GT67" i="4"/>
  <c r="GU66" i="4"/>
  <c r="GT66" i="4"/>
  <c r="GU65" i="4"/>
  <c r="GT65" i="4"/>
  <c r="GU64" i="4"/>
  <c r="GT64" i="4"/>
  <c r="GU63" i="4"/>
  <c r="GT63" i="4"/>
  <c r="GU62" i="4"/>
  <c r="GT62" i="4"/>
  <c r="GU61" i="4"/>
  <c r="GT61" i="4"/>
  <c r="GU60" i="4"/>
  <c r="GT60" i="4"/>
  <c r="GU59" i="4"/>
  <c r="GT59" i="4"/>
  <c r="GU58" i="4"/>
  <c r="GT58" i="4"/>
  <c r="GU57" i="4"/>
  <c r="GT57" i="4"/>
  <c r="GU56" i="4"/>
  <c r="GT56" i="4"/>
  <c r="GU55" i="4"/>
  <c r="GT55" i="4"/>
  <c r="GU54" i="4"/>
  <c r="GT54" i="4"/>
  <c r="GU53" i="4"/>
  <c r="GT53" i="4"/>
  <c r="GU52" i="4"/>
  <c r="GT52" i="4"/>
  <c r="GU51" i="4"/>
  <c r="GT51" i="4"/>
  <c r="GU50" i="4"/>
  <c r="GT50" i="4"/>
  <c r="GU49" i="4"/>
  <c r="GT49" i="4"/>
  <c r="GU48" i="4"/>
  <c r="GT48" i="4"/>
  <c r="GU47" i="4"/>
  <c r="GT47" i="4"/>
  <c r="GU46" i="4"/>
  <c r="GT46" i="4"/>
  <c r="GU45" i="4"/>
  <c r="GT45" i="4"/>
  <c r="GU44" i="4"/>
  <c r="GT44" i="4"/>
  <c r="GU43" i="4"/>
  <c r="GT43" i="4"/>
  <c r="GU42" i="4"/>
  <c r="GT42" i="4"/>
  <c r="GU41" i="4"/>
  <c r="GT41" i="4"/>
  <c r="GU40" i="4"/>
  <c r="GT40" i="4"/>
  <c r="GU39" i="4"/>
  <c r="GT39" i="4"/>
  <c r="GU38" i="4"/>
  <c r="GT38" i="4"/>
  <c r="GU37" i="4"/>
  <c r="GT37" i="4"/>
  <c r="GU36" i="4"/>
  <c r="GT36" i="4"/>
  <c r="GU35" i="4"/>
  <c r="GT35" i="4"/>
  <c r="GU34" i="4"/>
  <c r="GT34" i="4"/>
  <c r="GU33" i="4"/>
  <c r="GT33" i="4"/>
  <c r="GU32" i="4"/>
  <c r="GT32" i="4"/>
  <c r="GU31" i="4"/>
  <c r="GT31" i="4"/>
  <c r="GU30" i="4"/>
  <c r="GT30" i="4"/>
  <c r="GU29" i="4"/>
  <c r="GT29" i="4"/>
  <c r="GU28" i="4"/>
  <c r="GT28" i="4"/>
  <c r="GU27" i="4"/>
  <c r="GT27" i="4"/>
  <c r="GU26" i="4"/>
  <c r="GT26" i="4"/>
  <c r="GU25" i="4"/>
  <c r="GT25" i="4"/>
  <c r="GU24" i="4"/>
  <c r="GT24" i="4"/>
  <c r="GU23" i="4"/>
  <c r="GT23" i="4"/>
  <c r="GU22" i="4"/>
  <c r="GT22" i="4"/>
  <c r="GU21" i="4"/>
  <c r="GT21" i="4"/>
  <c r="GU20" i="4"/>
  <c r="GT20" i="4"/>
  <c r="GU19" i="4"/>
  <c r="GT19" i="4"/>
  <c r="GU18" i="4"/>
  <c r="GT18" i="4"/>
  <c r="GU17" i="4"/>
  <c r="GT17" i="4"/>
  <c r="GU16" i="4"/>
  <c r="GT16" i="4"/>
  <c r="GU15" i="4"/>
  <c r="GT15" i="4"/>
  <c r="GU14" i="4"/>
  <c r="GT14" i="4"/>
  <c r="GU13" i="4"/>
  <c r="GT13" i="4"/>
  <c r="GU12" i="4"/>
  <c r="GT12" i="4"/>
  <c r="GU11" i="4"/>
  <c r="GT11" i="4"/>
  <c r="GU10" i="4"/>
  <c r="GT10" i="4"/>
  <c r="GO300" i="4"/>
  <c r="GN300" i="4"/>
  <c r="GO299" i="4"/>
  <c r="GN299" i="4"/>
  <c r="GO298" i="4"/>
  <c r="GN298" i="4"/>
  <c r="GO297" i="4"/>
  <c r="GN297" i="4"/>
  <c r="GO296" i="4"/>
  <c r="GN296" i="4"/>
  <c r="GO295" i="4"/>
  <c r="GN295" i="4"/>
  <c r="GO294" i="4"/>
  <c r="GN294" i="4"/>
  <c r="GO293" i="4"/>
  <c r="GN293" i="4"/>
  <c r="GO292" i="4"/>
  <c r="GN292" i="4"/>
  <c r="GO291" i="4"/>
  <c r="GN291" i="4"/>
  <c r="GO290" i="4"/>
  <c r="GN290" i="4"/>
  <c r="GO289" i="4"/>
  <c r="GN289" i="4"/>
  <c r="GO288" i="4"/>
  <c r="GN288" i="4"/>
  <c r="GO287" i="4"/>
  <c r="GN287" i="4"/>
  <c r="GO286" i="4"/>
  <c r="GN286" i="4"/>
  <c r="GO285" i="4"/>
  <c r="GN285" i="4"/>
  <c r="GO284" i="4"/>
  <c r="GN284" i="4"/>
  <c r="GO283" i="4"/>
  <c r="GN283" i="4"/>
  <c r="GO282" i="4"/>
  <c r="GN282" i="4"/>
  <c r="GO281" i="4"/>
  <c r="GN281" i="4"/>
  <c r="GO280" i="4"/>
  <c r="GN280" i="4"/>
  <c r="GO279" i="4"/>
  <c r="GN279" i="4"/>
  <c r="GO278" i="4"/>
  <c r="GN278" i="4"/>
  <c r="GO277" i="4"/>
  <c r="GN277" i="4"/>
  <c r="GO276" i="4"/>
  <c r="GN276" i="4"/>
  <c r="GO275" i="4"/>
  <c r="GN275" i="4"/>
  <c r="GO274" i="4"/>
  <c r="GN274" i="4"/>
  <c r="GO273" i="4"/>
  <c r="GN273" i="4"/>
  <c r="GO272" i="4"/>
  <c r="GN272" i="4"/>
  <c r="GO271" i="4"/>
  <c r="GN271" i="4"/>
  <c r="GO270" i="4"/>
  <c r="GN270" i="4"/>
  <c r="GO269" i="4"/>
  <c r="GN269" i="4"/>
  <c r="GO268" i="4"/>
  <c r="GN268" i="4"/>
  <c r="GO267" i="4"/>
  <c r="GN267" i="4"/>
  <c r="GO266" i="4"/>
  <c r="GN266" i="4"/>
  <c r="GO265" i="4"/>
  <c r="GN265" i="4"/>
  <c r="GO264" i="4"/>
  <c r="GN264" i="4"/>
  <c r="GO263" i="4"/>
  <c r="GN263" i="4"/>
  <c r="GO262" i="4"/>
  <c r="GN262" i="4"/>
  <c r="GO261" i="4"/>
  <c r="GN261" i="4"/>
  <c r="GO260" i="4"/>
  <c r="GN260" i="4"/>
  <c r="GO259" i="4"/>
  <c r="GN259" i="4"/>
  <c r="GO258" i="4"/>
  <c r="GN258" i="4"/>
  <c r="GO257" i="4"/>
  <c r="GN257" i="4"/>
  <c r="GO256" i="4"/>
  <c r="GN256" i="4"/>
  <c r="GO255" i="4"/>
  <c r="GN255" i="4"/>
  <c r="GO254" i="4"/>
  <c r="GN254" i="4"/>
  <c r="GO253" i="4"/>
  <c r="GN253" i="4"/>
  <c r="GO252" i="4"/>
  <c r="GN252" i="4"/>
  <c r="GO251" i="4"/>
  <c r="GN251" i="4"/>
  <c r="GO250" i="4"/>
  <c r="GN250" i="4"/>
  <c r="GO249" i="4"/>
  <c r="GN249" i="4"/>
  <c r="GO248" i="4"/>
  <c r="GN248" i="4"/>
  <c r="GO247" i="4"/>
  <c r="GN247" i="4"/>
  <c r="GO246" i="4"/>
  <c r="GN246" i="4"/>
  <c r="GO245" i="4"/>
  <c r="GN245" i="4"/>
  <c r="GO244" i="4"/>
  <c r="GN244" i="4"/>
  <c r="GO243" i="4"/>
  <c r="GN243" i="4"/>
  <c r="GO242" i="4"/>
  <c r="GN242" i="4"/>
  <c r="GO241" i="4"/>
  <c r="GN241" i="4"/>
  <c r="GO240" i="4"/>
  <c r="GN240" i="4"/>
  <c r="GO239" i="4"/>
  <c r="GN239" i="4"/>
  <c r="GO238" i="4"/>
  <c r="GN238" i="4"/>
  <c r="GO237" i="4"/>
  <c r="GN237" i="4"/>
  <c r="GO236" i="4"/>
  <c r="GN236" i="4"/>
  <c r="GO235" i="4"/>
  <c r="GN235" i="4"/>
  <c r="GO234" i="4"/>
  <c r="GN234" i="4"/>
  <c r="GO233" i="4"/>
  <c r="GN233" i="4"/>
  <c r="GO232" i="4"/>
  <c r="GN232" i="4"/>
  <c r="GO231" i="4"/>
  <c r="GN231" i="4"/>
  <c r="GO230" i="4"/>
  <c r="GN230" i="4"/>
  <c r="GO229" i="4"/>
  <c r="GN229" i="4"/>
  <c r="GO228" i="4"/>
  <c r="GN228" i="4"/>
  <c r="GO227" i="4"/>
  <c r="GN227" i="4"/>
  <c r="GO226" i="4"/>
  <c r="GN226" i="4"/>
  <c r="GO225" i="4"/>
  <c r="GN225" i="4"/>
  <c r="GO224" i="4"/>
  <c r="GN224" i="4"/>
  <c r="GO223" i="4"/>
  <c r="GN223" i="4"/>
  <c r="GO222" i="4"/>
  <c r="GN222" i="4"/>
  <c r="GO221" i="4"/>
  <c r="GN221" i="4"/>
  <c r="GO220" i="4"/>
  <c r="GN220" i="4"/>
  <c r="GO219" i="4"/>
  <c r="GN219" i="4"/>
  <c r="GO218" i="4"/>
  <c r="GN218" i="4"/>
  <c r="GO217" i="4"/>
  <c r="GN217" i="4"/>
  <c r="GO216" i="4"/>
  <c r="GN216" i="4"/>
  <c r="GO215" i="4"/>
  <c r="GN215" i="4"/>
  <c r="GO214" i="4"/>
  <c r="GN214" i="4"/>
  <c r="GO213" i="4"/>
  <c r="GN213" i="4"/>
  <c r="GO212" i="4"/>
  <c r="GN212" i="4"/>
  <c r="GO211" i="4"/>
  <c r="GN211" i="4"/>
  <c r="GO210" i="4"/>
  <c r="GN210" i="4"/>
  <c r="GO209" i="4"/>
  <c r="GN209" i="4"/>
  <c r="GO208" i="4"/>
  <c r="GN208" i="4"/>
  <c r="GO207" i="4"/>
  <c r="GN207" i="4"/>
  <c r="GO206" i="4"/>
  <c r="GN206" i="4"/>
  <c r="GO205" i="4"/>
  <c r="GN205" i="4"/>
  <c r="GO204" i="4"/>
  <c r="GN204" i="4"/>
  <c r="GO203" i="4"/>
  <c r="GN203" i="4"/>
  <c r="GO202" i="4"/>
  <c r="GN202" i="4"/>
  <c r="GO201" i="4"/>
  <c r="GN201" i="4"/>
  <c r="GO200" i="4"/>
  <c r="GN200" i="4"/>
  <c r="GO199" i="4"/>
  <c r="GN199" i="4"/>
  <c r="GO198" i="4"/>
  <c r="GN198" i="4"/>
  <c r="GO197" i="4"/>
  <c r="GN197" i="4"/>
  <c r="GO196" i="4"/>
  <c r="GN196" i="4"/>
  <c r="GO195" i="4"/>
  <c r="GN195" i="4"/>
  <c r="GO194" i="4"/>
  <c r="GN194" i="4"/>
  <c r="GO193" i="4"/>
  <c r="GN193" i="4"/>
  <c r="GO192" i="4"/>
  <c r="GN192" i="4"/>
  <c r="GO191" i="4"/>
  <c r="GN191" i="4"/>
  <c r="GO190" i="4"/>
  <c r="GN190" i="4"/>
  <c r="GO189" i="4"/>
  <c r="GN189" i="4"/>
  <c r="GO188" i="4"/>
  <c r="GN188" i="4"/>
  <c r="GO187" i="4"/>
  <c r="GN187" i="4"/>
  <c r="GO186" i="4"/>
  <c r="GN186" i="4"/>
  <c r="GO185" i="4"/>
  <c r="GN185" i="4"/>
  <c r="GO184" i="4"/>
  <c r="GN184" i="4"/>
  <c r="GO183" i="4"/>
  <c r="GN183" i="4"/>
  <c r="GO182" i="4"/>
  <c r="GN182" i="4"/>
  <c r="GO181" i="4"/>
  <c r="GN181" i="4"/>
  <c r="GO180" i="4"/>
  <c r="GN180" i="4"/>
  <c r="GO179" i="4"/>
  <c r="GN179" i="4"/>
  <c r="GO178" i="4"/>
  <c r="GN178" i="4"/>
  <c r="GO177" i="4"/>
  <c r="GN177" i="4"/>
  <c r="GO176" i="4"/>
  <c r="GN176" i="4"/>
  <c r="GO175" i="4"/>
  <c r="GN175" i="4"/>
  <c r="GO174" i="4"/>
  <c r="GN174" i="4"/>
  <c r="GO173" i="4"/>
  <c r="GN173" i="4"/>
  <c r="GO172" i="4"/>
  <c r="GN172" i="4"/>
  <c r="GO171" i="4"/>
  <c r="GN171" i="4"/>
  <c r="GO170" i="4"/>
  <c r="GN170" i="4"/>
  <c r="GO169" i="4"/>
  <c r="GN169" i="4"/>
  <c r="GO168" i="4"/>
  <c r="GN168" i="4"/>
  <c r="GO167" i="4"/>
  <c r="GN167" i="4"/>
  <c r="GO166" i="4"/>
  <c r="GN166" i="4"/>
  <c r="GO165" i="4"/>
  <c r="GN165" i="4"/>
  <c r="GO164" i="4"/>
  <c r="GN164" i="4"/>
  <c r="GO163" i="4"/>
  <c r="GN163" i="4"/>
  <c r="GO162" i="4"/>
  <c r="GN162" i="4"/>
  <c r="GO161" i="4"/>
  <c r="GN161" i="4"/>
  <c r="GO160" i="4"/>
  <c r="GN160" i="4"/>
  <c r="GO159" i="4"/>
  <c r="GN159" i="4"/>
  <c r="GO158" i="4"/>
  <c r="GN158" i="4"/>
  <c r="GO157" i="4"/>
  <c r="GN157" i="4"/>
  <c r="GO156" i="4"/>
  <c r="GN156" i="4"/>
  <c r="GO155" i="4"/>
  <c r="GN155" i="4"/>
  <c r="GO154" i="4"/>
  <c r="GN154" i="4"/>
  <c r="GO153" i="4"/>
  <c r="GN153" i="4"/>
  <c r="GO152" i="4"/>
  <c r="GN152" i="4"/>
  <c r="GO151" i="4"/>
  <c r="GN151" i="4"/>
  <c r="GO150" i="4"/>
  <c r="GN150" i="4"/>
  <c r="GO149" i="4"/>
  <c r="GN149" i="4"/>
  <c r="GO148" i="4"/>
  <c r="GN148" i="4"/>
  <c r="GO147" i="4"/>
  <c r="GN147" i="4"/>
  <c r="GO146" i="4"/>
  <c r="GN146" i="4"/>
  <c r="GO145" i="4"/>
  <c r="GN145" i="4"/>
  <c r="GO144" i="4"/>
  <c r="GN144" i="4"/>
  <c r="GO143" i="4"/>
  <c r="GN143" i="4"/>
  <c r="GO142" i="4"/>
  <c r="GN142" i="4"/>
  <c r="GO141" i="4"/>
  <c r="GN141" i="4"/>
  <c r="GO140" i="4"/>
  <c r="GN140" i="4"/>
  <c r="GO139" i="4"/>
  <c r="GN139" i="4"/>
  <c r="GO138" i="4"/>
  <c r="GN138" i="4"/>
  <c r="GO137" i="4"/>
  <c r="GN137" i="4"/>
  <c r="GO136" i="4"/>
  <c r="GN136" i="4"/>
  <c r="GO135" i="4"/>
  <c r="GN135" i="4"/>
  <c r="GO134" i="4"/>
  <c r="GN134" i="4"/>
  <c r="GO133" i="4"/>
  <c r="GN133" i="4"/>
  <c r="GO132" i="4"/>
  <c r="GN132" i="4"/>
  <c r="GO131" i="4"/>
  <c r="GN131" i="4"/>
  <c r="GO130" i="4"/>
  <c r="GN130" i="4"/>
  <c r="GO129" i="4"/>
  <c r="GN129" i="4"/>
  <c r="GO128" i="4"/>
  <c r="GN128" i="4"/>
  <c r="GO127" i="4"/>
  <c r="GN127" i="4"/>
  <c r="GO126" i="4"/>
  <c r="GN126" i="4"/>
  <c r="GO125" i="4"/>
  <c r="GN125" i="4"/>
  <c r="GO124" i="4"/>
  <c r="GN124" i="4"/>
  <c r="GO123" i="4"/>
  <c r="GN123" i="4"/>
  <c r="GO122" i="4"/>
  <c r="GN122" i="4"/>
  <c r="GO121" i="4"/>
  <c r="GN121" i="4"/>
  <c r="GO120" i="4"/>
  <c r="GN120" i="4"/>
  <c r="GO119" i="4"/>
  <c r="GN119" i="4"/>
  <c r="GO118" i="4"/>
  <c r="GN118" i="4"/>
  <c r="GO117" i="4"/>
  <c r="GN117" i="4"/>
  <c r="GO116" i="4"/>
  <c r="GN116" i="4"/>
  <c r="GO115" i="4"/>
  <c r="GN115" i="4"/>
  <c r="GO114" i="4"/>
  <c r="GN114" i="4"/>
  <c r="GO113" i="4"/>
  <c r="GN113" i="4"/>
  <c r="GO112" i="4"/>
  <c r="GN112" i="4"/>
  <c r="GO111" i="4"/>
  <c r="GN111" i="4"/>
  <c r="GO110" i="4"/>
  <c r="GN110" i="4"/>
  <c r="GO109" i="4"/>
  <c r="GN109" i="4"/>
  <c r="GO108" i="4"/>
  <c r="GN108" i="4"/>
  <c r="GO107" i="4"/>
  <c r="GN107" i="4"/>
  <c r="GO106" i="4"/>
  <c r="GN106" i="4"/>
  <c r="GO105" i="4"/>
  <c r="GN105" i="4"/>
  <c r="GO104" i="4"/>
  <c r="GN104" i="4"/>
  <c r="GO103" i="4"/>
  <c r="GN103" i="4"/>
  <c r="GO102" i="4"/>
  <c r="GN102" i="4"/>
  <c r="GO101" i="4"/>
  <c r="GN101" i="4"/>
  <c r="GO100" i="4"/>
  <c r="GN100" i="4"/>
  <c r="GO99" i="4"/>
  <c r="GN99" i="4"/>
  <c r="GO98" i="4"/>
  <c r="GN98" i="4"/>
  <c r="GO97" i="4"/>
  <c r="GN97" i="4"/>
  <c r="GO96" i="4"/>
  <c r="GN96" i="4"/>
  <c r="GO95" i="4"/>
  <c r="GN95" i="4"/>
  <c r="GO94" i="4"/>
  <c r="GN94" i="4"/>
  <c r="GO93" i="4"/>
  <c r="GN93" i="4"/>
  <c r="GO92" i="4"/>
  <c r="GN92" i="4"/>
  <c r="GO91" i="4"/>
  <c r="GN91" i="4"/>
  <c r="GO90" i="4"/>
  <c r="GN90" i="4"/>
  <c r="GO89" i="4"/>
  <c r="GN89" i="4"/>
  <c r="GO88" i="4"/>
  <c r="GN88" i="4"/>
  <c r="GO87" i="4"/>
  <c r="GN87" i="4"/>
  <c r="GO86" i="4"/>
  <c r="GN86" i="4"/>
  <c r="GO85" i="4"/>
  <c r="GN85" i="4"/>
  <c r="GO84" i="4"/>
  <c r="GN84" i="4"/>
  <c r="GO83" i="4"/>
  <c r="GN83" i="4"/>
  <c r="GO82" i="4"/>
  <c r="GN82" i="4"/>
  <c r="GO81" i="4"/>
  <c r="GN81" i="4"/>
  <c r="GO80" i="4"/>
  <c r="GN80" i="4"/>
  <c r="GO79" i="4"/>
  <c r="GN79" i="4"/>
  <c r="GO78" i="4"/>
  <c r="GN78" i="4"/>
  <c r="GO77" i="4"/>
  <c r="GN77" i="4"/>
  <c r="GO76" i="4"/>
  <c r="GN76" i="4"/>
  <c r="GO75" i="4"/>
  <c r="GN75" i="4"/>
  <c r="GO74" i="4"/>
  <c r="GN74" i="4"/>
  <c r="GO73" i="4"/>
  <c r="GN73" i="4"/>
  <c r="GO72" i="4"/>
  <c r="GN72" i="4"/>
  <c r="GO71" i="4"/>
  <c r="GN71" i="4"/>
  <c r="GO70" i="4"/>
  <c r="GN70" i="4"/>
  <c r="GO69" i="4"/>
  <c r="GN69" i="4"/>
  <c r="GO68" i="4"/>
  <c r="GN68" i="4"/>
  <c r="GO67" i="4"/>
  <c r="GN67" i="4"/>
  <c r="GO66" i="4"/>
  <c r="GN66" i="4"/>
  <c r="GO65" i="4"/>
  <c r="GN65" i="4"/>
  <c r="GO64" i="4"/>
  <c r="GN64" i="4"/>
  <c r="GO63" i="4"/>
  <c r="GN63" i="4"/>
  <c r="GO62" i="4"/>
  <c r="GN62" i="4"/>
  <c r="GO61" i="4"/>
  <c r="GN61" i="4"/>
  <c r="GO60" i="4"/>
  <c r="GN60" i="4"/>
  <c r="GO59" i="4"/>
  <c r="GN59" i="4"/>
  <c r="GO58" i="4"/>
  <c r="GN58" i="4"/>
  <c r="GO57" i="4"/>
  <c r="GN57" i="4"/>
  <c r="GO56" i="4"/>
  <c r="GN56" i="4"/>
  <c r="GO55" i="4"/>
  <c r="GN55" i="4"/>
  <c r="GO54" i="4"/>
  <c r="GN54" i="4"/>
  <c r="GO53" i="4"/>
  <c r="GN53" i="4"/>
  <c r="GO52" i="4"/>
  <c r="GN52" i="4"/>
  <c r="GO51" i="4"/>
  <c r="GN51" i="4"/>
  <c r="GO50" i="4"/>
  <c r="GN50" i="4"/>
  <c r="GO49" i="4"/>
  <c r="GN49" i="4"/>
  <c r="GO48" i="4"/>
  <c r="GN48" i="4"/>
  <c r="GO47" i="4"/>
  <c r="GN47" i="4"/>
  <c r="GO46" i="4"/>
  <c r="GN46" i="4"/>
  <c r="GO45" i="4"/>
  <c r="GN45" i="4"/>
  <c r="GO44" i="4"/>
  <c r="GN44" i="4"/>
  <c r="GO43" i="4"/>
  <c r="GN43" i="4"/>
  <c r="GO42" i="4"/>
  <c r="GN42" i="4"/>
  <c r="GO41" i="4"/>
  <c r="GN41" i="4"/>
  <c r="GO40" i="4"/>
  <c r="GN40" i="4"/>
  <c r="GO39" i="4"/>
  <c r="GN39" i="4"/>
  <c r="GO38" i="4"/>
  <c r="GN38" i="4"/>
  <c r="GO37" i="4"/>
  <c r="GN37" i="4"/>
  <c r="GO36" i="4"/>
  <c r="GN36" i="4"/>
  <c r="GO35" i="4"/>
  <c r="GN35" i="4"/>
  <c r="GO34" i="4"/>
  <c r="GN34" i="4"/>
  <c r="GO33" i="4"/>
  <c r="GN33" i="4"/>
  <c r="GO32" i="4"/>
  <c r="GN32" i="4"/>
  <c r="GO31" i="4"/>
  <c r="GN31" i="4"/>
  <c r="GO30" i="4"/>
  <c r="GN30" i="4"/>
  <c r="GO29" i="4"/>
  <c r="GN29" i="4"/>
  <c r="GO28" i="4"/>
  <c r="GN28" i="4"/>
  <c r="GO27" i="4"/>
  <c r="GN27" i="4"/>
  <c r="GO26" i="4"/>
  <c r="GN26" i="4"/>
  <c r="GO25" i="4"/>
  <c r="GN25" i="4"/>
  <c r="GO24" i="4"/>
  <c r="GN24" i="4"/>
  <c r="GO23" i="4"/>
  <c r="GN23" i="4"/>
  <c r="GO22" i="4"/>
  <c r="GN22" i="4"/>
  <c r="GO21" i="4"/>
  <c r="GN21" i="4"/>
  <c r="GO20" i="4"/>
  <c r="GN20" i="4"/>
  <c r="GO19" i="4"/>
  <c r="GN19" i="4"/>
  <c r="GO18" i="4"/>
  <c r="GN18" i="4"/>
  <c r="GO17" i="4"/>
  <c r="GN17" i="4"/>
  <c r="GO16" i="4"/>
  <c r="GN16" i="4"/>
  <c r="GO15" i="4"/>
  <c r="GN15" i="4"/>
  <c r="GO14" i="4"/>
  <c r="GN14" i="4"/>
  <c r="GO13" i="4"/>
  <c r="GN13" i="4"/>
  <c r="GO12" i="4"/>
  <c r="GN12" i="4"/>
  <c r="GO11" i="4"/>
  <c r="GN11" i="4"/>
  <c r="GO10" i="4"/>
  <c r="GN10" i="4"/>
  <c r="GI300" i="4"/>
  <c r="GH300" i="4"/>
  <c r="GI299" i="4"/>
  <c r="GH299" i="4"/>
  <c r="GI298" i="4"/>
  <c r="GH298" i="4"/>
  <c r="GI297" i="4"/>
  <c r="GH297" i="4"/>
  <c r="GI296" i="4"/>
  <c r="GH296" i="4"/>
  <c r="GI295" i="4"/>
  <c r="GH295" i="4"/>
  <c r="GI294" i="4"/>
  <c r="GH294" i="4"/>
  <c r="GI293" i="4"/>
  <c r="GH293" i="4"/>
  <c r="GI292" i="4"/>
  <c r="GH292" i="4"/>
  <c r="GI291" i="4"/>
  <c r="GH291" i="4"/>
  <c r="GI290" i="4"/>
  <c r="GH290" i="4"/>
  <c r="GI289" i="4"/>
  <c r="GH289" i="4"/>
  <c r="GI288" i="4"/>
  <c r="GH288" i="4"/>
  <c r="GI287" i="4"/>
  <c r="GH287" i="4"/>
  <c r="GI286" i="4"/>
  <c r="GH286" i="4"/>
  <c r="GI285" i="4"/>
  <c r="GH285" i="4"/>
  <c r="GI284" i="4"/>
  <c r="GH284" i="4"/>
  <c r="GI283" i="4"/>
  <c r="GH283" i="4"/>
  <c r="GI282" i="4"/>
  <c r="GH282" i="4"/>
  <c r="GI281" i="4"/>
  <c r="GH281" i="4"/>
  <c r="GI280" i="4"/>
  <c r="GH280" i="4"/>
  <c r="GI279" i="4"/>
  <c r="GH279" i="4"/>
  <c r="GI278" i="4"/>
  <c r="GH278" i="4"/>
  <c r="GI277" i="4"/>
  <c r="GH277" i="4"/>
  <c r="GI276" i="4"/>
  <c r="GH276" i="4"/>
  <c r="GI275" i="4"/>
  <c r="GH275" i="4"/>
  <c r="GI274" i="4"/>
  <c r="GH274" i="4"/>
  <c r="GI273" i="4"/>
  <c r="GH273" i="4"/>
  <c r="GI272" i="4"/>
  <c r="GH272" i="4"/>
  <c r="GI271" i="4"/>
  <c r="GH271" i="4"/>
  <c r="GI270" i="4"/>
  <c r="GH270" i="4"/>
  <c r="GI269" i="4"/>
  <c r="GH269" i="4"/>
  <c r="GI268" i="4"/>
  <c r="GH268" i="4"/>
  <c r="GI267" i="4"/>
  <c r="GH267" i="4"/>
  <c r="GI266" i="4"/>
  <c r="GH266" i="4"/>
  <c r="GI265" i="4"/>
  <c r="GH265" i="4"/>
  <c r="GI264" i="4"/>
  <c r="GH264" i="4"/>
  <c r="GI263" i="4"/>
  <c r="GH263" i="4"/>
  <c r="GI262" i="4"/>
  <c r="GH262" i="4"/>
  <c r="GI261" i="4"/>
  <c r="GH261" i="4"/>
  <c r="GI260" i="4"/>
  <c r="GH260" i="4"/>
  <c r="GI259" i="4"/>
  <c r="GH259" i="4"/>
  <c r="GI258" i="4"/>
  <c r="GH258" i="4"/>
  <c r="GI257" i="4"/>
  <c r="GH257" i="4"/>
  <c r="GI256" i="4"/>
  <c r="GH256" i="4"/>
  <c r="GI255" i="4"/>
  <c r="GH255" i="4"/>
  <c r="GI254" i="4"/>
  <c r="GH254" i="4"/>
  <c r="GI253" i="4"/>
  <c r="GH253" i="4"/>
  <c r="GI252" i="4"/>
  <c r="GH252" i="4"/>
  <c r="GI251" i="4"/>
  <c r="GH251" i="4"/>
  <c r="GI250" i="4"/>
  <c r="GH250" i="4"/>
  <c r="GI249" i="4"/>
  <c r="GH249" i="4"/>
  <c r="GI248" i="4"/>
  <c r="GH248" i="4"/>
  <c r="GI247" i="4"/>
  <c r="GH247" i="4"/>
  <c r="GI246" i="4"/>
  <c r="GH246" i="4"/>
  <c r="GI245" i="4"/>
  <c r="GH245" i="4"/>
  <c r="GI244" i="4"/>
  <c r="GH244" i="4"/>
  <c r="GI243" i="4"/>
  <c r="GH243" i="4"/>
  <c r="GI242" i="4"/>
  <c r="GH242" i="4"/>
  <c r="GI241" i="4"/>
  <c r="GH241" i="4"/>
  <c r="GI240" i="4"/>
  <c r="GH240" i="4"/>
  <c r="GI239" i="4"/>
  <c r="GH239" i="4"/>
  <c r="GI238" i="4"/>
  <c r="GH238" i="4"/>
  <c r="GI237" i="4"/>
  <c r="GH237" i="4"/>
  <c r="GI236" i="4"/>
  <c r="GH236" i="4"/>
  <c r="GI235" i="4"/>
  <c r="GH235" i="4"/>
  <c r="GI234" i="4"/>
  <c r="GH234" i="4"/>
  <c r="GI233" i="4"/>
  <c r="GH233" i="4"/>
  <c r="GI232" i="4"/>
  <c r="GH232" i="4"/>
  <c r="GI231" i="4"/>
  <c r="GH231" i="4"/>
  <c r="GI230" i="4"/>
  <c r="GH230" i="4"/>
  <c r="GI229" i="4"/>
  <c r="GH229" i="4"/>
  <c r="GI228" i="4"/>
  <c r="GH228" i="4"/>
  <c r="GI227" i="4"/>
  <c r="GH227" i="4"/>
  <c r="GI226" i="4"/>
  <c r="GH226" i="4"/>
  <c r="GI225" i="4"/>
  <c r="GH225" i="4"/>
  <c r="GI224" i="4"/>
  <c r="GH224" i="4"/>
  <c r="GI223" i="4"/>
  <c r="GH223" i="4"/>
  <c r="GI222" i="4"/>
  <c r="GH222" i="4"/>
  <c r="GI221" i="4"/>
  <c r="GH221" i="4"/>
  <c r="GI220" i="4"/>
  <c r="GH220" i="4"/>
  <c r="GI219" i="4"/>
  <c r="GH219" i="4"/>
  <c r="GI218" i="4"/>
  <c r="GH218" i="4"/>
  <c r="GI217" i="4"/>
  <c r="GH217" i="4"/>
  <c r="GI216" i="4"/>
  <c r="GH216" i="4"/>
  <c r="GI215" i="4"/>
  <c r="GH215" i="4"/>
  <c r="GI214" i="4"/>
  <c r="GH214" i="4"/>
  <c r="GI213" i="4"/>
  <c r="GH213" i="4"/>
  <c r="GI212" i="4"/>
  <c r="GH212" i="4"/>
  <c r="GI211" i="4"/>
  <c r="GH211" i="4"/>
  <c r="GI210" i="4"/>
  <c r="GH210" i="4"/>
  <c r="GI209" i="4"/>
  <c r="GH209" i="4"/>
  <c r="GI208" i="4"/>
  <c r="GH208" i="4"/>
  <c r="GI207" i="4"/>
  <c r="GH207" i="4"/>
  <c r="GI206" i="4"/>
  <c r="GH206" i="4"/>
  <c r="GI205" i="4"/>
  <c r="GH205" i="4"/>
  <c r="GI204" i="4"/>
  <c r="GH204" i="4"/>
  <c r="GI203" i="4"/>
  <c r="GH203" i="4"/>
  <c r="GI202" i="4"/>
  <c r="GH202" i="4"/>
  <c r="GI201" i="4"/>
  <c r="GH201" i="4"/>
  <c r="GI200" i="4"/>
  <c r="GH200" i="4"/>
  <c r="GI199" i="4"/>
  <c r="GH199" i="4"/>
  <c r="GI198" i="4"/>
  <c r="GH198" i="4"/>
  <c r="GI197" i="4"/>
  <c r="GH197" i="4"/>
  <c r="GI196" i="4"/>
  <c r="GH196" i="4"/>
  <c r="GI195" i="4"/>
  <c r="GH195" i="4"/>
  <c r="GI194" i="4"/>
  <c r="GH194" i="4"/>
  <c r="GI193" i="4"/>
  <c r="GH193" i="4"/>
  <c r="GI192" i="4"/>
  <c r="GH192" i="4"/>
  <c r="GI191" i="4"/>
  <c r="GH191" i="4"/>
  <c r="GI190" i="4"/>
  <c r="GH190" i="4"/>
  <c r="GI189" i="4"/>
  <c r="GH189" i="4"/>
  <c r="GI188" i="4"/>
  <c r="GH188" i="4"/>
  <c r="GI187" i="4"/>
  <c r="GH187" i="4"/>
  <c r="GI186" i="4"/>
  <c r="GH186" i="4"/>
  <c r="GI185" i="4"/>
  <c r="GH185" i="4"/>
  <c r="GI184" i="4"/>
  <c r="GH184" i="4"/>
  <c r="GI183" i="4"/>
  <c r="GH183" i="4"/>
  <c r="GI182" i="4"/>
  <c r="GH182" i="4"/>
  <c r="GI181" i="4"/>
  <c r="GH181" i="4"/>
  <c r="GI180" i="4"/>
  <c r="GH180" i="4"/>
  <c r="GI179" i="4"/>
  <c r="GH179" i="4"/>
  <c r="GI178" i="4"/>
  <c r="GH178" i="4"/>
  <c r="GI177" i="4"/>
  <c r="GH177" i="4"/>
  <c r="GI176" i="4"/>
  <c r="GH176" i="4"/>
  <c r="GI175" i="4"/>
  <c r="GH175" i="4"/>
  <c r="GI174" i="4"/>
  <c r="GH174" i="4"/>
  <c r="GI173" i="4"/>
  <c r="GH173" i="4"/>
  <c r="GI172" i="4"/>
  <c r="GH172" i="4"/>
  <c r="GI171" i="4"/>
  <c r="GH171" i="4"/>
  <c r="GI170" i="4"/>
  <c r="GH170" i="4"/>
  <c r="GI169" i="4"/>
  <c r="GH169" i="4"/>
  <c r="GI168" i="4"/>
  <c r="GH168" i="4"/>
  <c r="GI167" i="4"/>
  <c r="GH167" i="4"/>
  <c r="GI166" i="4"/>
  <c r="GH166" i="4"/>
  <c r="GI165" i="4"/>
  <c r="GH165" i="4"/>
  <c r="GI164" i="4"/>
  <c r="GH164" i="4"/>
  <c r="GI163" i="4"/>
  <c r="GH163" i="4"/>
  <c r="GI162" i="4"/>
  <c r="GH162" i="4"/>
  <c r="GI161" i="4"/>
  <c r="GH161" i="4"/>
  <c r="GI160" i="4"/>
  <c r="GH160" i="4"/>
  <c r="GI159" i="4"/>
  <c r="GH159" i="4"/>
  <c r="GI158" i="4"/>
  <c r="GH158" i="4"/>
  <c r="GI157" i="4"/>
  <c r="GH157" i="4"/>
  <c r="GI156" i="4"/>
  <c r="GH156" i="4"/>
  <c r="GI155" i="4"/>
  <c r="GH155" i="4"/>
  <c r="GI154" i="4"/>
  <c r="GH154" i="4"/>
  <c r="GI153" i="4"/>
  <c r="GH153" i="4"/>
  <c r="GI152" i="4"/>
  <c r="GH152" i="4"/>
  <c r="GI151" i="4"/>
  <c r="GH151" i="4"/>
  <c r="GI150" i="4"/>
  <c r="GH150" i="4"/>
  <c r="GI149" i="4"/>
  <c r="GH149" i="4"/>
  <c r="GI148" i="4"/>
  <c r="GH148" i="4"/>
  <c r="GI147" i="4"/>
  <c r="GH147" i="4"/>
  <c r="GI146" i="4"/>
  <c r="GH146" i="4"/>
  <c r="GI145" i="4"/>
  <c r="GH145" i="4"/>
  <c r="GI144" i="4"/>
  <c r="GH144" i="4"/>
  <c r="GI143" i="4"/>
  <c r="GH143" i="4"/>
  <c r="GI142" i="4"/>
  <c r="GH142" i="4"/>
  <c r="GI141" i="4"/>
  <c r="GH141" i="4"/>
  <c r="GI140" i="4"/>
  <c r="GH140" i="4"/>
  <c r="GI139" i="4"/>
  <c r="GH139" i="4"/>
  <c r="GI138" i="4"/>
  <c r="GH138" i="4"/>
  <c r="GI137" i="4"/>
  <c r="GH137" i="4"/>
  <c r="GI136" i="4"/>
  <c r="GH136" i="4"/>
  <c r="GI135" i="4"/>
  <c r="GH135" i="4"/>
  <c r="GI134" i="4"/>
  <c r="GH134" i="4"/>
  <c r="GI133" i="4"/>
  <c r="GH133" i="4"/>
  <c r="GI132" i="4"/>
  <c r="GH132" i="4"/>
  <c r="GI131" i="4"/>
  <c r="GH131" i="4"/>
  <c r="GI130" i="4"/>
  <c r="GH130" i="4"/>
  <c r="GI129" i="4"/>
  <c r="GH129" i="4"/>
  <c r="GI128" i="4"/>
  <c r="GH128" i="4"/>
  <c r="GI127" i="4"/>
  <c r="GH127" i="4"/>
  <c r="GI126" i="4"/>
  <c r="GH126" i="4"/>
  <c r="GI125" i="4"/>
  <c r="GH125" i="4"/>
  <c r="GI124" i="4"/>
  <c r="GH124" i="4"/>
  <c r="GI123" i="4"/>
  <c r="GH123" i="4"/>
  <c r="GI122" i="4"/>
  <c r="GH122" i="4"/>
  <c r="GI121" i="4"/>
  <c r="GH121" i="4"/>
  <c r="GI120" i="4"/>
  <c r="GH120" i="4"/>
  <c r="GI119" i="4"/>
  <c r="GH119" i="4"/>
  <c r="GI118" i="4"/>
  <c r="GH118" i="4"/>
  <c r="GI117" i="4"/>
  <c r="GH117" i="4"/>
  <c r="GI116" i="4"/>
  <c r="GH116" i="4"/>
  <c r="GI115" i="4"/>
  <c r="GH115" i="4"/>
  <c r="GI114" i="4"/>
  <c r="GH114" i="4"/>
  <c r="GI113" i="4"/>
  <c r="GH113" i="4"/>
  <c r="GI112" i="4"/>
  <c r="GH112" i="4"/>
  <c r="GI111" i="4"/>
  <c r="GH111" i="4"/>
  <c r="GI110" i="4"/>
  <c r="GH110" i="4"/>
  <c r="GI109" i="4"/>
  <c r="GH109" i="4"/>
  <c r="GI108" i="4"/>
  <c r="GH108" i="4"/>
  <c r="GI107" i="4"/>
  <c r="GH107" i="4"/>
  <c r="GI106" i="4"/>
  <c r="GH106" i="4"/>
  <c r="GI105" i="4"/>
  <c r="GH105" i="4"/>
  <c r="GI104" i="4"/>
  <c r="GH104" i="4"/>
  <c r="GI103" i="4"/>
  <c r="GH103" i="4"/>
  <c r="GI102" i="4"/>
  <c r="GH102" i="4"/>
  <c r="GI101" i="4"/>
  <c r="GH101" i="4"/>
  <c r="GI100" i="4"/>
  <c r="GH100" i="4"/>
  <c r="GI99" i="4"/>
  <c r="GH99" i="4"/>
  <c r="GI98" i="4"/>
  <c r="GH98" i="4"/>
  <c r="GI97" i="4"/>
  <c r="GH97" i="4"/>
  <c r="GI96" i="4"/>
  <c r="GH96" i="4"/>
  <c r="GI95" i="4"/>
  <c r="GH95" i="4"/>
  <c r="GI94" i="4"/>
  <c r="GH94" i="4"/>
  <c r="GI93" i="4"/>
  <c r="GH93" i="4"/>
  <c r="GI92" i="4"/>
  <c r="GH92" i="4"/>
  <c r="GI91" i="4"/>
  <c r="GH91" i="4"/>
  <c r="GI90" i="4"/>
  <c r="GH90" i="4"/>
  <c r="GI89" i="4"/>
  <c r="GH89" i="4"/>
  <c r="GI88" i="4"/>
  <c r="GH88" i="4"/>
  <c r="GI87" i="4"/>
  <c r="GH87" i="4"/>
  <c r="GI86" i="4"/>
  <c r="GH86" i="4"/>
  <c r="GI85" i="4"/>
  <c r="GH85" i="4"/>
  <c r="GI84" i="4"/>
  <c r="GH84" i="4"/>
  <c r="GI83" i="4"/>
  <c r="GH83" i="4"/>
  <c r="GI82" i="4"/>
  <c r="GH82" i="4"/>
  <c r="GI81" i="4"/>
  <c r="GH81" i="4"/>
  <c r="GI80" i="4"/>
  <c r="GH80" i="4"/>
  <c r="GI79" i="4"/>
  <c r="GH79" i="4"/>
  <c r="GI78" i="4"/>
  <c r="GH78" i="4"/>
  <c r="GI77" i="4"/>
  <c r="GH77" i="4"/>
  <c r="GI76" i="4"/>
  <c r="GH76" i="4"/>
  <c r="GI75" i="4"/>
  <c r="GH75" i="4"/>
  <c r="GI74" i="4"/>
  <c r="GH74" i="4"/>
  <c r="GI73" i="4"/>
  <c r="GH73" i="4"/>
  <c r="GI72" i="4"/>
  <c r="GH72" i="4"/>
  <c r="GI71" i="4"/>
  <c r="GH71" i="4"/>
  <c r="GI70" i="4"/>
  <c r="GH70" i="4"/>
  <c r="GI69" i="4"/>
  <c r="GH69" i="4"/>
  <c r="GI68" i="4"/>
  <c r="GH68" i="4"/>
  <c r="GI67" i="4"/>
  <c r="GH67" i="4"/>
  <c r="GI66" i="4"/>
  <c r="GH66" i="4"/>
  <c r="GI65" i="4"/>
  <c r="GH65" i="4"/>
  <c r="GI64" i="4"/>
  <c r="GH64" i="4"/>
  <c r="GI63" i="4"/>
  <c r="GH63" i="4"/>
  <c r="GI62" i="4"/>
  <c r="GH62" i="4"/>
  <c r="GI61" i="4"/>
  <c r="GH61" i="4"/>
  <c r="GI60" i="4"/>
  <c r="GH60" i="4"/>
  <c r="GI59" i="4"/>
  <c r="GH59" i="4"/>
  <c r="GI58" i="4"/>
  <c r="GH58" i="4"/>
  <c r="GI57" i="4"/>
  <c r="GH57" i="4"/>
  <c r="GI56" i="4"/>
  <c r="GH56" i="4"/>
  <c r="GI55" i="4"/>
  <c r="GH55" i="4"/>
  <c r="GI54" i="4"/>
  <c r="GH54" i="4"/>
  <c r="GI53" i="4"/>
  <c r="GH53" i="4"/>
  <c r="GI52" i="4"/>
  <c r="GH52" i="4"/>
  <c r="GI51" i="4"/>
  <c r="GH51" i="4"/>
  <c r="GI50" i="4"/>
  <c r="GH50" i="4"/>
  <c r="GI49" i="4"/>
  <c r="GH49" i="4"/>
  <c r="GI48" i="4"/>
  <c r="GH48" i="4"/>
  <c r="GI47" i="4"/>
  <c r="GH47" i="4"/>
  <c r="GI46" i="4"/>
  <c r="GH46" i="4"/>
  <c r="GI45" i="4"/>
  <c r="GH45" i="4"/>
  <c r="GI44" i="4"/>
  <c r="GH44" i="4"/>
  <c r="GI43" i="4"/>
  <c r="GH43" i="4"/>
  <c r="GI42" i="4"/>
  <c r="GH42" i="4"/>
  <c r="GI41" i="4"/>
  <c r="GH41" i="4"/>
  <c r="GI40" i="4"/>
  <c r="GH40" i="4"/>
  <c r="GI39" i="4"/>
  <c r="GH39" i="4"/>
  <c r="GI38" i="4"/>
  <c r="GH38" i="4"/>
  <c r="GI37" i="4"/>
  <c r="GH37" i="4"/>
  <c r="GI36" i="4"/>
  <c r="GH36" i="4"/>
  <c r="GI35" i="4"/>
  <c r="GH35" i="4"/>
  <c r="GI34" i="4"/>
  <c r="GH34" i="4"/>
  <c r="GI33" i="4"/>
  <c r="GH33" i="4"/>
  <c r="GI32" i="4"/>
  <c r="GH32" i="4"/>
  <c r="GI31" i="4"/>
  <c r="GH31" i="4"/>
  <c r="GI30" i="4"/>
  <c r="GH30" i="4"/>
  <c r="GI29" i="4"/>
  <c r="GH29" i="4"/>
  <c r="GI28" i="4"/>
  <c r="GH28" i="4"/>
  <c r="GI27" i="4"/>
  <c r="GH27" i="4"/>
  <c r="GI26" i="4"/>
  <c r="GH26" i="4"/>
  <c r="GI25" i="4"/>
  <c r="GH25" i="4"/>
  <c r="GI24" i="4"/>
  <c r="GH24" i="4"/>
  <c r="GI23" i="4"/>
  <c r="GH23" i="4"/>
  <c r="GI22" i="4"/>
  <c r="GH22" i="4"/>
  <c r="GI21" i="4"/>
  <c r="GH21" i="4"/>
  <c r="GI20" i="4"/>
  <c r="GH20" i="4"/>
  <c r="GI19" i="4"/>
  <c r="GH19" i="4"/>
  <c r="GI18" i="4"/>
  <c r="GH18" i="4"/>
  <c r="GI17" i="4"/>
  <c r="GH17" i="4"/>
  <c r="GI16" i="4"/>
  <c r="GH16" i="4"/>
  <c r="GI15" i="4"/>
  <c r="GH15" i="4"/>
  <c r="GI14" i="4"/>
  <c r="GH14" i="4"/>
  <c r="GI13" i="4"/>
  <c r="GH13" i="4"/>
  <c r="GI12" i="4"/>
  <c r="GH12" i="4"/>
  <c r="GI11" i="4"/>
  <c r="GH11" i="4"/>
  <c r="GI10" i="4"/>
  <c r="GH10" i="4"/>
  <c r="GC300" i="4"/>
  <c r="GB300" i="4"/>
  <c r="GC299" i="4"/>
  <c r="GB299" i="4"/>
  <c r="GC298" i="4"/>
  <c r="GB298" i="4"/>
  <c r="GC297" i="4"/>
  <c r="GB297" i="4"/>
  <c r="GC296" i="4"/>
  <c r="GB296" i="4"/>
  <c r="GC295" i="4"/>
  <c r="GB295" i="4"/>
  <c r="GC294" i="4"/>
  <c r="GB294" i="4"/>
  <c r="GC293" i="4"/>
  <c r="GB293" i="4"/>
  <c r="GC292" i="4"/>
  <c r="GB292" i="4"/>
  <c r="GC291" i="4"/>
  <c r="GB291" i="4"/>
  <c r="GC290" i="4"/>
  <c r="GB290" i="4"/>
  <c r="GC289" i="4"/>
  <c r="GB289" i="4"/>
  <c r="GC288" i="4"/>
  <c r="GB288" i="4"/>
  <c r="GC287" i="4"/>
  <c r="GB287" i="4"/>
  <c r="GC286" i="4"/>
  <c r="GB286" i="4"/>
  <c r="GC285" i="4"/>
  <c r="GB285" i="4"/>
  <c r="GC284" i="4"/>
  <c r="GB284" i="4"/>
  <c r="GC283" i="4"/>
  <c r="GB283" i="4"/>
  <c r="GC282" i="4"/>
  <c r="GB282" i="4"/>
  <c r="GC281" i="4"/>
  <c r="GB281" i="4"/>
  <c r="GC280" i="4"/>
  <c r="GB280" i="4"/>
  <c r="GC279" i="4"/>
  <c r="GB279" i="4"/>
  <c r="GC278" i="4"/>
  <c r="GB278" i="4"/>
  <c r="GC277" i="4"/>
  <c r="GB277" i="4"/>
  <c r="GC276" i="4"/>
  <c r="GB276" i="4"/>
  <c r="GC275" i="4"/>
  <c r="GB275" i="4"/>
  <c r="GC274" i="4"/>
  <c r="GB274" i="4"/>
  <c r="GC273" i="4"/>
  <c r="GB273" i="4"/>
  <c r="GC272" i="4"/>
  <c r="GB272" i="4"/>
  <c r="GC271" i="4"/>
  <c r="GB271" i="4"/>
  <c r="GC270" i="4"/>
  <c r="GB270" i="4"/>
  <c r="GC269" i="4"/>
  <c r="GB269" i="4"/>
  <c r="GC268" i="4"/>
  <c r="GB268" i="4"/>
  <c r="GC267" i="4"/>
  <c r="GB267" i="4"/>
  <c r="GC266" i="4"/>
  <c r="GB266" i="4"/>
  <c r="GC265" i="4"/>
  <c r="GB265" i="4"/>
  <c r="GC264" i="4"/>
  <c r="GB264" i="4"/>
  <c r="GC263" i="4"/>
  <c r="GB263" i="4"/>
  <c r="GC262" i="4"/>
  <c r="GB262" i="4"/>
  <c r="GC261" i="4"/>
  <c r="GB261" i="4"/>
  <c r="GC260" i="4"/>
  <c r="GB260" i="4"/>
  <c r="GC259" i="4"/>
  <c r="GB259" i="4"/>
  <c r="GC258" i="4"/>
  <c r="GB258" i="4"/>
  <c r="GC257" i="4"/>
  <c r="GB257" i="4"/>
  <c r="GC256" i="4"/>
  <c r="GB256" i="4"/>
  <c r="GC255" i="4"/>
  <c r="GB255" i="4"/>
  <c r="GC254" i="4"/>
  <c r="GB254" i="4"/>
  <c r="GC253" i="4"/>
  <c r="GB253" i="4"/>
  <c r="GC252" i="4"/>
  <c r="GB252" i="4"/>
  <c r="GC251" i="4"/>
  <c r="GB251" i="4"/>
  <c r="GC250" i="4"/>
  <c r="GB250" i="4"/>
  <c r="GC249" i="4"/>
  <c r="GB249" i="4"/>
  <c r="GC248" i="4"/>
  <c r="GB248" i="4"/>
  <c r="GC247" i="4"/>
  <c r="GB247" i="4"/>
  <c r="GC246" i="4"/>
  <c r="GB246" i="4"/>
  <c r="GC245" i="4"/>
  <c r="GB245" i="4"/>
  <c r="GC244" i="4"/>
  <c r="GB244" i="4"/>
  <c r="GC243" i="4"/>
  <c r="GB243" i="4"/>
  <c r="GC242" i="4"/>
  <c r="GB242" i="4"/>
  <c r="GC241" i="4"/>
  <c r="GB241" i="4"/>
  <c r="GC240" i="4"/>
  <c r="GB240" i="4"/>
  <c r="GC239" i="4"/>
  <c r="GB239" i="4"/>
  <c r="GC238" i="4"/>
  <c r="GB238" i="4"/>
  <c r="GC237" i="4"/>
  <c r="GB237" i="4"/>
  <c r="GC236" i="4"/>
  <c r="GB236" i="4"/>
  <c r="GC235" i="4"/>
  <c r="GB235" i="4"/>
  <c r="GC234" i="4"/>
  <c r="GB234" i="4"/>
  <c r="GC233" i="4"/>
  <c r="GB233" i="4"/>
  <c r="GC232" i="4"/>
  <c r="GB232" i="4"/>
  <c r="GC231" i="4"/>
  <c r="GB231" i="4"/>
  <c r="GC230" i="4"/>
  <c r="GB230" i="4"/>
  <c r="GC229" i="4"/>
  <c r="GB229" i="4"/>
  <c r="GC228" i="4"/>
  <c r="GB228" i="4"/>
  <c r="GC227" i="4"/>
  <c r="GB227" i="4"/>
  <c r="GC226" i="4"/>
  <c r="GB226" i="4"/>
  <c r="GC225" i="4"/>
  <c r="GB225" i="4"/>
  <c r="GC224" i="4"/>
  <c r="GB224" i="4"/>
  <c r="GC223" i="4"/>
  <c r="GB223" i="4"/>
  <c r="GC222" i="4"/>
  <c r="GB222" i="4"/>
  <c r="GC221" i="4"/>
  <c r="GB221" i="4"/>
  <c r="GC220" i="4"/>
  <c r="GB220" i="4"/>
  <c r="GC219" i="4"/>
  <c r="GB219" i="4"/>
  <c r="GC218" i="4"/>
  <c r="GB218" i="4"/>
  <c r="GC217" i="4"/>
  <c r="GB217" i="4"/>
  <c r="GC216" i="4"/>
  <c r="GB216" i="4"/>
  <c r="GC215" i="4"/>
  <c r="GB215" i="4"/>
  <c r="GC214" i="4"/>
  <c r="GB214" i="4"/>
  <c r="GC213" i="4"/>
  <c r="GB213" i="4"/>
  <c r="GC212" i="4"/>
  <c r="GB212" i="4"/>
  <c r="GC211" i="4"/>
  <c r="GB211" i="4"/>
  <c r="GC210" i="4"/>
  <c r="GB210" i="4"/>
  <c r="GC209" i="4"/>
  <c r="GB209" i="4"/>
  <c r="GC208" i="4"/>
  <c r="GB208" i="4"/>
  <c r="GC207" i="4"/>
  <c r="GB207" i="4"/>
  <c r="GC206" i="4"/>
  <c r="GB206" i="4"/>
  <c r="GC205" i="4"/>
  <c r="GB205" i="4"/>
  <c r="GC204" i="4"/>
  <c r="GB204" i="4"/>
  <c r="GC203" i="4"/>
  <c r="GB203" i="4"/>
  <c r="GC202" i="4"/>
  <c r="GB202" i="4"/>
  <c r="GC201" i="4"/>
  <c r="GB201" i="4"/>
  <c r="GC200" i="4"/>
  <c r="GB200" i="4"/>
  <c r="GC199" i="4"/>
  <c r="GB199" i="4"/>
  <c r="GC198" i="4"/>
  <c r="GB198" i="4"/>
  <c r="GC197" i="4"/>
  <c r="GB197" i="4"/>
  <c r="GC196" i="4"/>
  <c r="GB196" i="4"/>
  <c r="GC195" i="4"/>
  <c r="GB195" i="4"/>
  <c r="GC194" i="4"/>
  <c r="GB194" i="4"/>
  <c r="GC193" i="4"/>
  <c r="GB193" i="4"/>
  <c r="GC192" i="4"/>
  <c r="GB192" i="4"/>
  <c r="GC191" i="4"/>
  <c r="GB191" i="4"/>
  <c r="GC190" i="4"/>
  <c r="GB190" i="4"/>
  <c r="GC189" i="4"/>
  <c r="GB189" i="4"/>
  <c r="GC188" i="4"/>
  <c r="GB188" i="4"/>
  <c r="GC187" i="4"/>
  <c r="GB187" i="4"/>
  <c r="GC186" i="4"/>
  <c r="GB186" i="4"/>
  <c r="GC185" i="4"/>
  <c r="GB185" i="4"/>
  <c r="GC184" i="4"/>
  <c r="GB184" i="4"/>
  <c r="GC183" i="4"/>
  <c r="GB183" i="4"/>
  <c r="GC182" i="4"/>
  <c r="GB182" i="4"/>
  <c r="GC181" i="4"/>
  <c r="GB181" i="4"/>
  <c r="GC180" i="4"/>
  <c r="GB180" i="4"/>
  <c r="GC179" i="4"/>
  <c r="GB179" i="4"/>
  <c r="GC178" i="4"/>
  <c r="GB178" i="4"/>
  <c r="GC177" i="4"/>
  <c r="GB177" i="4"/>
  <c r="GC176" i="4"/>
  <c r="GB176" i="4"/>
  <c r="GC175" i="4"/>
  <c r="GB175" i="4"/>
  <c r="GC174" i="4"/>
  <c r="GB174" i="4"/>
  <c r="GC173" i="4"/>
  <c r="GB173" i="4"/>
  <c r="GC172" i="4"/>
  <c r="GB172" i="4"/>
  <c r="GC171" i="4"/>
  <c r="GB171" i="4"/>
  <c r="GC170" i="4"/>
  <c r="GB170" i="4"/>
  <c r="GC169" i="4"/>
  <c r="GB169" i="4"/>
  <c r="GC168" i="4"/>
  <c r="GB168" i="4"/>
  <c r="GC167" i="4"/>
  <c r="GB167" i="4"/>
  <c r="GC166" i="4"/>
  <c r="GB166" i="4"/>
  <c r="GC165" i="4"/>
  <c r="GB165" i="4"/>
  <c r="GC164" i="4"/>
  <c r="GB164" i="4"/>
  <c r="GC163" i="4"/>
  <c r="GB163" i="4"/>
  <c r="GC162" i="4"/>
  <c r="GB162" i="4"/>
  <c r="GC161" i="4"/>
  <c r="GB161" i="4"/>
  <c r="GC160" i="4"/>
  <c r="GB160" i="4"/>
  <c r="GC159" i="4"/>
  <c r="GB159" i="4"/>
  <c r="GC158" i="4"/>
  <c r="GB158" i="4"/>
  <c r="GC157" i="4"/>
  <c r="GB157" i="4"/>
  <c r="GC156" i="4"/>
  <c r="GB156" i="4"/>
  <c r="GC155" i="4"/>
  <c r="GB155" i="4"/>
  <c r="GC154" i="4"/>
  <c r="GB154" i="4"/>
  <c r="GC153" i="4"/>
  <c r="GB153" i="4"/>
  <c r="GC152" i="4"/>
  <c r="GB152" i="4"/>
  <c r="GC151" i="4"/>
  <c r="GB151" i="4"/>
  <c r="GC150" i="4"/>
  <c r="GB150" i="4"/>
  <c r="GC149" i="4"/>
  <c r="GB149" i="4"/>
  <c r="GC148" i="4"/>
  <c r="GB148" i="4"/>
  <c r="GC147" i="4"/>
  <c r="GB147" i="4"/>
  <c r="GC146" i="4"/>
  <c r="GB146" i="4"/>
  <c r="GC145" i="4"/>
  <c r="GB145" i="4"/>
  <c r="GC144" i="4"/>
  <c r="GB144" i="4"/>
  <c r="GC143" i="4"/>
  <c r="GB143" i="4"/>
  <c r="GC142" i="4"/>
  <c r="GB142" i="4"/>
  <c r="GC141" i="4"/>
  <c r="GB141" i="4"/>
  <c r="GC140" i="4"/>
  <c r="GB140" i="4"/>
  <c r="GC139" i="4"/>
  <c r="GB139" i="4"/>
  <c r="GC138" i="4"/>
  <c r="GB138" i="4"/>
  <c r="GC137" i="4"/>
  <c r="GB137" i="4"/>
  <c r="GC136" i="4"/>
  <c r="GB136" i="4"/>
  <c r="GC135" i="4"/>
  <c r="GB135" i="4"/>
  <c r="GC134" i="4"/>
  <c r="GB134" i="4"/>
  <c r="GC133" i="4"/>
  <c r="GB133" i="4"/>
  <c r="GC132" i="4"/>
  <c r="GB132" i="4"/>
  <c r="GC131" i="4"/>
  <c r="GB131" i="4"/>
  <c r="GC130" i="4"/>
  <c r="GB130" i="4"/>
  <c r="GC129" i="4"/>
  <c r="GB129" i="4"/>
  <c r="GC128" i="4"/>
  <c r="GB128" i="4"/>
  <c r="GC127" i="4"/>
  <c r="GB127" i="4"/>
  <c r="GC126" i="4"/>
  <c r="GB126" i="4"/>
  <c r="GC125" i="4"/>
  <c r="GB125" i="4"/>
  <c r="GC124" i="4"/>
  <c r="GB124" i="4"/>
  <c r="GC123" i="4"/>
  <c r="GB123" i="4"/>
  <c r="GC122" i="4"/>
  <c r="GB122" i="4"/>
  <c r="GC121" i="4"/>
  <c r="GB121" i="4"/>
  <c r="GC120" i="4"/>
  <c r="GB120" i="4"/>
  <c r="GC119" i="4"/>
  <c r="GB119" i="4"/>
  <c r="GC118" i="4"/>
  <c r="GB118" i="4"/>
  <c r="GC117" i="4"/>
  <c r="GB117" i="4"/>
  <c r="GC116" i="4"/>
  <c r="GB116" i="4"/>
  <c r="GC115" i="4"/>
  <c r="GB115" i="4"/>
  <c r="GC114" i="4"/>
  <c r="GB114" i="4"/>
  <c r="GC113" i="4"/>
  <c r="GB113" i="4"/>
  <c r="GC112" i="4"/>
  <c r="GB112" i="4"/>
  <c r="GC111" i="4"/>
  <c r="GB111" i="4"/>
  <c r="GC110" i="4"/>
  <c r="GB110" i="4"/>
  <c r="GC109" i="4"/>
  <c r="GB109" i="4"/>
  <c r="GC108" i="4"/>
  <c r="GB108" i="4"/>
  <c r="GC107" i="4"/>
  <c r="GB107" i="4"/>
  <c r="GC106" i="4"/>
  <c r="GB106" i="4"/>
  <c r="GC105" i="4"/>
  <c r="GB105" i="4"/>
  <c r="GC104" i="4"/>
  <c r="GB104" i="4"/>
  <c r="GC103" i="4"/>
  <c r="GB103" i="4"/>
  <c r="GC102" i="4"/>
  <c r="GB102" i="4"/>
  <c r="GC101" i="4"/>
  <c r="GB101" i="4"/>
  <c r="GC100" i="4"/>
  <c r="GB100" i="4"/>
  <c r="GC99" i="4"/>
  <c r="GB99" i="4"/>
  <c r="GC98" i="4"/>
  <c r="GB98" i="4"/>
  <c r="GC97" i="4"/>
  <c r="GB97" i="4"/>
  <c r="GC96" i="4"/>
  <c r="GB96" i="4"/>
  <c r="GC95" i="4"/>
  <c r="GB95" i="4"/>
  <c r="GC94" i="4"/>
  <c r="GB94" i="4"/>
  <c r="GC93" i="4"/>
  <c r="GB93" i="4"/>
  <c r="GC92" i="4"/>
  <c r="GB92" i="4"/>
  <c r="GC91" i="4"/>
  <c r="GB91" i="4"/>
  <c r="GC90" i="4"/>
  <c r="GB90" i="4"/>
  <c r="GC89" i="4"/>
  <c r="GB89" i="4"/>
  <c r="GC88" i="4"/>
  <c r="GB88" i="4"/>
  <c r="GC87" i="4"/>
  <c r="GB87" i="4"/>
  <c r="GC86" i="4"/>
  <c r="GB86" i="4"/>
  <c r="GC85" i="4"/>
  <c r="GB85" i="4"/>
  <c r="GC84" i="4"/>
  <c r="GB84" i="4"/>
  <c r="GC83" i="4"/>
  <c r="GB83" i="4"/>
  <c r="GC82" i="4"/>
  <c r="GB82" i="4"/>
  <c r="GC81" i="4"/>
  <c r="GB81" i="4"/>
  <c r="GC80" i="4"/>
  <c r="GB80" i="4"/>
  <c r="GC79" i="4"/>
  <c r="GB79" i="4"/>
  <c r="GC78" i="4"/>
  <c r="GB78" i="4"/>
  <c r="GC77" i="4"/>
  <c r="GB77" i="4"/>
  <c r="GC76" i="4"/>
  <c r="GB76" i="4"/>
  <c r="GC75" i="4"/>
  <c r="GB75" i="4"/>
  <c r="GC74" i="4"/>
  <c r="GB74" i="4"/>
  <c r="GC73" i="4"/>
  <c r="GB73" i="4"/>
  <c r="GC72" i="4"/>
  <c r="GB72" i="4"/>
  <c r="GC71" i="4"/>
  <c r="GB71" i="4"/>
  <c r="GC70" i="4"/>
  <c r="GB70" i="4"/>
  <c r="GC69" i="4"/>
  <c r="GB69" i="4"/>
  <c r="GC68" i="4"/>
  <c r="GB68" i="4"/>
  <c r="GC67" i="4"/>
  <c r="GB67" i="4"/>
  <c r="GC66" i="4"/>
  <c r="GB66" i="4"/>
  <c r="GC65" i="4"/>
  <c r="GB65" i="4"/>
  <c r="GC64" i="4"/>
  <c r="GB64" i="4"/>
  <c r="GC63" i="4"/>
  <c r="GB63" i="4"/>
  <c r="GC62" i="4"/>
  <c r="GB62" i="4"/>
  <c r="GC61" i="4"/>
  <c r="GB61" i="4"/>
  <c r="GC60" i="4"/>
  <c r="GB60" i="4"/>
  <c r="GC59" i="4"/>
  <c r="GB59" i="4"/>
  <c r="GC58" i="4"/>
  <c r="GB58" i="4"/>
  <c r="GC57" i="4"/>
  <c r="GB57" i="4"/>
  <c r="GC56" i="4"/>
  <c r="GB56" i="4"/>
  <c r="GC55" i="4"/>
  <c r="GB55" i="4"/>
  <c r="GC54" i="4"/>
  <c r="GB54" i="4"/>
  <c r="GC53" i="4"/>
  <c r="GB53" i="4"/>
  <c r="GC52" i="4"/>
  <c r="GB52" i="4"/>
  <c r="GC51" i="4"/>
  <c r="GB51" i="4"/>
  <c r="GC50" i="4"/>
  <c r="GB50" i="4"/>
  <c r="GC49" i="4"/>
  <c r="GB49" i="4"/>
  <c r="GC48" i="4"/>
  <c r="GB48" i="4"/>
  <c r="GC47" i="4"/>
  <c r="GB47" i="4"/>
  <c r="GC46" i="4"/>
  <c r="GB46" i="4"/>
  <c r="GC45" i="4"/>
  <c r="GB45" i="4"/>
  <c r="GC44" i="4"/>
  <c r="GB44" i="4"/>
  <c r="GC43" i="4"/>
  <c r="GB43" i="4"/>
  <c r="GC42" i="4"/>
  <c r="GB42" i="4"/>
  <c r="GC41" i="4"/>
  <c r="GB41" i="4"/>
  <c r="GC40" i="4"/>
  <c r="GB40" i="4"/>
  <c r="GC39" i="4"/>
  <c r="GB39" i="4"/>
  <c r="GC38" i="4"/>
  <c r="GB38" i="4"/>
  <c r="GC37" i="4"/>
  <c r="GB37" i="4"/>
  <c r="GC36" i="4"/>
  <c r="GB36" i="4"/>
  <c r="GC35" i="4"/>
  <c r="GB35" i="4"/>
  <c r="GC34" i="4"/>
  <c r="GB34" i="4"/>
  <c r="GC33" i="4"/>
  <c r="GB33" i="4"/>
  <c r="GC32" i="4"/>
  <c r="GB32" i="4"/>
  <c r="GC31" i="4"/>
  <c r="GB31" i="4"/>
  <c r="GC30" i="4"/>
  <c r="GB30" i="4"/>
  <c r="GC29" i="4"/>
  <c r="GB29" i="4"/>
  <c r="GC28" i="4"/>
  <c r="GB28" i="4"/>
  <c r="GC27" i="4"/>
  <c r="GB27" i="4"/>
  <c r="GC26" i="4"/>
  <c r="GB26" i="4"/>
  <c r="GC25" i="4"/>
  <c r="GB25" i="4"/>
  <c r="GC24" i="4"/>
  <c r="GB24" i="4"/>
  <c r="GC23" i="4"/>
  <c r="GB23" i="4"/>
  <c r="GC22" i="4"/>
  <c r="GB22" i="4"/>
  <c r="GC21" i="4"/>
  <c r="GB21" i="4"/>
  <c r="GC20" i="4"/>
  <c r="GB20" i="4"/>
  <c r="GC19" i="4"/>
  <c r="GB19" i="4"/>
  <c r="GC18" i="4"/>
  <c r="GB18" i="4"/>
  <c r="GC17" i="4"/>
  <c r="GB17" i="4"/>
  <c r="GC16" i="4"/>
  <c r="GB16" i="4"/>
  <c r="GC15" i="4"/>
  <c r="GB15" i="4"/>
  <c r="GC14" i="4"/>
  <c r="GB14" i="4"/>
  <c r="GC13" i="4"/>
  <c r="GB13" i="4"/>
  <c r="GC12" i="4"/>
  <c r="GB12" i="4"/>
  <c r="GC11" i="4"/>
  <c r="GB11" i="4"/>
  <c r="GC10" i="4"/>
  <c r="GB10" i="4"/>
  <c r="FW300" i="4"/>
  <c r="FV300" i="4"/>
  <c r="FW299" i="4"/>
  <c r="FV299" i="4"/>
  <c r="FW298" i="4"/>
  <c r="FV298" i="4"/>
  <c r="FW297" i="4"/>
  <c r="FV297" i="4"/>
  <c r="FW296" i="4"/>
  <c r="FV296" i="4"/>
  <c r="FW295" i="4"/>
  <c r="FV295" i="4"/>
  <c r="FW294" i="4"/>
  <c r="FV294" i="4"/>
  <c r="FW293" i="4"/>
  <c r="FV293" i="4"/>
  <c r="FW292" i="4"/>
  <c r="FV292" i="4"/>
  <c r="FW291" i="4"/>
  <c r="FV291" i="4"/>
  <c r="FW290" i="4"/>
  <c r="FV290" i="4"/>
  <c r="FW289" i="4"/>
  <c r="FV289" i="4"/>
  <c r="FW288" i="4"/>
  <c r="FV288" i="4"/>
  <c r="FW287" i="4"/>
  <c r="FV287" i="4"/>
  <c r="FW286" i="4"/>
  <c r="FV286" i="4"/>
  <c r="FW285" i="4"/>
  <c r="FV285" i="4"/>
  <c r="FW284" i="4"/>
  <c r="FV284" i="4"/>
  <c r="FW283" i="4"/>
  <c r="FV283" i="4"/>
  <c r="FW282" i="4"/>
  <c r="FV282" i="4"/>
  <c r="FW281" i="4"/>
  <c r="FV281" i="4"/>
  <c r="FW280" i="4"/>
  <c r="FV280" i="4"/>
  <c r="FW279" i="4"/>
  <c r="FV279" i="4"/>
  <c r="FW278" i="4"/>
  <c r="FV278" i="4"/>
  <c r="FW277" i="4"/>
  <c r="FV277" i="4"/>
  <c r="FW276" i="4"/>
  <c r="FV276" i="4"/>
  <c r="FW275" i="4"/>
  <c r="FV275" i="4"/>
  <c r="FW274" i="4"/>
  <c r="FV274" i="4"/>
  <c r="FW273" i="4"/>
  <c r="FV273" i="4"/>
  <c r="FW272" i="4"/>
  <c r="FV272" i="4"/>
  <c r="FW271" i="4"/>
  <c r="FV271" i="4"/>
  <c r="FW270" i="4"/>
  <c r="FV270" i="4"/>
  <c r="FW269" i="4"/>
  <c r="FV269" i="4"/>
  <c r="FW268" i="4"/>
  <c r="FV268" i="4"/>
  <c r="FW267" i="4"/>
  <c r="FV267" i="4"/>
  <c r="FW266" i="4"/>
  <c r="FV266" i="4"/>
  <c r="FW265" i="4"/>
  <c r="FV265" i="4"/>
  <c r="FW264" i="4"/>
  <c r="FV264" i="4"/>
  <c r="FW263" i="4"/>
  <c r="FV263" i="4"/>
  <c r="FW262" i="4"/>
  <c r="FV262" i="4"/>
  <c r="FW261" i="4"/>
  <c r="FV261" i="4"/>
  <c r="FW260" i="4"/>
  <c r="FV260" i="4"/>
  <c r="FW259" i="4"/>
  <c r="FV259" i="4"/>
  <c r="FW258" i="4"/>
  <c r="FV258" i="4"/>
  <c r="FW257" i="4"/>
  <c r="FV257" i="4"/>
  <c r="FW256" i="4"/>
  <c r="FV256" i="4"/>
  <c r="FW255" i="4"/>
  <c r="FV255" i="4"/>
  <c r="FW254" i="4"/>
  <c r="FV254" i="4"/>
  <c r="FW253" i="4"/>
  <c r="FV253" i="4"/>
  <c r="FW252" i="4"/>
  <c r="FV252" i="4"/>
  <c r="FW251" i="4"/>
  <c r="FV251" i="4"/>
  <c r="FW250" i="4"/>
  <c r="FV250" i="4"/>
  <c r="FW249" i="4"/>
  <c r="FV249" i="4"/>
  <c r="FW248" i="4"/>
  <c r="FV248" i="4"/>
  <c r="FW247" i="4"/>
  <c r="FV247" i="4"/>
  <c r="FW246" i="4"/>
  <c r="FV246" i="4"/>
  <c r="FW245" i="4"/>
  <c r="FV245" i="4"/>
  <c r="FW244" i="4"/>
  <c r="FV244" i="4"/>
  <c r="FW243" i="4"/>
  <c r="FV243" i="4"/>
  <c r="FW242" i="4"/>
  <c r="FV242" i="4"/>
  <c r="FW241" i="4"/>
  <c r="FV241" i="4"/>
  <c r="FW240" i="4"/>
  <c r="FV240" i="4"/>
  <c r="FW239" i="4"/>
  <c r="FV239" i="4"/>
  <c r="FW238" i="4"/>
  <c r="FV238" i="4"/>
  <c r="FW237" i="4"/>
  <c r="FV237" i="4"/>
  <c r="FW236" i="4"/>
  <c r="FV236" i="4"/>
  <c r="FW235" i="4"/>
  <c r="FV235" i="4"/>
  <c r="FW234" i="4"/>
  <c r="FV234" i="4"/>
  <c r="FW233" i="4"/>
  <c r="FV233" i="4"/>
  <c r="FW232" i="4"/>
  <c r="FV232" i="4"/>
  <c r="FW231" i="4"/>
  <c r="FV231" i="4"/>
  <c r="FW230" i="4"/>
  <c r="FV230" i="4"/>
  <c r="FW229" i="4"/>
  <c r="FV229" i="4"/>
  <c r="FW228" i="4"/>
  <c r="FV228" i="4"/>
  <c r="FW227" i="4"/>
  <c r="FV227" i="4"/>
  <c r="FW226" i="4"/>
  <c r="FV226" i="4"/>
  <c r="FW225" i="4"/>
  <c r="FV225" i="4"/>
  <c r="FW224" i="4"/>
  <c r="FV224" i="4"/>
  <c r="FW223" i="4"/>
  <c r="FV223" i="4"/>
  <c r="FW222" i="4"/>
  <c r="FV222" i="4"/>
  <c r="FW221" i="4"/>
  <c r="FV221" i="4"/>
  <c r="FW220" i="4"/>
  <c r="FV220" i="4"/>
  <c r="FW219" i="4"/>
  <c r="FV219" i="4"/>
  <c r="FW218" i="4"/>
  <c r="FV218" i="4"/>
  <c r="FW217" i="4"/>
  <c r="FV217" i="4"/>
  <c r="FW216" i="4"/>
  <c r="FV216" i="4"/>
  <c r="FW215" i="4"/>
  <c r="FV215" i="4"/>
  <c r="FW214" i="4"/>
  <c r="FV214" i="4"/>
  <c r="FW213" i="4"/>
  <c r="FV213" i="4"/>
  <c r="FW212" i="4"/>
  <c r="FV212" i="4"/>
  <c r="FW211" i="4"/>
  <c r="FV211" i="4"/>
  <c r="FW210" i="4"/>
  <c r="FV210" i="4"/>
  <c r="FW209" i="4"/>
  <c r="FV209" i="4"/>
  <c r="FW208" i="4"/>
  <c r="FV208" i="4"/>
  <c r="FW207" i="4"/>
  <c r="FV207" i="4"/>
  <c r="FW206" i="4"/>
  <c r="FV206" i="4"/>
  <c r="FW205" i="4"/>
  <c r="FV205" i="4"/>
  <c r="FW204" i="4"/>
  <c r="FV204" i="4"/>
  <c r="FW203" i="4"/>
  <c r="FV203" i="4"/>
  <c r="FW202" i="4"/>
  <c r="FV202" i="4"/>
  <c r="FW201" i="4"/>
  <c r="FV201" i="4"/>
  <c r="FW200" i="4"/>
  <c r="FV200" i="4"/>
  <c r="FW199" i="4"/>
  <c r="FV199" i="4"/>
  <c r="FW198" i="4"/>
  <c r="FV198" i="4"/>
  <c r="FW197" i="4"/>
  <c r="FV197" i="4"/>
  <c r="FW196" i="4"/>
  <c r="FV196" i="4"/>
  <c r="FW195" i="4"/>
  <c r="FV195" i="4"/>
  <c r="FW194" i="4"/>
  <c r="FV194" i="4"/>
  <c r="FW193" i="4"/>
  <c r="FV193" i="4"/>
  <c r="FW192" i="4"/>
  <c r="FV192" i="4"/>
  <c r="FW191" i="4"/>
  <c r="FV191" i="4"/>
  <c r="FW190" i="4"/>
  <c r="FV190" i="4"/>
  <c r="FW189" i="4"/>
  <c r="FV189" i="4"/>
  <c r="FW188" i="4"/>
  <c r="FV188" i="4"/>
  <c r="FW187" i="4"/>
  <c r="FV187" i="4"/>
  <c r="FW186" i="4"/>
  <c r="FV186" i="4"/>
  <c r="FW185" i="4"/>
  <c r="FV185" i="4"/>
  <c r="FW184" i="4"/>
  <c r="FV184" i="4"/>
  <c r="FW183" i="4"/>
  <c r="FV183" i="4"/>
  <c r="FW182" i="4"/>
  <c r="FV182" i="4"/>
  <c r="FW181" i="4"/>
  <c r="FV181" i="4"/>
  <c r="FW180" i="4"/>
  <c r="FV180" i="4"/>
  <c r="FW179" i="4"/>
  <c r="FV179" i="4"/>
  <c r="FW178" i="4"/>
  <c r="FV178" i="4"/>
  <c r="FW177" i="4"/>
  <c r="FV177" i="4"/>
  <c r="FW176" i="4"/>
  <c r="FV176" i="4"/>
  <c r="FW175" i="4"/>
  <c r="FV175" i="4"/>
  <c r="FW174" i="4"/>
  <c r="FV174" i="4"/>
  <c r="FW173" i="4"/>
  <c r="FV173" i="4"/>
  <c r="FW172" i="4"/>
  <c r="FV172" i="4"/>
  <c r="FW171" i="4"/>
  <c r="FV171" i="4"/>
  <c r="FW170" i="4"/>
  <c r="FV170" i="4"/>
  <c r="FW169" i="4"/>
  <c r="FV169" i="4"/>
  <c r="FW168" i="4"/>
  <c r="FV168" i="4"/>
  <c r="FW167" i="4"/>
  <c r="FV167" i="4"/>
  <c r="FW166" i="4"/>
  <c r="FV166" i="4"/>
  <c r="FW165" i="4"/>
  <c r="FV165" i="4"/>
  <c r="FW164" i="4"/>
  <c r="FV164" i="4"/>
  <c r="FW163" i="4"/>
  <c r="FV163" i="4"/>
  <c r="FW162" i="4"/>
  <c r="FV162" i="4"/>
  <c r="FW161" i="4"/>
  <c r="FV161" i="4"/>
  <c r="FW160" i="4"/>
  <c r="FV160" i="4"/>
  <c r="FW159" i="4"/>
  <c r="FV159" i="4"/>
  <c r="FW158" i="4"/>
  <c r="FV158" i="4"/>
  <c r="FW157" i="4"/>
  <c r="FV157" i="4"/>
  <c r="FW156" i="4"/>
  <c r="FV156" i="4"/>
  <c r="FW155" i="4"/>
  <c r="FV155" i="4"/>
  <c r="FW154" i="4"/>
  <c r="FV154" i="4"/>
  <c r="FW153" i="4"/>
  <c r="FV153" i="4"/>
  <c r="FW152" i="4"/>
  <c r="FV152" i="4"/>
  <c r="FW151" i="4"/>
  <c r="FV151" i="4"/>
  <c r="FW150" i="4"/>
  <c r="FV150" i="4"/>
  <c r="FW149" i="4"/>
  <c r="FV149" i="4"/>
  <c r="FW148" i="4"/>
  <c r="FV148" i="4"/>
  <c r="FW147" i="4"/>
  <c r="FV147" i="4"/>
  <c r="FW146" i="4"/>
  <c r="FV146" i="4"/>
  <c r="FW145" i="4"/>
  <c r="FV145" i="4"/>
  <c r="FW144" i="4"/>
  <c r="FV144" i="4"/>
  <c r="FW143" i="4"/>
  <c r="FV143" i="4"/>
  <c r="FW142" i="4"/>
  <c r="FV142" i="4"/>
  <c r="FW141" i="4"/>
  <c r="FV141" i="4"/>
  <c r="FW140" i="4"/>
  <c r="FV140" i="4"/>
  <c r="FW139" i="4"/>
  <c r="FV139" i="4"/>
  <c r="FW138" i="4"/>
  <c r="FV138" i="4"/>
  <c r="FW137" i="4"/>
  <c r="FV137" i="4"/>
  <c r="FW136" i="4"/>
  <c r="FV136" i="4"/>
  <c r="FW135" i="4"/>
  <c r="FV135" i="4"/>
  <c r="FW134" i="4"/>
  <c r="FV134" i="4"/>
  <c r="FW133" i="4"/>
  <c r="FV133" i="4"/>
  <c r="FW132" i="4"/>
  <c r="FV132" i="4"/>
  <c r="FW131" i="4"/>
  <c r="FV131" i="4"/>
  <c r="FW130" i="4"/>
  <c r="FV130" i="4"/>
  <c r="FW129" i="4"/>
  <c r="FV129" i="4"/>
  <c r="FW128" i="4"/>
  <c r="FV128" i="4"/>
  <c r="FW127" i="4"/>
  <c r="FV127" i="4"/>
  <c r="FW126" i="4"/>
  <c r="FV126" i="4"/>
  <c r="FW125" i="4"/>
  <c r="FV125" i="4"/>
  <c r="FW124" i="4"/>
  <c r="FV124" i="4"/>
  <c r="FW123" i="4"/>
  <c r="FV123" i="4"/>
  <c r="FW122" i="4"/>
  <c r="FV122" i="4"/>
  <c r="FW121" i="4"/>
  <c r="FV121" i="4"/>
  <c r="FW120" i="4"/>
  <c r="FV120" i="4"/>
  <c r="FW119" i="4"/>
  <c r="FV119" i="4"/>
  <c r="FW118" i="4"/>
  <c r="FV118" i="4"/>
  <c r="FW117" i="4"/>
  <c r="FV117" i="4"/>
  <c r="FW116" i="4"/>
  <c r="FV116" i="4"/>
  <c r="FW115" i="4"/>
  <c r="FV115" i="4"/>
  <c r="FW114" i="4"/>
  <c r="FV114" i="4"/>
  <c r="FW113" i="4"/>
  <c r="FV113" i="4"/>
  <c r="FW112" i="4"/>
  <c r="FV112" i="4"/>
  <c r="FW111" i="4"/>
  <c r="FV111" i="4"/>
  <c r="FW110" i="4"/>
  <c r="FV110" i="4"/>
  <c r="FW109" i="4"/>
  <c r="FV109" i="4"/>
  <c r="FW108" i="4"/>
  <c r="FV108" i="4"/>
  <c r="FW107" i="4"/>
  <c r="FV107" i="4"/>
  <c r="FW106" i="4"/>
  <c r="FV106" i="4"/>
  <c r="FW105" i="4"/>
  <c r="FV105" i="4"/>
  <c r="FW104" i="4"/>
  <c r="FV104" i="4"/>
  <c r="FW103" i="4"/>
  <c r="FV103" i="4"/>
  <c r="FW102" i="4"/>
  <c r="FV102" i="4"/>
  <c r="FW101" i="4"/>
  <c r="FV101" i="4"/>
  <c r="FW100" i="4"/>
  <c r="FV100" i="4"/>
  <c r="FW99" i="4"/>
  <c r="FV99" i="4"/>
  <c r="FW98" i="4"/>
  <c r="FV98" i="4"/>
  <c r="FW97" i="4"/>
  <c r="FV97" i="4"/>
  <c r="FW96" i="4"/>
  <c r="FV96" i="4"/>
  <c r="FW95" i="4"/>
  <c r="FV95" i="4"/>
  <c r="FW94" i="4"/>
  <c r="FV94" i="4"/>
  <c r="FW93" i="4"/>
  <c r="FV93" i="4"/>
  <c r="FW92" i="4"/>
  <c r="FV92" i="4"/>
  <c r="FW91" i="4"/>
  <c r="FV91" i="4"/>
  <c r="FW90" i="4"/>
  <c r="FV90" i="4"/>
  <c r="FW89" i="4"/>
  <c r="FV89" i="4"/>
  <c r="FW88" i="4"/>
  <c r="FV88" i="4"/>
  <c r="FW87" i="4"/>
  <c r="FV87" i="4"/>
  <c r="FW86" i="4"/>
  <c r="FV86" i="4"/>
  <c r="FW85" i="4"/>
  <c r="FV85" i="4"/>
  <c r="FW84" i="4"/>
  <c r="FV84" i="4"/>
  <c r="FW83" i="4"/>
  <c r="FV83" i="4"/>
  <c r="FW82" i="4"/>
  <c r="FV82" i="4"/>
  <c r="FW81" i="4"/>
  <c r="FV81" i="4"/>
  <c r="FW80" i="4"/>
  <c r="FV80" i="4"/>
  <c r="FW79" i="4"/>
  <c r="FV79" i="4"/>
  <c r="FW78" i="4"/>
  <c r="FV78" i="4"/>
  <c r="FW77" i="4"/>
  <c r="FV77" i="4"/>
  <c r="FW76" i="4"/>
  <c r="FV76" i="4"/>
  <c r="FW75" i="4"/>
  <c r="FV75" i="4"/>
  <c r="FW74" i="4"/>
  <c r="FV74" i="4"/>
  <c r="FW73" i="4"/>
  <c r="FV73" i="4"/>
  <c r="FW72" i="4"/>
  <c r="FV72" i="4"/>
  <c r="FW71" i="4"/>
  <c r="FV71" i="4"/>
  <c r="FW70" i="4"/>
  <c r="FV70" i="4"/>
  <c r="FW69" i="4"/>
  <c r="FV69" i="4"/>
  <c r="FW68" i="4"/>
  <c r="FV68" i="4"/>
  <c r="FW67" i="4"/>
  <c r="FV67" i="4"/>
  <c r="FW66" i="4"/>
  <c r="FV66" i="4"/>
  <c r="FW65" i="4"/>
  <c r="FV65" i="4"/>
  <c r="FW64" i="4"/>
  <c r="FV64" i="4"/>
  <c r="FW63" i="4"/>
  <c r="FV63" i="4"/>
  <c r="FW62" i="4"/>
  <c r="FV62" i="4"/>
  <c r="FW61" i="4"/>
  <c r="FV61" i="4"/>
  <c r="FW60" i="4"/>
  <c r="FV60" i="4"/>
  <c r="FW59" i="4"/>
  <c r="FV59" i="4"/>
  <c r="FW58" i="4"/>
  <c r="FV58" i="4"/>
  <c r="FW57" i="4"/>
  <c r="FV57" i="4"/>
  <c r="FW56" i="4"/>
  <c r="FV56" i="4"/>
  <c r="FW55" i="4"/>
  <c r="FV55" i="4"/>
  <c r="FW54" i="4"/>
  <c r="FV54" i="4"/>
  <c r="FW53" i="4"/>
  <c r="FV53" i="4"/>
  <c r="FW52" i="4"/>
  <c r="FV52" i="4"/>
  <c r="FW51" i="4"/>
  <c r="FV51" i="4"/>
  <c r="FW50" i="4"/>
  <c r="FV50" i="4"/>
  <c r="FW49" i="4"/>
  <c r="FV49" i="4"/>
  <c r="FW48" i="4"/>
  <c r="FV48" i="4"/>
  <c r="FW47" i="4"/>
  <c r="FV47" i="4"/>
  <c r="FW46" i="4"/>
  <c r="FV46" i="4"/>
  <c r="FW45" i="4"/>
  <c r="FV45" i="4"/>
  <c r="FW44" i="4"/>
  <c r="FV44" i="4"/>
  <c r="FW43" i="4"/>
  <c r="FV43" i="4"/>
  <c r="FW42" i="4"/>
  <c r="FV42" i="4"/>
  <c r="FW41" i="4"/>
  <c r="FV41" i="4"/>
  <c r="FW40" i="4"/>
  <c r="FV40" i="4"/>
  <c r="FW39" i="4"/>
  <c r="FV39" i="4"/>
  <c r="FW38" i="4"/>
  <c r="FV38" i="4"/>
  <c r="FW37" i="4"/>
  <c r="FV37" i="4"/>
  <c r="FW36" i="4"/>
  <c r="FV36" i="4"/>
  <c r="FW35" i="4"/>
  <c r="FV35" i="4"/>
  <c r="FW34" i="4"/>
  <c r="FV34" i="4"/>
  <c r="FW33" i="4"/>
  <c r="FV33" i="4"/>
  <c r="FW32" i="4"/>
  <c r="FV32" i="4"/>
  <c r="FW31" i="4"/>
  <c r="FV31" i="4"/>
  <c r="FW30" i="4"/>
  <c r="FV30" i="4"/>
  <c r="FW29" i="4"/>
  <c r="FV29" i="4"/>
  <c r="FW28" i="4"/>
  <c r="FV28" i="4"/>
  <c r="FW27" i="4"/>
  <c r="FV27" i="4"/>
  <c r="FW26" i="4"/>
  <c r="FV26" i="4"/>
  <c r="FW25" i="4"/>
  <c r="FV25" i="4"/>
  <c r="FW24" i="4"/>
  <c r="FV24" i="4"/>
  <c r="FW23" i="4"/>
  <c r="FV23" i="4"/>
  <c r="FW22" i="4"/>
  <c r="FV22" i="4"/>
  <c r="FW21" i="4"/>
  <c r="FV21" i="4"/>
  <c r="FW20" i="4"/>
  <c r="FV20" i="4"/>
  <c r="FW19" i="4"/>
  <c r="FV19" i="4"/>
  <c r="FW18" i="4"/>
  <c r="FV18" i="4"/>
  <c r="FW17" i="4"/>
  <c r="FV17" i="4"/>
  <c r="FW16" i="4"/>
  <c r="FV16" i="4"/>
  <c r="FW15" i="4"/>
  <c r="FV15" i="4"/>
  <c r="FW14" i="4"/>
  <c r="FV14" i="4"/>
  <c r="FW13" i="4"/>
  <c r="FV13" i="4"/>
  <c r="FW12" i="4"/>
  <c r="FV12" i="4"/>
  <c r="FW11" i="4"/>
  <c r="FV11" i="4"/>
  <c r="FW10" i="4"/>
  <c r="FV10" i="4"/>
  <c r="FP300" i="4"/>
  <c r="FO300" i="4"/>
  <c r="FP299" i="4"/>
  <c r="FO299" i="4"/>
  <c r="FP298" i="4"/>
  <c r="FO298" i="4"/>
  <c r="FP297" i="4"/>
  <c r="FO297" i="4"/>
  <c r="FP296" i="4"/>
  <c r="FO296" i="4"/>
  <c r="FP295" i="4"/>
  <c r="FO295" i="4"/>
  <c r="FP294" i="4"/>
  <c r="FO294" i="4"/>
  <c r="FP293" i="4"/>
  <c r="FO293" i="4"/>
  <c r="FP292" i="4"/>
  <c r="FO292" i="4"/>
  <c r="FP291" i="4"/>
  <c r="FO291" i="4"/>
  <c r="FP290" i="4"/>
  <c r="FO290" i="4"/>
  <c r="FP289" i="4"/>
  <c r="FO289" i="4"/>
  <c r="FP288" i="4"/>
  <c r="FO288" i="4"/>
  <c r="FP287" i="4"/>
  <c r="FO287" i="4"/>
  <c r="FP286" i="4"/>
  <c r="FO286" i="4"/>
  <c r="FP285" i="4"/>
  <c r="FO285" i="4"/>
  <c r="FP284" i="4"/>
  <c r="FO284" i="4"/>
  <c r="FP283" i="4"/>
  <c r="FO283" i="4"/>
  <c r="FP282" i="4"/>
  <c r="FO282" i="4"/>
  <c r="FP281" i="4"/>
  <c r="FO281" i="4"/>
  <c r="FP280" i="4"/>
  <c r="FO280" i="4"/>
  <c r="FP279" i="4"/>
  <c r="FO279" i="4"/>
  <c r="FP278" i="4"/>
  <c r="FO278" i="4"/>
  <c r="FP277" i="4"/>
  <c r="FO277" i="4"/>
  <c r="FP276" i="4"/>
  <c r="FO276" i="4"/>
  <c r="FP275" i="4"/>
  <c r="FO275" i="4"/>
  <c r="FP274" i="4"/>
  <c r="FO274" i="4"/>
  <c r="FP273" i="4"/>
  <c r="FO273" i="4"/>
  <c r="FP272" i="4"/>
  <c r="FO272" i="4"/>
  <c r="FP271" i="4"/>
  <c r="FO271" i="4"/>
  <c r="FP270" i="4"/>
  <c r="FO270" i="4"/>
  <c r="FP269" i="4"/>
  <c r="FO269" i="4"/>
  <c r="FP268" i="4"/>
  <c r="FO268" i="4"/>
  <c r="FP267" i="4"/>
  <c r="FO267" i="4"/>
  <c r="FP266" i="4"/>
  <c r="FO266" i="4"/>
  <c r="FP265" i="4"/>
  <c r="FO265" i="4"/>
  <c r="FP264" i="4"/>
  <c r="FO264" i="4"/>
  <c r="FP263" i="4"/>
  <c r="FO263" i="4"/>
  <c r="FP262" i="4"/>
  <c r="FO262" i="4"/>
  <c r="FP261" i="4"/>
  <c r="FO261" i="4"/>
  <c r="FP260" i="4"/>
  <c r="FO260" i="4"/>
  <c r="FP259" i="4"/>
  <c r="FO259" i="4"/>
  <c r="FP258" i="4"/>
  <c r="FO258" i="4"/>
  <c r="FP257" i="4"/>
  <c r="FO257" i="4"/>
  <c r="FP256" i="4"/>
  <c r="FO256" i="4"/>
  <c r="FP255" i="4"/>
  <c r="FO255" i="4"/>
  <c r="FP254" i="4"/>
  <c r="FO254" i="4"/>
  <c r="FP253" i="4"/>
  <c r="FO253" i="4"/>
  <c r="FP252" i="4"/>
  <c r="FO252" i="4"/>
  <c r="FP251" i="4"/>
  <c r="FO251" i="4"/>
  <c r="FP250" i="4"/>
  <c r="FO250" i="4"/>
  <c r="FP249" i="4"/>
  <c r="FO249" i="4"/>
  <c r="FP248" i="4"/>
  <c r="FO248" i="4"/>
  <c r="FP247" i="4"/>
  <c r="FO247" i="4"/>
  <c r="FP246" i="4"/>
  <c r="FO246" i="4"/>
  <c r="FP245" i="4"/>
  <c r="FO245" i="4"/>
  <c r="FP244" i="4"/>
  <c r="FO244" i="4"/>
  <c r="FP243" i="4"/>
  <c r="FO243" i="4"/>
  <c r="FP242" i="4"/>
  <c r="FO242" i="4"/>
  <c r="FP241" i="4"/>
  <c r="FO241" i="4"/>
  <c r="FP240" i="4"/>
  <c r="FO240" i="4"/>
  <c r="FP239" i="4"/>
  <c r="FO239" i="4"/>
  <c r="FP238" i="4"/>
  <c r="FO238" i="4"/>
  <c r="FP237" i="4"/>
  <c r="FO237" i="4"/>
  <c r="FP236" i="4"/>
  <c r="FO236" i="4"/>
  <c r="FP235" i="4"/>
  <c r="FO235" i="4"/>
  <c r="FP234" i="4"/>
  <c r="FO234" i="4"/>
  <c r="FP233" i="4"/>
  <c r="FO233" i="4"/>
  <c r="FP232" i="4"/>
  <c r="FO232" i="4"/>
  <c r="FP231" i="4"/>
  <c r="FO231" i="4"/>
  <c r="FP230" i="4"/>
  <c r="FO230" i="4"/>
  <c r="FP229" i="4"/>
  <c r="FO229" i="4"/>
  <c r="FP228" i="4"/>
  <c r="FO228" i="4"/>
  <c r="FP227" i="4"/>
  <c r="FO227" i="4"/>
  <c r="FP226" i="4"/>
  <c r="FO226" i="4"/>
  <c r="FP225" i="4"/>
  <c r="FO225" i="4"/>
  <c r="FP224" i="4"/>
  <c r="FO224" i="4"/>
  <c r="FP223" i="4"/>
  <c r="FO223" i="4"/>
  <c r="FP222" i="4"/>
  <c r="FO222" i="4"/>
  <c r="FP221" i="4"/>
  <c r="FO221" i="4"/>
  <c r="FP220" i="4"/>
  <c r="FO220" i="4"/>
  <c r="FP219" i="4"/>
  <c r="FO219" i="4"/>
  <c r="FP218" i="4"/>
  <c r="FO218" i="4"/>
  <c r="FP217" i="4"/>
  <c r="FO217" i="4"/>
  <c r="FP216" i="4"/>
  <c r="FO216" i="4"/>
  <c r="FP215" i="4"/>
  <c r="FO215" i="4"/>
  <c r="FP214" i="4"/>
  <c r="FO214" i="4"/>
  <c r="FP213" i="4"/>
  <c r="FO213" i="4"/>
  <c r="FP212" i="4"/>
  <c r="FO212" i="4"/>
  <c r="FP211" i="4"/>
  <c r="FO211" i="4"/>
  <c r="FP210" i="4"/>
  <c r="FO210" i="4"/>
  <c r="FP209" i="4"/>
  <c r="FO209" i="4"/>
  <c r="FP208" i="4"/>
  <c r="FO208" i="4"/>
  <c r="FP207" i="4"/>
  <c r="FO207" i="4"/>
  <c r="FP206" i="4"/>
  <c r="FO206" i="4"/>
  <c r="FP205" i="4"/>
  <c r="FO205" i="4"/>
  <c r="FP204" i="4"/>
  <c r="FO204" i="4"/>
  <c r="FP203" i="4"/>
  <c r="FO203" i="4"/>
  <c r="FP202" i="4"/>
  <c r="FO202" i="4"/>
  <c r="FP201" i="4"/>
  <c r="FO201" i="4"/>
  <c r="FP200" i="4"/>
  <c r="FO200" i="4"/>
  <c r="FP199" i="4"/>
  <c r="FO199" i="4"/>
  <c r="FP198" i="4"/>
  <c r="FO198" i="4"/>
  <c r="FP197" i="4"/>
  <c r="FO197" i="4"/>
  <c r="FP196" i="4"/>
  <c r="FO196" i="4"/>
  <c r="FP195" i="4"/>
  <c r="FO195" i="4"/>
  <c r="FP194" i="4"/>
  <c r="FO194" i="4"/>
  <c r="FP193" i="4"/>
  <c r="FO193" i="4"/>
  <c r="FP192" i="4"/>
  <c r="FO192" i="4"/>
  <c r="FP191" i="4"/>
  <c r="FO191" i="4"/>
  <c r="FP190" i="4"/>
  <c r="FO190" i="4"/>
  <c r="FP189" i="4"/>
  <c r="FO189" i="4"/>
  <c r="FP188" i="4"/>
  <c r="FO188" i="4"/>
  <c r="FP187" i="4"/>
  <c r="FO187" i="4"/>
  <c r="FP186" i="4"/>
  <c r="FO186" i="4"/>
  <c r="FP185" i="4"/>
  <c r="FO185" i="4"/>
  <c r="FP184" i="4"/>
  <c r="FO184" i="4"/>
  <c r="FP183" i="4"/>
  <c r="FO183" i="4"/>
  <c r="FP182" i="4"/>
  <c r="FO182" i="4"/>
  <c r="FP181" i="4"/>
  <c r="FO181" i="4"/>
  <c r="FP180" i="4"/>
  <c r="FO180" i="4"/>
  <c r="FP179" i="4"/>
  <c r="FO179" i="4"/>
  <c r="FP178" i="4"/>
  <c r="FO178" i="4"/>
  <c r="FP177" i="4"/>
  <c r="FO177" i="4"/>
  <c r="FP176" i="4"/>
  <c r="FO176" i="4"/>
  <c r="FP175" i="4"/>
  <c r="FO175" i="4"/>
  <c r="FP174" i="4"/>
  <c r="FO174" i="4"/>
  <c r="FP173" i="4"/>
  <c r="FO173" i="4"/>
  <c r="FP172" i="4"/>
  <c r="FO172" i="4"/>
  <c r="FP171" i="4"/>
  <c r="FO171" i="4"/>
  <c r="FP170" i="4"/>
  <c r="FO170" i="4"/>
  <c r="FP169" i="4"/>
  <c r="FO169" i="4"/>
  <c r="FP168" i="4"/>
  <c r="FO168" i="4"/>
  <c r="FP167" i="4"/>
  <c r="FO167" i="4"/>
  <c r="FP166" i="4"/>
  <c r="FO166" i="4"/>
  <c r="FP165" i="4"/>
  <c r="FO165" i="4"/>
  <c r="FP164" i="4"/>
  <c r="FO164" i="4"/>
  <c r="FP163" i="4"/>
  <c r="FO163" i="4"/>
  <c r="FP162" i="4"/>
  <c r="FO162" i="4"/>
  <c r="FP161" i="4"/>
  <c r="FO161" i="4"/>
  <c r="FP160" i="4"/>
  <c r="FO160" i="4"/>
  <c r="FP159" i="4"/>
  <c r="FO159" i="4"/>
  <c r="FP158" i="4"/>
  <c r="FO158" i="4"/>
  <c r="FP157" i="4"/>
  <c r="FO157" i="4"/>
  <c r="FP156" i="4"/>
  <c r="FO156" i="4"/>
  <c r="FP155" i="4"/>
  <c r="FO155" i="4"/>
  <c r="FP154" i="4"/>
  <c r="FO154" i="4"/>
  <c r="FP153" i="4"/>
  <c r="FO153" i="4"/>
  <c r="FP152" i="4"/>
  <c r="FO152" i="4"/>
  <c r="FP151" i="4"/>
  <c r="FO151" i="4"/>
  <c r="FP150" i="4"/>
  <c r="FO150" i="4"/>
  <c r="FP149" i="4"/>
  <c r="FO149" i="4"/>
  <c r="FP148" i="4"/>
  <c r="FO148" i="4"/>
  <c r="FP147" i="4"/>
  <c r="FO147" i="4"/>
  <c r="FP146" i="4"/>
  <c r="FO146" i="4"/>
  <c r="FP145" i="4"/>
  <c r="FO145" i="4"/>
  <c r="FP144" i="4"/>
  <c r="FO144" i="4"/>
  <c r="FP143" i="4"/>
  <c r="FO143" i="4"/>
  <c r="FP142" i="4"/>
  <c r="FO142" i="4"/>
  <c r="FP141" i="4"/>
  <c r="FO141" i="4"/>
  <c r="FP140" i="4"/>
  <c r="FO140" i="4"/>
  <c r="FP139" i="4"/>
  <c r="FO139" i="4"/>
  <c r="FP138" i="4"/>
  <c r="FO138" i="4"/>
  <c r="FP137" i="4"/>
  <c r="FO137" i="4"/>
  <c r="FP136" i="4"/>
  <c r="FO136" i="4"/>
  <c r="FP135" i="4"/>
  <c r="FO135" i="4"/>
  <c r="FP134" i="4"/>
  <c r="FO134" i="4"/>
  <c r="FP133" i="4"/>
  <c r="FO133" i="4"/>
  <c r="FP132" i="4"/>
  <c r="FO132" i="4"/>
  <c r="FP131" i="4"/>
  <c r="FO131" i="4"/>
  <c r="FP130" i="4"/>
  <c r="FO130" i="4"/>
  <c r="FP129" i="4"/>
  <c r="FO129" i="4"/>
  <c r="FP128" i="4"/>
  <c r="FO128" i="4"/>
  <c r="FP127" i="4"/>
  <c r="FO127" i="4"/>
  <c r="FP126" i="4"/>
  <c r="FO126" i="4"/>
  <c r="FP125" i="4"/>
  <c r="FO125" i="4"/>
  <c r="FP124" i="4"/>
  <c r="FO124" i="4"/>
  <c r="FP123" i="4"/>
  <c r="FO123" i="4"/>
  <c r="FP122" i="4"/>
  <c r="FO122" i="4"/>
  <c r="FP121" i="4"/>
  <c r="FO121" i="4"/>
  <c r="FP120" i="4"/>
  <c r="FO120" i="4"/>
  <c r="FP119" i="4"/>
  <c r="FO119" i="4"/>
  <c r="FP118" i="4"/>
  <c r="FO118" i="4"/>
  <c r="FP117" i="4"/>
  <c r="FO117" i="4"/>
  <c r="FP116" i="4"/>
  <c r="FO116" i="4"/>
  <c r="FP115" i="4"/>
  <c r="FO115" i="4"/>
  <c r="FP114" i="4"/>
  <c r="FO114" i="4"/>
  <c r="FP113" i="4"/>
  <c r="FO113" i="4"/>
  <c r="FP112" i="4"/>
  <c r="FO112" i="4"/>
  <c r="FP111" i="4"/>
  <c r="FO111" i="4"/>
  <c r="FP110" i="4"/>
  <c r="FO110" i="4"/>
  <c r="FP109" i="4"/>
  <c r="FO109" i="4"/>
  <c r="FP108" i="4"/>
  <c r="FO108" i="4"/>
  <c r="FP107" i="4"/>
  <c r="FO107" i="4"/>
  <c r="FP106" i="4"/>
  <c r="FO106" i="4"/>
  <c r="FP105" i="4"/>
  <c r="FO105" i="4"/>
  <c r="FP104" i="4"/>
  <c r="FO104" i="4"/>
  <c r="FP103" i="4"/>
  <c r="FO103" i="4"/>
  <c r="FP102" i="4"/>
  <c r="FO102" i="4"/>
  <c r="FP101" i="4"/>
  <c r="FO101" i="4"/>
  <c r="FP100" i="4"/>
  <c r="FO100" i="4"/>
  <c r="FP99" i="4"/>
  <c r="FO99" i="4"/>
  <c r="FP98" i="4"/>
  <c r="FO98" i="4"/>
  <c r="FP97" i="4"/>
  <c r="FO97" i="4"/>
  <c r="FP96" i="4"/>
  <c r="FO96" i="4"/>
  <c r="FP95" i="4"/>
  <c r="FO95" i="4"/>
  <c r="FP94" i="4"/>
  <c r="FO94" i="4"/>
  <c r="FP93" i="4"/>
  <c r="FO93" i="4"/>
  <c r="FP92" i="4"/>
  <c r="FO92" i="4"/>
  <c r="FP91" i="4"/>
  <c r="FO91" i="4"/>
  <c r="FP90" i="4"/>
  <c r="FO90" i="4"/>
  <c r="FP89" i="4"/>
  <c r="FO89" i="4"/>
  <c r="FP88" i="4"/>
  <c r="FO88" i="4"/>
  <c r="FP87" i="4"/>
  <c r="FO87" i="4"/>
  <c r="FP86" i="4"/>
  <c r="FO86" i="4"/>
  <c r="FP85" i="4"/>
  <c r="FO85" i="4"/>
  <c r="FP84" i="4"/>
  <c r="FO84" i="4"/>
  <c r="FP83" i="4"/>
  <c r="FO83" i="4"/>
  <c r="FP82" i="4"/>
  <c r="FO82" i="4"/>
  <c r="FP81" i="4"/>
  <c r="FO81" i="4"/>
  <c r="FP80" i="4"/>
  <c r="FO80" i="4"/>
  <c r="FP79" i="4"/>
  <c r="FO79" i="4"/>
  <c r="FP78" i="4"/>
  <c r="FO78" i="4"/>
  <c r="FP77" i="4"/>
  <c r="FO77" i="4"/>
  <c r="FP76" i="4"/>
  <c r="FO76" i="4"/>
  <c r="FP75" i="4"/>
  <c r="FO75" i="4"/>
  <c r="FP74" i="4"/>
  <c r="FO74" i="4"/>
  <c r="FP73" i="4"/>
  <c r="FO73" i="4"/>
  <c r="FP72" i="4"/>
  <c r="FO72" i="4"/>
  <c r="FP71" i="4"/>
  <c r="FO71" i="4"/>
  <c r="FP70" i="4"/>
  <c r="FO70" i="4"/>
  <c r="FP69" i="4"/>
  <c r="FO69" i="4"/>
  <c r="FP68" i="4"/>
  <c r="FO68" i="4"/>
  <c r="FP67" i="4"/>
  <c r="FO67" i="4"/>
  <c r="FP66" i="4"/>
  <c r="FO66" i="4"/>
  <c r="FP65" i="4"/>
  <c r="FO65" i="4"/>
  <c r="FP64" i="4"/>
  <c r="FO64" i="4"/>
  <c r="FP63" i="4"/>
  <c r="FO63" i="4"/>
  <c r="FP62" i="4"/>
  <c r="FO62" i="4"/>
  <c r="FP61" i="4"/>
  <c r="FO61" i="4"/>
  <c r="FP60" i="4"/>
  <c r="FO60" i="4"/>
  <c r="FP59" i="4"/>
  <c r="FO59" i="4"/>
  <c r="FP58" i="4"/>
  <c r="FO58" i="4"/>
  <c r="FP57" i="4"/>
  <c r="FO57" i="4"/>
  <c r="FP56" i="4"/>
  <c r="FO56" i="4"/>
  <c r="FP55" i="4"/>
  <c r="FO55" i="4"/>
  <c r="FP54" i="4"/>
  <c r="FO54" i="4"/>
  <c r="FP53" i="4"/>
  <c r="FO53" i="4"/>
  <c r="FP52" i="4"/>
  <c r="FO52" i="4"/>
  <c r="FP51" i="4"/>
  <c r="FO51" i="4"/>
  <c r="FP50" i="4"/>
  <c r="FO50" i="4"/>
  <c r="FP49" i="4"/>
  <c r="FO49" i="4"/>
  <c r="FP48" i="4"/>
  <c r="FO48" i="4"/>
  <c r="FP47" i="4"/>
  <c r="FO47" i="4"/>
  <c r="FP46" i="4"/>
  <c r="FO46" i="4"/>
  <c r="FP45" i="4"/>
  <c r="FO45" i="4"/>
  <c r="FP44" i="4"/>
  <c r="FO44" i="4"/>
  <c r="FP43" i="4"/>
  <c r="FO43" i="4"/>
  <c r="FP42" i="4"/>
  <c r="FO42" i="4"/>
  <c r="FP41" i="4"/>
  <c r="FO41" i="4"/>
  <c r="FP40" i="4"/>
  <c r="FO40" i="4"/>
  <c r="FP39" i="4"/>
  <c r="FO39" i="4"/>
  <c r="FP38" i="4"/>
  <c r="FO38" i="4"/>
  <c r="FP37" i="4"/>
  <c r="FO37" i="4"/>
  <c r="FP36" i="4"/>
  <c r="FO36" i="4"/>
  <c r="FP35" i="4"/>
  <c r="FO35" i="4"/>
  <c r="FP34" i="4"/>
  <c r="FO34" i="4"/>
  <c r="FP33" i="4"/>
  <c r="FO33" i="4"/>
  <c r="FP32" i="4"/>
  <c r="FO32" i="4"/>
  <c r="FP31" i="4"/>
  <c r="FO31" i="4"/>
  <c r="FP30" i="4"/>
  <c r="FO30" i="4"/>
  <c r="FP29" i="4"/>
  <c r="FO29" i="4"/>
  <c r="FP28" i="4"/>
  <c r="FO28" i="4"/>
  <c r="FP27" i="4"/>
  <c r="FO27" i="4"/>
  <c r="FP26" i="4"/>
  <c r="FO26" i="4"/>
  <c r="FP25" i="4"/>
  <c r="FO25" i="4"/>
  <c r="FP24" i="4"/>
  <c r="FO24" i="4"/>
  <c r="FP23" i="4"/>
  <c r="FO23" i="4"/>
  <c r="FP22" i="4"/>
  <c r="FO22" i="4"/>
  <c r="FP21" i="4"/>
  <c r="FO21" i="4"/>
  <c r="FP20" i="4"/>
  <c r="FO20" i="4"/>
  <c r="FP19" i="4"/>
  <c r="FO19" i="4"/>
  <c r="FP18" i="4"/>
  <c r="FO18" i="4"/>
  <c r="FP17" i="4"/>
  <c r="FO17" i="4"/>
  <c r="FP16" i="4"/>
  <c r="FO16" i="4"/>
  <c r="FP15" i="4"/>
  <c r="FO15" i="4"/>
  <c r="FP14" i="4"/>
  <c r="FO14" i="4"/>
  <c r="FP13" i="4"/>
  <c r="FO13" i="4"/>
  <c r="FP12" i="4"/>
  <c r="FO12" i="4"/>
  <c r="FP11" i="4"/>
  <c r="FO11" i="4"/>
  <c r="FP10" i="4"/>
  <c r="FO10" i="4"/>
  <c r="FJ300" i="4"/>
  <c r="FI300" i="4"/>
  <c r="FJ299" i="4"/>
  <c r="FI299" i="4"/>
  <c r="FJ298" i="4"/>
  <c r="FI298" i="4"/>
  <c r="FJ297" i="4"/>
  <c r="FI297" i="4"/>
  <c r="FJ296" i="4"/>
  <c r="FI296" i="4"/>
  <c r="FJ295" i="4"/>
  <c r="FI295" i="4"/>
  <c r="FJ294" i="4"/>
  <c r="FI294" i="4"/>
  <c r="FJ293" i="4"/>
  <c r="FI293" i="4"/>
  <c r="FJ292" i="4"/>
  <c r="FI292" i="4"/>
  <c r="FJ291" i="4"/>
  <c r="FI291" i="4"/>
  <c r="FJ290" i="4"/>
  <c r="FI290" i="4"/>
  <c r="FJ289" i="4"/>
  <c r="FI289" i="4"/>
  <c r="FJ288" i="4"/>
  <c r="FI288" i="4"/>
  <c r="FJ287" i="4"/>
  <c r="FI287" i="4"/>
  <c r="FJ286" i="4"/>
  <c r="FI286" i="4"/>
  <c r="FJ285" i="4"/>
  <c r="FI285" i="4"/>
  <c r="FJ284" i="4"/>
  <c r="FI284" i="4"/>
  <c r="FJ283" i="4"/>
  <c r="FI283" i="4"/>
  <c r="FJ282" i="4"/>
  <c r="FI282" i="4"/>
  <c r="FJ281" i="4"/>
  <c r="FI281" i="4"/>
  <c r="FJ280" i="4"/>
  <c r="FI280" i="4"/>
  <c r="FJ279" i="4"/>
  <c r="FI279" i="4"/>
  <c r="FJ278" i="4"/>
  <c r="FI278" i="4"/>
  <c r="FJ277" i="4"/>
  <c r="FI277" i="4"/>
  <c r="FJ276" i="4"/>
  <c r="FI276" i="4"/>
  <c r="FJ275" i="4"/>
  <c r="FI275" i="4"/>
  <c r="FJ274" i="4"/>
  <c r="FI274" i="4"/>
  <c r="FJ273" i="4"/>
  <c r="FI273" i="4"/>
  <c r="FJ272" i="4"/>
  <c r="FI272" i="4"/>
  <c r="FJ271" i="4"/>
  <c r="FI271" i="4"/>
  <c r="FJ270" i="4"/>
  <c r="FI270" i="4"/>
  <c r="FJ269" i="4"/>
  <c r="FI269" i="4"/>
  <c r="FJ268" i="4"/>
  <c r="FI268" i="4"/>
  <c r="FJ267" i="4"/>
  <c r="FI267" i="4"/>
  <c r="FJ266" i="4"/>
  <c r="FI266" i="4"/>
  <c r="FJ265" i="4"/>
  <c r="FI265" i="4"/>
  <c r="FJ264" i="4"/>
  <c r="FI264" i="4"/>
  <c r="FJ263" i="4"/>
  <c r="FI263" i="4"/>
  <c r="FJ262" i="4"/>
  <c r="FI262" i="4"/>
  <c r="FJ261" i="4"/>
  <c r="FI261" i="4"/>
  <c r="FJ260" i="4"/>
  <c r="FI260" i="4"/>
  <c r="FJ259" i="4"/>
  <c r="FI259" i="4"/>
  <c r="FJ258" i="4"/>
  <c r="FI258" i="4"/>
  <c r="FJ257" i="4"/>
  <c r="FI257" i="4"/>
  <c r="FJ256" i="4"/>
  <c r="FI256" i="4"/>
  <c r="FJ255" i="4"/>
  <c r="FI255" i="4"/>
  <c r="FJ254" i="4"/>
  <c r="FI254" i="4"/>
  <c r="FJ253" i="4"/>
  <c r="FI253" i="4"/>
  <c r="FJ252" i="4"/>
  <c r="FI252" i="4"/>
  <c r="FJ251" i="4"/>
  <c r="FI251" i="4"/>
  <c r="FJ250" i="4"/>
  <c r="FI250" i="4"/>
  <c r="FJ249" i="4"/>
  <c r="FI249" i="4"/>
  <c r="FJ248" i="4"/>
  <c r="FI248" i="4"/>
  <c r="FJ247" i="4"/>
  <c r="FI247" i="4"/>
  <c r="FJ246" i="4"/>
  <c r="FI246" i="4"/>
  <c r="FJ245" i="4"/>
  <c r="FI245" i="4"/>
  <c r="FJ244" i="4"/>
  <c r="FI244" i="4"/>
  <c r="FJ243" i="4"/>
  <c r="FI243" i="4"/>
  <c r="FJ242" i="4"/>
  <c r="FI242" i="4"/>
  <c r="FJ241" i="4"/>
  <c r="FI241" i="4"/>
  <c r="FJ240" i="4"/>
  <c r="FI240" i="4"/>
  <c r="FJ239" i="4"/>
  <c r="FI239" i="4"/>
  <c r="FJ238" i="4"/>
  <c r="FI238" i="4"/>
  <c r="FJ237" i="4"/>
  <c r="FI237" i="4"/>
  <c r="FJ236" i="4"/>
  <c r="FI236" i="4"/>
  <c r="FJ235" i="4"/>
  <c r="FI235" i="4"/>
  <c r="FJ234" i="4"/>
  <c r="FI234" i="4"/>
  <c r="FJ233" i="4"/>
  <c r="FI233" i="4"/>
  <c r="FJ232" i="4"/>
  <c r="FI232" i="4"/>
  <c r="FJ231" i="4"/>
  <c r="FI231" i="4"/>
  <c r="FJ230" i="4"/>
  <c r="FI230" i="4"/>
  <c r="FJ229" i="4"/>
  <c r="FI229" i="4"/>
  <c r="FJ228" i="4"/>
  <c r="FI228" i="4"/>
  <c r="FJ227" i="4"/>
  <c r="FI227" i="4"/>
  <c r="FJ226" i="4"/>
  <c r="FI226" i="4"/>
  <c r="FJ225" i="4"/>
  <c r="FI225" i="4"/>
  <c r="FJ224" i="4"/>
  <c r="FI224" i="4"/>
  <c r="FJ223" i="4"/>
  <c r="FI223" i="4"/>
  <c r="FJ222" i="4"/>
  <c r="FI222" i="4"/>
  <c r="FJ221" i="4"/>
  <c r="FI221" i="4"/>
  <c r="FJ220" i="4"/>
  <c r="FI220" i="4"/>
  <c r="FJ219" i="4"/>
  <c r="FI219" i="4"/>
  <c r="FJ218" i="4"/>
  <c r="FI218" i="4"/>
  <c r="FJ217" i="4"/>
  <c r="FI217" i="4"/>
  <c r="FJ216" i="4"/>
  <c r="FI216" i="4"/>
  <c r="FJ215" i="4"/>
  <c r="FI215" i="4"/>
  <c r="FJ214" i="4"/>
  <c r="FI214" i="4"/>
  <c r="FJ213" i="4"/>
  <c r="FI213" i="4"/>
  <c r="FJ212" i="4"/>
  <c r="FI212" i="4"/>
  <c r="FJ211" i="4"/>
  <c r="FI211" i="4"/>
  <c r="FJ210" i="4"/>
  <c r="FI210" i="4"/>
  <c r="FJ209" i="4"/>
  <c r="FI209" i="4"/>
  <c r="FJ208" i="4"/>
  <c r="FI208" i="4"/>
  <c r="FJ207" i="4"/>
  <c r="FI207" i="4"/>
  <c r="FJ206" i="4"/>
  <c r="FI206" i="4"/>
  <c r="FJ205" i="4"/>
  <c r="FI205" i="4"/>
  <c r="FJ204" i="4"/>
  <c r="FI204" i="4"/>
  <c r="FJ203" i="4"/>
  <c r="FI203" i="4"/>
  <c r="FJ202" i="4"/>
  <c r="FI202" i="4"/>
  <c r="FJ201" i="4"/>
  <c r="FI201" i="4"/>
  <c r="FJ200" i="4"/>
  <c r="FI200" i="4"/>
  <c r="FJ199" i="4"/>
  <c r="FI199" i="4"/>
  <c r="FJ198" i="4"/>
  <c r="FI198" i="4"/>
  <c r="FJ197" i="4"/>
  <c r="FI197" i="4"/>
  <c r="FJ196" i="4"/>
  <c r="FI196" i="4"/>
  <c r="FJ195" i="4"/>
  <c r="FI195" i="4"/>
  <c r="FJ194" i="4"/>
  <c r="FI194" i="4"/>
  <c r="FJ193" i="4"/>
  <c r="FI193" i="4"/>
  <c r="FJ192" i="4"/>
  <c r="FI192" i="4"/>
  <c r="FJ191" i="4"/>
  <c r="FI191" i="4"/>
  <c r="FJ190" i="4"/>
  <c r="FI190" i="4"/>
  <c r="FJ189" i="4"/>
  <c r="FI189" i="4"/>
  <c r="FJ188" i="4"/>
  <c r="FI188" i="4"/>
  <c r="FJ187" i="4"/>
  <c r="FI187" i="4"/>
  <c r="FJ186" i="4"/>
  <c r="FI186" i="4"/>
  <c r="FJ185" i="4"/>
  <c r="FI185" i="4"/>
  <c r="FJ184" i="4"/>
  <c r="FI184" i="4"/>
  <c r="FJ183" i="4"/>
  <c r="FI183" i="4"/>
  <c r="FJ182" i="4"/>
  <c r="FI182" i="4"/>
  <c r="FJ181" i="4"/>
  <c r="FI181" i="4"/>
  <c r="FJ180" i="4"/>
  <c r="FI180" i="4"/>
  <c r="FJ179" i="4"/>
  <c r="FI179" i="4"/>
  <c r="FJ178" i="4"/>
  <c r="FI178" i="4"/>
  <c r="FJ177" i="4"/>
  <c r="FI177" i="4"/>
  <c r="FJ176" i="4"/>
  <c r="FI176" i="4"/>
  <c r="FJ175" i="4"/>
  <c r="FI175" i="4"/>
  <c r="FJ174" i="4"/>
  <c r="FI174" i="4"/>
  <c r="FJ173" i="4"/>
  <c r="FI173" i="4"/>
  <c r="FJ172" i="4"/>
  <c r="FI172" i="4"/>
  <c r="FJ171" i="4"/>
  <c r="FI171" i="4"/>
  <c r="FJ170" i="4"/>
  <c r="FI170" i="4"/>
  <c r="FJ169" i="4"/>
  <c r="FI169" i="4"/>
  <c r="FJ168" i="4"/>
  <c r="FI168" i="4"/>
  <c r="FJ167" i="4"/>
  <c r="FI167" i="4"/>
  <c r="FJ166" i="4"/>
  <c r="FI166" i="4"/>
  <c r="FJ165" i="4"/>
  <c r="FI165" i="4"/>
  <c r="FJ164" i="4"/>
  <c r="FI164" i="4"/>
  <c r="FJ163" i="4"/>
  <c r="FI163" i="4"/>
  <c r="FJ162" i="4"/>
  <c r="FI162" i="4"/>
  <c r="FJ161" i="4"/>
  <c r="FI161" i="4"/>
  <c r="FJ160" i="4"/>
  <c r="FI160" i="4"/>
  <c r="FJ159" i="4"/>
  <c r="FI159" i="4"/>
  <c r="FJ158" i="4"/>
  <c r="FI158" i="4"/>
  <c r="FJ157" i="4"/>
  <c r="FI157" i="4"/>
  <c r="FJ156" i="4"/>
  <c r="FI156" i="4"/>
  <c r="FJ155" i="4"/>
  <c r="FI155" i="4"/>
  <c r="FJ154" i="4"/>
  <c r="FI154" i="4"/>
  <c r="FJ153" i="4"/>
  <c r="FI153" i="4"/>
  <c r="FJ152" i="4"/>
  <c r="FI152" i="4"/>
  <c r="FJ151" i="4"/>
  <c r="FI151" i="4"/>
  <c r="FJ150" i="4"/>
  <c r="FI150" i="4"/>
  <c r="FJ149" i="4"/>
  <c r="FI149" i="4"/>
  <c r="FJ148" i="4"/>
  <c r="FI148" i="4"/>
  <c r="FJ147" i="4"/>
  <c r="FI147" i="4"/>
  <c r="FJ146" i="4"/>
  <c r="FI146" i="4"/>
  <c r="FJ145" i="4"/>
  <c r="FI145" i="4"/>
  <c r="FJ144" i="4"/>
  <c r="FI144" i="4"/>
  <c r="FJ143" i="4"/>
  <c r="FI143" i="4"/>
  <c r="FJ142" i="4"/>
  <c r="FI142" i="4"/>
  <c r="FJ141" i="4"/>
  <c r="FI141" i="4"/>
  <c r="FJ140" i="4"/>
  <c r="FI140" i="4"/>
  <c r="FJ139" i="4"/>
  <c r="FI139" i="4"/>
  <c r="FJ138" i="4"/>
  <c r="FI138" i="4"/>
  <c r="FJ137" i="4"/>
  <c r="FI137" i="4"/>
  <c r="FJ136" i="4"/>
  <c r="FI136" i="4"/>
  <c r="FJ135" i="4"/>
  <c r="FI135" i="4"/>
  <c r="FJ134" i="4"/>
  <c r="FI134" i="4"/>
  <c r="FJ133" i="4"/>
  <c r="FI133" i="4"/>
  <c r="FJ132" i="4"/>
  <c r="FI132" i="4"/>
  <c r="FJ131" i="4"/>
  <c r="FI131" i="4"/>
  <c r="FJ130" i="4"/>
  <c r="FI130" i="4"/>
  <c r="FJ129" i="4"/>
  <c r="FI129" i="4"/>
  <c r="FJ128" i="4"/>
  <c r="FI128" i="4"/>
  <c r="FJ127" i="4"/>
  <c r="FI127" i="4"/>
  <c r="FJ126" i="4"/>
  <c r="FI126" i="4"/>
  <c r="FJ125" i="4"/>
  <c r="FI125" i="4"/>
  <c r="FJ124" i="4"/>
  <c r="FI124" i="4"/>
  <c r="FJ123" i="4"/>
  <c r="FI123" i="4"/>
  <c r="FJ122" i="4"/>
  <c r="FI122" i="4"/>
  <c r="FJ121" i="4"/>
  <c r="FI121" i="4"/>
  <c r="FJ120" i="4"/>
  <c r="FI120" i="4"/>
  <c r="FJ119" i="4"/>
  <c r="FI119" i="4"/>
  <c r="FJ118" i="4"/>
  <c r="FI118" i="4"/>
  <c r="FJ117" i="4"/>
  <c r="FI117" i="4"/>
  <c r="FJ116" i="4"/>
  <c r="FI116" i="4"/>
  <c r="FJ115" i="4"/>
  <c r="FI115" i="4"/>
  <c r="FJ114" i="4"/>
  <c r="FI114" i="4"/>
  <c r="FJ113" i="4"/>
  <c r="FI113" i="4"/>
  <c r="FJ112" i="4"/>
  <c r="FI112" i="4"/>
  <c r="FJ111" i="4"/>
  <c r="FI111" i="4"/>
  <c r="FJ110" i="4"/>
  <c r="FI110" i="4"/>
  <c r="FJ109" i="4"/>
  <c r="FI109" i="4"/>
  <c r="FJ108" i="4"/>
  <c r="FI108" i="4"/>
  <c r="FJ107" i="4"/>
  <c r="FI107" i="4"/>
  <c r="FJ106" i="4"/>
  <c r="FI106" i="4"/>
  <c r="FJ105" i="4"/>
  <c r="FI105" i="4"/>
  <c r="FJ104" i="4"/>
  <c r="FI104" i="4"/>
  <c r="FJ103" i="4"/>
  <c r="FI103" i="4"/>
  <c r="FJ102" i="4"/>
  <c r="FI102" i="4"/>
  <c r="FJ101" i="4"/>
  <c r="FI101" i="4"/>
  <c r="FJ100" i="4"/>
  <c r="FI100" i="4"/>
  <c r="FJ99" i="4"/>
  <c r="FI99" i="4"/>
  <c r="FJ98" i="4"/>
  <c r="FI98" i="4"/>
  <c r="FJ97" i="4"/>
  <c r="FI97" i="4"/>
  <c r="FJ96" i="4"/>
  <c r="FI96" i="4"/>
  <c r="FJ95" i="4"/>
  <c r="FI95" i="4"/>
  <c r="FJ94" i="4"/>
  <c r="FI94" i="4"/>
  <c r="FJ93" i="4"/>
  <c r="FI93" i="4"/>
  <c r="FJ92" i="4"/>
  <c r="FI92" i="4"/>
  <c r="FJ91" i="4"/>
  <c r="FI91" i="4"/>
  <c r="FJ90" i="4"/>
  <c r="FI90" i="4"/>
  <c r="FJ89" i="4"/>
  <c r="FI89" i="4"/>
  <c r="FJ88" i="4"/>
  <c r="FI88" i="4"/>
  <c r="FJ87" i="4"/>
  <c r="FI87" i="4"/>
  <c r="FJ86" i="4"/>
  <c r="FI86" i="4"/>
  <c r="FJ85" i="4"/>
  <c r="FI85" i="4"/>
  <c r="FJ84" i="4"/>
  <c r="FI84" i="4"/>
  <c r="FJ83" i="4"/>
  <c r="FI83" i="4"/>
  <c r="FJ82" i="4"/>
  <c r="FI82" i="4"/>
  <c r="FJ81" i="4"/>
  <c r="FI81" i="4"/>
  <c r="FJ80" i="4"/>
  <c r="FI80" i="4"/>
  <c r="FJ79" i="4"/>
  <c r="FI79" i="4"/>
  <c r="FJ78" i="4"/>
  <c r="FI78" i="4"/>
  <c r="FJ77" i="4"/>
  <c r="FI77" i="4"/>
  <c r="FJ76" i="4"/>
  <c r="FI76" i="4"/>
  <c r="FJ75" i="4"/>
  <c r="FI75" i="4"/>
  <c r="FJ74" i="4"/>
  <c r="FI74" i="4"/>
  <c r="FJ73" i="4"/>
  <c r="FI73" i="4"/>
  <c r="FJ72" i="4"/>
  <c r="FI72" i="4"/>
  <c r="FJ71" i="4"/>
  <c r="FI71" i="4"/>
  <c r="FJ70" i="4"/>
  <c r="FI70" i="4"/>
  <c r="FJ69" i="4"/>
  <c r="FI69" i="4"/>
  <c r="FJ68" i="4"/>
  <c r="FI68" i="4"/>
  <c r="FJ67" i="4"/>
  <c r="FI67" i="4"/>
  <c r="FJ66" i="4"/>
  <c r="FI66" i="4"/>
  <c r="FJ65" i="4"/>
  <c r="FI65" i="4"/>
  <c r="FJ64" i="4"/>
  <c r="FI64" i="4"/>
  <c r="FJ63" i="4"/>
  <c r="FI63" i="4"/>
  <c r="FJ62" i="4"/>
  <c r="FI62" i="4"/>
  <c r="FJ61" i="4"/>
  <c r="FI61" i="4"/>
  <c r="FJ60" i="4"/>
  <c r="FI60" i="4"/>
  <c r="FJ59" i="4"/>
  <c r="FI59" i="4"/>
  <c r="FJ58" i="4"/>
  <c r="FI58" i="4"/>
  <c r="FJ57" i="4"/>
  <c r="FI57" i="4"/>
  <c r="FJ56" i="4"/>
  <c r="FI56" i="4"/>
  <c r="FJ55" i="4"/>
  <c r="FI55" i="4"/>
  <c r="FJ54" i="4"/>
  <c r="FI54" i="4"/>
  <c r="FJ53" i="4"/>
  <c r="FI53" i="4"/>
  <c r="FJ52" i="4"/>
  <c r="FI52" i="4"/>
  <c r="FJ51" i="4"/>
  <c r="FI51" i="4"/>
  <c r="FJ50" i="4"/>
  <c r="FI50" i="4"/>
  <c r="FJ49" i="4"/>
  <c r="FI49" i="4"/>
  <c r="FJ48" i="4"/>
  <c r="FI48" i="4"/>
  <c r="FJ47" i="4"/>
  <c r="FI47" i="4"/>
  <c r="FJ46" i="4"/>
  <c r="FI46" i="4"/>
  <c r="FJ45" i="4"/>
  <c r="FI45" i="4"/>
  <c r="FJ44" i="4"/>
  <c r="FI44" i="4"/>
  <c r="FJ43" i="4"/>
  <c r="FI43" i="4"/>
  <c r="FJ42" i="4"/>
  <c r="FI42" i="4"/>
  <c r="FJ41" i="4"/>
  <c r="FI41" i="4"/>
  <c r="FJ40" i="4"/>
  <c r="FI40" i="4"/>
  <c r="FJ39" i="4"/>
  <c r="FI39" i="4"/>
  <c r="FJ38" i="4"/>
  <c r="FI38" i="4"/>
  <c r="FJ37" i="4"/>
  <c r="FI37" i="4"/>
  <c r="FJ36" i="4"/>
  <c r="FI36" i="4"/>
  <c r="FJ35" i="4"/>
  <c r="FI35" i="4"/>
  <c r="FJ34" i="4"/>
  <c r="FI34" i="4"/>
  <c r="FJ33" i="4"/>
  <c r="FI33" i="4"/>
  <c r="FJ32" i="4"/>
  <c r="FI32" i="4"/>
  <c r="FJ31" i="4"/>
  <c r="FI31" i="4"/>
  <c r="FJ30" i="4"/>
  <c r="FI30" i="4"/>
  <c r="FJ29" i="4"/>
  <c r="FI29" i="4"/>
  <c r="FJ28" i="4"/>
  <c r="FI28" i="4"/>
  <c r="FJ27" i="4"/>
  <c r="FI27" i="4"/>
  <c r="FJ26" i="4"/>
  <c r="FI26" i="4"/>
  <c r="FJ25" i="4"/>
  <c r="FI25" i="4"/>
  <c r="FJ24" i="4"/>
  <c r="FI24" i="4"/>
  <c r="FJ23" i="4"/>
  <c r="FI23" i="4"/>
  <c r="FJ22" i="4"/>
  <c r="FI22" i="4"/>
  <c r="FJ21" i="4"/>
  <c r="FI21" i="4"/>
  <c r="FJ20" i="4"/>
  <c r="FI20" i="4"/>
  <c r="FJ19" i="4"/>
  <c r="FI19" i="4"/>
  <c r="FJ18" i="4"/>
  <c r="FI18" i="4"/>
  <c r="FJ17" i="4"/>
  <c r="FI17" i="4"/>
  <c r="FJ16" i="4"/>
  <c r="FI16" i="4"/>
  <c r="FJ15" i="4"/>
  <c r="FI15" i="4"/>
  <c r="FJ14" i="4"/>
  <c r="FI14" i="4"/>
  <c r="FJ13" i="4"/>
  <c r="FI13" i="4"/>
  <c r="FJ12" i="4"/>
  <c r="FI12" i="4"/>
  <c r="FJ11" i="4"/>
  <c r="FI11" i="4"/>
  <c r="FJ10" i="4"/>
  <c r="FI10" i="4"/>
  <c r="FD300" i="4"/>
  <c r="FC300" i="4"/>
  <c r="FD299" i="4"/>
  <c r="FC299" i="4"/>
  <c r="FD298" i="4"/>
  <c r="FC298" i="4"/>
  <c r="FD297" i="4"/>
  <c r="FC297" i="4"/>
  <c r="FD296" i="4"/>
  <c r="FC296" i="4"/>
  <c r="FD295" i="4"/>
  <c r="FC295" i="4"/>
  <c r="FD294" i="4"/>
  <c r="FC294" i="4"/>
  <c r="FD293" i="4"/>
  <c r="FC293" i="4"/>
  <c r="FD292" i="4"/>
  <c r="FC292" i="4"/>
  <c r="FD291" i="4"/>
  <c r="FC291" i="4"/>
  <c r="FD290" i="4"/>
  <c r="FC290" i="4"/>
  <c r="FD289" i="4"/>
  <c r="FC289" i="4"/>
  <c r="FD288" i="4"/>
  <c r="FC288" i="4"/>
  <c r="FD287" i="4"/>
  <c r="FC287" i="4"/>
  <c r="FD286" i="4"/>
  <c r="FC286" i="4"/>
  <c r="FD285" i="4"/>
  <c r="FC285" i="4"/>
  <c r="FD284" i="4"/>
  <c r="FC284" i="4"/>
  <c r="FD283" i="4"/>
  <c r="FC283" i="4"/>
  <c r="FD282" i="4"/>
  <c r="FC282" i="4"/>
  <c r="FD281" i="4"/>
  <c r="FC281" i="4"/>
  <c r="FD280" i="4"/>
  <c r="FC280" i="4"/>
  <c r="FD279" i="4"/>
  <c r="FC279" i="4"/>
  <c r="FD278" i="4"/>
  <c r="FC278" i="4"/>
  <c r="FD277" i="4"/>
  <c r="FC277" i="4"/>
  <c r="FD276" i="4"/>
  <c r="FC276" i="4"/>
  <c r="FD275" i="4"/>
  <c r="FC275" i="4"/>
  <c r="FD274" i="4"/>
  <c r="FC274" i="4"/>
  <c r="FD273" i="4"/>
  <c r="FC273" i="4"/>
  <c r="FD272" i="4"/>
  <c r="FC272" i="4"/>
  <c r="FD271" i="4"/>
  <c r="FC271" i="4"/>
  <c r="FD270" i="4"/>
  <c r="FC270" i="4"/>
  <c r="FD269" i="4"/>
  <c r="FC269" i="4"/>
  <c r="FD268" i="4"/>
  <c r="FC268" i="4"/>
  <c r="FD267" i="4"/>
  <c r="FC267" i="4"/>
  <c r="FD266" i="4"/>
  <c r="FC266" i="4"/>
  <c r="FD265" i="4"/>
  <c r="FC265" i="4"/>
  <c r="FD264" i="4"/>
  <c r="FC264" i="4"/>
  <c r="FD263" i="4"/>
  <c r="FC263" i="4"/>
  <c r="FD262" i="4"/>
  <c r="FC262" i="4"/>
  <c r="FD261" i="4"/>
  <c r="FC261" i="4"/>
  <c r="FD260" i="4"/>
  <c r="FC260" i="4"/>
  <c r="FD259" i="4"/>
  <c r="FC259" i="4"/>
  <c r="FD258" i="4"/>
  <c r="FC258" i="4"/>
  <c r="FD257" i="4"/>
  <c r="FC257" i="4"/>
  <c r="FD256" i="4"/>
  <c r="FC256" i="4"/>
  <c r="FD255" i="4"/>
  <c r="FC255" i="4"/>
  <c r="FD254" i="4"/>
  <c r="FC254" i="4"/>
  <c r="FD253" i="4"/>
  <c r="FC253" i="4"/>
  <c r="FD252" i="4"/>
  <c r="FC252" i="4"/>
  <c r="FD251" i="4"/>
  <c r="FC251" i="4"/>
  <c r="FD250" i="4"/>
  <c r="FC250" i="4"/>
  <c r="FD249" i="4"/>
  <c r="FC249" i="4"/>
  <c r="FD248" i="4"/>
  <c r="FC248" i="4"/>
  <c r="FD247" i="4"/>
  <c r="FC247" i="4"/>
  <c r="FD246" i="4"/>
  <c r="FC246" i="4"/>
  <c r="FD245" i="4"/>
  <c r="FC245" i="4"/>
  <c r="FD244" i="4"/>
  <c r="FC244" i="4"/>
  <c r="FD243" i="4"/>
  <c r="FC243" i="4"/>
  <c r="FD242" i="4"/>
  <c r="FC242" i="4"/>
  <c r="FD241" i="4"/>
  <c r="FC241" i="4"/>
  <c r="FD240" i="4"/>
  <c r="FC240" i="4"/>
  <c r="FD239" i="4"/>
  <c r="FC239" i="4"/>
  <c r="FD238" i="4"/>
  <c r="FC238" i="4"/>
  <c r="FD237" i="4"/>
  <c r="FC237" i="4"/>
  <c r="FD236" i="4"/>
  <c r="FC236" i="4"/>
  <c r="FD235" i="4"/>
  <c r="FC235" i="4"/>
  <c r="FD234" i="4"/>
  <c r="FC234" i="4"/>
  <c r="FD233" i="4"/>
  <c r="FC233" i="4"/>
  <c r="FD232" i="4"/>
  <c r="FC232" i="4"/>
  <c r="FD231" i="4"/>
  <c r="FC231" i="4"/>
  <c r="FD230" i="4"/>
  <c r="FC230" i="4"/>
  <c r="FD229" i="4"/>
  <c r="FC229" i="4"/>
  <c r="FD228" i="4"/>
  <c r="FC228" i="4"/>
  <c r="FD227" i="4"/>
  <c r="FC227" i="4"/>
  <c r="FD226" i="4"/>
  <c r="FC226" i="4"/>
  <c r="FD225" i="4"/>
  <c r="FC225" i="4"/>
  <c r="FD224" i="4"/>
  <c r="FC224" i="4"/>
  <c r="FD223" i="4"/>
  <c r="FC223" i="4"/>
  <c r="FD222" i="4"/>
  <c r="FC222" i="4"/>
  <c r="FD221" i="4"/>
  <c r="FC221" i="4"/>
  <c r="FD220" i="4"/>
  <c r="FC220" i="4"/>
  <c r="FD219" i="4"/>
  <c r="FC219" i="4"/>
  <c r="FD218" i="4"/>
  <c r="FC218" i="4"/>
  <c r="FD217" i="4"/>
  <c r="FC217" i="4"/>
  <c r="FD216" i="4"/>
  <c r="FC216" i="4"/>
  <c r="FD215" i="4"/>
  <c r="FC215" i="4"/>
  <c r="FD214" i="4"/>
  <c r="FC214" i="4"/>
  <c r="FD213" i="4"/>
  <c r="FC213" i="4"/>
  <c r="FD212" i="4"/>
  <c r="FC212" i="4"/>
  <c r="FD211" i="4"/>
  <c r="FC211" i="4"/>
  <c r="FD210" i="4"/>
  <c r="FC210" i="4"/>
  <c r="FD209" i="4"/>
  <c r="FC209" i="4"/>
  <c r="FD208" i="4"/>
  <c r="FC208" i="4"/>
  <c r="FD207" i="4"/>
  <c r="FC207" i="4"/>
  <c r="FD206" i="4"/>
  <c r="FC206" i="4"/>
  <c r="FD205" i="4"/>
  <c r="FC205" i="4"/>
  <c r="FD204" i="4"/>
  <c r="FC204" i="4"/>
  <c r="FD203" i="4"/>
  <c r="FC203" i="4"/>
  <c r="FD202" i="4"/>
  <c r="FC202" i="4"/>
  <c r="FD201" i="4"/>
  <c r="FC201" i="4"/>
  <c r="FD200" i="4"/>
  <c r="FC200" i="4"/>
  <c r="FD199" i="4"/>
  <c r="FC199" i="4"/>
  <c r="FD198" i="4"/>
  <c r="FC198" i="4"/>
  <c r="FD197" i="4"/>
  <c r="FC197" i="4"/>
  <c r="FD196" i="4"/>
  <c r="FC196" i="4"/>
  <c r="FD195" i="4"/>
  <c r="FC195" i="4"/>
  <c r="FD194" i="4"/>
  <c r="FC194" i="4"/>
  <c r="FD193" i="4"/>
  <c r="FC193" i="4"/>
  <c r="FD192" i="4"/>
  <c r="FC192" i="4"/>
  <c r="FD191" i="4"/>
  <c r="FC191" i="4"/>
  <c r="FD190" i="4"/>
  <c r="FC190" i="4"/>
  <c r="FD189" i="4"/>
  <c r="FC189" i="4"/>
  <c r="FD188" i="4"/>
  <c r="FC188" i="4"/>
  <c r="FD187" i="4"/>
  <c r="FC187" i="4"/>
  <c r="FD186" i="4"/>
  <c r="FC186" i="4"/>
  <c r="FD185" i="4"/>
  <c r="FC185" i="4"/>
  <c r="FD184" i="4"/>
  <c r="FC184" i="4"/>
  <c r="FD183" i="4"/>
  <c r="FC183" i="4"/>
  <c r="FD182" i="4"/>
  <c r="FC182" i="4"/>
  <c r="FD181" i="4"/>
  <c r="FC181" i="4"/>
  <c r="FD180" i="4"/>
  <c r="FC180" i="4"/>
  <c r="FD179" i="4"/>
  <c r="FC179" i="4"/>
  <c r="FD178" i="4"/>
  <c r="FC178" i="4"/>
  <c r="FD177" i="4"/>
  <c r="FC177" i="4"/>
  <c r="FD176" i="4"/>
  <c r="FC176" i="4"/>
  <c r="FD175" i="4"/>
  <c r="FC175" i="4"/>
  <c r="FD174" i="4"/>
  <c r="FC174" i="4"/>
  <c r="FD173" i="4"/>
  <c r="FC173" i="4"/>
  <c r="FD172" i="4"/>
  <c r="FC172" i="4"/>
  <c r="FD171" i="4"/>
  <c r="FC171" i="4"/>
  <c r="FD170" i="4"/>
  <c r="FC170" i="4"/>
  <c r="FD169" i="4"/>
  <c r="FC169" i="4"/>
  <c r="FD168" i="4"/>
  <c r="FC168" i="4"/>
  <c r="FD167" i="4"/>
  <c r="FC167" i="4"/>
  <c r="FD166" i="4"/>
  <c r="FC166" i="4"/>
  <c r="FD165" i="4"/>
  <c r="FC165" i="4"/>
  <c r="FD164" i="4"/>
  <c r="FC164" i="4"/>
  <c r="FD163" i="4"/>
  <c r="FC163" i="4"/>
  <c r="FD162" i="4"/>
  <c r="FC162" i="4"/>
  <c r="FD161" i="4"/>
  <c r="FC161" i="4"/>
  <c r="FD160" i="4"/>
  <c r="FC160" i="4"/>
  <c r="FD159" i="4"/>
  <c r="FC159" i="4"/>
  <c r="FD158" i="4"/>
  <c r="FC158" i="4"/>
  <c r="FD157" i="4"/>
  <c r="FC157" i="4"/>
  <c r="FD156" i="4"/>
  <c r="FC156" i="4"/>
  <c r="FD155" i="4"/>
  <c r="FC155" i="4"/>
  <c r="FD154" i="4"/>
  <c r="FC154" i="4"/>
  <c r="FD153" i="4"/>
  <c r="FC153" i="4"/>
  <c r="FD152" i="4"/>
  <c r="FC152" i="4"/>
  <c r="FD151" i="4"/>
  <c r="FC151" i="4"/>
  <c r="FD150" i="4"/>
  <c r="FC150" i="4"/>
  <c r="FD149" i="4"/>
  <c r="FC149" i="4"/>
  <c r="FD148" i="4"/>
  <c r="FC148" i="4"/>
  <c r="FD147" i="4"/>
  <c r="FC147" i="4"/>
  <c r="FD146" i="4"/>
  <c r="FC146" i="4"/>
  <c r="FD145" i="4"/>
  <c r="FC145" i="4"/>
  <c r="FD144" i="4"/>
  <c r="FC144" i="4"/>
  <c r="FD143" i="4"/>
  <c r="FC143" i="4"/>
  <c r="FD142" i="4"/>
  <c r="FC142" i="4"/>
  <c r="FD141" i="4"/>
  <c r="FC141" i="4"/>
  <c r="FD140" i="4"/>
  <c r="FC140" i="4"/>
  <c r="FD139" i="4"/>
  <c r="FC139" i="4"/>
  <c r="FD138" i="4"/>
  <c r="FC138" i="4"/>
  <c r="FD137" i="4"/>
  <c r="FC137" i="4"/>
  <c r="FD136" i="4"/>
  <c r="FC136" i="4"/>
  <c r="FD135" i="4"/>
  <c r="FC135" i="4"/>
  <c r="FD134" i="4"/>
  <c r="FC134" i="4"/>
  <c r="FD133" i="4"/>
  <c r="FC133" i="4"/>
  <c r="FD132" i="4"/>
  <c r="FC132" i="4"/>
  <c r="FD131" i="4"/>
  <c r="FC131" i="4"/>
  <c r="FD130" i="4"/>
  <c r="FC130" i="4"/>
  <c r="FD129" i="4"/>
  <c r="FC129" i="4"/>
  <c r="FD128" i="4"/>
  <c r="FC128" i="4"/>
  <c r="FD127" i="4"/>
  <c r="FC127" i="4"/>
  <c r="FD126" i="4"/>
  <c r="FC126" i="4"/>
  <c r="FD125" i="4"/>
  <c r="FC125" i="4"/>
  <c r="FD124" i="4"/>
  <c r="FC124" i="4"/>
  <c r="FD123" i="4"/>
  <c r="FC123" i="4"/>
  <c r="FD122" i="4"/>
  <c r="FC122" i="4"/>
  <c r="FD121" i="4"/>
  <c r="FC121" i="4"/>
  <c r="FD120" i="4"/>
  <c r="FC120" i="4"/>
  <c r="FD119" i="4"/>
  <c r="FC119" i="4"/>
  <c r="FD118" i="4"/>
  <c r="FC118" i="4"/>
  <c r="FD117" i="4"/>
  <c r="FC117" i="4"/>
  <c r="FD116" i="4"/>
  <c r="FC116" i="4"/>
  <c r="FD115" i="4"/>
  <c r="FC115" i="4"/>
  <c r="FD114" i="4"/>
  <c r="FC114" i="4"/>
  <c r="FD113" i="4"/>
  <c r="FC113" i="4"/>
  <c r="FD112" i="4"/>
  <c r="FC112" i="4"/>
  <c r="FD111" i="4"/>
  <c r="FC111" i="4"/>
  <c r="FD110" i="4"/>
  <c r="FC110" i="4"/>
  <c r="FD109" i="4"/>
  <c r="FC109" i="4"/>
  <c r="FD108" i="4"/>
  <c r="FC108" i="4"/>
  <c r="FD107" i="4"/>
  <c r="FC107" i="4"/>
  <c r="FD106" i="4"/>
  <c r="FC106" i="4"/>
  <c r="FD105" i="4"/>
  <c r="FC105" i="4"/>
  <c r="FD104" i="4"/>
  <c r="FC104" i="4"/>
  <c r="FD103" i="4"/>
  <c r="FC103" i="4"/>
  <c r="FD102" i="4"/>
  <c r="FC102" i="4"/>
  <c r="FD101" i="4"/>
  <c r="FC101" i="4"/>
  <c r="FD100" i="4"/>
  <c r="FC100" i="4"/>
  <c r="FD99" i="4"/>
  <c r="FC99" i="4"/>
  <c r="FD98" i="4"/>
  <c r="FC98" i="4"/>
  <c r="FD97" i="4"/>
  <c r="FC97" i="4"/>
  <c r="FD96" i="4"/>
  <c r="FC96" i="4"/>
  <c r="FD95" i="4"/>
  <c r="FC95" i="4"/>
  <c r="FD94" i="4"/>
  <c r="FC94" i="4"/>
  <c r="FD93" i="4"/>
  <c r="FC93" i="4"/>
  <c r="FD92" i="4"/>
  <c r="FC92" i="4"/>
  <c r="FD91" i="4"/>
  <c r="FC91" i="4"/>
  <c r="FD90" i="4"/>
  <c r="FC90" i="4"/>
  <c r="FD89" i="4"/>
  <c r="FC89" i="4"/>
  <c r="FD88" i="4"/>
  <c r="FC88" i="4"/>
  <c r="FD87" i="4"/>
  <c r="FC87" i="4"/>
  <c r="FD86" i="4"/>
  <c r="FC86" i="4"/>
  <c r="FD85" i="4"/>
  <c r="FC85" i="4"/>
  <c r="FD84" i="4"/>
  <c r="FC84" i="4"/>
  <c r="FD83" i="4"/>
  <c r="FC83" i="4"/>
  <c r="FD82" i="4"/>
  <c r="FC82" i="4"/>
  <c r="FD81" i="4"/>
  <c r="FC81" i="4"/>
  <c r="FD80" i="4"/>
  <c r="FC80" i="4"/>
  <c r="FD79" i="4"/>
  <c r="FC79" i="4"/>
  <c r="FD78" i="4"/>
  <c r="FC78" i="4"/>
  <c r="FD77" i="4"/>
  <c r="FC77" i="4"/>
  <c r="FD76" i="4"/>
  <c r="FC76" i="4"/>
  <c r="FD75" i="4"/>
  <c r="FC75" i="4"/>
  <c r="FD74" i="4"/>
  <c r="FC74" i="4"/>
  <c r="FD73" i="4"/>
  <c r="FC73" i="4"/>
  <c r="FD72" i="4"/>
  <c r="FC72" i="4"/>
  <c r="FD71" i="4"/>
  <c r="FC71" i="4"/>
  <c r="FD70" i="4"/>
  <c r="FC70" i="4"/>
  <c r="FD69" i="4"/>
  <c r="FC69" i="4"/>
  <c r="FD68" i="4"/>
  <c r="FC68" i="4"/>
  <c r="FD67" i="4"/>
  <c r="FC67" i="4"/>
  <c r="FD66" i="4"/>
  <c r="FC66" i="4"/>
  <c r="FD65" i="4"/>
  <c r="FC65" i="4"/>
  <c r="FD64" i="4"/>
  <c r="FC64" i="4"/>
  <c r="FD63" i="4"/>
  <c r="FC63" i="4"/>
  <c r="FD62" i="4"/>
  <c r="FC62" i="4"/>
  <c r="FD61" i="4"/>
  <c r="FC61" i="4"/>
  <c r="FD60" i="4"/>
  <c r="FC60" i="4"/>
  <c r="FD59" i="4"/>
  <c r="FC59" i="4"/>
  <c r="FD58" i="4"/>
  <c r="FC58" i="4"/>
  <c r="FD57" i="4"/>
  <c r="FC57" i="4"/>
  <c r="FD56" i="4"/>
  <c r="FC56" i="4"/>
  <c r="FD55" i="4"/>
  <c r="FC55" i="4"/>
  <c r="FD54" i="4"/>
  <c r="FC54" i="4"/>
  <c r="FD53" i="4"/>
  <c r="FC53" i="4"/>
  <c r="FD52" i="4"/>
  <c r="FC52" i="4"/>
  <c r="FD51" i="4"/>
  <c r="FC51" i="4"/>
  <c r="FD50" i="4"/>
  <c r="FC50" i="4"/>
  <c r="FD49" i="4"/>
  <c r="FC49" i="4"/>
  <c r="FD48" i="4"/>
  <c r="FC48" i="4"/>
  <c r="FD47" i="4"/>
  <c r="FC47" i="4"/>
  <c r="FD46" i="4"/>
  <c r="FC46" i="4"/>
  <c r="FD45" i="4"/>
  <c r="FC45" i="4"/>
  <c r="FD44" i="4"/>
  <c r="FC44" i="4"/>
  <c r="FD43" i="4"/>
  <c r="FC43" i="4"/>
  <c r="FD42" i="4"/>
  <c r="FC42" i="4"/>
  <c r="FD41" i="4"/>
  <c r="FC41" i="4"/>
  <c r="FD40" i="4"/>
  <c r="FC40" i="4"/>
  <c r="FD39" i="4"/>
  <c r="FC39" i="4"/>
  <c r="FD38" i="4"/>
  <c r="FC38" i="4"/>
  <c r="FD37" i="4"/>
  <c r="FC37" i="4"/>
  <c r="FD36" i="4"/>
  <c r="FC36" i="4"/>
  <c r="FD35" i="4"/>
  <c r="FC35" i="4"/>
  <c r="FD34" i="4"/>
  <c r="FC34" i="4"/>
  <c r="FD33" i="4"/>
  <c r="FC33" i="4"/>
  <c r="FD32" i="4"/>
  <c r="FC32" i="4"/>
  <c r="FD31" i="4"/>
  <c r="FC31" i="4"/>
  <c r="FD30" i="4"/>
  <c r="FC30" i="4"/>
  <c r="FD29" i="4"/>
  <c r="FC29" i="4"/>
  <c r="FD28" i="4"/>
  <c r="FC28" i="4"/>
  <c r="FD27" i="4"/>
  <c r="FC27" i="4"/>
  <c r="FD26" i="4"/>
  <c r="FC26" i="4"/>
  <c r="FD25" i="4"/>
  <c r="FC25" i="4"/>
  <c r="FD24" i="4"/>
  <c r="FC24" i="4"/>
  <c r="FD23" i="4"/>
  <c r="FC23" i="4"/>
  <c r="FD22" i="4"/>
  <c r="FC22" i="4"/>
  <c r="FD21" i="4"/>
  <c r="FC21" i="4"/>
  <c r="FD20" i="4"/>
  <c r="FC20" i="4"/>
  <c r="FD19" i="4"/>
  <c r="FC19" i="4"/>
  <c r="FD18" i="4"/>
  <c r="FC18" i="4"/>
  <c r="FD17" i="4"/>
  <c r="FC17" i="4"/>
  <c r="FD16" i="4"/>
  <c r="FC16" i="4"/>
  <c r="FD15" i="4"/>
  <c r="FC15" i="4"/>
  <c r="FD14" i="4"/>
  <c r="FC14" i="4"/>
  <c r="FD13" i="4"/>
  <c r="FC13" i="4"/>
  <c r="FD12" i="4"/>
  <c r="FC12" i="4"/>
  <c r="FD11" i="4"/>
  <c r="FC11" i="4"/>
  <c r="FD10" i="4"/>
  <c r="FC10" i="4"/>
  <c r="EX300" i="4"/>
  <c r="EW300" i="4"/>
  <c r="EX299" i="4"/>
  <c r="EW299" i="4"/>
  <c r="EX298" i="4"/>
  <c r="EW298" i="4"/>
  <c r="EX297" i="4"/>
  <c r="EW297" i="4"/>
  <c r="EX296" i="4"/>
  <c r="EW296" i="4"/>
  <c r="EX295" i="4"/>
  <c r="EW295" i="4"/>
  <c r="EX294" i="4"/>
  <c r="EW294" i="4"/>
  <c r="EX293" i="4"/>
  <c r="EW293" i="4"/>
  <c r="EX292" i="4"/>
  <c r="EW292" i="4"/>
  <c r="EX291" i="4"/>
  <c r="EW291" i="4"/>
  <c r="EX290" i="4"/>
  <c r="EW290" i="4"/>
  <c r="EX289" i="4"/>
  <c r="EW289" i="4"/>
  <c r="EX288" i="4"/>
  <c r="EW288" i="4"/>
  <c r="EX287" i="4"/>
  <c r="EW287" i="4"/>
  <c r="EX286" i="4"/>
  <c r="EW286" i="4"/>
  <c r="EX285" i="4"/>
  <c r="EW285" i="4"/>
  <c r="EX284" i="4"/>
  <c r="EW284" i="4"/>
  <c r="EX283" i="4"/>
  <c r="EW283" i="4"/>
  <c r="EX282" i="4"/>
  <c r="EW282" i="4"/>
  <c r="EX281" i="4"/>
  <c r="EW281" i="4"/>
  <c r="EX280" i="4"/>
  <c r="EW280" i="4"/>
  <c r="EX279" i="4"/>
  <c r="EW279" i="4"/>
  <c r="EX278" i="4"/>
  <c r="EW278" i="4"/>
  <c r="EX277" i="4"/>
  <c r="EW277" i="4"/>
  <c r="EX276" i="4"/>
  <c r="EW276" i="4"/>
  <c r="EX275" i="4"/>
  <c r="EW275" i="4"/>
  <c r="EX274" i="4"/>
  <c r="EW274" i="4"/>
  <c r="EX273" i="4"/>
  <c r="EW273" i="4"/>
  <c r="EX272" i="4"/>
  <c r="EW272" i="4"/>
  <c r="EX271" i="4"/>
  <c r="EW271" i="4"/>
  <c r="EX270" i="4"/>
  <c r="EW270" i="4"/>
  <c r="EX269" i="4"/>
  <c r="EW269" i="4"/>
  <c r="EX268" i="4"/>
  <c r="EW268" i="4"/>
  <c r="EX267" i="4"/>
  <c r="EW267" i="4"/>
  <c r="EX266" i="4"/>
  <c r="EW266" i="4"/>
  <c r="EX265" i="4"/>
  <c r="EW265" i="4"/>
  <c r="EX264" i="4"/>
  <c r="EW264" i="4"/>
  <c r="EX263" i="4"/>
  <c r="EW263" i="4"/>
  <c r="EX262" i="4"/>
  <c r="EW262" i="4"/>
  <c r="EX261" i="4"/>
  <c r="EW261" i="4"/>
  <c r="EX260" i="4"/>
  <c r="EW260" i="4"/>
  <c r="EX259" i="4"/>
  <c r="EW259" i="4"/>
  <c r="EX258" i="4"/>
  <c r="EW258" i="4"/>
  <c r="EX257" i="4"/>
  <c r="EW257" i="4"/>
  <c r="EX256" i="4"/>
  <c r="EW256" i="4"/>
  <c r="EX255" i="4"/>
  <c r="EW255" i="4"/>
  <c r="EX254" i="4"/>
  <c r="EW254" i="4"/>
  <c r="EX253" i="4"/>
  <c r="EW253" i="4"/>
  <c r="EX252" i="4"/>
  <c r="EW252" i="4"/>
  <c r="EX251" i="4"/>
  <c r="EW251" i="4"/>
  <c r="EX250" i="4"/>
  <c r="EW250" i="4"/>
  <c r="EX249" i="4"/>
  <c r="EW249" i="4"/>
  <c r="EX248" i="4"/>
  <c r="EW248" i="4"/>
  <c r="EX247" i="4"/>
  <c r="EW247" i="4"/>
  <c r="EX246" i="4"/>
  <c r="EW246" i="4"/>
  <c r="EX245" i="4"/>
  <c r="EW245" i="4"/>
  <c r="EX244" i="4"/>
  <c r="EW244" i="4"/>
  <c r="EX243" i="4"/>
  <c r="EW243" i="4"/>
  <c r="EX242" i="4"/>
  <c r="EW242" i="4"/>
  <c r="EX241" i="4"/>
  <c r="EW241" i="4"/>
  <c r="EX240" i="4"/>
  <c r="EW240" i="4"/>
  <c r="EX239" i="4"/>
  <c r="EW239" i="4"/>
  <c r="EX238" i="4"/>
  <c r="EW238" i="4"/>
  <c r="EX237" i="4"/>
  <c r="EW237" i="4"/>
  <c r="EX236" i="4"/>
  <c r="EW236" i="4"/>
  <c r="EX235" i="4"/>
  <c r="EW235" i="4"/>
  <c r="EX234" i="4"/>
  <c r="EW234" i="4"/>
  <c r="EX233" i="4"/>
  <c r="EW233" i="4"/>
  <c r="EX232" i="4"/>
  <c r="EW232" i="4"/>
  <c r="EX231" i="4"/>
  <c r="EW231" i="4"/>
  <c r="EX230" i="4"/>
  <c r="EW230" i="4"/>
  <c r="EX229" i="4"/>
  <c r="EW229" i="4"/>
  <c r="EX228" i="4"/>
  <c r="EW228" i="4"/>
  <c r="EX227" i="4"/>
  <c r="EW227" i="4"/>
  <c r="EX226" i="4"/>
  <c r="EW226" i="4"/>
  <c r="EX225" i="4"/>
  <c r="EW225" i="4"/>
  <c r="EX224" i="4"/>
  <c r="EW224" i="4"/>
  <c r="EX223" i="4"/>
  <c r="EW223" i="4"/>
  <c r="EX222" i="4"/>
  <c r="EW222" i="4"/>
  <c r="EX221" i="4"/>
  <c r="EW221" i="4"/>
  <c r="EX220" i="4"/>
  <c r="EW220" i="4"/>
  <c r="EX219" i="4"/>
  <c r="EW219" i="4"/>
  <c r="EX218" i="4"/>
  <c r="EW218" i="4"/>
  <c r="EX217" i="4"/>
  <c r="EW217" i="4"/>
  <c r="EX216" i="4"/>
  <c r="EW216" i="4"/>
  <c r="EX215" i="4"/>
  <c r="EW215" i="4"/>
  <c r="EX214" i="4"/>
  <c r="EW214" i="4"/>
  <c r="EX213" i="4"/>
  <c r="EW213" i="4"/>
  <c r="EX212" i="4"/>
  <c r="EW212" i="4"/>
  <c r="EX211" i="4"/>
  <c r="EW211" i="4"/>
  <c r="EX210" i="4"/>
  <c r="EW210" i="4"/>
  <c r="EX209" i="4"/>
  <c r="EW209" i="4"/>
  <c r="EX208" i="4"/>
  <c r="EW208" i="4"/>
  <c r="EX207" i="4"/>
  <c r="EW207" i="4"/>
  <c r="EX206" i="4"/>
  <c r="EW206" i="4"/>
  <c r="EX205" i="4"/>
  <c r="EW205" i="4"/>
  <c r="EX204" i="4"/>
  <c r="EW204" i="4"/>
  <c r="EX203" i="4"/>
  <c r="EW203" i="4"/>
  <c r="EX202" i="4"/>
  <c r="EW202" i="4"/>
  <c r="EX201" i="4"/>
  <c r="EW201" i="4"/>
  <c r="EX200" i="4"/>
  <c r="EW200" i="4"/>
  <c r="EX199" i="4"/>
  <c r="EW199" i="4"/>
  <c r="EX198" i="4"/>
  <c r="EW198" i="4"/>
  <c r="EX197" i="4"/>
  <c r="EW197" i="4"/>
  <c r="EX196" i="4"/>
  <c r="EW196" i="4"/>
  <c r="EX195" i="4"/>
  <c r="EW195" i="4"/>
  <c r="EX194" i="4"/>
  <c r="EW194" i="4"/>
  <c r="EX193" i="4"/>
  <c r="EW193" i="4"/>
  <c r="EX192" i="4"/>
  <c r="EW192" i="4"/>
  <c r="EX191" i="4"/>
  <c r="EW191" i="4"/>
  <c r="EX190" i="4"/>
  <c r="EW190" i="4"/>
  <c r="EX189" i="4"/>
  <c r="EW189" i="4"/>
  <c r="EX188" i="4"/>
  <c r="EW188" i="4"/>
  <c r="EX187" i="4"/>
  <c r="EW187" i="4"/>
  <c r="EX186" i="4"/>
  <c r="EW186" i="4"/>
  <c r="EX185" i="4"/>
  <c r="EW185" i="4"/>
  <c r="EX184" i="4"/>
  <c r="EW184" i="4"/>
  <c r="EX183" i="4"/>
  <c r="EW183" i="4"/>
  <c r="EX182" i="4"/>
  <c r="EW182" i="4"/>
  <c r="EX181" i="4"/>
  <c r="EW181" i="4"/>
  <c r="EX180" i="4"/>
  <c r="EW180" i="4"/>
  <c r="EX179" i="4"/>
  <c r="EW179" i="4"/>
  <c r="EX178" i="4"/>
  <c r="EW178" i="4"/>
  <c r="EX177" i="4"/>
  <c r="EW177" i="4"/>
  <c r="EX176" i="4"/>
  <c r="EW176" i="4"/>
  <c r="EX175" i="4"/>
  <c r="EW175" i="4"/>
  <c r="EX174" i="4"/>
  <c r="EW174" i="4"/>
  <c r="EX173" i="4"/>
  <c r="EW173" i="4"/>
  <c r="EX172" i="4"/>
  <c r="EW172" i="4"/>
  <c r="EX171" i="4"/>
  <c r="EW171" i="4"/>
  <c r="EX170" i="4"/>
  <c r="EW170" i="4"/>
  <c r="EX169" i="4"/>
  <c r="EW169" i="4"/>
  <c r="EX168" i="4"/>
  <c r="EW168" i="4"/>
  <c r="EX167" i="4"/>
  <c r="EW167" i="4"/>
  <c r="EX166" i="4"/>
  <c r="EW166" i="4"/>
  <c r="EX165" i="4"/>
  <c r="EW165" i="4"/>
  <c r="EX164" i="4"/>
  <c r="EW164" i="4"/>
  <c r="EX163" i="4"/>
  <c r="EW163" i="4"/>
  <c r="EX162" i="4"/>
  <c r="EW162" i="4"/>
  <c r="EX161" i="4"/>
  <c r="EW161" i="4"/>
  <c r="EX160" i="4"/>
  <c r="EW160" i="4"/>
  <c r="EX159" i="4"/>
  <c r="EW159" i="4"/>
  <c r="EX158" i="4"/>
  <c r="EW158" i="4"/>
  <c r="EX157" i="4"/>
  <c r="EW157" i="4"/>
  <c r="EX156" i="4"/>
  <c r="EW156" i="4"/>
  <c r="EX155" i="4"/>
  <c r="EW155" i="4"/>
  <c r="EX154" i="4"/>
  <c r="EW154" i="4"/>
  <c r="EX153" i="4"/>
  <c r="EW153" i="4"/>
  <c r="EX152" i="4"/>
  <c r="EW152" i="4"/>
  <c r="EX151" i="4"/>
  <c r="EW151" i="4"/>
  <c r="EX150" i="4"/>
  <c r="EW150" i="4"/>
  <c r="EX149" i="4"/>
  <c r="EW149" i="4"/>
  <c r="EX148" i="4"/>
  <c r="EW148" i="4"/>
  <c r="EX147" i="4"/>
  <c r="EW147" i="4"/>
  <c r="EX146" i="4"/>
  <c r="EW146" i="4"/>
  <c r="EX145" i="4"/>
  <c r="EW145" i="4"/>
  <c r="EX144" i="4"/>
  <c r="EW144" i="4"/>
  <c r="EX143" i="4"/>
  <c r="EW143" i="4"/>
  <c r="EX142" i="4"/>
  <c r="EW142" i="4"/>
  <c r="EX141" i="4"/>
  <c r="EW141" i="4"/>
  <c r="EX140" i="4"/>
  <c r="EW140" i="4"/>
  <c r="EX139" i="4"/>
  <c r="EW139" i="4"/>
  <c r="EX138" i="4"/>
  <c r="EW138" i="4"/>
  <c r="EX137" i="4"/>
  <c r="EW137" i="4"/>
  <c r="EX136" i="4"/>
  <c r="EW136" i="4"/>
  <c r="EX135" i="4"/>
  <c r="EW135" i="4"/>
  <c r="EX134" i="4"/>
  <c r="EW134" i="4"/>
  <c r="EX133" i="4"/>
  <c r="EW133" i="4"/>
  <c r="EX132" i="4"/>
  <c r="EW132" i="4"/>
  <c r="EX131" i="4"/>
  <c r="EW131" i="4"/>
  <c r="EX130" i="4"/>
  <c r="EW130" i="4"/>
  <c r="EX129" i="4"/>
  <c r="EW129" i="4"/>
  <c r="EX128" i="4"/>
  <c r="EW128" i="4"/>
  <c r="EX127" i="4"/>
  <c r="EW127" i="4"/>
  <c r="EX126" i="4"/>
  <c r="EW126" i="4"/>
  <c r="EX125" i="4"/>
  <c r="EW125" i="4"/>
  <c r="EX124" i="4"/>
  <c r="EW124" i="4"/>
  <c r="EX123" i="4"/>
  <c r="EW123" i="4"/>
  <c r="EX122" i="4"/>
  <c r="EW122" i="4"/>
  <c r="EX121" i="4"/>
  <c r="EW121" i="4"/>
  <c r="EX120" i="4"/>
  <c r="EW120" i="4"/>
  <c r="EX119" i="4"/>
  <c r="EW119" i="4"/>
  <c r="EX118" i="4"/>
  <c r="EW118" i="4"/>
  <c r="EX117" i="4"/>
  <c r="EW117" i="4"/>
  <c r="EX116" i="4"/>
  <c r="EW116" i="4"/>
  <c r="EX115" i="4"/>
  <c r="EW115" i="4"/>
  <c r="EX114" i="4"/>
  <c r="EW114" i="4"/>
  <c r="EX113" i="4"/>
  <c r="EW113" i="4"/>
  <c r="EX112" i="4"/>
  <c r="EW112" i="4"/>
  <c r="EX111" i="4"/>
  <c r="EW111" i="4"/>
  <c r="EX110" i="4"/>
  <c r="EW110" i="4"/>
  <c r="EX109" i="4"/>
  <c r="EW109" i="4"/>
  <c r="EX108" i="4"/>
  <c r="EW108" i="4"/>
  <c r="EX107" i="4"/>
  <c r="EW107" i="4"/>
  <c r="EX106" i="4"/>
  <c r="EW106" i="4"/>
  <c r="EX105" i="4"/>
  <c r="EW105" i="4"/>
  <c r="EX104" i="4"/>
  <c r="EW104" i="4"/>
  <c r="EX103" i="4"/>
  <c r="EW103" i="4"/>
  <c r="EX102" i="4"/>
  <c r="EW102" i="4"/>
  <c r="EX101" i="4"/>
  <c r="EW101" i="4"/>
  <c r="EX100" i="4"/>
  <c r="EW100" i="4"/>
  <c r="EX99" i="4"/>
  <c r="EW99" i="4"/>
  <c r="EX98" i="4"/>
  <c r="EW98" i="4"/>
  <c r="EX97" i="4"/>
  <c r="EW97" i="4"/>
  <c r="EX96" i="4"/>
  <c r="EW96" i="4"/>
  <c r="EX95" i="4"/>
  <c r="EW95" i="4"/>
  <c r="EX94" i="4"/>
  <c r="EW94" i="4"/>
  <c r="EX93" i="4"/>
  <c r="EW93" i="4"/>
  <c r="EX92" i="4"/>
  <c r="EW92" i="4"/>
  <c r="EX91" i="4"/>
  <c r="EW91" i="4"/>
  <c r="EX90" i="4"/>
  <c r="EW90" i="4"/>
  <c r="EX89" i="4"/>
  <c r="EW89" i="4"/>
  <c r="EX88" i="4"/>
  <c r="EW88" i="4"/>
  <c r="EX87" i="4"/>
  <c r="EW87" i="4"/>
  <c r="EX86" i="4"/>
  <c r="EW86" i="4"/>
  <c r="EX85" i="4"/>
  <c r="EW85" i="4"/>
  <c r="EX84" i="4"/>
  <c r="EW84" i="4"/>
  <c r="EX83" i="4"/>
  <c r="EW83" i="4"/>
  <c r="EX82" i="4"/>
  <c r="EW82" i="4"/>
  <c r="EX81" i="4"/>
  <c r="EW81" i="4"/>
  <c r="EX80" i="4"/>
  <c r="EW80" i="4"/>
  <c r="EX79" i="4"/>
  <c r="EW79" i="4"/>
  <c r="EX78" i="4"/>
  <c r="EW78" i="4"/>
  <c r="EX77" i="4"/>
  <c r="EW77" i="4"/>
  <c r="EX76" i="4"/>
  <c r="EW76" i="4"/>
  <c r="EX75" i="4"/>
  <c r="EW75" i="4"/>
  <c r="EX74" i="4"/>
  <c r="EW74" i="4"/>
  <c r="EX73" i="4"/>
  <c r="EW73" i="4"/>
  <c r="EX72" i="4"/>
  <c r="EW72" i="4"/>
  <c r="EX71" i="4"/>
  <c r="EW71" i="4"/>
  <c r="EX70" i="4"/>
  <c r="EW70" i="4"/>
  <c r="EX69" i="4"/>
  <c r="EW69" i="4"/>
  <c r="EX68" i="4"/>
  <c r="EW68" i="4"/>
  <c r="EX67" i="4"/>
  <c r="EW67" i="4"/>
  <c r="EX66" i="4"/>
  <c r="EW66" i="4"/>
  <c r="EX65" i="4"/>
  <c r="EW65" i="4"/>
  <c r="EX64" i="4"/>
  <c r="EW64" i="4"/>
  <c r="EX63" i="4"/>
  <c r="EW63" i="4"/>
  <c r="EX62" i="4"/>
  <c r="EW62" i="4"/>
  <c r="EX61" i="4"/>
  <c r="EW61" i="4"/>
  <c r="EX60" i="4"/>
  <c r="EW60" i="4"/>
  <c r="EX59" i="4"/>
  <c r="EW59" i="4"/>
  <c r="EX58" i="4"/>
  <c r="EW58" i="4"/>
  <c r="EX57" i="4"/>
  <c r="EW57" i="4"/>
  <c r="EX56" i="4"/>
  <c r="EW56" i="4"/>
  <c r="EX55" i="4"/>
  <c r="EW55" i="4"/>
  <c r="EX54" i="4"/>
  <c r="EW54" i="4"/>
  <c r="EX53" i="4"/>
  <c r="EW53" i="4"/>
  <c r="EX52" i="4"/>
  <c r="EW52" i="4"/>
  <c r="EX51" i="4"/>
  <c r="EW51" i="4"/>
  <c r="EX50" i="4"/>
  <c r="EW50" i="4"/>
  <c r="EX49" i="4"/>
  <c r="EW49" i="4"/>
  <c r="EX48" i="4"/>
  <c r="EW48" i="4"/>
  <c r="EX47" i="4"/>
  <c r="EW47" i="4"/>
  <c r="EX46" i="4"/>
  <c r="EW46" i="4"/>
  <c r="EX45" i="4"/>
  <c r="EW45" i="4"/>
  <c r="EX44" i="4"/>
  <c r="EW44" i="4"/>
  <c r="EX43" i="4"/>
  <c r="EW43" i="4"/>
  <c r="EX42" i="4"/>
  <c r="EW42" i="4"/>
  <c r="EX41" i="4"/>
  <c r="EW41" i="4"/>
  <c r="EX40" i="4"/>
  <c r="EW40" i="4"/>
  <c r="EX39" i="4"/>
  <c r="EW39" i="4"/>
  <c r="EX38" i="4"/>
  <c r="EW38" i="4"/>
  <c r="EX37" i="4"/>
  <c r="EW37" i="4"/>
  <c r="EX36" i="4"/>
  <c r="EW36" i="4"/>
  <c r="EX35" i="4"/>
  <c r="EW35" i="4"/>
  <c r="EX34" i="4"/>
  <c r="EW34" i="4"/>
  <c r="EX33" i="4"/>
  <c r="EW33" i="4"/>
  <c r="EX32" i="4"/>
  <c r="EW32" i="4"/>
  <c r="EX31" i="4"/>
  <c r="EW31" i="4"/>
  <c r="EX30" i="4"/>
  <c r="EW30" i="4"/>
  <c r="EX29" i="4"/>
  <c r="EW29" i="4"/>
  <c r="EX28" i="4"/>
  <c r="EW28" i="4"/>
  <c r="EX27" i="4"/>
  <c r="EW27" i="4"/>
  <c r="EX26" i="4"/>
  <c r="EW26" i="4"/>
  <c r="EX25" i="4"/>
  <c r="EW25" i="4"/>
  <c r="EX24" i="4"/>
  <c r="EW24" i="4"/>
  <c r="EX23" i="4"/>
  <c r="EW23" i="4"/>
  <c r="EX22" i="4"/>
  <c r="EW22" i="4"/>
  <c r="EX21" i="4"/>
  <c r="EW21" i="4"/>
  <c r="EX20" i="4"/>
  <c r="EW20" i="4"/>
  <c r="EX19" i="4"/>
  <c r="EW19" i="4"/>
  <c r="EX18" i="4"/>
  <c r="EW18" i="4"/>
  <c r="EX17" i="4"/>
  <c r="EW17" i="4"/>
  <c r="EX16" i="4"/>
  <c r="EW16" i="4"/>
  <c r="EX15" i="4"/>
  <c r="EW15" i="4"/>
  <c r="EX14" i="4"/>
  <c r="EW14" i="4"/>
  <c r="EX13" i="4"/>
  <c r="EW13" i="4"/>
  <c r="EX12" i="4"/>
  <c r="EW12" i="4"/>
  <c r="EX11" i="4"/>
  <c r="EW11" i="4"/>
  <c r="EX10" i="4"/>
  <c r="EW10" i="4"/>
  <c r="ER300" i="4"/>
  <c r="EQ300" i="4"/>
  <c r="ER299" i="4"/>
  <c r="EQ299" i="4"/>
  <c r="ER298" i="4"/>
  <c r="EQ298" i="4"/>
  <c r="ER297" i="4"/>
  <c r="EQ297" i="4"/>
  <c r="ER296" i="4"/>
  <c r="EQ296" i="4"/>
  <c r="ER295" i="4"/>
  <c r="EQ295" i="4"/>
  <c r="ER294" i="4"/>
  <c r="EQ294" i="4"/>
  <c r="ER293" i="4"/>
  <c r="EQ293" i="4"/>
  <c r="ER292" i="4"/>
  <c r="EQ292" i="4"/>
  <c r="ER291" i="4"/>
  <c r="EQ291" i="4"/>
  <c r="ER290" i="4"/>
  <c r="EQ290" i="4"/>
  <c r="ER289" i="4"/>
  <c r="EQ289" i="4"/>
  <c r="ER288" i="4"/>
  <c r="EQ288" i="4"/>
  <c r="ER287" i="4"/>
  <c r="EQ287" i="4"/>
  <c r="ER286" i="4"/>
  <c r="EQ286" i="4"/>
  <c r="ER285" i="4"/>
  <c r="EQ285" i="4"/>
  <c r="ER284" i="4"/>
  <c r="EQ284" i="4"/>
  <c r="ER283" i="4"/>
  <c r="EQ283" i="4"/>
  <c r="ER282" i="4"/>
  <c r="EQ282" i="4"/>
  <c r="ER281" i="4"/>
  <c r="EQ281" i="4"/>
  <c r="ER280" i="4"/>
  <c r="EQ280" i="4"/>
  <c r="ER279" i="4"/>
  <c r="EQ279" i="4"/>
  <c r="ER278" i="4"/>
  <c r="EQ278" i="4"/>
  <c r="ER277" i="4"/>
  <c r="EQ277" i="4"/>
  <c r="ER276" i="4"/>
  <c r="EQ276" i="4"/>
  <c r="ER275" i="4"/>
  <c r="EQ275" i="4"/>
  <c r="ER274" i="4"/>
  <c r="EQ274" i="4"/>
  <c r="ER273" i="4"/>
  <c r="EQ273" i="4"/>
  <c r="ER272" i="4"/>
  <c r="EQ272" i="4"/>
  <c r="ER271" i="4"/>
  <c r="EQ271" i="4"/>
  <c r="ER270" i="4"/>
  <c r="EQ270" i="4"/>
  <c r="ER269" i="4"/>
  <c r="EQ269" i="4"/>
  <c r="ER268" i="4"/>
  <c r="EQ268" i="4"/>
  <c r="ER267" i="4"/>
  <c r="EQ267" i="4"/>
  <c r="ER266" i="4"/>
  <c r="EQ266" i="4"/>
  <c r="ER265" i="4"/>
  <c r="EQ265" i="4"/>
  <c r="ER264" i="4"/>
  <c r="EQ264" i="4"/>
  <c r="ER263" i="4"/>
  <c r="EQ263" i="4"/>
  <c r="ER262" i="4"/>
  <c r="EQ262" i="4"/>
  <c r="ER261" i="4"/>
  <c r="EQ261" i="4"/>
  <c r="ER260" i="4"/>
  <c r="EQ260" i="4"/>
  <c r="ER259" i="4"/>
  <c r="EQ259" i="4"/>
  <c r="ER258" i="4"/>
  <c r="EQ258" i="4"/>
  <c r="ER257" i="4"/>
  <c r="EQ257" i="4"/>
  <c r="ER256" i="4"/>
  <c r="EQ256" i="4"/>
  <c r="ER255" i="4"/>
  <c r="EQ255" i="4"/>
  <c r="ER254" i="4"/>
  <c r="EQ254" i="4"/>
  <c r="ER253" i="4"/>
  <c r="EQ253" i="4"/>
  <c r="ER252" i="4"/>
  <c r="EQ252" i="4"/>
  <c r="ER251" i="4"/>
  <c r="EQ251" i="4"/>
  <c r="ER250" i="4"/>
  <c r="EQ250" i="4"/>
  <c r="ER249" i="4"/>
  <c r="EQ249" i="4"/>
  <c r="ER248" i="4"/>
  <c r="EQ248" i="4"/>
  <c r="ER247" i="4"/>
  <c r="EQ247" i="4"/>
  <c r="ER246" i="4"/>
  <c r="EQ246" i="4"/>
  <c r="ER245" i="4"/>
  <c r="EQ245" i="4"/>
  <c r="ER244" i="4"/>
  <c r="EQ244" i="4"/>
  <c r="ER243" i="4"/>
  <c r="EQ243" i="4"/>
  <c r="ER242" i="4"/>
  <c r="EQ242" i="4"/>
  <c r="ER241" i="4"/>
  <c r="EQ241" i="4"/>
  <c r="ER240" i="4"/>
  <c r="EQ240" i="4"/>
  <c r="ER239" i="4"/>
  <c r="EQ239" i="4"/>
  <c r="ER238" i="4"/>
  <c r="EQ238" i="4"/>
  <c r="ER237" i="4"/>
  <c r="EQ237" i="4"/>
  <c r="ER236" i="4"/>
  <c r="EQ236" i="4"/>
  <c r="ER235" i="4"/>
  <c r="EQ235" i="4"/>
  <c r="ER234" i="4"/>
  <c r="EQ234" i="4"/>
  <c r="ER233" i="4"/>
  <c r="EQ233" i="4"/>
  <c r="ER232" i="4"/>
  <c r="EQ232" i="4"/>
  <c r="ER231" i="4"/>
  <c r="EQ231" i="4"/>
  <c r="ER230" i="4"/>
  <c r="EQ230" i="4"/>
  <c r="ER229" i="4"/>
  <c r="EQ229" i="4"/>
  <c r="ER228" i="4"/>
  <c r="EQ228" i="4"/>
  <c r="ER227" i="4"/>
  <c r="EQ227" i="4"/>
  <c r="ER226" i="4"/>
  <c r="EQ226" i="4"/>
  <c r="ER225" i="4"/>
  <c r="EQ225" i="4"/>
  <c r="ER224" i="4"/>
  <c r="EQ224" i="4"/>
  <c r="ER223" i="4"/>
  <c r="EQ223" i="4"/>
  <c r="ER222" i="4"/>
  <c r="EQ222" i="4"/>
  <c r="ER221" i="4"/>
  <c r="EQ221" i="4"/>
  <c r="ER220" i="4"/>
  <c r="EQ220" i="4"/>
  <c r="ER219" i="4"/>
  <c r="EQ219" i="4"/>
  <c r="ER218" i="4"/>
  <c r="EQ218" i="4"/>
  <c r="ER217" i="4"/>
  <c r="EQ217" i="4"/>
  <c r="ER216" i="4"/>
  <c r="EQ216" i="4"/>
  <c r="ER215" i="4"/>
  <c r="EQ215" i="4"/>
  <c r="ER214" i="4"/>
  <c r="EQ214" i="4"/>
  <c r="ER213" i="4"/>
  <c r="EQ213" i="4"/>
  <c r="ER212" i="4"/>
  <c r="EQ212" i="4"/>
  <c r="ER211" i="4"/>
  <c r="EQ211" i="4"/>
  <c r="ER210" i="4"/>
  <c r="EQ210" i="4"/>
  <c r="ER209" i="4"/>
  <c r="EQ209" i="4"/>
  <c r="ER208" i="4"/>
  <c r="EQ208" i="4"/>
  <c r="ER207" i="4"/>
  <c r="EQ207" i="4"/>
  <c r="ER206" i="4"/>
  <c r="EQ206" i="4"/>
  <c r="ER205" i="4"/>
  <c r="EQ205" i="4"/>
  <c r="ER204" i="4"/>
  <c r="EQ204" i="4"/>
  <c r="ER203" i="4"/>
  <c r="EQ203" i="4"/>
  <c r="ER202" i="4"/>
  <c r="EQ202" i="4"/>
  <c r="ER201" i="4"/>
  <c r="EQ201" i="4"/>
  <c r="ER200" i="4"/>
  <c r="EQ200" i="4"/>
  <c r="ER199" i="4"/>
  <c r="EQ199" i="4"/>
  <c r="ER198" i="4"/>
  <c r="EQ198" i="4"/>
  <c r="ER197" i="4"/>
  <c r="EQ197" i="4"/>
  <c r="ER196" i="4"/>
  <c r="EQ196" i="4"/>
  <c r="ER195" i="4"/>
  <c r="EQ195" i="4"/>
  <c r="ER194" i="4"/>
  <c r="EQ194" i="4"/>
  <c r="ER193" i="4"/>
  <c r="EQ193" i="4"/>
  <c r="ER192" i="4"/>
  <c r="EQ192" i="4"/>
  <c r="ER191" i="4"/>
  <c r="EQ191" i="4"/>
  <c r="ER190" i="4"/>
  <c r="EQ190" i="4"/>
  <c r="ER189" i="4"/>
  <c r="EQ189" i="4"/>
  <c r="ER188" i="4"/>
  <c r="EQ188" i="4"/>
  <c r="ER187" i="4"/>
  <c r="EQ187" i="4"/>
  <c r="ER186" i="4"/>
  <c r="EQ186" i="4"/>
  <c r="ER185" i="4"/>
  <c r="EQ185" i="4"/>
  <c r="ER184" i="4"/>
  <c r="EQ184" i="4"/>
  <c r="ER183" i="4"/>
  <c r="EQ183" i="4"/>
  <c r="ER182" i="4"/>
  <c r="EQ182" i="4"/>
  <c r="ER181" i="4"/>
  <c r="EQ181" i="4"/>
  <c r="ER180" i="4"/>
  <c r="EQ180" i="4"/>
  <c r="ER179" i="4"/>
  <c r="EQ179" i="4"/>
  <c r="ER178" i="4"/>
  <c r="EQ178" i="4"/>
  <c r="ER177" i="4"/>
  <c r="EQ177" i="4"/>
  <c r="ER176" i="4"/>
  <c r="EQ176" i="4"/>
  <c r="ER175" i="4"/>
  <c r="EQ175" i="4"/>
  <c r="ER174" i="4"/>
  <c r="EQ174" i="4"/>
  <c r="ER173" i="4"/>
  <c r="EQ173" i="4"/>
  <c r="ER172" i="4"/>
  <c r="EQ172" i="4"/>
  <c r="ER171" i="4"/>
  <c r="EQ171" i="4"/>
  <c r="ER170" i="4"/>
  <c r="EQ170" i="4"/>
  <c r="ER169" i="4"/>
  <c r="EQ169" i="4"/>
  <c r="ER168" i="4"/>
  <c r="EQ168" i="4"/>
  <c r="ER167" i="4"/>
  <c r="EQ167" i="4"/>
  <c r="ER166" i="4"/>
  <c r="EQ166" i="4"/>
  <c r="ER165" i="4"/>
  <c r="EQ165" i="4"/>
  <c r="ER164" i="4"/>
  <c r="EQ164" i="4"/>
  <c r="ER163" i="4"/>
  <c r="EQ163" i="4"/>
  <c r="ER162" i="4"/>
  <c r="EQ162" i="4"/>
  <c r="ER161" i="4"/>
  <c r="EQ161" i="4"/>
  <c r="ER160" i="4"/>
  <c r="EQ160" i="4"/>
  <c r="ER159" i="4"/>
  <c r="EQ159" i="4"/>
  <c r="ER158" i="4"/>
  <c r="EQ158" i="4"/>
  <c r="ER157" i="4"/>
  <c r="EQ157" i="4"/>
  <c r="ER156" i="4"/>
  <c r="EQ156" i="4"/>
  <c r="ER155" i="4"/>
  <c r="EQ155" i="4"/>
  <c r="ER154" i="4"/>
  <c r="EQ154" i="4"/>
  <c r="ER153" i="4"/>
  <c r="EQ153" i="4"/>
  <c r="ER152" i="4"/>
  <c r="EQ152" i="4"/>
  <c r="ER151" i="4"/>
  <c r="EQ151" i="4"/>
  <c r="ER150" i="4"/>
  <c r="EQ150" i="4"/>
  <c r="ER149" i="4"/>
  <c r="EQ149" i="4"/>
  <c r="ER148" i="4"/>
  <c r="EQ148" i="4"/>
  <c r="ER147" i="4"/>
  <c r="EQ147" i="4"/>
  <c r="ER146" i="4"/>
  <c r="EQ146" i="4"/>
  <c r="ER145" i="4"/>
  <c r="EQ145" i="4"/>
  <c r="ER144" i="4"/>
  <c r="EQ144" i="4"/>
  <c r="ER143" i="4"/>
  <c r="EQ143" i="4"/>
  <c r="ER142" i="4"/>
  <c r="EQ142" i="4"/>
  <c r="ER141" i="4"/>
  <c r="EQ141" i="4"/>
  <c r="ER140" i="4"/>
  <c r="EQ140" i="4"/>
  <c r="ER139" i="4"/>
  <c r="EQ139" i="4"/>
  <c r="ER138" i="4"/>
  <c r="EQ138" i="4"/>
  <c r="ER137" i="4"/>
  <c r="EQ137" i="4"/>
  <c r="ER136" i="4"/>
  <c r="EQ136" i="4"/>
  <c r="ER135" i="4"/>
  <c r="EQ135" i="4"/>
  <c r="ER134" i="4"/>
  <c r="EQ134" i="4"/>
  <c r="ER133" i="4"/>
  <c r="EQ133" i="4"/>
  <c r="ER132" i="4"/>
  <c r="EQ132" i="4"/>
  <c r="ER131" i="4"/>
  <c r="EQ131" i="4"/>
  <c r="ER130" i="4"/>
  <c r="EQ130" i="4"/>
  <c r="ER129" i="4"/>
  <c r="EQ129" i="4"/>
  <c r="ER128" i="4"/>
  <c r="EQ128" i="4"/>
  <c r="ER127" i="4"/>
  <c r="EQ127" i="4"/>
  <c r="ER126" i="4"/>
  <c r="EQ126" i="4"/>
  <c r="ER125" i="4"/>
  <c r="EQ125" i="4"/>
  <c r="ER124" i="4"/>
  <c r="EQ124" i="4"/>
  <c r="ER123" i="4"/>
  <c r="EQ123" i="4"/>
  <c r="ER122" i="4"/>
  <c r="EQ122" i="4"/>
  <c r="ER121" i="4"/>
  <c r="EQ121" i="4"/>
  <c r="ER120" i="4"/>
  <c r="EQ120" i="4"/>
  <c r="ER119" i="4"/>
  <c r="EQ119" i="4"/>
  <c r="ER118" i="4"/>
  <c r="EQ118" i="4"/>
  <c r="ER117" i="4"/>
  <c r="EQ117" i="4"/>
  <c r="ER116" i="4"/>
  <c r="EQ116" i="4"/>
  <c r="ER115" i="4"/>
  <c r="EQ115" i="4"/>
  <c r="ER114" i="4"/>
  <c r="EQ114" i="4"/>
  <c r="ER113" i="4"/>
  <c r="EQ113" i="4"/>
  <c r="ER112" i="4"/>
  <c r="EQ112" i="4"/>
  <c r="ER111" i="4"/>
  <c r="EQ111" i="4"/>
  <c r="ER110" i="4"/>
  <c r="EQ110" i="4"/>
  <c r="ER109" i="4"/>
  <c r="EQ109" i="4"/>
  <c r="ER108" i="4"/>
  <c r="EQ108" i="4"/>
  <c r="ER107" i="4"/>
  <c r="EQ107" i="4"/>
  <c r="ER106" i="4"/>
  <c r="EQ106" i="4"/>
  <c r="ER105" i="4"/>
  <c r="EQ105" i="4"/>
  <c r="ER104" i="4"/>
  <c r="EQ104" i="4"/>
  <c r="ER103" i="4"/>
  <c r="EQ103" i="4"/>
  <c r="ER102" i="4"/>
  <c r="EQ102" i="4"/>
  <c r="ER101" i="4"/>
  <c r="EQ101" i="4"/>
  <c r="ER100" i="4"/>
  <c r="EQ100" i="4"/>
  <c r="ER99" i="4"/>
  <c r="EQ99" i="4"/>
  <c r="ER98" i="4"/>
  <c r="EQ98" i="4"/>
  <c r="ER97" i="4"/>
  <c r="EQ97" i="4"/>
  <c r="ER96" i="4"/>
  <c r="EQ96" i="4"/>
  <c r="ER95" i="4"/>
  <c r="EQ95" i="4"/>
  <c r="ER94" i="4"/>
  <c r="EQ94" i="4"/>
  <c r="ER93" i="4"/>
  <c r="EQ93" i="4"/>
  <c r="ER92" i="4"/>
  <c r="EQ92" i="4"/>
  <c r="ER91" i="4"/>
  <c r="EQ91" i="4"/>
  <c r="ER90" i="4"/>
  <c r="EQ90" i="4"/>
  <c r="ER89" i="4"/>
  <c r="EQ89" i="4"/>
  <c r="ER88" i="4"/>
  <c r="EQ88" i="4"/>
  <c r="ER87" i="4"/>
  <c r="EQ87" i="4"/>
  <c r="ER86" i="4"/>
  <c r="EQ86" i="4"/>
  <c r="ER85" i="4"/>
  <c r="EQ85" i="4"/>
  <c r="ER84" i="4"/>
  <c r="EQ84" i="4"/>
  <c r="ER83" i="4"/>
  <c r="EQ83" i="4"/>
  <c r="ER82" i="4"/>
  <c r="EQ82" i="4"/>
  <c r="ER81" i="4"/>
  <c r="EQ81" i="4"/>
  <c r="ER80" i="4"/>
  <c r="EQ80" i="4"/>
  <c r="ER79" i="4"/>
  <c r="EQ79" i="4"/>
  <c r="ER78" i="4"/>
  <c r="EQ78" i="4"/>
  <c r="ER77" i="4"/>
  <c r="EQ77" i="4"/>
  <c r="ER76" i="4"/>
  <c r="EQ76" i="4"/>
  <c r="ER75" i="4"/>
  <c r="EQ75" i="4"/>
  <c r="ER74" i="4"/>
  <c r="EQ74" i="4"/>
  <c r="ER73" i="4"/>
  <c r="EQ73" i="4"/>
  <c r="ER72" i="4"/>
  <c r="EQ72" i="4"/>
  <c r="ER71" i="4"/>
  <c r="EQ71" i="4"/>
  <c r="ER70" i="4"/>
  <c r="EQ70" i="4"/>
  <c r="ER69" i="4"/>
  <c r="EQ69" i="4"/>
  <c r="ER68" i="4"/>
  <c r="EQ68" i="4"/>
  <c r="ER67" i="4"/>
  <c r="EQ67" i="4"/>
  <c r="ER66" i="4"/>
  <c r="EQ66" i="4"/>
  <c r="ER65" i="4"/>
  <c r="EQ65" i="4"/>
  <c r="ER64" i="4"/>
  <c r="EQ64" i="4"/>
  <c r="ER63" i="4"/>
  <c r="EQ63" i="4"/>
  <c r="ER62" i="4"/>
  <c r="EQ62" i="4"/>
  <c r="ER61" i="4"/>
  <c r="EQ61" i="4"/>
  <c r="ER60" i="4"/>
  <c r="EQ60" i="4"/>
  <c r="ER59" i="4"/>
  <c r="EQ59" i="4"/>
  <c r="ER58" i="4"/>
  <c r="EQ58" i="4"/>
  <c r="ER57" i="4"/>
  <c r="EQ57" i="4"/>
  <c r="ER56" i="4"/>
  <c r="EQ56" i="4"/>
  <c r="ER55" i="4"/>
  <c r="EQ55" i="4"/>
  <c r="ER54" i="4"/>
  <c r="EQ54" i="4"/>
  <c r="ER53" i="4"/>
  <c r="EQ53" i="4"/>
  <c r="ER52" i="4"/>
  <c r="EQ52" i="4"/>
  <c r="ER51" i="4"/>
  <c r="EQ51" i="4"/>
  <c r="ER50" i="4"/>
  <c r="EQ50" i="4"/>
  <c r="ER49" i="4"/>
  <c r="EQ49" i="4"/>
  <c r="ER48" i="4"/>
  <c r="EQ48" i="4"/>
  <c r="ER47" i="4"/>
  <c r="EQ47" i="4"/>
  <c r="ER46" i="4"/>
  <c r="EQ46" i="4"/>
  <c r="ER45" i="4"/>
  <c r="EQ45" i="4"/>
  <c r="ER44" i="4"/>
  <c r="EQ44" i="4"/>
  <c r="ER43" i="4"/>
  <c r="EQ43" i="4"/>
  <c r="ER42" i="4"/>
  <c r="EQ42" i="4"/>
  <c r="ER41" i="4"/>
  <c r="EQ41" i="4"/>
  <c r="ER40" i="4"/>
  <c r="EQ40" i="4"/>
  <c r="ER39" i="4"/>
  <c r="EQ39" i="4"/>
  <c r="ER38" i="4"/>
  <c r="EQ38" i="4"/>
  <c r="ER37" i="4"/>
  <c r="EQ37" i="4"/>
  <c r="ER36" i="4"/>
  <c r="EQ36" i="4"/>
  <c r="ER35" i="4"/>
  <c r="EQ35" i="4"/>
  <c r="ER34" i="4"/>
  <c r="EQ34" i="4"/>
  <c r="ER33" i="4"/>
  <c r="EQ33" i="4"/>
  <c r="ER32" i="4"/>
  <c r="EQ32" i="4"/>
  <c r="ER31" i="4"/>
  <c r="EQ31" i="4"/>
  <c r="ER30" i="4"/>
  <c r="EQ30" i="4"/>
  <c r="ER29" i="4"/>
  <c r="EQ29" i="4"/>
  <c r="ER28" i="4"/>
  <c r="EQ28" i="4"/>
  <c r="ER27" i="4"/>
  <c r="EQ27" i="4"/>
  <c r="ER26" i="4"/>
  <c r="EQ26" i="4"/>
  <c r="ER25" i="4"/>
  <c r="EQ25" i="4"/>
  <c r="ER24" i="4"/>
  <c r="EQ24" i="4"/>
  <c r="ER23" i="4"/>
  <c r="EQ23" i="4"/>
  <c r="ER22" i="4"/>
  <c r="EQ22" i="4"/>
  <c r="ER21" i="4"/>
  <c r="EQ21" i="4"/>
  <c r="ER20" i="4"/>
  <c r="EQ20" i="4"/>
  <c r="ER19" i="4"/>
  <c r="EQ19" i="4"/>
  <c r="ER18" i="4"/>
  <c r="EQ18" i="4"/>
  <c r="ER17" i="4"/>
  <c r="EQ17" i="4"/>
  <c r="ER16" i="4"/>
  <c r="EQ16" i="4"/>
  <c r="ER15" i="4"/>
  <c r="EQ15" i="4"/>
  <c r="ER14" i="4"/>
  <c r="EQ14" i="4"/>
  <c r="ER13" i="4"/>
  <c r="EQ13" i="4"/>
  <c r="ER12" i="4"/>
  <c r="EQ12" i="4"/>
  <c r="ER11" i="4"/>
  <c r="EQ11" i="4"/>
  <c r="ER10" i="4"/>
  <c r="EQ10" i="4"/>
  <c r="EL300" i="4"/>
  <c r="EK300" i="4"/>
  <c r="EL299" i="4"/>
  <c r="EK299" i="4"/>
  <c r="EL298" i="4"/>
  <c r="EK298" i="4"/>
  <c r="EL297" i="4"/>
  <c r="EK297" i="4"/>
  <c r="EL296" i="4"/>
  <c r="EK296" i="4"/>
  <c r="EL295" i="4"/>
  <c r="EK295" i="4"/>
  <c r="EL294" i="4"/>
  <c r="EK294" i="4"/>
  <c r="EL293" i="4"/>
  <c r="EK293" i="4"/>
  <c r="EL292" i="4"/>
  <c r="EK292" i="4"/>
  <c r="EL291" i="4"/>
  <c r="EK291" i="4"/>
  <c r="EL290" i="4"/>
  <c r="EK290" i="4"/>
  <c r="EL289" i="4"/>
  <c r="EK289" i="4"/>
  <c r="EL288" i="4"/>
  <c r="EK288" i="4"/>
  <c r="EL287" i="4"/>
  <c r="EK287" i="4"/>
  <c r="EL286" i="4"/>
  <c r="EK286" i="4"/>
  <c r="EL285" i="4"/>
  <c r="EK285" i="4"/>
  <c r="EL284" i="4"/>
  <c r="EK284" i="4"/>
  <c r="EL283" i="4"/>
  <c r="EK283" i="4"/>
  <c r="EL282" i="4"/>
  <c r="EK282" i="4"/>
  <c r="EL281" i="4"/>
  <c r="EK281" i="4"/>
  <c r="EL280" i="4"/>
  <c r="EK280" i="4"/>
  <c r="EL279" i="4"/>
  <c r="EK279" i="4"/>
  <c r="EL278" i="4"/>
  <c r="EK278" i="4"/>
  <c r="EL277" i="4"/>
  <c r="EK277" i="4"/>
  <c r="EL276" i="4"/>
  <c r="EK276" i="4"/>
  <c r="EL275" i="4"/>
  <c r="EK275" i="4"/>
  <c r="EL274" i="4"/>
  <c r="EK274" i="4"/>
  <c r="EL273" i="4"/>
  <c r="EK273" i="4"/>
  <c r="EL272" i="4"/>
  <c r="EK272" i="4"/>
  <c r="EL271" i="4"/>
  <c r="EK271" i="4"/>
  <c r="EL270" i="4"/>
  <c r="EK270" i="4"/>
  <c r="EL269" i="4"/>
  <c r="EK269" i="4"/>
  <c r="EL268" i="4"/>
  <c r="EK268" i="4"/>
  <c r="EL267" i="4"/>
  <c r="EK267" i="4"/>
  <c r="EL266" i="4"/>
  <c r="EK266" i="4"/>
  <c r="EL265" i="4"/>
  <c r="EK265" i="4"/>
  <c r="EL264" i="4"/>
  <c r="EK264" i="4"/>
  <c r="EL263" i="4"/>
  <c r="EK263" i="4"/>
  <c r="EL262" i="4"/>
  <c r="EK262" i="4"/>
  <c r="EL261" i="4"/>
  <c r="EK261" i="4"/>
  <c r="EL260" i="4"/>
  <c r="EK260" i="4"/>
  <c r="EL259" i="4"/>
  <c r="EK259" i="4"/>
  <c r="EL258" i="4"/>
  <c r="EK258" i="4"/>
  <c r="EL257" i="4"/>
  <c r="EK257" i="4"/>
  <c r="EL256" i="4"/>
  <c r="EK256" i="4"/>
  <c r="EL255" i="4"/>
  <c r="EK255" i="4"/>
  <c r="EL254" i="4"/>
  <c r="EK254" i="4"/>
  <c r="EL253" i="4"/>
  <c r="EK253" i="4"/>
  <c r="EL252" i="4"/>
  <c r="EK252" i="4"/>
  <c r="EL251" i="4"/>
  <c r="EK251" i="4"/>
  <c r="EL250" i="4"/>
  <c r="EK250" i="4"/>
  <c r="EL249" i="4"/>
  <c r="EK249" i="4"/>
  <c r="EL248" i="4"/>
  <c r="EK248" i="4"/>
  <c r="EL247" i="4"/>
  <c r="EK247" i="4"/>
  <c r="EL246" i="4"/>
  <c r="EK246" i="4"/>
  <c r="EL245" i="4"/>
  <c r="EK245" i="4"/>
  <c r="EL244" i="4"/>
  <c r="EK244" i="4"/>
  <c r="EL243" i="4"/>
  <c r="EK243" i="4"/>
  <c r="EL242" i="4"/>
  <c r="EK242" i="4"/>
  <c r="EL241" i="4"/>
  <c r="EK241" i="4"/>
  <c r="EL240" i="4"/>
  <c r="EK240" i="4"/>
  <c r="EL239" i="4"/>
  <c r="EK239" i="4"/>
  <c r="EL238" i="4"/>
  <c r="EK238" i="4"/>
  <c r="EL237" i="4"/>
  <c r="EK237" i="4"/>
  <c r="EL236" i="4"/>
  <c r="EK236" i="4"/>
  <c r="EL235" i="4"/>
  <c r="EK235" i="4"/>
  <c r="EL234" i="4"/>
  <c r="EK234" i="4"/>
  <c r="EL233" i="4"/>
  <c r="EK233" i="4"/>
  <c r="EL232" i="4"/>
  <c r="EK232" i="4"/>
  <c r="EL231" i="4"/>
  <c r="EK231" i="4"/>
  <c r="EL230" i="4"/>
  <c r="EK230" i="4"/>
  <c r="EL229" i="4"/>
  <c r="EK229" i="4"/>
  <c r="EL228" i="4"/>
  <c r="EK228" i="4"/>
  <c r="EL227" i="4"/>
  <c r="EK227" i="4"/>
  <c r="EL226" i="4"/>
  <c r="EK226" i="4"/>
  <c r="EL225" i="4"/>
  <c r="EK225" i="4"/>
  <c r="EL224" i="4"/>
  <c r="EK224" i="4"/>
  <c r="EL223" i="4"/>
  <c r="EK223" i="4"/>
  <c r="EL222" i="4"/>
  <c r="EK222" i="4"/>
  <c r="EL221" i="4"/>
  <c r="EK221" i="4"/>
  <c r="EL220" i="4"/>
  <c r="EK220" i="4"/>
  <c r="EL219" i="4"/>
  <c r="EK219" i="4"/>
  <c r="EL218" i="4"/>
  <c r="EK218" i="4"/>
  <c r="EL217" i="4"/>
  <c r="EK217" i="4"/>
  <c r="EL216" i="4"/>
  <c r="EK216" i="4"/>
  <c r="EL215" i="4"/>
  <c r="EK215" i="4"/>
  <c r="EL214" i="4"/>
  <c r="EK214" i="4"/>
  <c r="EL213" i="4"/>
  <c r="EK213" i="4"/>
  <c r="EL212" i="4"/>
  <c r="EK212" i="4"/>
  <c r="EL211" i="4"/>
  <c r="EK211" i="4"/>
  <c r="EL210" i="4"/>
  <c r="EK210" i="4"/>
  <c r="EL209" i="4"/>
  <c r="EK209" i="4"/>
  <c r="EL208" i="4"/>
  <c r="EK208" i="4"/>
  <c r="EL207" i="4"/>
  <c r="EK207" i="4"/>
  <c r="EL206" i="4"/>
  <c r="EK206" i="4"/>
  <c r="EL205" i="4"/>
  <c r="EK205" i="4"/>
  <c r="EL204" i="4"/>
  <c r="EK204" i="4"/>
  <c r="EL203" i="4"/>
  <c r="EK203" i="4"/>
  <c r="EL202" i="4"/>
  <c r="EK202" i="4"/>
  <c r="EL201" i="4"/>
  <c r="EK201" i="4"/>
  <c r="EL200" i="4"/>
  <c r="EK200" i="4"/>
  <c r="EL199" i="4"/>
  <c r="EK199" i="4"/>
  <c r="EL198" i="4"/>
  <c r="EK198" i="4"/>
  <c r="EL197" i="4"/>
  <c r="EK197" i="4"/>
  <c r="EL196" i="4"/>
  <c r="EK196" i="4"/>
  <c r="EL195" i="4"/>
  <c r="EK195" i="4"/>
  <c r="EL194" i="4"/>
  <c r="EK194" i="4"/>
  <c r="EL193" i="4"/>
  <c r="EK193" i="4"/>
  <c r="EL192" i="4"/>
  <c r="EK192" i="4"/>
  <c r="EL191" i="4"/>
  <c r="EK191" i="4"/>
  <c r="EL190" i="4"/>
  <c r="EK190" i="4"/>
  <c r="EL189" i="4"/>
  <c r="EK189" i="4"/>
  <c r="EL188" i="4"/>
  <c r="EK188" i="4"/>
  <c r="EL187" i="4"/>
  <c r="EK187" i="4"/>
  <c r="EL186" i="4"/>
  <c r="EK186" i="4"/>
  <c r="EL185" i="4"/>
  <c r="EK185" i="4"/>
  <c r="EL184" i="4"/>
  <c r="EK184" i="4"/>
  <c r="EL183" i="4"/>
  <c r="EK183" i="4"/>
  <c r="EL182" i="4"/>
  <c r="EK182" i="4"/>
  <c r="EL181" i="4"/>
  <c r="EK181" i="4"/>
  <c r="EL180" i="4"/>
  <c r="EK180" i="4"/>
  <c r="EL179" i="4"/>
  <c r="EK179" i="4"/>
  <c r="EL178" i="4"/>
  <c r="EK178" i="4"/>
  <c r="EL177" i="4"/>
  <c r="EK177" i="4"/>
  <c r="EL176" i="4"/>
  <c r="EK176" i="4"/>
  <c r="EL175" i="4"/>
  <c r="EK175" i="4"/>
  <c r="EL174" i="4"/>
  <c r="EK174" i="4"/>
  <c r="EL173" i="4"/>
  <c r="EK173" i="4"/>
  <c r="EL172" i="4"/>
  <c r="EK172" i="4"/>
  <c r="EL171" i="4"/>
  <c r="EK171" i="4"/>
  <c r="EL170" i="4"/>
  <c r="EK170" i="4"/>
  <c r="EL169" i="4"/>
  <c r="EK169" i="4"/>
  <c r="EL168" i="4"/>
  <c r="EK168" i="4"/>
  <c r="EL167" i="4"/>
  <c r="EK167" i="4"/>
  <c r="EL166" i="4"/>
  <c r="EK166" i="4"/>
  <c r="EL165" i="4"/>
  <c r="EK165" i="4"/>
  <c r="EL164" i="4"/>
  <c r="EK164" i="4"/>
  <c r="EL163" i="4"/>
  <c r="EK163" i="4"/>
  <c r="EL162" i="4"/>
  <c r="EK162" i="4"/>
  <c r="EL161" i="4"/>
  <c r="EK161" i="4"/>
  <c r="EL160" i="4"/>
  <c r="EK160" i="4"/>
  <c r="EL159" i="4"/>
  <c r="EK159" i="4"/>
  <c r="EL158" i="4"/>
  <c r="EK158" i="4"/>
  <c r="EL157" i="4"/>
  <c r="EK157" i="4"/>
  <c r="EL156" i="4"/>
  <c r="EK156" i="4"/>
  <c r="EL155" i="4"/>
  <c r="EK155" i="4"/>
  <c r="EL154" i="4"/>
  <c r="EK154" i="4"/>
  <c r="EL153" i="4"/>
  <c r="EK153" i="4"/>
  <c r="EL152" i="4"/>
  <c r="EK152" i="4"/>
  <c r="EL151" i="4"/>
  <c r="EK151" i="4"/>
  <c r="EL150" i="4"/>
  <c r="EK150" i="4"/>
  <c r="EL149" i="4"/>
  <c r="EK149" i="4"/>
  <c r="EL148" i="4"/>
  <c r="EK148" i="4"/>
  <c r="EL147" i="4"/>
  <c r="EK147" i="4"/>
  <c r="EL146" i="4"/>
  <c r="EK146" i="4"/>
  <c r="EL145" i="4"/>
  <c r="EK145" i="4"/>
  <c r="EL144" i="4"/>
  <c r="EK144" i="4"/>
  <c r="EL143" i="4"/>
  <c r="EK143" i="4"/>
  <c r="EL142" i="4"/>
  <c r="EK142" i="4"/>
  <c r="EL141" i="4"/>
  <c r="EK141" i="4"/>
  <c r="EL140" i="4"/>
  <c r="EK140" i="4"/>
  <c r="EL139" i="4"/>
  <c r="EK139" i="4"/>
  <c r="EL138" i="4"/>
  <c r="EK138" i="4"/>
  <c r="EL137" i="4"/>
  <c r="EK137" i="4"/>
  <c r="EL136" i="4"/>
  <c r="EK136" i="4"/>
  <c r="EL135" i="4"/>
  <c r="EK135" i="4"/>
  <c r="EL134" i="4"/>
  <c r="EK134" i="4"/>
  <c r="EL133" i="4"/>
  <c r="EK133" i="4"/>
  <c r="EL132" i="4"/>
  <c r="EK132" i="4"/>
  <c r="EL131" i="4"/>
  <c r="EK131" i="4"/>
  <c r="EL130" i="4"/>
  <c r="EK130" i="4"/>
  <c r="EL129" i="4"/>
  <c r="EK129" i="4"/>
  <c r="EL128" i="4"/>
  <c r="EK128" i="4"/>
  <c r="EL127" i="4"/>
  <c r="EK127" i="4"/>
  <c r="EL126" i="4"/>
  <c r="EK126" i="4"/>
  <c r="EL125" i="4"/>
  <c r="EK125" i="4"/>
  <c r="EL124" i="4"/>
  <c r="EK124" i="4"/>
  <c r="EL123" i="4"/>
  <c r="EK123" i="4"/>
  <c r="EL122" i="4"/>
  <c r="EK122" i="4"/>
  <c r="EL121" i="4"/>
  <c r="EK121" i="4"/>
  <c r="EL120" i="4"/>
  <c r="EK120" i="4"/>
  <c r="EL119" i="4"/>
  <c r="EK119" i="4"/>
  <c r="EL118" i="4"/>
  <c r="EK118" i="4"/>
  <c r="EL117" i="4"/>
  <c r="EK117" i="4"/>
  <c r="EL116" i="4"/>
  <c r="EK116" i="4"/>
  <c r="EL115" i="4"/>
  <c r="EK115" i="4"/>
  <c r="EL114" i="4"/>
  <c r="EK114" i="4"/>
  <c r="EL113" i="4"/>
  <c r="EK113" i="4"/>
  <c r="EL112" i="4"/>
  <c r="EK112" i="4"/>
  <c r="EL111" i="4"/>
  <c r="EK111" i="4"/>
  <c r="EL110" i="4"/>
  <c r="EK110" i="4"/>
  <c r="EL109" i="4"/>
  <c r="EK109" i="4"/>
  <c r="EL108" i="4"/>
  <c r="EK108" i="4"/>
  <c r="EL107" i="4"/>
  <c r="EK107" i="4"/>
  <c r="EL106" i="4"/>
  <c r="EK106" i="4"/>
  <c r="EL105" i="4"/>
  <c r="EK105" i="4"/>
  <c r="EL104" i="4"/>
  <c r="EK104" i="4"/>
  <c r="EL103" i="4"/>
  <c r="EK103" i="4"/>
  <c r="EL102" i="4"/>
  <c r="EK102" i="4"/>
  <c r="EL101" i="4"/>
  <c r="EK101" i="4"/>
  <c r="EL100" i="4"/>
  <c r="EK100" i="4"/>
  <c r="EL99" i="4"/>
  <c r="EK99" i="4"/>
  <c r="EL98" i="4"/>
  <c r="EK98" i="4"/>
  <c r="EL97" i="4"/>
  <c r="EK97" i="4"/>
  <c r="EL96" i="4"/>
  <c r="EK96" i="4"/>
  <c r="EL95" i="4"/>
  <c r="EK95" i="4"/>
  <c r="EL94" i="4"/>
  <c r="EK94" i="4"/>
  <c r="EL93" i="4"/>
  <c r="EK93" i="4"/>
  <c r="EL92" i="4"/>
  <c r="EK92" i="4"/>
  <c r="EL91" i="4"/>
  <c r="EK91" i="4"/>
  <c r="EL90" i="4"/>
  <c r="EK90" i="4"/>
  <c r="EL89" i="4"/>
  <c r="EK89" i="4"/>
  <c r="EL88" i="4"/>
  <c r="EK88" i="4"/>
  <c r="EL87" i="4"/>
  <c r="EK87" i="4"/>
  <c r="EL86" i="4"/>
  <c r="EK86" i="4"/>
  <c r="EL85" i="4"/>
  <c r="EK85" i="4"/>
  <c r="EL84" i="4"/>
  <c r="EK84" i="4"/>
  <c r="EL83" i="4"/>
  <c r="EK83" i="4"/>
  <c r="EL82" i="4"/>
  <c r="EK82" i="4"/>
  <c r="EL81" i="4"/>
  <c r="EK81" i="4"/>
  <c r="EL80" i="4"/>
  <c r="EK80" i="4"/>
  <c r="EL79" i="4"/>
  <c r="EK79" i="4"/>
  <c r="EL78" i="4"/>
  <c r="EK78" i="4"/>
  <c r="EL77" i="4"/>
  <c r="EK77" i="4"/>
  <c r="EL76" i="4"/>
  <c r="EK76" i="4"/>
  <c r="EL75" i="4"/>
  <c r="EK75" i="4"/>
  <c r="EL74" i="4"/>
  <c r="EK74" i="4"/>
  <c r="EL73" i="4"/>
  <c r="EK73" i="4"/>
  <c r="EL72" i="4"/>
  <c r="EK72" i="4"/>
  <c r="EL71" i="4"/>
  <c r="EK71" i="4"/>
  <c r="EL70" i="4"/>
  <c r="EK70" i="4"/>
  <c r="EL69" i="4"/>
  <c r="EK69" i="4"/>
  <c r="EL68" i="4"/>
  <c r="EK68" i="4"/>
  <c r="EL67" i="4"/>
  <c r="EK67" i="4"/>
  <c r="EL66" i="4"/>
  <c r="EK66" i="4"/>
  <c r="EL65" i="4"/>
  <c r="EK65" i="4"/>
  <c r="EL64" i="4"/>
  <c r="EK64" i="4"/>
  <c r="EL63" i="4"/>
  <c r="EK63" i="4"/>
  <c r="EL62" i="4"/>
  <c r="EK62" i="4"/>
  <c r="EL61" i="4"/>
  <c r="EK61" i="4"/>
  <c r="EL60" i="4"/>
  <c r="EK60" i="4"/>
  <c r="EL59" i="4"/>
  <c r="EK59" i="4"/>
  <c r="EL58" i="4"/>
  <c r="EK58" i="4"/>
  <c r="EL57" i="4"/>
  <c r="EK57" i="4"/>
  <c r="EL56" i="4"/>
  <c r="EK56" i="4"/>
  <c r="EL55" i="4"/>
  <c r="EK55" i="4"/>
  <c r="EL54" i="4"/>
  <c r="EK54" i="4"/>
  <c r="EL53" i="4"/>
  <c r="EK53" i="4"/>
  <c r="EL52" i="4"/>
  <c r="EK52" i="4"/>
  <c r="EL51" i="4"/>
  <c r="EK51" i="4"/>
  <c r="EL50" i="4"/>
  <c r="EK50" i="4"/>
  <c r="EL49" i="4"/>
  <c r="EK49" i="4"/>
  <c r="EL48" i="4"/>
  <c r="EK48" i="4"/>
  <c r="EL47" i="4"/>
  <c r="EK47" i="4"/>
  <c r="EL46" i="4"/>
  <c r="EK46" i="4"/>
  <c r="EL45" i="4"/>
  <c r="EK45" i="4"/>
  <c r="EL44" i="4"/>
  <c r="EK44" i="4"/>
  <c r="EL43" i="4"/>
  <c r="EK43" i="4"/>
  <c r="EL42" i="4"/>
  <c r="EK42" i="4"/>
  <c r="EL41" i="4"/>
  <c r="EK41" i="4"/>
  <c r="EL40" i="4"/>
  <c r="EK40" i="4"/>
  <c r="EL39" i="4"/>
  <c r="EK39" i="4"/>
  <c r="EL38" i="4"/>
  <c r="EK38" i="4"/>
  <c r="EL37" i="4"/>
  <c r="EK37" i="4"/>
  <c r="EL36" i="4"/>
  <c r="EK36" i="4"/>
  <c r="EL35" i="4"/>
  <c r="EK35" i="4"/>
  <c r="EL34" i="4"/>
  <c r="EK34" i="4"/>
  <c r="EL33" i="4"/>
  <c r="EK33" i="4"/>
  <c r="EL32" i="4"/>
  <c r="EK32" i="4"/>
  <c r="EL31" i="4"/>
  <c r="EK31" i="4"/>
  <c r="EL30" i="4"/>
  <c r="EK30" i="4"/>
  <c r="EL29" i="4"/>
  <c r="EK29" i="4"/>
  <c r="EL28" i="4"/>
  <c r="EK28" i="4"/>
  <c r="EL27" i="4"/>
  <c r="EK27" i="4"/>
  <c r="EL26" i="4"/>
  <c r="EK26" i="4"/>
  <c r="EL25" i="4"/>
  <c r="EK25" i="4"/>
  <c r="EL24" i="4"/>
  <c r="EK24" i="4"/>
  <c r="EL23" i="4"/>
  <c r="EK23" i="4"/>
  <c r="EL22" i="4"/>
  <c r="EK22" i="4"/>
  <c r="EL21" i="4"/>
  <c r="EK21" i="4"/>
  <c r="EL20" i="4"/>
  <c r="EK20" i="4"/>
  <c r="EL19" i="4"/>
  <c r="EK19" i="4"/>
  <c r="EL18" i="4"/>
  <c r="EK18" i="4"/>
  <c r="EL17" i="4"/>
  <c r="EK17" i="4"/>
  <c r="EL16" i="4"/>
  <c r="EK16" i="4"/>
  <c r="EL15" i="4"/>
  <c r="EK15" i="4"/>
  <c r="EL14" i="4"/>
  <c r="EK14" i="4"/>
  <c r="EL13" i="4"/>
  <c r="EK13" i="4"/>
  <c r="EL12" i="4"/>
  <c r="EK12" i="4"/>
  <c r="EL11" i="4"/>
  <c r="EK11" i="4"/>
  <c r="EL10" i="4"/>
  <c r="EK10" i="4"/>
  <c r="EF300" i="4"/>
  <c r="EE300" i="4"/>
  <c r="EF299" i="4"/>
  <c r="EE299" i="4"/>
  <c r="EF298" i="4"/>
  <c r="EE298" i="4"/>
  <c r="EF297" i="4"/>
  <c r="EE297" i="4"/>
  <c r="EF296" i="4"/>
  <c r="EE296" i="4"/>
  <c r="EF295" i="4"/>
  <c r="EE295" i="4"/>
  <c r="EF294" i="4"/>
  <c r="EE294" i="4"/>
  <c r="EF293" i="4"/>
  <c r="EE293" i="4"/>
  <c r="EF292" i="4"/>
  <c r="EE292" i="4"/>
  <c r="EF291" i="4"/>
  <c r="EE291" i="4"/>
  <c r="EF290" i="4"/>
  <c r="EE290" i="4"/>
  <c r="EF289" i="4"/>
  <c r="EE289" i="4"/>
  <c r="EF288" i="4"/>
  <c r="EE288" i="4"/>
  <c r="EF287" i="4"/>
  <c r="EE287" i="4"/>
  <c r="EF286" i="4"/>
  <c r="EE286" i="4"/>
  <c r="EF285" i="4"/>
  <c r="EE285" i="4"/>
  <c r="EF284" i="4"/>
  <c r="EE284" i="4"/>
  <c r="EF283" i="4"/>
  <c r="EE283" i="4"/>
  <c r="EF282" i="4"/>
  <c r="EE282" i="4"/>
  <c r="EF281" i="4"/>
  <c r="EE281" i="4"/>
  <c r="EF280" i="4"/>
  <c r="EE280" i="4"/>
  <c r="EF279" i="4"/>
  <c r="EE279" i="4"/>
  <c r="EF278" i="4"/>
  <c r="EE278" i="4"/>
  <c r="EF277" i="4"/>
  <c r="EE277" i="4"/>
  <c r="EF276" i="4"/>
  <c r="EE276" i="4"/>
  <c r="EF275" i="4"/>
  <c r="EE275" i="4"/>
  <c r="EF274" i="4"/>
  <c r="EE274" i="4"/>
  <c r="EF273" i="4"/>
  <c r="EE273" i="4"/>
  <c r="EF272" i="4"/>
  <c r="EE272" i="4"/>
  <c r="EF271" i="4"/>
  <c r="EE271" i="4"/>
  <c r="EF270" i="4"/>
  <c r="EE270" i="4"/>
  <c r="EF269" i="4"/>
  <c r="EE269" i="4"/>
  <c r="EF268" i="4"/>
  <c r="EE268" i="4"/>
  <c r="EF267" i="4"/>
  <c r="EE267" i="4"/>
  <c r="EF266" i="4"/>
  <c r="EE266" i="4"/>
  <c r="EF265" i="4"/>
  <c r="EE265" i="4"/>
  <c r="EF264" i="4"/>
  <c r="EE264" i="4"/>
  <c r="EF263" i="4"/>
  <c r="EE263" i="4"/>
  <c r="EF262" i="4"/>
  <c r="EE262" i="4"/>
  <c r="EF261" i="4"/>
  <c r="EE261" i="4"/>
  <c r="EF260" i="4"/>
  <c r="EE260" i="4"/>
  <c r="EF259" i="4"/>
  <c r="EE259" i="4"/>
  <c r="EF258" i="4"/>
  <c r="EE258" i="4"/>
  <c r="EF257" i="4"/>
  <c r="EE257" i="4"/>
  <c r="EF256" i="4"/>
  <c r="EE256" i="4"/>
  <c r="EF255" i="4"/>
  <c r="EE255" i="4"/>
  <c r="EF254" i="4"/>
  <c r="EE254" i="4"/>
  <c r="EF253" i="4"/>
  <c r="EE253" i="4"/>
  <c r="EF252" i="4"/>
  <c r="EE252" i="4"/>
  <c r="EF251" i="4"/>
  <c r="EE251" i="4"/>
  <c r="EF250" i="4"/>
  <c r="EE250" i="4"/>
  <c r="EF249" i="4"/>
  <c r="EE249" i="4"/>
  <c r="EF248" i="4"/>
  <c r="EE248" i="4"/>
  <c r="EF247" i="4"/>
  <c r="EE247" i="4"/>
  <c r="EF246" i="4"/>
  <c r="EE246" i="4"/>
  <c r="EF245" i="4"/>
  <c r="EE245" i="4"/>
  <c r="EF244" i="4"/>
  <c r="EE244" i="4"/>
  <c r="EF243" i="4"/>
  <c r="EE243" i="4"/>
  <c r="EF242" i="4"/>
  <c r="EE242" i="4"/>
  <c r="EF241" i="4"/>
  <c r="EE241" i="4"/>
  <c r="EF240" i="4"/>
  <c r="EE240" i="4"/>
  <c r="EF239" i="4"/>
  <c r="EE239" i="4"/>
  <c r="EF238" i="4"/>
  <c r="EE238" i="4"/>
  <c r="EF237" i="4"/>
  <c r="EE237" i="4"/>
  <c r="EF236" i="4"/>
  <c r="EE236" i="4"/>
  <c r="EF235" i="4"/>
  <c r="EE235" i="4"/>
  <c r="EF234" i="4"/>
  <c r="EE234" i="4"/>
  <c r="EF233" i="4"/>
  <c r="EE233" i="4"/>
  <c r="EF232" i="4"/>
  <c r="EE232" i="4"/>
  <c r="EF231" i="4"/>
  <c r="EE231" i="4"/>
  <c r="EF230" i="4"/>
  <c r="EE230" i="4"/>
  <c r="EF229" i="4"/>
  <c r="EE229" i="4"/>
  <c r="EF228" i="4"/>
  <c r="EE228" i="4"/>
  <c r="EF227" i="4"/>
  <c r="EE227" i="4"/>
  <c r="EF226" i="4"/>
  <c r="EE226" i="4"/>
  <c r="EF225" i="4"/>
  <c r="EE225" i="4"/>
  <c r="EF224" i="4"/>
  <c r="EE224" i="4"/>
  <c r="EF223" i="4"/>
  <c r="EE223" i="4"/>
  <c r="EF222" i="4"/>
  <c r="EE222" i="4"/>
  <c r="EF221" i="4"/>
  <c r="EE221" i="4"/>
  <c r="EF220" i="4"/>
  <c r="EE220" i="4"/>
  <c r="EF219" i="4"/>
  <c r="EE219" i="4"/>
  <c r="EF218" i="4"/>
  <c r="EE218" i="4"/>
  <c r="EF217" i="4"/>
  <c r="EE217" i="4"/>
  <c r="EF216" i="4"/>
  <c r="EE216" i="4"/>
  <c r="EF215" i="4"/>
  <c r="EE215" i="4"/>
  <c r="EF214" i="4"/>
  <c r="EE214" i="4"/>
  <c r="EF213" i="4"/>
  <c r="EE213" i="4"/>
  <c r="EF212" i="4"/>
  <c r="EE212" i="4"/>
  <c r="EF211" i="4"/>
  <c r="EE211" i="4"/>
  <c r="EF210" i="4"/>
  <c r="EE210" i="4"/>
  <c r="EF209" i="4"/>
  <c r="EE209" i="4"/>
  <c r="EF208" i="4"/>
  <c r="EE208" i="4"/>
  <c r="EF207" i="4"/>
  <c r="EE207" i="4"/>
  <c r="EF206" i="4"/>
  <c r="EE206" i="4"/>
  <c r="EF205" i="4"/>
  <c r="EE205" i="4"/>
  <c r="EF204" i="4"/>
  <c r="EE204" i="4"/>
  <c r="EF203" i="4"/>
  <c r="EE203" i="4"/>
  <c r="EF202" i="4"/>
  <c r="EE202" i="4"/>
  <c r="EF201" i="4"/>
  <c r="EE201" i="4"/>
  <c r="EF200" i="4"/>
  <c r="EE200" i="4"/>
  <c r="EF199" i="4"/>
  <c r="EE199" i="4"/>
  <c r="EF198" i="4"/>
  <c r="EE198" i="4"/>
  <c r="EF197" i="4"/>
  <c r="EE197" i="4"/>
  <c r="EF196" i="4"/>
  <c r="EE196" i="4"/>
  <c r="EF195" i="4"/>
  <c r="EE195" i="4"/>
  <c r="EF194" i="4"/>
  <c r="EE194" i="4"/>
  <c r="EF193" i="4"/>
  <c r="EE193" i="4"/>
  <c r="EF192" i="4"/>
  <c r="EE192" i="4"/>
  <c r="EF191" i="4"/>
  <c r="EE191" i="4"/>
  <c r="EF190" i="4"/>
  <c r="EE190" i="4"/>
  <c r="EF189" i="4"/>
  <c r="EE189" i="4"/>
  <c r="EF188" i="4"/>
  <c r="EE188" i="4"/>
  <c r="EF187" i="4"/>
  <c r="EE187" i="4"/>
  <c r="EF186" i="4"/>
  <c r="EE186" i="4"/>
  <c r="EF185" i="4"/>
  <c r="EE185" i="4"/>
  <c r="EF184" i="4"/>
  <c r="EE184" i="4"/>
  <c r="EF183" i="4"/>
  <c r="EE183" i="4"/>
  <c r="EF182" i="4"/>
  <c r="EE182" i="4"/>
  <c r="EF181" i="4"/>
  <c r="EE181" i="4"/>
  <c r="EF180" i="4"/>
  <c r="EE180" i="4"/>
  <c r="EF179" i="4"/>
  <c r="EE179" i="4"/>
  <c r="EF178" i="4"/>
  <c r="EE178" i="4"/>
  <c r="EF177" i="4"/>
  <c r="EE177" i="4"/>
  <c r="EF176" i="4"/>
  <c r="EE176" i="4"/>
  <c r="EF175" i="4"/>
  <c r="EE175" i="4"/>
  <c r="EF174" i="4"/>
  <c r="EE174" i="4"/>
  <c r="EF173" i="4"/>
  <c r="EE173" i="4"/>
  <c r="EF172" i="4"/>
  <c r="EE172" i="4"/>
  <c r="EF171" i="4"/>
  <c r="EE171" i="4"/>
  <c r="EF170" i="4"/>
  <c r="EE170" i="4"/>
  <c r="EF169" i="4"/>
  <c r="EE169" i="4"/>
  <c r="EF168" i="4"/>
  <c r="EE168" i="4"/>
  <c r="EF167" i="4"/>
  <c r="EE167" i="4"/>
  <c r="EF166" i="4"/>
  <c r="EE166" i="4"/>
  <c r="EF165" i="4"/>
  <c r="EE165" i="4"/>
  <c r="EF164" i="4"/>
  <c r="EE164" i="4"/>
  <c r="EF163" i="4"/>
  <c r="EE163" i="4"/>
  <c r="EF162" i="4"/>
  <c r="EE162" i="4"/>
  <c r="EF161" i="4"/>
  <c r="EE161" i="4"/>
  <c r="EF160" i="4"/>
  <c r="EE160" i="4"/>
  <c r="EF159" i="4"/>
  <c r="EE159" i="4"/>
  <c r="EF158" i="4"/>
  <c r="EE158" i="4"/>
  <c r="EF157" i="4"/>
  <c r="EE157" i="4"/>
  <c r="EF156" i="4"/>
  <c r="EE156" i="4"/>
  <c r="EF155" i="4"/>
  <c r="EE155" i="4"/>
  <c r="EF154" i="4"/>
  <c r="EE154" i="4"/>
  <c r="EF153" i="4"/>
  <c r="EE153" i="4"/>
  <c r="EF152" i="4"/>
  <c r="EE152" i="4"/>
  <c r="EF151" i="4"/>
  <c r="EE151" i="4"/>
  <c r="EF150" i="4"/>
  <c r="EE150" i="4"/>
  <c r="EF149" i="4"/>
  <c r="EE149" i="4"/>
  <c r="EF148" i="4"/>
  <c r="EE148" i="4"/>
  <c r="EF147" i="4"/>
  <c r="EE147" i="4"/>
  <c r="EF146" i="4"/>
  <c r="EE146" i="4"/>
  <c r="EF145" i="4"/>
  <c r="EE145" i="4"/>
  <c r="EF144" i="4"/>
  <c r="EE144" i="4"/>
  <c r="EF143" i="4"/>
  <c r="EE143" i="4"/>
  <c r="EF142" i="4"/>
  <c r="EE142" i="4"/>
  <c r="EF141" i="4"/>
  <c r="EE141" i="4"/>
  <c r="EF140" i="4"/>
  <c r="EE140" i="4"/>
  <c r="EF139" i="4"/>
  <c r="EE139" i="4"/>
  <c r="EF138" i="4"/>
  <c r="EE138" i="4"/>
  <c r="EF137" i="4"/>
  <c r="EE137" i="4"/>
  <c r="EF136" i="4"/>
  <c r="EE136" i="4"/>
  <c r="EF135" i="4"/>
  <c r="EE135" i="4"/>
  <c r="EF134" i="4"/>
  <c r="EE134" i="4"/>
  <c r="EF133" i="4"/>
  <c r="EE133" i="4"/>
  <c r="EF132" i="4"/>
  <c r="EE132" i="4"/>
  <c r="EF131" i="4"/>
  <c r="EE131" i="4"/>
  <c r="EF130" i="4"/>
  <c r="EE130" i="4"/>
  <c r="EF129" i="4"/>
  <c r="EE129" i="4"/>
  <c r="EF128" i="4"/>
  <c r="EE128" i="4"/>
  <c r="EF127" i="4"/>
  <c r="EE127" i="4"/>
  <c r="EF126" i="4"/>
  <c r="EE126" i="4"/>
  <c r="EF125" i="4"/>
  <c r="EE125" i="4"/>
  <c r="EF124" i="4"/>
  <c r="EE124" i="4"/>
  <c r="EF123" i="4"/>
  <c r="EE123" i="4"/>
  <c r="EF122" i="4"/>
  <c r="EE122" i="4"/>
  <c r="EF121" i="4"/>
  <c r="EE121" i="4"/>
  <c r="EF120" i="4"/>
  <c r="EE120" i="4"/>
  <c r="EF119" i="4"/>
  <c r="EE119" i="4"/>
  <c r="EF118" i="4"/>
  <c r="EE118" i="4"/>
  <c r="EF117" i="4"/>
  <c r="EE117" i="4"/>
  <c r="EF116" i="4"/>
  <c r="EE116" i="4"/>
  <c r="EF115" i="4"/>
  <c r="EE115" i="4"/>
  <c r="EF114" i="4"/>
  <c r="EE114" i="4"/>
  <c r="EF113" i="4"/>
  <c r="EE113" i="4"/>
  <c r="EF112" i="4"/>
  <c r="EE112" i="4"/>
  <c r="EF111" i="4"/>
  <c r="EE111" i="4"/>
  <c r="EF110" i="4"/>
  <c r="EE110" i="4"/>
  <c r="EF109" i="4"/>
  <c r="EE109" i="4"/>
  <c r="EF108" i="4"/>
  <c r="EE108" i="4"/>
  <c r="EF107" i="4"/>
  <c r="EE107" i="4"/>
  <c r="EF106" i="4"/>
  <c r="EE106" i="4"/>
  <c r="EF105" i="4"/>
  <c r="EE105" i="4"/>
  <c r="EF104" i="4"/>
  <c r="EE104" i="4"/>
  <c r="EF103" i="4"/>
  <c r="EE103" i="4"/>
  <c r="EF102" i="4"/>
  <c r="EE102" i="4"/>
  <c r="EF101" i="4"/>
  <c r="EE101" i="4"/>
  <c r="EF100" i="4"/>
  <c r="EE100" i="4"/>
  <c r="EF99" i="4"/>
  <c r="EE99" i="4"/>
  <c r="EF98" i="4"/>
  <c r="EE98" i="4"/>
  <c r="EF97" i="4"/>
  <c r="EE97" i="4"/>
  <c r="EF96" i="4"/>
  <c r="EE96" i="4"/>
  <c r="EF95" i="4"/>
  <c r="EE95" i="4"/>
  <c r="EF94" i="4"/>
  <c r="EE94" i="4"/>
  <c r="EF93" i="4"/>
  <c r="EE93" i="4"/>
  <c r="EF92" i="4"/>
  <c r="EE92" i="4"/>
  <c r="EF91" i="4"/>
  <c r="EE91" i="4"/>
  <c r="EF90" i="4"/>
  <c r="EE90" i="4"/>
  <c r="EF89" i="4"/>
  <c r="EE89" i="4"/>
  <c r="EF88" i="4"/>
  <c r="EE88" i="4"/>
  <c r="EF87" i="4"/>
  <c r="EE87" i="4"/>
  <c r="EF86" i="4"/>
  <c r="EE86" i="4"/>
  <c r="EF85" i="4"/>
  <c r="EE85" i="4"/>
  <c r="EF84" i="4"/>
  <c r="EE84" i="4"/>
  <c r="EF83" i="4"/>
  <c r="EE83" i="4"/>
  <c r="EF82" i="4"/>
  <c r="EE82" i="4"/>
  <c r="EF81" i="4"/>
  <c r="EE81" i="4"/>
  <c r="EF80" i="4"/>
  <c r="EE80" i="4"/>
  <c r="EF79" i="4"/>
  <c r="EE79" i="4"/>
  <c r="EF78" i="4"/>
  <c r="EE78" i="4"/>
  <c r="EF77" i="4"/>
  <c r="EE77" i="4"/>
  <c r="EF76" i="4"/>
  <c r="EE76" i="4"/>
  <c r="EF75" i="4"/>
  <c r="EE75" i="4"/>
  <c r="EF74" i="4"/>
  <c r="EE74" i="4"/>
  <c r="EF73" i="4"/>
  <c r="EE73" i="4"/>
  <c r="EF72" i="4"/>
  <c r="EE72" i="4"/>
  <c r="EF71" i="4"/>
  <c r="EE71" i="4"/>
  <c r="EF70" i="4"/>
  <c r="EE70" i="4"/>
  <c r="EF69" i="4"/>
  <c r="EE69" i="4"/>
  <c r="EF68" i="4"/>
  <c r="EE68" i="4"/>
  <c r="EF67" i="4"/>
  <c r="EE67" i="4"/>
  <c r="EF66" i="4"/>
  <c r="EE66" i="4"/>
  <c r="EF65" i="4"/>
  <c r="EE65" i="4"/>
  <c r="EF64" i="4"/>
  <c r="EE64" i="4"/>
  <c r="EF63" i="4"/>
  <c r="EE63" i="4"/>
  <c r="EF62" i="4"/>
  <c r="EE62" i="4"/>
  <c r="EF61" i="4"/>
  <c r="EE61" i="4"/>
  <c r="EF60" i="4"/>
  <c r="EE60" i="4"/>
  <c r="EF59" i="4"/>
  <c r="EE59" i="4"/>
  <c r="EF58" i="4"/>
  <c r="EE58" i="4"/>
  <c r="EF57" i="4"/>
  <c r="EE57" i="4"/>
  <c r="EF56" i="4"/>
  <c r="EE56" i="4"/>
  <c r="EF55" i="4"/>
  <c r="EE55" i="4"/>
  <c r="EF54" i="4"/>
  <c r="EE54" i="4"/>
  <c r="EF53" i="4"/>
  <c r="EE53" i="4"/>
  <c r="EF52" i="4"/>
  <c r="EE52" i="4"/>
  <c r="EF51" i="4"/>
  <c r="EE51" i="4"/>
  <c r="EF50" i="4"/>
  <c r="EE50" i="4"/>
  <c r="EF49" i="4"/>
  <c r="EE49" i="4"/>
  <c r="EF48" i="4"/>
  <c r="EE48" i="4"/>
  <c r="EF47" i="4"/>
  <c r="EE47" i="4"/>
  <c r="EF46" i="4"/>
  <c r="EE46" i="4"/>
  <c r="EF45" i="4"/>
  <c r="EE45" i="4"/>
  <c r="EF44" i="4"/>
  <c r="EE44" i="4"/>
  <c r="EF43" i="4"/>
  <c r="EE43" i="4"/>
  <c r="EF42" i="4"/>
  <c r="EE42" i="4"/>
  <c r="EF41" i="4"/>
  <c r="EE41" i="4"/>
  <c r="EF40" i="4"/>
  <c r="EE40" i="4"/>
  <c r="EF39" i="4"/>
  <c r="EE39" i="4"/>
  <c r="EF38" i="4"/>
  <c r="EE38" i="4"/>
  <c r="EF37" i="4"/>
  <c r="EE37" i="4"/>
  <c r="EF36" i="4"/>
  <c r="EE36" i="4"/>
  <c r="EF35" i="4"/>
  <c r="EE35" i="4"/>
  <c r="EF34" i="4"/>
  <c r="EE34" i="4"/>
  <c r="EF33" i="4"/>
  <c r="EE33" i="4"/>
  <c r="EF32" i="4"/>
  <c r="EE32" i="4"/>
  <c r="EF31" i="4"/>
  <c r="EE31" i="4"/>
  <c r="EF30" i="4"/>
  <c r="EE30" i="4"/>
  <c r="EF29" i="4"/>
  <c r="EE29" i="4"/>
  <c r="EF28" i="4"/>
  <c r="EE28" i="4"/>
  <c r="EF27" i="4"/>
  <c r="EE27" i="4"/>
  <c r="EF26" i="4"/>
  <c r="EE26" i="4"/>
  <c r="EF25" i="4"/>
  <c r="EE25" i="4"/>
  <c r="EF24" i="4"/>
  <c r="EE24" i="4"/>
  <c r="EF23" i="4"/>
  <c r="EE23" i="4"/>
  <c r="EF22" i="4"/>
  <c r="EE22" i="4"/>
  <c r="EF21" i="4"/>
  <c r="EE21" i="4"/>
  <c r="EF20" i="4"/>
  <c r="EE20" i="4"/>
  <c r="EF19" i="4"/>
  <c r="EE19" i="4"/>
  <c r="EF18" i="4"/>
  <c r="EE18" i="4"/>
  <c r="EF17" i="4"/>
  <c r="EE17" i="4"/>
  <c r="EF16" i="4"/>
  <c r="EE16" i="4"/>
  <c r="EF15" i="4"/>
  <c r="EE15" i="4"/>
  <c r="EF14" i="4"/>
  <c r="EE14" i="4"/>
  <c r="EF13" i="4"/>
  <c r="EE13" i="4"/>
  <c r="EF12" i="4"/>
  <c r="EE12" i="4"/>
  <c r="EF11" i="4"/>
  <c r="EE11" i="4"/>
  <c r="EF10" i="4"/>
  <c r="EE10" i="4"/>
  <c r="DY300" i="4"/>
  <c r="DX300" i="4"/>
  <c r="DY299" i="4"/>
  <c r="DX299" i="4"/>
  <c r="DY298" i="4"/>
  <c r="DX298" i="4"/>
  <c r="DY297" i="4"/>
  <c r="DX297" i="4"/>
  <c r="DY296" i="4"/>
  <c r="DX296" i="4"/>
  <c r="DY295" i="4"/>
  <c r="DX295" i="4"/>
  <c r="DY294" i="4"/>
  <c r="DX294" i="4"/>
  <c r="DY293" i="4"/>
  <c r="DX293" i="4"/>
  <c r="DY292" i="4"/>
  <c r="DX292" i="4"/>
  <c r="DY291" i="4"/>
  <c r="DX291" i="4"/>
  <c r="DY290" i="4"/>
  <c r="DX290" i="4"/>
  <c r="DY289" i="4"/>
  <c r="DX289" i="4"/>
  <c r="DY288" i="4"/>
  <c r="DX288" i="4"/>
  <c r="DY287" i="4"/>
  <c r="DX287" i="4"/>
  <c r="DY286" i="4"/>
  <c r="DX286" i="4"/>
  <c r="DY285" i="4"/>
  <c r="DX285" i="4"/>
  <c r="DY284" i="4"/>
  <c r="DX284" i="4"/>
  <c r="DY283" i="4"/>
  <c r="DX283" i="4"/>
  <c r="DY282" i="4"/>
  <c r="DX282" i="4"/>
  <c r="DY281" i="4"/>
  <c r="DX281" i="4"/>
  <c r="DY280" i="4"/>
  <c r="DX280" i="4"/>
  <c r="DY279" i="4"/>
  <c r="DX279" i="4"/>
  <c r="DY278" i="4"/>
  <c r="DX278" i="4"/>
  <c r="DY277" i="4"/>
  <c r="DX277" i="4"/>
  <c r="DY276" i="4"/>
  <c r="DX276" i="4"/>
  <c r="DY275" i="4"/>
  <c r="DX275" i="4"/>
  <c r="DY274" i="4"/>
  <c r="DX274" i="4"/>
  <c r="DY273" i="4"/>
  <c r="DX273" i="4"/>
  <c r="DY272" i="4"/>
  <c r="DX272" i="4"/>
  <c r="DY271" i="4"/>
  <c r="DX271" i="4"/>
  <c r="DY270" i="4"/>
  <c r="DX270" i="4"/>
  <c r="DY269" i="4"/>
  <c r="DX269" i="4"/>
  <c r="DY268" i="4"/>
  <c r="DX268" i="4"/>
  <c r="DY267" i="4"/>
  <c r="DX267" i="4"/>
  <c r="DY266" i="4"/>
  <c r="DX266" i="4"/>
  <c r="DY265" i="4"/>
  <c r="DX265" i="4"/>
  <c r="DY264" i="4"/>
  <c r="DX264" i="4"/>
  <c r="DY263" i="4"/>
  <c r="DX263" i="4"/>
  <c r="DY262" i="4"/>
  <c r="DX262" i="4"/>
  <c r="DY261" i="4"/>
  <c r="DX261" i="4"/>
  <c r="DY260" i="4"/>
  <c r="DX260" i="4"/>
  <c r="DY259" i="4"/>
  <c r="DX259" i="4"/>
  <c r="DY258" i="4"/>
  <c r="DX258" i="4"/>
  <c r="DY257" i="4"/>
  <c r="DX257" i="4"/>
  <c r="DY256" i="4"/>
  <c r="DX256" i="4"/>
  <c r="DY255" i="4"/>
  <c r="DX255" i="4"/>
  <c r="DY254" i="4"/>
  <c r="DX254" i="4"/>
  <c r="DY253" i="4"/>
  <c r="DX253" i="4"/>
  <c r="DY252" i="4"/>
  <c r="DX252" i="4"/>
  <c r="DY251" i="4"/>
  <c r="DX251" i="4"/>
  <c r="DY250" i="4"/>
  <c r="DX250" i="4"/>
  <c r="DY249" i="4"/>
  <c r="DX249" i="4"/>
  <c r="DY248" i="4"/>
  <c r="DX248" i="4"/>
  <c r="DY247" i="4"/>
  <c r="DX247" i="4"/>
  <c r="DY246" i="4"/>
  <c r="DX246" i="4"/>
  <c r="DY245" i="4"/>
  <c r="DX245" i="4"/>
  <c r="DY244" i="4"/>
  <c r="DX244" i="4"/>
  <c r="DY243" i="4"/>
  <c r="DX243" i="4"/>
  <c r="DY242" i="4"/>
  <c r="DX242" i="4"/>
  <c r="DY241" i="4"/>
  <c r="DX241" i="4"/>
  <c r="DY240" i="4"/>
  <c r="DX240" i="4"/>
  <c r="DY239" i="4"/>
  <c r="DX239" i="4"/>
  <c r="DY238" i="4"/>
  <c r="DX238" i="4"/>
  <c r="DY237" i="4"/>
  <c r="DX237" i="4"/>
  <c r="DY236" i="4"/>
  <c r="DX236" i="4"/>
  <c r="DY235" i="4"/>
  <c r="DX235" i="4"/>
  <c r="DY234" i="4"/>
  <c r="DX234" i="4"/>
  <c r="DY233" i="4"/>
  <c r="DX233" i="4"/>
  <c r="DY232" i="4"/>
  <c r="DX232" i="4"/>
  <c r="DY231" i="4"/>
  <c r="DX231" i="4"/>
  <c r="DY230" i="4"/>
  <c r="DX230" i="4"/>
  <c r="DY229" i="4"/>
  <c r="DX229" i="4"/>
  <c r="DY228" i="4"/>
  <c r="DX228" i="4"/>
  <c r="DY227" i="4"/>
  <c r="DX227" i="4"/>
  <c r="DY226" i="4"/>
  <c r="DX226" i="4"/>
  <c r="DY225" i="4"/>
  <c r="DX225" i="4"/>
  <c r="DY224" i="4"/>
  <c r="DX224" i="4"/>
  <c r="DY223" i="4"/>
  <c r="DX223" i="4"/>
  <c r="DY222" i="4"/>
  <c r="DX222" i="4"/>
  <c r="DY221" i="4"/>
  <c r="DX221" i="4"/>
  <c r="DY220" i="4"/>
  <c r="DX220" i="4"/>
  <c r="DY219" i="4"/>
  <c r="DX219" i="4"/>
  <c r="DY218" i="4"/>
  <c r="DX218" i="4"/>
  <c r="DY217" i="4"/>
  <c r="DX217" i="4"/>
  <c r="DY216" i="4"/>
  <c r="DX216" i="4"/>
  <c r="DY215" i="4"/>
  <c r="DX215" i="4"/>
  <c r="DY214" i="4"/>
  <c r="DX214" i="4"/>
  <c r="DY213" i="4"/>
  <c r="DX213" i="4"/>
  <c r="DY212" i="4"/>
  <c r="DX212" i="4"/>
  <c r="DY211" i="4"/>
  <c r="DX211" i="4"/>
  <c r="DY210" i="4"/>
  <c r="DX210" i="4"/>
  <c r="DY209" i="4"/>
  <c r="DX209" i="4"/>
  <c r="DY208" i="4"/>
  <c r="DX208" i="4"/>
  <c r="DY207" i="4"/>
  <c r="DX207" i="4"/>
  <c r="DY206" i="4"/>
  <c r="DX206" i="4"/>
  <c r="DY205" i="4"/>
  <c r="DX205" i="4"/>
  <c r="DY204" i="4"/>
  <c r="DX204" i="4"/>
  <c r="DY203" i="4"/>
  <c r="DX203" i="4"/>
  <c r="DY202" i="4"/>
  <c r="DX202" i="4"/>
  <c r="DY201" i="4"/>
  <c r="DX201" i="4"/>
  <c r="DY200" i="4"/>
  <c r="DX200" i="4"/>
  <c r="DY199" i="4"/>
  <c r="DX199" i="4"/>
  <c r="DY198" i="4"/>
  <c r="DX198" i="4"/>
  <c r="DY197" i="4"/>
  <c r="DX197" i="4"/>
  <c r="DY196" i="4"/>
  <c r="DX196" i="4"/>
  <c r="DY195" i="4"/>
  <c r="DX195" i="4"/>
  <c r="DY194" i="4"/>
  <c r="DX194" i="4"/>
  <c r="DY193" i="4"/>
  <c r="DX193" i="4"/>
  <c r="DY192" i="4"/>
  <c r="DX192" i="4"/>
  <c r="DY191" i="4"/>
  <c r="DX191" i="4"/>
  <c r="DY190" i="4"/>
  <c r="DX190" i="4"/>
  <c r="DY189" i="4"/>
  <c r="DX189" i="4"/>
  <c r="DY188" i="4"/>
  <c r="DX188" i="4"/>
  <c r="DY187" i="4"/>
  <c r="DX187" i="4"/>
  <c r="DY186" i="4"/>
  <c r="DX186" i="4"/>
  <c r="DY185" i="4"/>
  <c r="DX185" i="4"/>
  <c r="DY184" i="4"/>
  <c r="DX184" i="4"/>
  <c r="DY183" i="4"/>
  <c r="DX183" i="4"/>
  <c r="DY182" i="4"/>
  <c r="DX182" i="4"/>
  <c r="DY181" i="4"/>
  <c r="DX181" i="4"/>
  <c r="DY180" i="4"/>
  <c r="DX180" i="4"/>
  <c r="DY179" i="4"/>
  <c r="DX179" i="4"/>
  <c r="DY178" i="4"/>
  <c r="DX178" i="4"/>
  <c r="DY177" i="4"/>
  <c r="DX177" i="4"/>
  <c r="DY176" i="4"/>
  <c r="DX176" i="4"/>
  <c r="DY175" i="4"/>
  <c r="DX175" i="4"/>
  <c r="DY174" i="4"/>
  <c r="DX174" i="4"/>
  <c r="DY173" i="4"/>
  <c r="DX173" i="4"/>
  <c r="DY172" i="4"/>
  <c r="DX172" i="4"/>
  <c r="DY171" i="4"/>
  <c r="DX171" i="4"/>
  <c r="DY170" i="4"/>
  <c r="DX170" i="4"/>
  <c r="DY169" i="4"/>
  <c r="DX169" i="4"/>
  <c r="DY168" i="4"/>
  <c r="DX168" i="4"/>
  <c r="DY167" i="4"/>
  <c r="DX167" i="4"/>
  <c r="DY166" i="4"/>
  <c r="DX166" i="4"/>
  <c r="DY165" i="4"/>
  <c r="DX165" i="4"/>
  <c r="DY164" i="4"/>
  <c r="DX164" i="4"/>
  <c r="DY163" i="4"/>
  <c r="DX163" i="4"/>
  <c r="DY162" i="4"/>
  <c r="DX162" i="4"/>
  <c r="DY161" i="4"/>
  <c r="DX161" i="4"/>
  <c r="DY160" i="4"/>
  <c r="DX160" i="4"/>
  <c r="DY159" i="4"/>
  <c r="DX159" i="4"/>
  <c r="DY158" i="4"/>
  <c r="DX158" i="4"/>
  <c r="DY157" i="4"/>
  <c r="DX157" i="4"/>
  <c r="DY156" i="4"/>
  <c r="DX156" i="4"/>
  <c r="DY155" i="4"/>
  <c r="DX155" i="4"/>
  <c r="DY154" i="4"/>
  <c r="DX154" i="4"/>
  <c r="DY153" i="4"/>
  <c r="DX153" i="4"/>
  <c r="DY152" i="4"/>
  <c r="DX152" i="4"/>
  <c r="DY151" i="4"/>
  <c r="DX151" i="4"/>
  <c r="DY150" i="4"/>
  <c r="DX150" i="4"/>
  <c r="DY149" i="4"/>
  <c r="DX149" i="4"/>
  <c r="DY148" i="4"/>
  <c r="DX148" i="4"/>
  <c r="DY147" i="4"/>
  <c r="DX147" i="4"/>
  <c r="DY146" i="4"/>
  <c r="DX146" i="4"/>
  <c r="DY145" i="4"/>
  <c r="DX145" i="4"/>
  <c r="DY144" i="4"/>
  <c r="DX144" i="4"/>
  <c r="DY143" i="4"/>
  <c r="DX143" i="4"/>
  <c r="DY142" i="4"/>
  <c r="DX142" i="4"/>
  <c r="DY141" i="4"/>
  <c r="DX141" i="4"/>
  <c r="DY140" i="4"/>
  <c r="DX140" i="4"/>
  <c r="DY139" i="4"/>
  <c r="DX139" i="4"/>
  <c r="DY138" i="4"/>
  <c r="DX138" i="4"/>
  <c r="DY137" i="4"/>
  <c r="DX137" i="4"/>
  <c r="DY136" i="4"/>
  <c r="DX136" i="4"/>
  <c r="DY135" i="4"/>
  <c r="DX135" i="4"/>
  <c r="DY134" i="4"/>
  <c r="DX134" i="4"/>
  <c r="DY133" i="4"/>
  <c r="DX133" i="4"/>
  <c r="DY132" i="4"/>
  <c r="DX132" i="4"/>
  <c r="DY131" i="4"/>
  <c r="DX131" i="4"/>
  <c r="DY130" i="4"/>
  <c r="DX130" i="4"/>
  <c r="DY129" i="4"/>
  <c r="DX129" i="4"/>
  <c r="DY128" i="4"/>
  <c r="DX128" i="4"/>
  <c r="DY127" i="4"/>
  <c r="DX127" i="4"/>
  <c r="DY126" i="4"/>
  <c r="DX126" i="4"/>
  <c r="DY125" i="4"/>
  <c r="DX125" i="4"/>
  <c r="DY124" i="4"/>
  <c r="DX124" i="4"/>
  <c r="DY123" i="4"/>
  <c r="DX123" i="4"/>
  <c r="DY122" i="4"/>
  <c r="DX122" i="4"/>
  <c r="DY121" i="4"/>
  <c r="DX121" i="4"/>
  <c r="DY120" i="4"/>
  <c r="DX120" i="4"/>
  <c r="DY119" i="4"/>
  <c r="DX119" i="4"/>
  <c r="DY118" i="4"/>
  <c r="DX118" i="4"/>
  <c r="DY117" i="4"/>
  <c r="DX117" i="4"/>
  <c r="DY116" i="4"/>
  <c r="DX116" i="4"/>
  <c r="DY115" i="4"/>
  <c r="DX115" i="4"/>
  <c r="DY114" i="4"/>
  <c r="DX114" i="4"/>
  <c r="DY113" i="4"/>
  <c r="DX113" i="4"/>
  <c r="DY112" i="4"/>
  <c r="DX112" i="4"/>
  <c r="DY111" i="4"/>
  <c r="DX111" i="4"/>
  <c r="DY110" i="4"/>
  <c r="DX110" i="4"/>
  <c r="DY109" i="4"/>
  <c r="DX109" i="4"/>
  <c r="DY108" i="4"/>
  <c r="DX108" i="4"/>
  <c r="DY107" i="4"/>
  <c r="DX107" i="4"/>
  <c r="DY106" i="4"/>
  <c r="DX106" i="4"/>
  <c r="DY105" i="4"/>
  <c r="DX105" i="4"/>
  <c r="DY104" i="4"/>
  <c r="DX104" i="4"/>
  <c r="DY103" i="4"/>
  <c r="DX103" i="4"/>
  <c r="DY102" i="4"/>
  <c r="DX102" i="4"/>
  <c r="DY101" i="4"/>
  <c r="DX101" i="4"/>
  <c r="DY100" i="4"/>
  <c r="DX100" i="4"/>
  <c r="DY99" i="4"/>
  <c r="DX99" i="4"/>
  <c r="DY98" i="4"/>
  <c r="DX98" i="4"/>
  <c r="DY97" i="4"/>
  <c r="DX97" i="4"/>
  <c r="DY96" i="4"/>
  <c r="DX96" i="4"/>
  <c r="DY95" i="4"/>
  <c r="DX95" i="4"/>
  <c r="DY94" i="4"/>
  <c r="DX94" i="4"/>
  <c r="DY93" i="4"/>
  <c r="DX93" i="4"/>
  <c r="DY92" i="4"/>
  <c r="DX92" i="4"/>
  <c r="DY91" i="4"/>
  <c r="DX91" i="4"/>
  <c r="DY90" i="4"/>
  <c r="DX90" i="4"/>
  <c r="DY89" i="4"/>
  <c r="DX89" i="4"/>
  <c r="DY88" i="4"/>
  <c r="DX88" i="4"/>
  <c r="DY87" i="4"/>
  <c r="DX87" i="4"/>
  <c r="DY86" i="4"/>
  <c r="DX86" i="4"/>
  <c r="DY85" i="4"/>
  <c r="DX85" i="4"/>
  <c r="DY84" i="4"/>
  <c r="DX84" i="4"/>
  <c r="DY83" i="4"/>
  <c r="DX83" i="4"/>
  <c r="DY82" i="4"/>
  <c r="DX82" i="4"/>
  <c r="DY81" i="4"/>
  <c r="DX81" i="4"/>
  <c r="DY80" i="4"/>
  <c r="DX80" i="4"/>
  <c r="DY79" i="4"/>
  <c r="DX79" i="4"/>
  <c r="DY78" i="4"/>
  <c r="DX78" i="4"/>
  <c r="DY77" i="4"/>
  <c r="DX77" i="4"/>
  <c r="DY76" i="4"/>
  <c r="DX76" i="4"/>
  <c r="DY75" i="4"/>
  <c r="DX75" i="4"/>
  <c r="DY74" i="4"/>
  <c r="DX74" i="4"/>
  <c r="DY73" i="4"/>
  <c r="DX73" i="4"/>
  <c r="DY72" i="4"/>
  <c r="DX72" i="4"/>
  <c r="DY71" i="4"/>
  <c r="DX71" i="4"/>
  <c r="DY70" i="4"/>
  <c r="DX70" i="4"/>
  <c r="DY69" i="4"/>
  <c r="DX69" i="4"/>
  <c r="DY68" i="4"/>
  <c r="DX68" i="4"/>
  <c r="DY67" i="4"/>
  <c r="DX67" i="4"/>
  <c r="DY66" i="4"/>
  <c r="DX66" i="4"/>
  <c r="DY65" i="4"/>
  <c r="DX65" i="4"/>
  <c r="DY64" i="4"/>
  <c r="DX64" i="4"/>
  <c r="DY63" i="4"/>
  <c r="DX63" i="4"/>
  <c r="DY62" i="4"/>
  <c r="DX62" i="4"/>
  <c r="DY61" i="4"/>
  <c r="DX61" i="4"/>
  <c r="DY60" i="4"/>
  <c r="DX60" i="4"/>
  <c r="DY59" i="4"/>
  <c r="DX59" i="4"/>
  <c r="DY58" i="4"/>
  <c r="DX58" i="4"/>
  <c r="DY57" i="4"/>
  <c r="DX57" i="4"/>
  <c r="DY56" i="4"/>
  <c r="DX56" i="4"/>
  <c r="DY55" i="4"/>
  <c r="DX55" i="4"/>
  <c r="DY54" i="4"/>
  <c r="DX54" i="4"/>
  <c r="DY53" i="4"/>
  <c r="DX53" i="4"/>
  <c r="DY52" i="4"/>
  <c r="DX52" i="4"/>
  <c r="DY51" i="4"/>
  <c r="DX51" i="4"/>
  <c r="DY50" i="4"/>
  <c r="DX50" i="4"/>
  <c r="DY49" i="4"/>
  <c r="DX49" i="4"/>
  <c r="DY48" i="4"/>
  <c r="DX48" i="4"/>
  <c r="DY47" i="4"/>
  <c r="DX47" i="4"/>
  <c r="DY46" i="4"/>
  <c r="DX46" i="4"/>
  <c r="DY45" i="4"/>
  <c r="DX45" i="4"/>
  <c r="DY44" i="4"/>
  <c r="DX44" i="4"/>
  <c r="DY43" i="4"/>
  <c r="DX43" i="4"/>
  <c r="DY42" i="4"/>
  <c r="DX42" i="4"/>
  <c r="DY41" i="4"/>
  <c r="DX41" i="4"/>
  <c r="DY40" i="4"/>
  <c r="DX40" i="4"/>
  <c r="DY39" i="4"/>
  <c r="DX39" i="4"/>
  <c r="DY38" i="4"/>
  <c r="DX38" i="4"/>
  <c r="DY37" i="4"/>
  <c r="DX37" i="4"/>
  <c r="DY36" i="4"/>
  <c r="DX36" i="4"/>
  <c r="DY35" i="4"/>
  <c r="DX35" i="4"/>
  <c r="DY34" i="4"/>
  <c r="DX34" i="4"/>
  <c r="DY33" i="4"/>
  <c r="DX33" i="4"/>
  <c r="DY32" i="4"/>
  <c r="DX32" i="4"/>
  <c r="DY31" i="4"/>
  <c r="DX31" i="4"/>
  <c r="DY30" i="4"/>
  <c r="DX30" i="4"/>
  <c r="DY29" i="4"/>
  <c r="DX29" i="4"/>
  <c r="DY28" i="4"/>
  <c r="DX28" i="4"/>
  <c r="DY27" i="4"/>
  <c r="DX27" i="4"/>
  <c r="DY26" i="4"/>
  <c r="DX26" i="4"/>
  <c r="DY25" i="4"/>
  <c r="DX25" i="4"/>
  <c r="DY24" i="4"/>
  <c r="DX24" i="4"/>
  <c r="DY23" i="4"/>
  <c r="DX23" i="4"/>
  <c r="DY22" i="4"/>
  <c r="DX22" i="4"/>
  <c r="DY21" i="4"/>
  <c r="DX21" i="4"/>
  <c r="DY20" i="4"/>
  <c r="DX20" i="4"/>
  <c r="DY19" i="4"/>
  <c r="DX19" i="4"/>
  <c r="DY18" i="4"/>
  <c r="DX18" i="4"/>
  <c r="DY17" i="4"/>
  <c r="DX17" i="4"/>
  <c r="DY16" i="4"/>
  <c r="DX16" i="4"/>
  <c r="DY15" i="4"/>
  <c r="DX15" i="4"/>
  <c r="DY14" i="4"/>
  <c r="DX14" i="4"/>
  <c r="DY13" i="4"/>
  <c r="DX13" i="4"/>
  <c r="DY12" i="4"/>
  <c r="DX12" i="4"/>
  <c r="DY11" i="4"/>
  <c r="DX11" i="4"/>
  <c r="DY10" i="4"/>
  <c r="DX10" i="4"/>
  <c r="DS300" i="4"/>
  <c r="DR300" i="4"/>
  <c r="DS299" i="4"/>
  <c r="DR299" i="4"/>
  <c r="DS298" i="4"/>
  <c r="DR298" i="4"/>
  <c r="DS297" i="4"/>
  <c r="DR297" i="4"/>
  <c r="DS296" i="4"/>
  <c r="DR296" i="4"/>
  <c r="DS295" i="4"/>
  <c r="DR295" i="4"/>
  <c r="DS294" i="4"/>
  <c r="DR294" i="4"/>
  <c r="DS293" i="4"/>
  <c r="DR293" i="4"/>
  <c r="DS292" i="4"/>
  <c r="DR292" i="4"/>
  <c r="DS291" i="4"/>
  <c r="DR291" i="4"/>
  <c r="DS290" i="4"/>
  <c r="DR290" i="4"/>
  <c r="DS289" i="4"/>
  <c r="DR289" i="4"/>
  <c r="DS288" i="4"/>
  <c r="DR288" i="4"/>
  <c r="DS287" i="4"/>
  <c r="DR287" i="4"/>
  <c r="DS286" i="4"/>
  <c r="DR286" i="4"/>
  <c r="DS285" i="4"/>
  <c r="DR285" i="4"/>
  <c r="DS284" i="4"/>
  <c r="DR284" i="4"/>
  <c r="DS283" i="4"/>
  <c r="DR283" i="4"/>
  <c r="DS282" i="4"/>
  <c r="DR282" i="4"/>
  <c r="DS281" i="4"/>
  <c r="DR281" i="4"/>
  <c r="DS280" i="4"/>
  <c r="DR280" i="4"/>
  <c r="DS279" i="4"/>
  <c r="DR279" i="4"/>
  <c r="DS278" i="4"/>
  <c r="DR278" i="4"/>
  <c r="DS277" i="4"/>
  <c r="DR277" i="4"/>
  <c r="DS276" i="4"/>
  <c r="DR276" i="4"/>
  <c r="DS275" i="4"/>
  <c r="DR275" i="4"/>
  <c r="DS274" i="4"/>
  <c r="DR274" i="4"/>
  <c r="DS273" i="4"/>
  <c r="DR273" i="4"/>
  <c r="DS272" i="4"/>
  <c r="DR272" i="4"/>
  <c r="DS271" i="4"/>
  <c r="DR271" i="4"/>
  <c r="DS270" i="4"/>
  <c r="DR270" i="4"/>
  <c r="DS269" i="4"/>
  <c r="DR269" i="4"/>
  <c r="DS268" i="4"/>
  <c r="DR268" i="4"/>
  <c r="DS267" i="4"/>
  <c r="DR267" i="4"/>
  <c r="DS266" i="4"/>
  <c r="DR266" i="4"/>
  <c r="DS265" i="4"/>
  <c r="DR265" i="4"/>
  <c r="DS264" i="4"/>
  <c r="DR264" i="4"/>
  <c r="DS263" i="4"/>
  <c r="DR263" i="4"/>
  <c r="DS262" i="4"/>
  <c r="DR262" i="4"/>
  <c r="DS261" i="4"/>
  <c r="DR261" i="4"/>
  <c r="DS260" i="4"/>
  <c r="DR260" i="4"/>
  <c r="DS259" i="4"/>
  <c r="DR259" i="4"/>
  <c r="DS258" i="4"/>
  <c r="DR258" i="4"/>
  <c r="DS257" i="4"/>
  <c r="DR257" i="4"/>
  <c r="DS256" i="4"/>
  <c r="DR256" i="4"/>
  <c r="DS255" i="4"/>
  <c r="DR255" i="4"/>
  <c r="DS254" i="4"/>
  <c r="DR254" i="4"/>
  <c r="DS253" i="4"/>
  <c r="DR253" i="4"/>
  <c r="DS252" i="4"/>
  <c r="DR252" i="4"/>
  <c r="DS251" i="4"/>
  <c r="DR251" i="4"/>
  <c r="DS250" i="4"/>
  <c r="DR250" i="4"/>
  <c r="DS249" i="4"/>
  <c r="DR249" i="4"/>
  <c r="DS248" i="4"/>
  <c r="DR248" i="4"/>
  <c r="DS247" i="4"/>
  <c r="DR247" i="4"/>
  <c r="DS246" i="4"/>
  <c r="DR246" i="4"/>
  <c r="DS245" i="4"/>
  <c r="DR245" i="4"/>
  <c r="DS244" i="4"/>
  <c r="DR244" i="4"/>
  <c r="DS243" i="4"/>
  <c r="DR243" i="4"/>
  <c r="DS242" i="4"/>
  <c r="DR242" i="4"/>
  <c r="DS241" i="4"/>
  <c r="DR241" i="4"/>
  <c r="DS240" i="4"/>
  <c r="DR240" i="4"/>
  <c r="DS239" i="4"/>
  <c r="DR239" i="4"/>
  <c r="DS238" i="4"/>
  <c r="DR238" i="4"/>
  <c r="DS237" i="4"/>
  <c r="DR237" i="4"/>
  <c r="DS236" i="4"/>
  <c r="DR236" i="4"/>
  <c r="DS235" i="4"/>
  <c r="DR235" i="4"/>
  <c r="DS234" i="4"/>
  <c r="DR234" i="4"/>
  <c r="DS233" i="4"/>
  <c r="DR233" i="4"/>
  <c r="DS232" i="4"/>
  <c r="DR232" i="4"/>
  <c r="DS231" i="4"/>
  <c r="DR231" i="4"/>
  <c r="DS230" i="4"/>
  <c r="DR230" i="4"/>
  <c r="DS229" i="4"/>
  <c r="DR229" i="4"/>
  <c r="DS228" i="4"/>
  <c r="DR228" i="4"/>
  <c r="DS227" i="4"/>
  <c r="DR227" i="4"/>
  <c r="DS226" i="4"/>
  <c r="DR226" i="4"/>
  <c r="DS225" i="4"/>
  <c r="DR225" i="4"/>
  <c r="DS224" i="4"/>
  <c r="DR224" i="4"/>
  <c r="DS223" i="4"/>
  <c r="DR223" i="4"/>
  <c r="DS222" i="4"/>
  <c r="DR222" i="4"/>
  <c r="DS221" i="4"/>
  <c r="DR221" i="4"/>
  <c r="DS220" i="4"/>
  <c r="DR220" i="4"/>
  <c r="DS219" i="4"/>
  <c r="DR219" i="4"/>
  <c r="DS218" i="4"/>
  <c r="DR218" i="4"/>
  <c r="DS217" i="4"/>
  <c r="DR217" i="4"/>
  <c r="DS216" i="4"/>
  <c r="DR216" i="4"/>
  <c r="DS215" i="4"/>
  <c r="DR215" i="4"/>
  <c r="DS214" i="4"/>
  <c r="DR214" i="4"/>
  <c r="DS213" i="4"/>
  <c r="DR213" i="4"/>
  <c r="DS212" i="4"/>
  <c r="DR212" i="4"/>
  <c r="DS211" i="4"/>
  <c r="DR211" i="4"/>
  <c r="DS210" i="4"/>
  <c r="DR210" i="4"/>
  <c r="DS209" i="4"/>
  <c r="DR209" i="4"/>
  <c r="DS208" i="4"/>
  <c r="DR208" i="4"/>
  <c r="DS207" i="4"/>
  <c r="DR207" i="4"/>
  <c r="DS206" i="4"/>
  <c r="DR206" i="4"/>
  <c r="DS205" i="4"/>
  <c r="DR205" i="4"/>
  <c r="DS204" i="4"/>
  <c r="DR204" i="4"/>
  <c r="DS203" i="4"/>
  <c r="DR203" i="4"/>
  <c r="DS202" i="4"/>
  <c r="DR202" i="4"/>
  <c r="DS201" i="4"/>
  <c r="DR201" i="4"/>
  <c r="DS200" i="4"/>
  <c r="DR200" i="4"/>
  <c r="DS199" i="4"/>
  <c r="DR199" i="4"/>
  <c r="DS198" i="4"/>
  <c r="DR198" i="4"/>
  <c r="DS197" i="4"/>
  <c r="DR197" i="4"/>
  <c r="DS196" i="4"/>
  <c r="DR196" i="4"/>
  <c r="DS195" i="4"/>
  <c r="DR195" i="4"/>
  <c r="DS194" i="4"/>
  <c r="DR194" i="4"/>
  <c r="DS193" i="4"/>
  <c r="DR193" i="4"/>
  <c r="DS192" i="4"/>
  <c r="DR192" i="4"/>
  <c r="DS191" i="4"/>
  <c r="DR191" i="4"/>
  <c r="DS190" i="4"/>
  <c r="DR190" i="4"/>
  <c r="DS189" i="4"/>
  <c r="DR189" i="4"/>
  <c r="DS188" i="4"/>
  <c r="DR188" i="4"/>
  <c r="DS187" i="4"/>
  <c r="DR187" i="4"/>
  <c r="DS186" i="4"/>
  <c r="DR186" i="4"/>
  <c r="DS185" i="4"/>
  <c r="DR185" i="4"/>
  <c r="DS184" i="4"/>
  <c r="DR184" i="4"/>
  <c r="DS183" i="4"/>
  <c r="DR183" i="4"/>
  <c r="DS182" i="4"/>
  <c r="DR182" i="4"/>
  <c r="DS181" i="4"/>
  <c r="DR181" i="4"/>
  <c r="DS180" i="4"/>
  <c r="DR180" i="4"/>
  <c r="DS179" i="4"/>
  <c r="DR179" i="4"/>
  <c r="DS178" i="4"/>
  <c r="DR178" i="4"/>
  <c r="DS177" i="4"/>
  <c r="DR177" i="4"/>
  <c r="DS176" i="4"/>
  <c r="DR176" i="4"/>
  <c r="DS175" i="4"/>
  <c r="DR175" i="4"/>
  <c r="DS174" i="4"/>
  <c r="DR174" i="4"/>
  <c r="DS173" i="4"/>
  <c r="DR173" i="4"/>
  <c r="DS172" i="4"/>
  <c r="DR172" i="4"/>
  <c r="DS171" i="4"/>
  <c r="DR171" i="4"/>
  <c r="DS170" i="4"/>
  <c r="DR170" i="4"/>
  <c r="DS169" i="4"/>
  <c r="DR169" i="4"/>
  <c r="DS168" i="4"/>
  <c r="DR168" i="4"/>
  <c r="DS167" i="4"/>
  <c r="DR167" i="4"/>
  <c r="DS166" i="4"/>
  <c r="DR166" i="4"/>
  <c r="DS165" i="4"/>
  <c r="DR165" i="4"/>
  <c r="DS164" i="4"/>
  <c r="DR164" i="4"/>
  <c r="DS163" i="4"/>
  <c r="DR163" i="4"/>
  <c r="DS162" i="4"/>
  <c r="DR162" i="4"/>
  <c r="DS161" i="4"/>
  <c r="DR161" i="4"/>
  <c r="DS160" i="4"/>
  <c r="DR160" i="4"/>
  <c r="DS159" i="4"/>
  <c r="DR159" i="4"/>
  <c r="DS158" i="4"/>
  <c r="DR158" i="4"/>
  <c r="DS157" i="4"/>
  <c r="DR157" i="4"/>
  <c r="DS156" i="4"/>
  <c r="DR156" i="4"/>
  <c r="DS155" i="4"/>
  <c r="DR155" i="4"/>
  <c r="DS154" i="4"/>
  <c r="DR154" i="4"/>
  <c r="DS153" i="4"/>
  <c r="DR153" i="4"/>
  <c r="DS152" i="4"/>
  <c r="DR152" i="4"/>
  <c r="DS151" i="4"/>
  <c r="DR151" i="4"/>
  <c r="DS150" i="4"/>
  <c r="DR150" i="4"/>
  <c r="DS149" i="4"/>
  <c r="DR149" i="4"/>
  <c r="DS148" i="4"/>
  <c r="DR148" i="4"/>
  <c r="DS147" i="4"/>
  <c r="DR147" i="4"/>
  <c r="DS146" i="4"/>
  <c r="DR146" i="4"/>
  <c r="DS145" i="4"/>
  <c r="DR145" i="4"/>
  <c r="DS144" i="4"/>
  <c r="DR144" i="4"/>
  <c r="DS143" i="4"/>
  <c r="DR143" i="4"/>
  <c r="DS142" i="4"/>
  <c r="DR142" i="4"/>
  <c r="DS141" i="4"/>
  <c r="DR141" i="4"/>
  <c r="DS140" i="4"/>
  <c r="DR140" i="4"/>
  <c r="DS139" i="4"/>
  <c r="DR139" i="4"/>
  <c r="DS138" i="4"/>
  <c r="DR138" i="4"/>
  <c r="DS137" i="4"/>
  <c r="DR137" i="4"/>
  <c r="DS136" i="4"/>
  <c r="DR136" i="4"/>
  <c r="DS135" i="4"/>
  <c r="DR135" i="4"/>
  <c r="DS134" i="4"/>
  <c r="DR134" i="4"/>
  <c r="DS133" i="4"/>
  <c r="DR133" i="4"/>
  <c r="DS132" i="4"/>
  <c r="DR132" i="4"/>
  <c r="DS131" i="4"/>
  <c r="DR131" i="4"/>
  <c r="DS130" i="4"/>
  <c r="DR130" i="4"/>
  <c r="DS129" i="4"/>
  <c r="DR129" i="4"/>
  <c r="DS128" i="4"/>
  <c r="DR128" i="4"/>
  <c r="DS127" i="4"/>
  <c r="DR127" i="4"/>
  <c r="DS126" i="4"/>
  <c r="DR126" i="4"/>
  <c r="DS125" i="4"/>
  <c r="DR125" i="4"/>
  <c r="DS124" i="4"/>
  <c r="DR124" i="4"/>
  <c r="DS123" i="4"/>
  <c r="DR123" i="4"/>
  <c r="DS122" i="4"/>
  <c r="DR122" i="4"/>
  <c r="DS121" i="4"/>
  <c r="DR121" i="4"/>
  <c r="DS120" i="4"/>
  <c r="DR120" i="4"/>
  <c r="DS119" i="4"/>
  <c r="DR119" i="4"/>
  <c r="DS118" i="4"/>
  <c r="DR118" i="4"/>
  <c r="DS117" i="4"/>
  <c r="DR117" i="4"/>
  <c r="DS116" i="4"/>
  <c r="DR116" i="4"/>
  <c r="DS115" i="4"/>
  <c r="DR115" i="4"/>
  <c r="DS114" i="4"/>
  <c r="DR114" i="4"/>
  <c r="DS113" i="4"/>
  <c r="DR113" i="4"/>
  <c r="DS112" i="4"/>
  <c r="DR112" i="4"/>
  <c r="DS111" i="4"/>
  <c r="DR111" i="4"/>
  <c r="DS110" i="4"/>
  <c r="DR110" i="4"/>
  <c r="DS109" i="4"/>
  <c r="DR109" i="4"/>
  <c r="DS108" i="4"/>
  <c r="DR108" i="4"/>
  <c r="DS107" i="4"/>
  <c r="DR107" i="4"/>
  <c r="DS106" i="4"/>
  <c r="DR106" i="4"/>
  <c r="DS105" i="4"/>
  <c r="DR105" i="4"/>
  <c r="DS104" i="4"/>
  <c r="DR104" i="4"/>
  <c r="DS103" i="4"/>
  <c r="DR103" i="4"/>
  <c r="DS102" i="4"/>
  <c r="DR102" i="4"/>
  <c r="DS101" i="4"/>
  <c r="DR101" i="4"/>
  <c r="DS100" i="4"/>
  <c r="DR100" i="4"/>
  <c r="DS99" i="4"/>
  <c r="DR99" i="4"/>
  <c r="DS98" i="4"/>
  <c r="DR98" i="4"/>
  <c r="DS97" i="4"/>
  <c r="DR97" i="4"/>
  <c r="DS96" i="4"/>
  <c r="DR96" i="4"/>
  <c r="DS95" i="4"/>
  <c r="DR95" i="4"/>
  <c r="DS94" i="4"/>
  <c r="DR94" i="4"/>
  <c r="DS93" i="4"/>
  <c r="DR93" i="4"/>
  <c r="DS92" i="4"/>
  <c r="DR92" i="4"/>
  <c r="DS91" i="4"/>
  <c r="DR91" i="4"/>
  <c r="DS90" i="4"/>
  <c r="DR90" i="4"/>
  <c r="DS89" i="4"/>
  <c r="DR89" i="4"/>
  <c r="DS88" i="4"/>
  <c r="DR88" i="4"/>
  <c r="DS87" i="4"/>
  <c r="DR87" i="4"/>
  <c r="DS86" i="4"/>
  <c r="DR86" i="4"/>
  <c r="DS85" i="4"/>
  <c r="DR85" i="4"/>
  <c r="DS84" i="4"/>
  <c r="DR84" i="4"/>
  <c r="DS83" i="4"/>
  <c r="DR83" i="4"/>
  <c r="DS82" i="4"/>
  <c r="DR82" i="4"/>
  <c r="DS81" i="4"/>
  <c r="DR81" i="4"/>
  <c r="DS80" i="4"/>
  <c r="DR80" i="4"/>
  <c r="DS79" i="4"/>
  <c r="DR79" i="4"/>
  <c r="DS78" i="4"/>
  <c r="DR78" i="4"/>
  <c r="DS77" i="4"/>
  <c r="DR77" i="4"/>
  <c r="DS76" i="4"/>
  <c r="DR76" i="4"/>
  <c r="DS75" i="4"/>
  <c r="DR75" i="4"/>
  <c r="DS74" i="4"/>
  <c r="DR74" i="4"/>
  <c r="DS73" i="4"/>
  <c r="DR73" i="4"/>
  <c r="DS72" i="4"/>
  <c r="DR72" i="4"/>
  <c r="DS71" i="4"/>
  <c r="DR71" i="4"/>
  <c r="DS70" i="4"/>
  <c r="DR70" i="4"/>
  <c r="DS69" i="4"/>
  <c r="DR69" i="4"/>
  <c r="DS68" i="4"/>
  <c r="DR68" i="4"/>
  <c r="DS67" i="4"/>
  <c r="DR67" i="4"/>
  <c r="DS66" i="4"/>
  <c r="DR66" i="4"/>
  <c r="DS65" i="4"/>
  <c r="DR65" i="4"/>
  <c r="DS64" i="4"/>
  <c r="DR64" i="4"/>
  <c r="DS63" i="4"/>
  <c r="DR63" i="4"/>
  <c r="DS62" i="4"/>
  <c r="DR62" i="4"/>
  <c r="DS61" i="4"/>
  <c r="DR61" i="4"/>
  <c r="DS60" i="4"/>
  <c r="DR60" i="4"/>
  <c r="DS59" i="4"/>
  <c r="DR59" i="4"/>
  <c r="DS58" i="4"/>
  <c r="DR58" i="4"/>
  <c r="DS57" i="4"/>
  <c r="DR57" i="4"/>
  <c r="DS56" i="4"/>
  <c r="DR56" i="4"/>
  <c r="DS55" i="4"/>
  <c r="DR55" i="4"/>
  <c r="DS54" i="4"/>
  <c r="DR54" i="4"/>
  <c r="DS53" i="4"/>
  <c r="DR53" i="4"/>
  <c r="DS52" i="4"/>
  <c r="DR52" i="4"/>
  <c r="DS51" i="4"/>
  <c r="DR51" i="4"/>
  <c r="DS50" i="4"/>
  <c r="DR50" i="4"/>
  <c r="DS49" i="4"/>
  <c r="DR49" i="4"/>
  <c r="DS48" i="4"/>
  <c r="DR48" i="4"/>
  <c r="DS47" i="4"/>
  <c r="DR47" i="4"/>
  <c r="DS46" i="4"/>
  <c r="DR46" i="4"/>
  <c r="DS45" i="4"/>
  <c r="DR45" i="4"/>
  <c r="DS44" i="4"/>
  <c r="DR44" i="4"/>
  <c r="DS43" i="4"/>
  <c r="DR43" i="4"/>
  <c r="DS42" i="4"/>
  <c r="DR42" i="4"/>
  <c r="DS41" i="4"/>
  <c r="DR41" i="4"/>
  <c r="DS40" i="4"/>
  <c r="DR40" i="4"/>
  <c r="DS39" i="4"/>
  <c r="DR39" i="4"/>
  <c r="DS38" i="4"/>
  <c r="DR38" i="4"/>
  <c r="DS37" i="4"/>
  <c r="DR37" i="4"/>
  <c r="DS36" i="4"/>
  <c r="DR36" i="4"/>
  <c r="DS35" i="4"/>
  <c r="DR35" i="4"/>
  <c r="DS34" i="4"/>
  <c r="DR34" i="4"/>
  <c r="DS33" i="4"/>
  <c r="DR33" i="4"/>
  <c r="DS32" i="4"/>
  <c r="DR32" i="4"/>
  <c r="DS31" i="4"/>
  <c r="DR31" i="4"/>
  <c r="DS30" i="4"/>
  <c r="DR30" i="4"/>
  <c r="DS29" i="4"/>
  <c r="DR29" i="4"/>
  <c r="DS28" i="4"/>
  <c r="DR28" i="4"/>
  <c r="DS27" i="4"/>
  <c r="DR27" i="4"/>
  <c r="DS26" i="4"/>
  <c r="DR26" i="4"/>
  <c r="DS25" i="4"/>
  <c r="DR25" i="4"/>
  <c r="DS24" i="4"/>
  <c r="DR24" i="4"/>
  <c r="DS23" i="4"/>
  <c r="DR23" i="4"/>
  <c r="DS22" i="4"/>
  <c r="DR22" i="4"/>
  <c r="DS21" i="4"/>
  <c r="DR21" i="4"/>
  <c r="DS20" i="4"/>
  <c r="DR20" i="4"/>
  <c r="DS19" i="4"/>
  <c r="DR19" i="4"/>
  <c r="DS18" i="4"/>
  <c r="DR18" i="4"/>
  <c r="DS17" i="4"/>
  <c r="DR17" i="4"/>
  <c r="DS16" i="4"/>
  <c r="DR16" i="4"/>
  <c r="DS15" i="4"/>
  <c r="DR15" i="4"/>
  <c r="DS14" i="4"/>
  <c r="DR14" i="4"/>
  <c r="DS13" i="4"/>
  <c r="DR13" i="4"/>
  <c r="DS12" i="4"/>
  <c r="DR12" i="4"/>
  <c r="DS11" i="4"/>
  <c r="DR11" i="4"/>
  <c r="DS10" i="4"/>
  <c r="DR10" i="4"/>
  <c r="DM300" i="4"/>
  <c r="DL300" i="4"/>
  <c r="DM299" i="4"/>
  <c r="DL299" i="4"/>
  <c r="DM298" i="4"/>
  <c r="DL298" i="4"/>
  <c r="DM297" i="4"/>
  <c r="DL297" i="4"/>
  <c r="DM296" i="4"/>
  <c r="DL296" i="4"/>
  <c r="DM295" i="4"/>
  <c r="DL295" i="4"/>
  <c r="DM294" i="4"/>
  <c r="DL294" i="4"/>
  <c r="DM293" i="4"/>
  <c r="DL293" i="4"/>
  <c r="DM292" i="4"/>
  <c r="DL292" i="4"/>
  <c r="DM291" i="4"/>
  <c r="DL291" i="4"/>
  <c r="DM290" i="4"/>
  <c r="DL290" i="4"/>
  <c r="DM289" i="4"/>
  <c r="DL289" i="4"/>
  <c r="DM288" i="4"/>
  <c r="DL288" i="4"/>
  <c r="DM287" i="4"/>
  <c r="DL287" i="4"/>
  <c r="DM286" i="4"/>
  <c r="DL286" i="4"/>
  <c r="DM285" i="4"/>
  <c r="DL285" i="4"/>
  <c r="DM284" i="4"/>
  <c r="DL284" i="4"/>
  <c r="DM283" i="4"/>
  <c r="DL283" i="4"/>
  <c r="DM282" i="4"/>
  <c r="DL282" i="4"/>
  <c r="DM281" i="4"/>
  <c r="DL281" i="4"/>
  <c r="DM280" i="4"/>
  <c r="DL280" i="4"/>
  <c r="DM279" i="4"/>
  <c r="DL279" i="4"/>
  <c r="DM278" i="4"/>
  <c r="DL278" i="4"/>
  <c r="DM277" i="4"/>
  <c r="DL277" i="4"/>
  <c r="DM276" i="4"/>
  <c r="DL276" i="4"/>
  <c r="DM275" i="4"/>
  <c r="DL275" i="4"/>
  <c r="DM274" i="4"/>
  <c r="DL274" i="4"/>
  <c r="DM273" i="4"/>
  <c r="DL273" i="4"/>
  <c r="DM272" i="4"/>
  <c r="DL272" i="4"/>
  <c r="DM271" i="4"/>
  <c r="DL271" i="4"/>
  <c r="DM270" i="4"/>
  <c r="DL270" i="4"/>
  <c r="DM269" i="4"/>
  <c r="DL269" i="4"/>
  <c r="DM268" i="4"/>
  <c r="DL268" i="4"/>
  <c r="DM267" i="4"/>
  <c r="DL267" i="4"/>
  <c r="DM266" i="4"/>
  <c r="DL266" i="4"/>
  <c r="DM265" i="4"/>
  <c r="DL265" i="4"/>
  <c r="DM264" i="4"/>
  <c r="DL264" i="4"/>
  <c r="DM263" i="4"/>
  <c r="DL263" i="4"/>
  <c r="DM262" i="4"/>
  <c r="DL262" i="4"/>
  <c r="DM261" i="4"/>
  <c r="DL261" i="4"/>
  <c r="DM260" i="4"/>
  <c r="DL260" i="4"/>
  <c r="DM259" i="4"/>
  <c r="DL259" i="4"/>
  <c r="DM258" i="4"/>
  <c r="DL258" i="4"/>
  <c r="DM257" i="4"/>
  <c r="DL257" i="4"/>
  <c r="DM256" i="4"/>
  <c r="DL256" i="4"/>
  <c r="DM255" i="4"/>
  <c r="DL255" i="4"/>
  <c r="DM254" i="4"/>
  <c r="DL254" i="4"/>
  <c r="DM253" i="4"/>
  <c r="DL253" i="4"/>
  <c r="DM252" i="4"/>
  <c r="DL252" i="4"/>
  <c r="DM251" i="4"/>
  <c r="DL251" i="4"/>
  <c r="DM250" i="4"/>
  <c r="DL250" i="4"/>
  <c r="DM249" i="4"/>
  <c r="DL249" i="4"/>
  <c r="DM248" i="4"/>
  <c r="DL248" i="4"/>
  <c r="DM247" i="4"/>
  <c r="DL247" i="4"/>
  <c r="DM246" i="4"/>
  <c r="DL246" i="4"/>
  <c r="DM245" i="4"/>
  <c r="DL245" i="4"/>
  <c r="DM244" i="4"/>
  <c r="DL244" i="4"/>
  <c r="DM243" i="4"/>
  <c r="DL243" i="4"/>
  <c r="DM242" i="4"/>
  <c r="DL242" i="4"/>
  <c r="DM241" i="4"/>
  <c r="DL241" i="4"/>
  <c r="DM240" i="4"/>
  <c r="DL240" i="4"/>
  <c r="DM239" i="4"/>
  <c r="DL239" i="4"/>
  <c r="DM238" i="4"/>
  <c r="DL238" i="4"/>
  <c r="DM237" i="4"/>
  <c r="DL237" i="4"/>
  <c r="DM236" i="4"/>
  <c r="DL236" i="4"/>
  <c r="DM235" i="4"/>
  <c r="DL235" i="4"/>
  <c r="DM234" i="4"/>
  <c r="DL234" i="4"/>
  <c r="DM233" i="4"/>
  <c r="DL233" i="4"/>
  <c r="DM232" i="4"/>
  <c r="DL232" i="4"/>
  <c r="DM231" i="4"/>
  <c r="DL231" i="4"/>
  <c r="DM230" i="4"/>
  <c r="DL230" i="4"/>
  <c r="DM229" i="4"/>
  <c r="DL229" i="4"/>
  <c r="DM228" i="4"/>
  <c r="DL228" i="4"/>
  <c r="DM227" i="4"/>
  <c r="DL227" i="4"/>
  <c r="DM226" i="4"/>
  <c r="DL226" i="4"/>
  <c r="DM225" i="4"/>
  <c r="DL225" i="4"/>
  <c r="DM224" i="4"/>
  <c r="DL224" i="4"/>
  <c r="DM223" i="4"/>
  <c r="DL223" i="4"/>
  <c r="DM222" i="4"/>
  <c r="DL222" i="4"/>
  <c r="DM221" i="4"/>
  <c r="DL221" i="4"/>
  <c r="DM220" i="4"/>
  <c r="DL220" i="4"/>
  <c r="DM219" i="4"/>
  <c r="DL219" i="4"/>
  <c r="DM218" i="4"/>
  <c r="DL218" i="4"/>
  <c r="DM217" i="4"/>
  <c r="DL217" i="4"/>
  <c r="DM216" i="4"/>
  <c r="DL216" i="4"/>
  <c r="DM215" i="4"/>
  <c r="DL215" i="4"/>
  <c r="DM214" i="4"/>
  <c r="DL214" i="4"/>
  <c r="DM213" i="4"/>
  <c r="DL213" i="4"/>
  <c r="DM212" i="4"/>
  <c r="DL212" i="4"/>
  <c r="DM211" i="4"/>
  <c r="DL211" i="4"/>
  <c r="DM210" i="4"/>
  <c r="DL210" i="4"/>
  <c r="DM209" i="4"/>
  <c r="DL209" i="4"/>
  <c r="DM208" i="4"/>
  <c r="DL208" i="4"/>
  <c r="DM207" i="4"/>
  <c r="DL207" i="4"/>
  <c r="DM206" i="4"/>
  <c r="DL206" i="4"/>
  <c r="DM205" i="4"/>
  <c r="DL205" i="4"/>
  <c r="DM204" i="4"/>
  <c r="DL204" i="4"/>
  <c r="DM203" i="4"/>
  <c r="DL203" i="4"/>
  <c r="DM202" i="4"/>
  <c r="DL202" i="4"/>
  <c r="DM201" i="4"/>
  <c r="DL201" i="4"/>
  <c r="DM200" i="4"/>
  <c r="DL200" i="4"/>
  <c r="DM199" i="4"/>
  <c r="DL199" i="4"/>
  <c r="DM198" i="4"/>
  <c r="DL198" i="4"/>
  <c r="DM197" i="4"/>
  <c r="DL197" i="4"/>
  <c r="DM196" i="4"/>
  <c r="DL196" i="4"/>
  <c r="DM195" i="4"/>
  <c r="DL195" i="4"/>
  <c r="DM194" i="4"/>
  <c r="DL194" i="4"/>
  <c r="DM193" i="4"/>
  <c r="DL193" i="4"/>
  <c r="DM192" i="4"/>
  <c r="DL192" i="4"/>
  <c r="DM191" i="4"/>
  <c r="DL191" i="4"/>
  <c r="DM190" i="4"/>
  <c r="DL190" i="4"/>
  <c r="DM189" i="4"/>
  <c r="DL189" i="4"/>
  <c r="DM188" i="4"/>
  <c r="DL188" i="4"/>
  <c r="DM187" i="4"/>
  <c r="DL187" i="4"/>
  <c r="DM186" i="4"/>
  <c r="DL186" i="4"/>
  <c r="DM185" i="4"/>
  <c r="DL185" i="4"/>
  <c r="DM184" i="4"/>
  <c r="DL184" i="4"/>
  <c r="DM183" i="4"/>
  <c r="DL183" i="4"/>
  <c r="DM182" i="4"/>
  <c r="DL182" i="4"/>
  <c r="DM181" i="4"/>
  <c r="DL181" i="4"/>
  <c r="DM180" i="4"/>
  <c r="DL180" i="4"/>
  <c r="DM179" i="4"/>
  <c r="DL179" i="4"/>
  <c r="DM178" i="4"/>
  <c r="DL178" i="4"/>
  <c r="DM177" i="4"/>
  <c r="DL177" i="4"/>
  <c r="DM176" i="4"/>
  <c r="DL176" i="4"/>
  <c r="DM175" i="4"/>
  <c r="DL175" i="4"/>
  <c r="DM174" i="4"/>
  <c r="DL174" i="4"/>
  <c r="DM173" i="4"/>
  <c r="DL173" i="4"/>
  <c r="DM172" i="4"/>
  <c r="DL172" i="4"/>
  <c r="DM171" i="4"/>
  <c r="DL171" i="4"/>
  <c r="DM170" i="4"/>
  <c r="DL170" i="4"/>
  <c r="DM169" i="4"/>
  <c r="DL169" i="4"/>
  <c r="DM168" i="4"/>
  <c r="DL168" i="4"/>
  <c r="DM167" i="4"/>
  <c r="DL167" i="4"/>
  <c r="DM166" i="4"/>
  <c r="DL166" i="4"/>
  <c r="DM165" i="4"/>
  <c r="DL165" i="4"/>
  <c r="DM164" i="4"/>
  <c r="DL164" i="4"/>
  <c r="DM163" i="4"/>
  <c r="DL163" i="4"/>
  <c r="DM162" i="4"/>
  <c r="DL162" i="4"/>
  <c r="DM161" i="4"/>
  <c r="DL161" i="4"/>
  <c r="DM160" i="4"/>
  <c r="DL160" i="4"/>
  <c r="DM159" i="4"/>
  <c r="DL159" i="4"/>
  <c r="DM158" i="4"/>
  <c r="DL158" i="4"/>
  <c r="DM157" i="4"/>
  <c r="DL157" i="4"/>
  <c r="DM156" i="4"/>
  <c r="DL156" i="4"/>
  <c r="DM155" i="4"/>
  <c r="DL155" i="4"/>
  <c r="DM154" i="4"/>
  <c r="DL154" i="4"/>
  <c r="DM153" i="4"/>
  <c r="DL153" i="4"/>
  <c r="DM152" i="4"/>
  <c r="DL152" i="4"/>
  <c r="DM151" i="4"/>
  <c r="DL151" i="4"/>
  <c r="DM150" i="4"/>
  <c r="DL150" i="4"/>
  <c r="DM149" i="4"/>
  <c r="DL149" i="4"/>
  <c r="DM148" i="4"/>
  <c r="DL148" i="4"/>
  <c r="DM147" i="4"/>
  <c r="DL147" i="4"/>
  <c r="DM146" i="4"/>
  <c r="DL146" i="4"/>
  <c r="DM145" i="4"/>
  <c r="DL145" i="4"/>
  <c r="DM144" i="4"/>
  <c r="DL144" i="4"/>
  <c r="DM143" i="4"/>
  <c r="DL143" i="4"/>
  <c r="DM142" i="4"/>
  <c r="DL142" i="4"/>
  <c r="DM141" i="4"/>
  <c r="DL141" i="4"/>
  <c r="DM140" i="4"/>
  <c r="DL140" i="4"/>
  <c r="DM139" i="4"/>
  <c r="DL139" i="4"/>
  <c r="DM138" i="4"/>
  <c r="DL138" i="4"/>
  <c r="DM137" i="4"/>
  <c r="DL137" i="4"/>
  <c r="DM136" i="4"/>
  <c r="DL136" i="4"/>
  <c r="DM135" i="4"/>
  <c r="DL135" i="4"/>
  <c r="DM134" i="4"/>
  <c r="DL134" i="4"/>
  <c r="DM133" i="4"/>
  <c r="DL133" i="4"/>
  <c r="DM132" i="4"/>
  <c r="DL132" i="4"/>
  <c r="DM131" i="4"/>
  <c r="DL131" i="4"/>
  <c r="DM130" i="4"/>
  <c r="DL130" i="4"/>
  <c r="DM129" i="4"/>
  <c r="DL129" i="4"/>
  <c r="DM128" i="4"/>
  <c r="DL128" i="4"/>
  <c r="DM127" i="4"/>
  <c r="DL127" i="4"/>
  <c r="DM126" i="4"/>
  <c r="DL126" i="4"/>
  <c r="DM125" i="4"/>
  <c r="DL125" i="4"/>
  <c r="DM124" i="4"/>
  <c r="DL124" i="4"/>
  <c r="DM123" i="4"/>
  <c r="DL123" i="4"/>
  <c r="DM122" i="4"/>
  <c r="DL122" i="4"/>
  <c r="DM121" i="4"/>
  <c r="DL121" i="4"/>
  <c r="DM120" i="4"/>
  <c r="DL120" i="4"/>
  <c r="DM119" i="4"/>
  <c r="DL119" i="4"/>
  <c r="DM118" i="4"/>
  <c r="DL118" i="4"/>
  <c r="DM117" i="4"/>
  <c r="DL117" i="4"/>
  <c r="DM116" i="4"/>
  <c r="DL116" i="4"/>
  <c r="DM115" i="4"/>
  <c r="DL115" i="4"/>
  <c r="DM114" i="4"/>
  <c r="DL114" i="4"/>
  <c r="DM113" i="4"/>
  <c r="DL113" i="4"/>
  <c r="DM112" i="4"/>
  <c r="DL112" i="4"/>
  <c r="DM111" i="4"/>
  <c r="DL111" i="4"/>
  <c r="DM110" i="4"/>
  <c r="DL110" i="4"/>
  <c r="DM109" i="4"/>
  <c r="DL109" i="4"/>
  <c r="DM108" i="4"/>
  <c r="DL108" i="4"/>
  <c r="DM107" i="4"/>
  <c r="DL107" i="4"/>
  <c r="DM106" i="4"/>
  <c r="DL106" i="4"/>
  <c r="DM105" i="4"/>
  <c r="DL105" i="4"/>
  <c r="DM104" i="4"/>
  <c r="DL104" i="4"/>
  <c r="DM103" i="4"/>
  <c r="DL103" i="4"/>
  <c r="DM102" i="4"/>
  <c r="DL102" i="4"/>
  <c r="DM101" i="4"/>
  <c r="DL101" i="4"/>
  <c r="DM100" i="4"/>
  <c r="DL100" i="4"/>
  <c r="DM99" i="4"/>
  <c r="DL99" i="4"/>
  <c r="DM98" i="4"/>
  <c r="DL98" i="4"/>
  <c r="DM97" i="4"/>
  <c r="DL97" i="4"/>
  <c r="DM96" i="4"/>
  <c r="DL96" i="4"/>
  <c r="DM95" i="4"/>
  <c r="DL95" i="4"/>
  <c r="DM94" i="4"/>
  <c r="DL94" i="4"/>
  <c r="DM93" i="4"/>
  <c r="DL93" i="4"/>
  <c r="DM92" i="4"/>
  <c r="DL92" i="4"/>
  <c r="DM91" i="4"/>
  <c r="DL91" i="4"/>
  <c r="DM90" i="4"/>
  <c r="DL90" i="4"/>
  <c r="DM89" i="4"/>
  <c r="DL89" i="4"/>
  <c r="DM88" i="4"/>
  <c r="DL88" i="4"/>
  <c r="DM87" i="4"/>
  <c r="DL87" i="4"/>
  <c r="DM86" i="4"/>
  <c r="DL86" i="4"/>
  <c r="DM85" i="4"/>
  <c r="DL85" i="4"/>
  <c r="DM84" i="4"/>
  <c r="DL84" i="4"/>
  <c r="DM83" i="4"/>
  <c r="DL83" i="4"/>
  <c r="DM82" i="4"/>
  <c r="DL82" i="4"/>
  <c r="DM81" i="4"/>
  <c r="DL81" i="4"/>
  <c r="DM80" i="4"/>
  <c r="DL80" i="4"/>
  <c r="DM79" i="4"/>
  <c r="DL79" i="4"/>
  <c r="DM78" i="4"/>
  <c r="DL78" i="4"/>
  <c r="DM77" i="4"/>
  <c r="DL77" i="4"/>
  <c r="DM76" i="4"/>
  <c r="DL76" i="4"/>
  <c r="DM75" i="4"/>
  <c r="DL75" i="4"/>
  <c r="DM74" i="4"/>
  <c r="DL74" i="4"/>
  <c r="DM73" i="4"/>
  <c r="DL73" i="4"/>
  <c r="DM72" i="4"/>
  <c r="DL72" i="4"/>
  <c r="DM71" i="4"/>
  <c r="DL71" i="4"/>
  <c r="DM70" i="4"/>
  <c r="DL70" i="4"/>
  <c r="DM69" i="4"/>
  <c r="DL69" i="4"/>
  <c r="DM68" i="4"/>
  <c r="DL68" i="4"/>
  <c r="DM67" i="4"/>
  <c r="DL67" i="4"/>
  <c r="DM66" i="4"/>
  <c r="DL66" i="4"/>
  <c r="DM65" i="4"/>
  <c r="DL65" i="4"/>
  <c r="DM64" i="4"/>
  <c r="DL64" i="4"/>
  <c r="DM63" i="4"/>
  <c r="DL63" i="4"/>
  <c r="DM62" i="4"/>
  <c r="DL62" i="4"/>
  <c r="DM61" i="4"/>
  <c r="DL61" i="4"/>
  <c r="DM60" i="4"/>
  <c r="DL60" i="4"/>
  <c r="DM59" i="4"/>
  <c r="DL59" i="4"/>
  <c r="DM58" i="4"/>
  <c r="DL58" i="4"/>
  <c r="DM57" i="4"/>
  <c r="DL57" i="4"/>
  <c r="DM56" i="4"/>
  <c r="DL56" i="4"/>
  <c r="DM55" i="4"/>
  <c r="DL55" i="4"/>
  <c r="DM54" i="4"/>
  <c r="DL54" i="4"/>
  <c r="DM53" i="4"/>
  <c r="DL53" i="4"/>
  <c r="DM52" i="4"/>
  <c r="DL52" i="4"/>
  <c r="DM51" i="4"/>
  <c r="DL51" i="4"/>
  <c r="DM50" i="4"/>
  <c r="DL50" i="4"/>
  <c r="DM49" i="4"/>
  <c r="DL49" i="4"/>
  <c r="DM48" i="4"/>
  <c r="DL48" i="4"/>
  <c r="DM47" i="4"/>
  <c r="DL47" i="4"/>
  <c r="DM46" i="4"/>
  <c r="DL46" i="4"/>
  <c r="DM45" i="4"/>
  <c r="DL45" i="4"/>
  <c r="DM44" i="4"/>
  <c r="DL44" i="4"/>
  <c r="DM43" i="4"/>
  <c r="DL43" i="4"/>
  <c r="DM42" i="4"/>
  <c r="DL42" i="4"/>
  <c r="DM41" i="4"/>
  <c r="DL41" i="4"/>
  <c r="DM40" i="4"/>
  <c r="DL40" i="4"/>
  <c r="DM39" i="4"/>
  <c r="DL39" i="4"/>
  <c r="DM38" i="4"/>
  <c r="DL38" i="4"/>
  <c r="DM37" i="4"/>
  <c r="DL37" i="4"/>
  <c r="DM36" i="4"/>
  <c r="DL36" i="4"/>
  <c r="DM35" i="4"/>
  <c r="DL35" i="4"/>
  <c r="DM34" i="4"/>
  <c r="DL34" i="4"/>
  <c r="DM33" i="4"/>
  <c r="DL33" i="4"/>
  <c r="DM32" i="4"/>
  <c r="DL32" i="4"/>
  <c r="DM31" i="4"/>
  <c r="DL31" i="4"/>
  <c r="DM30" i="4"/>
  <c r="DL30" i="4"/>
  <c r="DM29" i="4"/>
  <c r="DL29" i="4"/>
  <c r="DM28" i="4"/>
  <c r="DL28" i="4"/>
  <c r="DM27" i="4"/>
  <c r="DL27" i="4"/>
  <c r="DM26" i="4"/>
  <c r="DL26" i="4"/>
  <c r="DM25" i="4"/>
  <c r="DL25" i="4"/>
  <c r="DM24" i="4"/>
  <c r="DL24" i="4"/>
  <c r="DM23" i="4"/>
  <c r="DL23" i="4"/>
  <c r="DM22" i="4"/>
  <c r="DL22" i="4"/>
  <c r="DM21" i="4"/>
  <c r="DL21" i="4"/>
  <c r="DM20" i="4"/>
  <c r="DL20" i="4"/>
  <c r="DM19" i="4"/>
  <c r="DL19" i="4"/>
  <c r="DM18" i="4"/>
  <c r="DL18" i="4"/>
  <c r="DM17" i="4"/>
  <c r="DL17" i="4"/>
  <c r="DM16" i="4"/>
  <c r="DL16" i="4"/>
  <c r="DM15" i="4"/>
  <c r="DL15" i="4"/>
  <c r="DM14" i="4"/>
  <c r="DL14" i="4"/>
  <c r="DM13" i="4"/>
  <c r="DL13" i="4"/>
  <c r="DM12" i="4"/>
  <c r="DL12" i="4"/>
  <c r="DM11" i="4"/>
  <c r="DL11" i="4"/>
  <c r="DM10" i="4"/>
  <c r="DL10" i="4"/>
  <c r="DG300" i="4"/>
  <c r="DF300" i="4"/>
  <c r="DG299" i="4"/>
  <c r="DF299" i="4"/>
  <c r="DG298" i="4"/>
  <c r="DF298" i="4"/>
  <c r="DG297" i="4"/>
  <c r="DF297" i="4"/>
  <c r="DG296" i="4"/>
  <c r="DF296" i="4"/>
  <c r="DG295" i="4"/>
  <c r="DF295" i="4"/>
  <c r="DG294" i="4"/>
  <c r="DF294" i="4"/>
  <c r="DG293" i="4"/>
  <c r="DF293" i="4"/>
  <c r="DG292" i="4"/>
  <c r="DF292" i="4"/>
  <c r="DG291" i="4"/>
  <c r="DF291" i="4"/>
  <c r="DG290" i="4"/>
  <c r="DF290" i="4"/>
  <c r="DG289" i="4"/>
  <c r="DF289" i="4"/>
  <c r="DG288" i="4"/>
  <c r="DF288" i="4"/>
  <c r="DG287" i="4"/>
  <c r="DF287" i="4"/>
  <c r="DG286" i="4"/>
  <c r="DF286" i="4"/>
  <c r="DG285" i="4"/>
  <c r="DF285" i="4"/>
  <c r="DG284" i="4"/>
  <c r="DF284" i="4"/>
  <c r="DG283" i="4"/>
  <c r="DF283" i="4"/>
  <c r="DG282" i="4"/>
  <c r="DF282" i="4"/>
  <c r="DG281" i="4"/>
  <c r="DF281" i="4"/>
  <c r="DG280" i="4"/>
  <c r="DF280" i="4"/>
  <c r="DG279" i="4"/>
  <c r="DF279" i="4"/>
  <c r="DG278" i="4"/>
  <c r="DF278" i="4"/>
  <c r="DG277" i="4"/>
  <c r="DF277" i="4"/>
  <c r="DG276" i="4"/>
  <c r="DF276" i="4"/>
  <c r="DG275" i="4"/>
  <c r="DF275" i="4"/>
  <c r="DG274" i="4"/>
  <c r="DF274" i="4"/>
  <c r="DG273" i="4"/>
  <c r="DF273" i="4"/>
  <c r="DG272" i="4"/>
  <c r="DF272" i="4"/>
  <c r="DG271" i="4"/>
  <c r="DF271" i="4"/>
  <c r="DG270" i="4"/>
  <c r="DF270" i="4"/>
  <c r="DG269" i="4"/>
  <c r="DF269" i="4"/>
  <c r="DG268" i="4"/>
  <c r="DF268" i="4"/>
  <c r="DG267" i="4"/>
  <c r="DF267" i="4"/>
  <c r="DG266" i="4"/>
  <c r="DF266" i="4"/>
  <c r="DG265" i="4"/>
  <c r="DF265" i="4"/>
  <c r="DG264" i="4"/>
  <c r="DF264" i="4"/>
  <c r="DG263" i="4"/>
  <c r="DF263" i="4"/>
  <c r="DG262" i="4"/>
  <c r="DF262" i="4"/>
  <c r="DG261" i="4"/>
  <c r="DF261" i="4"/>
  <c r="DG260" i="4"/>
  <c r="DF260" i="4"/>
  <c r="DG259" i="4"/>
  <c r="DF259" i="4"/>
  <c r="DG258" i="4"/>
  <c r="DF258" i="4"/>
  <c r="DG257" i="4"/>
  <c r="DF257" i="4"/>
  <c r="DG256" i="4"/>
  <c r="DF256" i="4"/>
  <c r="DG255" i="4"/>
  <c r="DF255" i="4"/>
  <c r="DG254" i="4"/>
  <c r="DF254" i="4"/>
  <c r="DG253" i="4"/>
  <c r="DF253" i="4"/>
  <c r="DG252" i="4"/>
  <c r="DF252" i="4"/>
  <c r="DG251" i="4"/>
  <c r="DF251" i="4"/>
  <c r="DG250" i="4"/>
  <c r="DF250" i="4"/>
  <c r="DG249" i="4"/>
  <c r="DF249" i="4"/>
  <c r="DG248" i="4"/>
  <c r="DF248" i="4"/>
  <c r="DG247" i="4"/>
  <c r="DF247" i="4"/>
  <c r="DG246" i="4"/>
  <c r="DF246" i="4"/>
  <c r="DG245" i="4"/>
  <c r="DF245" i="4"/>
  <c r="DG244" i="4"/>
  <c r="DF244" i="4"/>
  <c r="DG243" i="4"/>
  <c r="DF243" i="4"/>
  <c r="DG242" i="4"/>
  <c r="DF242" i="4"/>
  <c r="DG241" i="4"/>
  <c r="DF241" i="4"/>
  <c r="DG240" i="4"/>
  <c r="DF240" i="4"/>
  <c r="DG239" i="4"/>
  <c r="DF239" i="4"/>
  <c r="DG238" i="4"/>
  <c r="DF238" i="4"/>
  <c r="DG237" i="4"/>
  <c r="DF237" i="4"/>
  <c r="DG236" i="4"/>
  <c r="DF236" i="4"/>
  <c r="DG235" i="4"/>
  <c r="DF235" i="4"/>
  <c r="DG234" i="4"/>
  <c r="DF234" i="4"/>
  <c r="DG233" i="4"/>
  <c r="DF233" i="4"/>
  <c r="DG232" i="4"/>
  <c r="DF232" i="4"/>
  <c r="DG231" i="4"/>
  <c r="DF231" i="4"/>
  <c r="DG230" i="4"/>
  <c r="DF230" i="4"/>
  <c r="DG229" i="4"/>
  <c r="DF229" i="4"/>
  <c r="DG228" i="4"/>
  <c r="DF228" i="4"/>
  <c r="DG227" i="4"/>
  <c r="DF227" i="4"/>
  <c r="DG226" i="4"/>
  <c r="DF226" i="4"/>
  <c r="DG225" i="4"/>
  <c r="DF225" i="4"/>
  <c r="DG224" i="4"/>
  <c r="DF224" i="4"/>
  <c r="DG223" i="4"/>
  <c r="DF223" i="4"/>
  <c r="DG222" i="4"/>
  <c r="DF222" i="4"/>
  <c r="DG221" i="4"/>
  <c r="DF221" i="4"/>
  <c r="DG220" i="4"/>
  <c r="DF220" i="4"/>
  <c r="DG219" i="4"/>
  <c r="DF219" i="4"/>
  <c r="DG218" i="4"/>
  <c r="DF218" i="4"/>
  <c r="DG217" i="4"/>
  <c r="DF217" i="4"/>
  <c r="DG216" i="4"/>
  <c r="DF216" i="4"/>
  <c r="DG215" i="4"/>
  <c r="DF215" i="4"/>
  <c r="DG214" i="4"/>
  <c r="DF214" i="4"/>
  <c r="DG213" i="4"/>
  <c r="DF213" i="4"/>
  <c r="DG212" i="4"/>
  <c r="DF212" i="4"/>
  <c r="DG211" i="4"/>
  <c r="DF211" i="4"/>
  <c r="DG210" i="4"/>
  <c r="DF210" i="4"/>
  <c r="DG209" i="4"/>
  <c r="DF209" i="4"/>
  <c r="DG208" i="4"/>
  <c r="DF208" i="4"/>
  <c r="DG207" i="4"/>
  <c r="DF207" i="4"/>
  <c r="DG206" i="4"/>
  <c r="DF206" i="4"/>
  <c r="DG205" i="4"/>
  <c r="DF205" i="4"/>
  <c r="DG204" i="4"/>
  <c r="DF204" i="4"/>
  <c r="DG203" i="4"/>
  <c r="DF203" i="4"/>
  <c r="DG202" i="4"/>
  <c r="DF202" i="4"/>
  <c r="DG201" i="4"/>
  <c r="DF201" i="4"/>
  <c r="DG200" i="4"/>
  <c r="DF200" i="4"/>
  <c r="DG199" i="4"/>
  <c r="DF199" i="4"/>
  <c r="DG198" i="4"/>
  <c r="DF198" i="4"/>
  <c r="DG197" i="4"/>
  <c r="DF197" i="4"/>
  <c r="DG196" i="4"/>
  <c r="DF196" i="4"/>
  <c r="DG195" i="4"/>
  <c r="DF195" i="4"/>
  <c r="DG194" i="4"/>
  <c r="DF194" i="4"/>
  <c r="DG193" i="4"/>
  <c r="DF193" i="4"/>
  <c r="DG192" i="4"/>
  <c r="DF192" i="4"/>
  <c r="DG191" i="4"/>
  <c r="DF191" i="4"/>
  <c r="DG190" i="4"/>
  <c r="DF190" i="4"/>
  <c r="DG189" i="4"/>
  <c r="DF189" i="4"/>
  <c r="DG188" i="4"/>
  <c r="DF188" i="4"/>
  <c r="DG187" i="4"/>
  <c r="DF187" i="4"/>
  <c r="DG186" i="4"/>
  <c r="DF186" i="4"/>
  <c r="DG185" i="4"/>
  <c r="DF185" i="4"/>
  <c r="DG184" i="4"/>
  <c r="DF184" i="4"/>
  <c r="DG183" i="4"/>
  <c r="DF183" i="4"/>
  <c r="DG182" i="4"/>
  <c r="DF182" i="4"/>
  <c r="DG181" i="4"/>
  <c r="DF181" i="4"/>
  <c r="DG180" i="4"/>
  <c r="DF180" i="4"/>
  <c r="DG179" i="4"/>
  <c r="DF179" i="4"/>
  <c r="DG178" i="4"/>
  <c r="DF178" i="4"/>
  <c r="DG177" i="4"/>
  <c r="DF177" i="4"/>
  <c r="DG176" i="4"/>
  <c r="DF176" i="4"/>
  <c r="DG175" i="4"/>
  <c r="DF175" i="4"/>
  <c r="DG174" i="4"/>
  <c r="DF174" i="4"/>
  <c r="DG173" i="4"/>
  <c r="DF173" i="4"/>
  <c r="DG172" i="4"/>
  <c r="DF172" i="4"/>
  <c r="DG171" i="4"/>
  <c r="DF171" i="4"/>
  <c r="DG170" i="4"/>
  <c r="DF170" i="4"/>
  <c r="DG169" i="4"/>
  <c r="DF169" i="4"/>
  <c r="DG168" i="4"/>
  <c r="DF168" i="4"/>
  <c r="DG167" i="4"/>
  <c r="DF167" i="4"/>
  <c r="DG166" i="4"/>
  <c r="DF166" i="4"/>
  <c r="DG165" i="4"/>
  <c r="DF165" i="4"/>
  <c r="DG164" i="4"/>
  <c r="DF164" i="4"/>
  <c r="DG163" i="4"/>
  <c r="DF163" i="4"/>
  <c r="DG162" i="4"/>
  <c r="DF162" i="4"/>
  <c r="DG161" i="4"/>
  <c r="DF161" i="4"/>
  <c r="DG160" i="4"/>
  <c r="DF160" i="4"/>
  <c r="DG159" i="4"/>
  <c r="DF159" i="4"/>
  <c r="DG158" i="4"/>
  <c r="DF158" i="4"/>
  <c r="DG157" i="4"/>
  <c r="DF157" i="4"/>
  <c r="DG156" i="4"/>
  <c r="DF156" i="4"/>
  <c r="DG155" i="4"/>
  <c r="DF155" i="4"/>
  <c r="DG154" i="4"/>
  <c r="DF154" i="4"/>
  <c r="DG153" i="4"/>
  <c r="DF153" i="4"/>
  <c r="DG152" i="4"/>
  <c r="DF152" i="4"/>
  <c r="DG151" i="4"/>
  <c r="DF151" i="4"/>
  <c r="DG150" i="4"/>
  <c r="DF150" i="4"/>
  <c r="DG149" i="4"/>
  <c r="DF149" i="4"/>
  <c r="DG148" i="4"/>
  <c r="DF148" i="4"/>
  <c r="DG147" i="4"/>
  <c r="DF147" i="4"/>
  <c r="DG146" i="4"/>
  <c r="DF146" i="4"/>
  <c r="DG145" i="4"/>
  <c r="DF145" i="4"/>
  <c r="DG144" i="4"/>
  <c r="DF144" i="4"/>
  <c r="DG143" i="4"/>
  <c r="DF143" i="4"/>
  <c r="DG142" i="4"/>
  <c r="DF142" i="4"/>
  <c r="DG141" i="4"/>
  <c r="DF141" i="4"/>
  <c r="DG140" i="4"/>
  <c r="DF140" i="4"/>
  <c r="DG139" i="4"/>
  <c r="DF139" i="4"/>
  <c r="DG138" i="4"/>
  <c r="DF138" i="4"/>
  <c r="DG137" i="4"/>
  <c r="DF137" i="4"/>
  <c r="DG136" i="4"/>
  <c r="DF136" i="4"/>
  <c r="DG135" i="4"/>
  <c r="DF135" i="4"/>
  <c r="DG134" i="4"/>
  <c r="DF134" i="4"/>
  <c r="DG133" i="4"/>
  <c r="DF133" i="4"/>
  <c r="DG132" i="4"/>
  <c r="DF132" i="4"/>
  <c r="DG131" i="4"/>
  <c r="DF131" i="4"/>
  <c r="DG130" i="4"/>
  <c r="DF130" i="4"/>
  <c r="DG129" i="4"/>
  <c r="DF129" i="4"/>
  <c r="DG128" i="4"/>
  <c r="DF128" i="4"/>
  <c r="DG127" i="4"/>
  <c r="DF127" i="4"/>
  <c r="DG126" i="4"/>
  <c r="DF126" i="4"/>
  <c r="DG125" i="4"/>
  <c r="DF125" i="4"/>
  <c r="DG124" i="4"/>
  <c r="DF124" i="4"/>
  <c r="DG123" i="4"/>
  <c r="DF123" i="4"/>
  <c r="DG122" i="4"/>
  <c r="DF122" i="4"/>
  <c r="DG121" i="4"/>
  <c r="DF121" i="4"/>
  <c r="DG120" i="4"/>
  <c r="DF120" i="4"/>
  <c r="DG119" i="4"/>
  <c r="DF119" i="4"/>
  <c r="DG118" i="4"/>
  <c r="DF118" i="4"/>
  <c r="DG117" i="4"/>
  <c r="DF117" i="4"/>
  <c r="DG116" i="4"/>
  <c r="DF116" i="4"/>
  <c r="DG115" i="4"/>
  <c r="DF115" i="4"/>
  <c r="DG114" i="4"/>
  <c r="DF114" i="4"/>
  <c r="DG113" i="4"/>
  <c r="DF113" i="4"/>
  <c r="DG112" i="4"/>
  <c r="DF112" i="4"/>
  <c r="DG111" i="4"/>
  <c r="DF111" i="4"/>
  <c r="DG110" i="4"/>
  <c r="DF110" i="4"/>
  <c r="DG109" i="4"/>
  <c r="DF109" i="4"/>
  <c r="DG108" i="4"/>
  <c r="DF108" i="4"/>
  <c r="DG107" i="4"/>
  <c r="DF107" i="4"/>
  <c r="DG106" i="4"/>
  <c r="DF106" i="4"/>
  <c r="DG105" i="4"/>
  <c r="DF105" i="4"/>
  <c r="DG104" i="4"/>
  <c r="DF104" i="4"/>
  <c r="DG103" i="4"/>
  <c r="DF103" i="4"/>
  <c r="DG102" i="4"/>
  <c r="DF102" i="4"/>
  <c r="DG101" i="4"/>
  <c r="DF101" i="4"/>
  <c r="DG100" i="4"/>
  <c r="DF100" i="4"/>
  <c r="DG99" i="4"/>
  <c r="DF99" i="4"/>
  <c r="DG98" i="4"/>
  <c r="DF98" i="4"/>
  <c r="DG97" i="4"/>
  <c r="DF97" i="4"/>
  <c r="DG96" i="4"/>
  <c r="DF96" i="4"/>
  <c r="DG95" i="4"/>
  <c r="DF95" i="4"/>
  <c r="DG94" i="4"/>
  <c r="DF94" i="4"/>
  <c r="DG93" i="4"/>
  <c r="DF93" i="4"/>
  <c r="DG92" i="4"/>
  <c r="DF92" i="4"/>
  <c r="DG91" i="4"/>
  <c r="DF91" i="4"/>
  <c r="DG90" i="4"/>
  <c r="DF90" i="4"/>
  <c r="DG89" i="4"/>
  <c r="DF89" i="4"/>
  <c r="DG88" i="4"/>
  <c r="DF88" i="4"/>
  <c r="DG87" i="4"/>
  <c r="DF87" i="4"/>
  <c r="DG86" i="4"/>
  <c r="DF86" i="4"/>
  <c r="DG85" i="4"/>
  <c r="DF85" i="4"/>
  <c r="DG84" i="4"/>
  <c r="DF84" i="4"/>
  <c r="DG83" i="4"/>
  <c r="DF83" i="4"/>
  <c r="DG82" i="4"/>
  <c r="DF82" i="4"/>
  <c r="DG81" i="4"/>
  <c r="DF81" i="4"/>
  <c r="DG80" i="4"/>
  <c r="DF80" i="4"/>
  <c r="DG79" i="4"/>
  <c r="DF79" i="4"/>
  <c r="DG78" i="4"/>
  <c r="DF78" i="4"/>
  <c r="DG77" i="4"/>
  <c r="DF77" i="4"/>
  <c r="DG76" i="4"/>
  <c r="DF76" i="4"/>
  <c r="DG75" i="4"/>
  <c r="DF75" i="4"/>
  <c r="DG74" i="4"/>
  <c r="DF74" i="4"/>
  <c r="DG73" i="4"/>
  <c r="DF73" i="4"/>
  <c r="DG72" i="4"/>
  <c r="DF72" i="4"/>
  <c r="DG71" i="4"/>
  <c r="DF71" i="4"/>
  <c r="DG70" i="4"/>
  <c r="DF70" i="4"/>
  <c r="DG69" i="4"/>
  <c r="DF69" i="4"/>
  <c r="DG68" i="4"/>
  <c r="DF68" i="4"/>
  <c r="DG67" i="4"/>
  <c r="DF67" i="4"/>
  <c r="DG66" i="4"/>
  <c r="DF66" i="4"/>
  <c r="DG65" i="4"/>
  <c r="DF65" i="4"/>
  <c r="DG64" i="4"/>
  <c r="DF64" i="4"/>
  <c r="DG63" i="4"/>
  <c r="DF63" i="4"/>
  <c r="DG62" i="4"/>
  <c r="DF62" i="4"/>
  <c r="DG61" i="4"/>
  <c r="DF61" i="4"/>
  <c r="DG60" i="4"/>
  <c r="DF60" i="4"/>
  <c r="DG59" i="4"/>
  <c r="DF59" i="4"/>
  <c r="DG58" i="4"/>
  <c r="DF58" i="4"/>
  <c r="DG57" i="4"/>
  <c r="DF57" i="4"/>
  <c r="DG56" i="4"/>
  <c r="DF56" i="4"/>
  <c r="DG55" i="4"/>
  <c r="DF55" i="4"/>
  <c r="DG54" i="4"/>
  <c r="DF54" i="4"/>
  <c r="DG53" i="4"/>
  <c r="DF53" i="4"/>
  <c r="DG52" i="4"/>
  <c r="DF52" i="4"/>
  <c r="DG51" i="4"/>
  <c r="DF51" i="4"/>
  <c r="DG50" i="4"/>
  <c r="DF50" i="4"/>
  <c r="DG49" i="4"/>
  <c r="DF49" i="4"/>
  <c r="DG48" i="4"/>
  <c r="DF48" i="4"/>
  <c r="DG47" i="4"/>
  <c r="DF47" i="4"/>
  <c r="DG46" i="4"/>
  <c r="DF46" i="4"/>
  <c r="DG45" i="4"/>
  <c r="DF45" i="4"/>
  <c r="DG44" i="4"/>
  <c r="DF44" i="4"/>
  <c r="DG43" i="4"/>
  <c r="DF43" i="4"/>
  <c r="DG42" i="4"/>
  <c r="DF42" i="4"/>
  <c r="DG41" i="4"/>
  <c r="DF41" i="4"/>
  <c r="DG40" i="4"/>
  <c r="DF40" i="4"/>
  <c r="DG39" i="4"/>
  <c r="DF39" i="4"/>
  <c r="DG38" i="4"/>
  <c r="DF38" i="4"/>
  <c r="DG37" i="4"/>
  <c r="DF37" i="4"/>
  <c r="DG36" i="4"/>
  <c r="DF36" i="4"/>
  <c r="DG35" i="4"/>
  <c r="DF35" i="4"/>
  <c r="DG34" i="4"/>
  <c r="DF34" i="4"/>
  <c r="DG33" i="4"/>
  <c r="DF33" i="4"/>
  <c r="DG32" i="4"/>
  <c r="DF32" i="4"/>
  <c r="DG31" i="4"/>
  <c r="DF31" i="4"/>
  <c r="DG30" i="4"/>
  <c r="DF30" i="4"/>
  <c r="DG29" i="4"/>
  <c r="DF29" i="4"/>
  <c r="DG28" i="4"/>
  <c r="DF28" i="4"/>
  <c r="DG27" i="4"/>
  <c r="DF27" i="4"/>
  <c r="DG26" i="4"/>
  <c r="DF26" i="4"/>
  <c r="DG25" i="4"/>
  <c r="DF25" i="4"/>
  <c r="DG24" i="4"/>
  <c r="DF24" i="4"/>
  <c r="DG23" i="4"/>
  <c r="DF23" i="4"/>
  <c r="DG22" i="4"/>
  <c r="DF22" i="4"/>
  <c r="DG21" i="4"/>
  <c r="DF21" i="4"/>
  <c r="DG20" i="4"/>
  <c r="DF20" i="4"/>
  <c r="DG19" i="4"/>
  <c r="DF19" i="4"/>
  <c r="DG18" i="4"/>
  <c r="DF18" i="4"/>
  <c r="DG17" i="4"/>
  <c r="DF17" i="4"/>
  <c r="DG16" i="4"/>
  <c r="DF16" i="4"/>
  <c r="DG15" i="4"/>
  <c r="DF15" i="4"/>
  <c r="DG14" i="4"/>
  <c r="DF14" i="4"/>
  <c r="DG13" i="4"/>
  <c r="DF13" i="4"/>
  <c r="DG12" i="4"/>
  <c r="DF12" i="4"/>
  <c r="DG11" i="4"/>
  <c r="DF11" i="4"/>
  <c r="DG10" i="4"/>
  <c r="DF10" i="4"/>
  <c r="DA300" i="4"/>
  <c r="CZ300" i="4"/>
  <c r="DA299" i="4"/>
  <c r="CZ299" i="4"/>
  <c r="DA298" i="4"/>
  <c r="CZ298" i="4"/>
  <c r="DA297" i="4"/>
  <c r="CZ297" i="4"/>
  <c r="DA296" i="4"/>
  <c r="CZ296" i="4"/>
  <c r="DA295" i="4"/>
  <c r="CZ295" i="4"/>
  <c r="DA294" i="4"/>
  <c r="CZ294" i="4"/>
  <c r="DA293" i="4"/>
  <c r="CZ293" i="4"/>
  <c r="DA292" i="4"/>
  <c r="CZ292" i="4"/>
  <c r="DA291" i="4"/>
  <c r="CZ291" i="4"/>
  <c r="DA290" i="4"/>
  <c r="CZ290" i="4"/>
  <c r="DA289" i="4"/>
  <c r="CZ289" i="4"/>
  <c r="DA288" i="4"/>
  <c r="CZ288" i="4"/>
  <c r="DA287" i="4"/>
  <c r="CZ287" i="4"/>
  <c r="DA286" i="4"/>
  <c r="CZ286" i="4"/>
  <c r="DA285" i="4"/>
  <c r="CZ285" i="4"/>
  <c r="DA284" i="4"/>
  <c r="CZ284" i="4"/>
  <c r="DA283" i="4"/>
  <c r="CZ283" i="4"/>
  <c r="DA282" i="4"/>
  <c r="CZ282" i="4"/>
  <c r="DA281" i="4"/>
  <c r="CZ281" i="4"/>
  <c r="DA280" i="4"/>
  <c r="CZ280" i="4"/>
  <c r="DA279" i="4"/>
  <c r="CZ279" i="4"/>
  <c r="DA278" i="4"/>
  <c r="CZ278" i="4"/>
  <c r="DA277" i="4"/>
  <c r="CZ277" i="4"/>
  <c r="DA276" i="4"/>
  <c r="CZ276" i="4"/>
  <c r="DA275" i="4"/>
  <c r="CZ275" i="4"/>
  <c r="DA274" i="4"/>
  <c r="CZ274" i="4"/>
  <c r="DA273" i="4"/>
  <c r="CZ273" i="4"/>
  <c r="DA272" i="4"/>
  <c r="CZ272" i="4"/>
  <c r="DA271" i="4"/>
  <c r="CZ271" i="4"/>
  <c r="DA270" i="4"/>
  <c r="CZ270" i="4"/>
  <c r="DA269" i="4"/>
  <c r="CZ269" i="4"/>
  <c r="DA268" i="4"/>
  <c r="CZ268" i="4"/>
  <c r="DA267" i="4"/>
  <c r="CZ267" i="4"/>
  <c r="DA266" i="4"/>
  <c r="CZ266" i="4"/>
  <c r="DA265" i="4"/>
  <c r="CZ265" i="4"/>
  <c r="DA264" i="4"/>
  <c r="CZ264" i="4"/>
  <c r="DA263" i="4"/>
  <c r="CZ263" i="4"/>
  <c r="DA262" i="4"/>
  <c r="CZ262" i="4"/>
  <c r="DA261" i="4"/>
  <c r="CZ261" i="4"/>
  <c r="DA260" i="4"/>
  <c r="CZ260" i="4"/>
  <c r="DA259" i="4"/>
  <c r="CZ259" i="4"/>
  <c r="DA258" i="4"/>
  <c r="CZ258" i="4"/>
  <c r="DA257" i="4"/>
  <c r="CZ257" i="4"/>
  <c r="DA256" i="4"/>
  <c r="CZ256" i="4"/>
  <c r="DA255" i="4"/>
  <c r="CZ255" i="4"/>
  <c r="DA254" i="4"/>
  <c r="CZ254" i="4"/>
  <c r="DA253" i="4"/>
  <c r="CZ253" i="4"/>
  <c r="DA252" i="4"/>
  <c r="CZ252" i="4"/>
  <c r="DA251" i="4"/>
  <c r="CZ251" i="4"/>
  <c r="DA250" i="4"/>
  <c r="CZ250" i="4"/>
  <c r="DA249" i="4"/>
  <c r="CZ249" i="4"/>
  <c r="DA248" i="4"/>
  <c r="CZ248" i="4"/>
  <c r="DA247" i="4"/>
  <c r="CZ247" i="4"/>
  <c r="DA246" i="4"/>
  <c r="CZ246" i="4"/>
  <c r="DA245" i="4"/>
  <c r="CZ245" i="4"/>
  <c r="DA244" i="4"/>
  <c r="CZ244" i="4"/>
  <c r="DA243" i="4"/>
  <c r="CZ243" i="4"/>
  <c r="DA242" i="4"/>
  <c r="CZ242" i="4"/>
  <c r="DA241" i="4"/>
  <c r="CZ241" i="4"/>
  <c r="DA240" i="4"/>
  <c r="CZ240" i="4"/>
  <c r="DA239" i="4"/>
  <c r="CZ239" i="4"/>
  <c r="DA238" i="4"/>
  <c r="CZ238" i="4"/>
  <c r="DA237" i="4"/>
  <c r="CZ237" i="4"/>
  <c r="DA236" i="4"/>
  <c r="CZ236" i="4"/>
  <c r="DA235" i="4"/>
  <c r="CZ235" i="4"/>
  <c r="DA234" i="4"/>
  <c r="CZ234" i="4"/>
  <c r="DA233" i="4"/>
  <c r="CZ233" i="4"/>
  <c r="DA232" i="4"/>
  <c r="CZ232" i="4"/>
  <c r="DA231" i="4"/>
  <c r="CZ231" i="4"/>
  <c r="DA230" i="4"/>
  <c r="CZ230" i="4"/>
  <c r="DA229" i="4"/>
  <c r="CZ229" i="4"/>
  <c r="DA228" i="4"/>
  <c r="CZ228" i="4"/>
  <c r="DA227" i="4"/>
  <c r="CZ227" i="4"/>
  <c r="DA226" i="4"/>
  <c r="CZ226" i="4"/>
  <c r="DA225" i="4"/>
  <c r="CZ225" i="4"/>
  <c r="DA224" i="4"/>
  <c r="CZ224" i="4"/>
  <c r="DA223" i="4"/>
  <c r="CZ223" i="4"/>
  <c r="DA222" i="4"/>
  <c r="CZ222" i="4"/>
  <c r="DA221" i="4"/>
  <c r="CZ221" i="4"/>
  <c r="DA220" i="4"/>
  <c r="CZ220" i="4"/>
  <c r="DA219" i="4"/>
  <c r="CZ219" i="4"/>
  <c r="DA218" i="4"/>
  <c r="CZ218" i="4"/>
  <c r="DA217" i="4"/>
  <c r="CZ217" i="4"/>
  <c r="DA216" i="4"/>
  <c r="CZ216" i="4"/>
  <c r="DA215" i="4"/>
  <c r="CZ215" i="4"/>
  <c r="DA214" i="4"/>
  <c r="CZ214" i="4"/>
  <c r="DA213" i="4"/>
  <c r="CZ213" i="4"/>
  <c r="DA212" i="4"/>
  <c r="CZ212" i="4"/>
  <c r="DA211" i="4"/>
  <c r="CZ211" i="4"/>
  <c r="DA210" i="4"/>
  <c r="CZ210" i="4"/>
  <c r="DA209" i="4"/>
  <c r="CZ209" i="4"/>
  <c r="DA208" i="4"/>
  <c r="CZ208" i="4"/>
  <c r="DA207" i="4"/>
  <c r="CZ207" i="4"/>
  <c r="DA206" i="4"/>
  <c r="CZ206" i="4"/>
  <c r="DA205" i="4"/>
  <c r="CZ205" i="4"/>
  <c r="DA204" i="4"/>
  <c r="CZ204" i="4"/>
  <c r="DA203" i="4"/>
  <c r="CZ203" i="4"/>
  <c r="DA202" i="4"/>
  <c r="CZ202" i="4"/>
  <c r="DA201" i="4"/>
  <c r="CZ201" i="4"/>
  <c r="DA200" i="4"/>
  <c r="CZ200" i="4"/>
  <c r="DA199" i="4"/>
  <c r="CZ199" i="4"/>
  <c r="DA198" i="4"/>
  <c r="CZ198" i="4"/>
  <c r="DA197" i="4"/>
  <c r="CZ197" i="4"/>
  <c r="DA196" i="4"/>
  <c r="CZ196" i="4"/>
  <c r="DA195" i="4"/>
  <c r="CZ195" i="4"/>
  <c r="DA194" i="4"/>
  <c r="CZ194" i="4"/>
  <c r="DA193" i="4"/>
  <c r="CZ193" i="4"/>
  <c r="DA192" i="4"/>
  <c r="CZ192" i="4"/>
  <c r="DA191" i="4"/>
  <c r="CZ191" i="4"/>
  <c r="DA190" i="4"/>
  <c r="CZ190" i="4"/>
  <c r="DA189" i="4"/>
  <c r="CZ189" i="4"/>
  <c r="DA188" i="4"/>
  <c r="CZ188" i="4"/>
  <c r="DA187" i="4"/>
  <c r="CZ187" i="4"/>
  <c r="DA186" i="4"/>
  <c r="CZ186" i="4"/>
  <c r="DA185" i="4"/>
  <c r="CZ185" i="4"/>
  <c r="DA184" i="4"/>
  <c r="CZ184" i="4"/>
  <c r="DA183" i="4"/>
  <c r="CZ183" i="4"/>
  <c r="DA182" i="4"/>
  <c r="CZ182" i="4"/>
  <c r="DA181" i="4"/>
  <c r="CZ181" i="4"/>
  <c r="DA180" i="4"/>
  <c r="CZ180" i="4"/>
  <c r="DA179" i="4"/>
  <c r="CZ179" i="4"/>
  <c r="DA178" i="4"/>
  <c r="CZ178" i="4"/>
  <c r="DA177" i="4"/>
  <c r="CZ177" i="4"/>
  <c r="DA176" i="4"/>
  <c r="CZ176" i="4"/>
  <c r="DA175" i="4"/>
  <c r="CZ175" i="4"/>
  <c r="DA174" i="4"/>
  <c r="CZ174" i="4"/>
  <c r="DA173" i="4"/>
  <c r="CZ173" i="4"/>
  <c r="DA172" i="4"/>
  <c r="CZ172" i="4"/>
  <c r="DA171" i="4"/>
  <c r="CZ171" i="4"/>
  <c r="DA170" i="4"/>
  <c r="CZ170" i="4"/>
  <c r="DA169" i="4"/>
  <c r="CZ169" i="4"/>
  <c r="DA168" i="4"/>
  <c r="CZ168" i="4"/>
  <c r="DA167" i="4"/>
  <c r="CZ167" i="4"/>
  <c r="DA166" i="4"/>
  <c r="CZ166" i="4"/>
  <c r="DA165" i="4"/>
  <c r="CZ165" i="4"/>
  <c r="DA164" i="4"/>
  <c r="CZ164" i="4"/>
  <c r="DA163" i="4"/>
  <c r="CZ163" i="4"/>
  <c r="DA162" i="4"/>
  <c r="CZ162" i="4"/>
  <c r="DA161" i="4"/>
  <c r="CZ161" i="4"/>
  <c r="DA160" i="4"/>
  <c r="CZ160" i="4"/>
  <c r="DA159" i="4"/>
  <c r="CZ159" i="4"/>
  <c r="DA158" i="4"/>
  <c r="CZ158" i="4"/>
  <c r="DA157" i="4"/>
  <c r="CZ157" i="4"/>
  <c r="DA156" i="4"/>
  <c r="CZ156" i="4"/>
  <c r="DA155" i="4"/>
  <c r="CZ155" i="4"/>
  <c r="DA154" i="4"/>
  <c r="CZ154" i="4"/>
  <c r="DA153" i="4"/>
  <c r="CZ153" i="4"/>
  <c r="DA152" i="4"/>
  <c r="CZ152" i="4"/>
  <c r="DA151" i="4"/>
  <c r="CZ151" i="4"/>
  <c r="DA150" i="4"/>
  <c r="CZ150" i="4"/>
  <c r="DA149" i="4"/>
  <c r="CZ149" i="4"/>
  <c r="DA148" i="4"/>
  <c r="CZ148" i="4"/>
  <c r="DA147" i="4"/>
  <c r="CZ147" i="4"/>
  <c r="DA146" i="4"/>
  <c r="CZ146" i="4"/>
  <c r="DA145" i="4"/>
  <c r="CZ145" i="4"/>
  <c r="DA144" i="4"/>
  <c r="CZ144" i="4"/>
  <c r="DA143" i="4"/>
  <c r="CZ143" i="4"/>
  <c r="DA142" i="4"/>
  <c r="CZ142" i="4"/>
  <c r="DA141" i="4"/>
  <c r="CZ141" i="4"/>
  <c r="DA140" i="4"/>
  <c r="CZ140" i="4"/>
  <c r="DA139" i="4"/>
  <c r="CZ139" i="4"/>
  <c r="DA138" i="4"/>
  <c r="CZ138" i="4"/>
  <c r="DA137" i="4"/>
  <c r="CZ137" i="4"/>
  <c r="DA136" i="4"/>
  <c r="CZ136" i="4"/>
  <c r="DA135" i="4"/>
  <c r="CZ135" i="4"/>
  <c r="DA134" i="4"/>
  <c r="CZ134" i="4"/>
  <c r="DA133" i="4"/>
  <c r="CZ133" i="4"/>
  <c r="DA132" i="4"/>
  <c r="CZ132" i="4"/>
  <c r="DA131" i="4"/>
  <c r="CZ131" i="4"/>
  <c r="DA130" i="4"/>
  <c r="CZ130" i="4"/>
  <c r="DA129" i="4"/>
  <c r="CZ129" i="4"/>
  <c r="DA128" i="4"/>
  <c r="CZ128" i="4"/>
  <c r="DA127" i="4"/>
  <c r="CZ127" i="4"/>
  <c r="DA126" i="4"/>
  <c r="CZ126" i="4"/>
  <c r="DA125" i="4"/>
  <c r="CZ125" i="4"/>
  <c r="DA124" i="4"/>
  <c r="CZ124" i="4"/>
  <c r="DA123" i="4"/>
  <c r="CZ123" i="4"/>
  <c r="DA122" i="4"/>
  <c r="CZ122" i="4"/>
  <c r="DA121" i="4"/>
  <c r="CZ121" i="4"/>
  <c r="DA120" i="4"/>
  <c r="CZ120" i="4"/>
  <c r="DA119" i="4"/>
  <c r="CZ119" i="4"/>
  <c r="DA118" i="4"/>
  <c r="CZ118" i="4"/>
  <c r="DA117" i="4"/>
  <c r="CZ117" i="4"/>
  <c r="DA116" i="4"/>
  <c r="CZ116" i="4"/>
  <c r="DA115" i="4"/>
  <c r="CZ115" i="4"/>
  <c r="DA114" i="4"/>
  <c r="CZ114" i="4"/>
  <c r="DA113" i="4"/>
  <c r="CZ113" i="4"/>
  <c r="DA112" i="4"/>
  <c r="CZ112" i="4"/>
  <c r="DA111" i="4"/>
  <c r="CZ111" i="4"/>
  <c r="DA110" i="4"/>
  <c r="CZ110" i="4"/>
  <c r="DA109" i="4"/>
  <c r="CZ109" i="4"/>
  <c r="DA108" i="4"/>
  <c r="CZ108" i="4"/>
  <c r="DA107" i="4"/>
  <c r="CZ107" i="4"/>
  <c r="DA106" i="4"/>
  <c r="CZ106" i="4"/>
  <c r="DA105" i="4"/>
  <c r="CZ105" i="4"/>
  <c r="DA104" i="4"/>
  <c r="CZ104" i="4"/>
  <c r="DA103" i="4"/>
  <c r="CZ103" i="4"/>
  <c r="DA102" i="4"/>
  <c r="CZ102" i="4"/>
  <c r="DA101" i="4"/>
  <c r="CZ101" i="4"/>
  <c r="DA100" i="4"/>
  <c r="CZ100" i="4"/>
  <c r="DA99" i="4"/>
  <c r="CZ99" i="4"/>
  <c r="DA98" i="4"/>
  <c r="CZ98" i="4"/>
  <c r="DA97" i="4"/>
  <c r="CZ97" i="4"/>
  <c r="DA96" i="4"/>
  <c r="CZ96" i="4"/>
  <c r="DA95" i="4"/>
  <c r="CZ95" i="4"/>
  <c r="DA94" i="4"/>
  <c r="CZ94" i="4"/>
  <c r="DA93" i="4"/>
  <c r="CZ93" i="4"/>
  <c r="DA92" i="4"/>
  <c r="CZ92" i="4"/>
  <c r="DA91" i="4"/>
  <c r="CZ91" i="4"/>
  <c r="DA90" i="4"/>
  <c r="CZ90" i="4"/>
  <c r="DA89" i="4"/>
  <c r="CZ89" i="4"/>
  <c r="DA88" i="4"/>
  <c r="CZ88" i="4"/>
  <c r="DA87" i="4"/>
  <c r="CZ87" i="4"/>
  <c r="DA86" i="4"/>
  <c r="CZ86" i="4"/>
  <c r="DA85" i="4"/>
  <c r="CZ85" i="4"/>
  <c r="DA84" i="4"/>
  <c r="CZ84" i="4"/>
  <c r="DA83" i="4"/>
  <c r="CZ83" i="4"/>
  <c r="DA82" i="4"/>
  <c r="CZ82" i="4"/>
  <c r="DA81" i="4"/>
  <c r="CZ81" i="4"/>
  <c r="DA80" i="4"/>
  <c r="CZ80" i="4"/>
  <c r="DA79" i="4"/>
  <c r="CZ79" i="4"/>
  <c r="DA78" i="4"/>
  <c r="CZ78" i="4"/>
  <c r="DA77" i="4"/>
  <c r="CZ77" i="4"/>
  <c r="DA76" i="4"/>
  <c r="CZ76" i="4"/>
  <c r="DA75" i="4"/>
  <c r="CZ75" i="4"/>
  <c r="DA74" i="4"/>
  <c r="CZ74" i="4"/>
  <c r="DA73" i="4"/>
  <c r="CZ73" i="4"/>
  <c r="DA72" i="4"/>
  <c r="CZ72" i="4"/>
  <c r="DA71" i="4"/>
  <c r="CZ71" i="4"/>
  <c r="DA70" i="4"/>
  <c r="CZ70" i="4"/>
  <c r="DA69" i="4"/>
  <c r="CZ69" i="4"/>
  <c r="DA68" i="4"/>
  <c r="CZ68" i="4"/>
  <c r="DA67" i="4"/>
  <c r="CZ67" i="4"/>
  <c r="DA66" i="4"/>
  <c r="CZ66" i="4"/>
  <c r="DA65" i="4"/>
  <c r="CZ65" i="4"/>
  <c r="DA64" i="4"/>
  <c r="CZ64" i="4"/>
  <c r="DA63" i="4"/>
  <c r="CZ63" i="4"/>
  <c r="DA62" i="4"/>
  <c r="CZ62" i="4"/>
  <c r="DA61" i="4"/>
  <c r="CZ61" i="4"/>
  <c r="DA60" i="4"/>
  <c r="CZ60" i="4"/>
  <c r="DA59" i="4"/>
  <c r="CZ59" i="4"/>
  <c r="DA58" i="4"/>
  <c r="CZ58" i="4"/>
  <c r="DA57" i="4"/>
  <c r="CZ57" i="4"/>
  <c r="DA56" i="4"/>
  <c r="CZ56" i="4"/>
  <c r="DA55" i="4"/>
  <c r="CZ55" i="4"/>
  <c r="DA54" i="4"/>
  <c r="CZ54" i="4"/>
  <c r="DA53" i="4"/>
  <c r="CZ53" i="4"/>
  <c r="DA52" i="4"/>
  <c r="CZ52" i="4"/>
  <c r="DA51" i="4"/>
  <c r="CZ51" i="4"/>
  <c r="DA50" i="4"/>
  <c r="CZ50" i="4"/>
  <c r="DA49" i="4"/>
  <c r="CZ49" i="4"/>
  <c r="DA48" i="4"/>
  <c r="CZ48" i="4"/>
  <c r="DA47" i="4"/>
  <c r="CZ47" i="4"/>
  <c r="DA46" i="4"/>
  <c r="CZ46" i="4"/>
  <c r="DA45" i="4"/>
  <c r="CZ45" i="4"/>
  <c r="DA44" i="4"/>
  <c r="CZ44" i="4"/>
  <c r="DA43" i="4"/>
  <c r="CZ43" i="4"/>
  <c r="DA42" i="4"/>
  <c r="CZ42" i="4"/>
  <c r="DA41" i="4"/>
  <c r="CZ41" i="4"/>
  <c r="DA40" i="4"/>
  <c r="CZ40" i="4"/>
  <c r="DA39" i="4"/>
  <c r="CZ39" i="4"/>
  <c r="DA38" i="4"/>
  <c r="CZ38" i="4"/>
  <c r="DA37" i="4"/>
  <c r="CZ37" i="4"/>
  <c r="DA36" i="4"/>
  <c r="CZ36" i="4"/>
  <c r="DA35" i="4"/>
  <c r="CZ35" i="4"/>
  <c r="DA34" i="4"/>
  <c r="CZ34" i="4"/>
  <c r="DA33" i="4"/>
  <c r="CZ33" i="4"/>
  <c r="DA32" i="4"/>
  <c r="CZ32" i="4"/>
  <c r="DA31" i="4"/>
  <c r="CZ31" i="4"/>
  <c r="DA30" i="4"/>
  <c r="CZ30" i="4"/>
  <c r="DA29" i="4"/>
  <c r="CZ29" i="4"/>
  <c r="DA28" i="4"/>
  <c r="CZ28" i="4"/>
  <c r="DA27" i="4"/>
  <c r="CZ27" i="4"/>
  <c r="DA26" i="4"/>
  <c r="CZ26" i="4"/>
  <c r="DA25" i="4"/>
  <c r="CZ25" i="4"/>
  <c r="DA24" i="4"/>
  <c r="CZ24" i="4"/>
  <c r="DA23" i="4"/>
  <c r="CZ23" i="4"/>
  <c r="DA22" i="4"/>
  <c r="CZ22" i="4"/>
  <c r="DA21" i="4"/>
  <c r="CZ21" i="4"/>
  <c r="DA20" i="4"/>
  <c r="CZ20" i="4"/>
  <c r="DA19" i="4"/>
  <c r="CZ19" i="4"/>
  <c r="DA18" i="4"/>
  <c r="CZ18" i="4"/>
  <c r="DA17" i="4"/>
  <c r="CZ17" i="4"/>
  <c r="DA16" i="4"/>
  <c r="CZ16" i="4"/>
  <c r="DA15" i="4"/>
  <c r="CZ15" i="4"/>
  <c r="DA14" i="4"/>
  <c r="CZ14" i="4"/>
  <c r="DA13" i="4"/>
  <c r="CZ13" i="4"/>
  <c r="DA12" i="4"/>
  <c r="CZ12" i="4"/>
  <c r="DA11" i="4"/>
  <c r="CZ11" i="4"/>
  <c r="DA10" i="4"/>
  <c r="CZ10" i="4"/>
  <c r="CU300" i="4"/>
  <c r="CT300" i="4"/>
  <c r="CU299" i="4"/>
  <c r="CT299" i="4"/>
  <c r="CU298" i="4"/>
  <c r="CT298" i="4"/>
  <c r="CU297" i="4"/>
  <c r="CT297" i="4"/>
  <c r="CU296" i="4"/>
  <c r="CT296" i="4"/>
  <c r="CU295" i="4"/>
  <c r="CT295" i="4"/>
  <c r="CU294" i="4"/>
  <c r="CT294" i="4"/>
  <c r="CU293" i="4"/>
  <c r="CT293" i="4"/>
  <c r="CU292" i="4"/>
  <c r="CT292" i="4"/>
  <c r="CU291" i="4"/>
  <c r="CT291" i="4"/>
  <c r="CU290" i="4"/>
  <c r="CT290" i="4"/>
  <c r="CU289" i="4"/>
  <c r="CT289" i="4"/>
  <c r="CU288" i="4"/>
  <c r="CT288" i="4"/>
  <c r="CU287" i="4"/>
  <c r="CT287" i="4"/>
  <c r="CU286" i="4"/>
  <c r="CT286" i="4"/>
  <c r="CU285" i="4"/>
  <c r="CT285" i="4"/>
  <c r="CU284" i="4"/>
  <c r="CT284" i="4"/>
  <c r="CU283" i="4"/>
  <c r="CT283" i="4"/>
  <c r="CU282" i="4"/>
  <c r="CT282" i="4"/>
  <c r="CU281" i="4"/>
  <c r="CT281" i="4"/>
  <c r="CU280" i="4"/>
  <c r="CT280" i="4"/>
  <c r="CU279" i="4"/>
  <c r="CT279" i="4"/>
  <c r="CU278" i="4"/>
  <c r="CT278" i="4"/>
  <c r="CU277" i="4"/>
  <c r="CT277" i="4"/>
  <c r="CU276" i="4"/>
  <c r="CT276" i="4"/>
  <c r="CU275" i="4"/>
  <c r="CT275" i="4"/>
  <c r="CU274" i="4"/>
  <c r="CT274" i="4"/>
  <c r="CU273" i="4"/>
  <c r="CT273" i="4"/>
  <c r="CU272" i="4"/>
  <c r="CT272" i="4"/>
  <c r="CU271" i="4"/>
  <c r="CT271" i="4"/>
  <c r="CU270" i="4"/>
  <c r="CT270" i="4"/>
  <c r="CU269" i="4"/>
  <c r="CT269" i="4"/>
  <c r="CU268" i="4"/>
  <c r="CT268" i="4"/>
  <c r="CU267" i="4"/>
  <c r="CT267" i="4"/>
  <c r="CU266" i="4"/>
  <c r="CT266" i="4"/>
  <c r="CU265" i="4"/>
  <c r="CT265" i="4"/>
  <c r="CU264" i="4"/>
  <c r="CT264" i="4"/>
  <c r="CU263" i="4"/>
  <c r="CT263" i="4"/>
  <c r="CU262" i="4"/>
  <c r="CT262" i="4"/>
  <c r="CU261" i="4"/>
  <c r="CT261" i="4"/>
  <c r="CU260" i="4"/>
  <c r="CT260" i="4"/>
  <c r="CU259" i="4"/>
  <c r="CT259" i="4"/>
  <c r="CU258" i="4"/>
  <c r="CT258" i="4"/>
  <c r="CU257" i="4"/>
  <c r="CT257" i="4"/>
  <c r="CU256" i="4"/>
  <c r="CT256" i="4"/>
  <c r="CU255" i="4"/>
  <c r="CT255" i="4"/>
  <c r="CU254" i="4"/>
  <c r="CT254" i="4"/>
  <c r="CU253" i="4"/>
  <c r="CT253" i="4"/>
  <c r="CU252" i="4"/>
  <c r="CT252" i="4"/>
  <c r="CU251" i="4"/>
  <c r="CT251" i="4"/>
  <c r="CU250" i="4"/>
  <c r="CT250" i="4"/>
  <c r="CU249" i="4"/>
  <c r="CT249" i="4"/>
  <c r="CU248" i="4"/>
  <c r="CT248" i="4"/>
  <c r="CU247" i="4"/>
  <c r="CT247" i="4"/>
  <c r="CU246" i="4"/>
  <c r="CT246" i="4"/>
  <c r="CU245" i="4"/>
  <c r="CT245" i="4"/>
  <c r="CU244" i="4"/>
  <c r="CT244" i="4"/>
  <c r="CU243" i="4"/>
  <c r="CT243" i="4"/>
  <c r="CU242" i="4"/>
  <c r="CT242" i="4"/>
  <c r="CU241" i="4"/>
  <c r="CT241" i="4"/>
  <c r="CU240" i="4"/>
  <c r="CT240" i="4"/>
  <c r="CU239" i="4"/>
  <c r="CT239" i="4"/>
  <c r="CU238" i="4"/>
  <c r="CT238" i="4"/>
  <c r="CU237" i="4"/>
  <c r="CT237" i="4"/>
  <c r="CU236" i="4"/>
  <c r="CT236" i="4"/>
  <c r="CU235" i="4"/>
  <c r="CT235" i="4"/>
  <c r="CU234" i="4"/>
  <c r="CT234" i="4"/>
  <c r="CU233" i="4"/>
  <c r="CT233" i="4"/>
  <c r="CU232" i="4"/>
  <c r="CT232" i="4"/>
  <c r="CU231" i="4"/>
  <c r="CT231" i="4"/>
  <c r="CU230" i="4"/>
  <c r="CT230" i="4"/>
  <c r="CU229" i="4"/>
  <c r="CT229" i="4"/>
  <c r="CU228" i="4"/>
  <c r="CT228" i="4"/>
  <c r="CU227" i="4"/>
  <c r="CT227" i="4"/>
  <c r="CU226" i="4"/>
  <c r="CT226" i="4"/>
  <c r="CU225" i="4"/>
  <c r="CT225" i="4"/>
  <c r="CU224" i="4"/>
  <c r="CT224" i="4"/>
  <c r="CU223" i="4"/>
  <c r="CT223" i="4"/>
  <c r="CU222" i="4"/>
  <c r="CT222" i="4"/>
  <c r="CU221" i="4"/>
  <c r="CT221" i="4"/>
  <c r="CU220" i="4"/>
  <c r="CT220" i="4"/>
  <c r="CU219" i="4"/>
  <c r="CT219" i="4"/>
  <c r="CU218" i="4"/>
  <c r="CT218" i="4"/>
  <c r="CU217" i="4"/>
  <c r="CT217" i="4"/>
  <c r="CU216" i="4"/>
  <c r="CT216" i="4"/>
  <c r="CU215" i="4"/>
  <c r="CT215" i="4"/>
  <c r="CU214" i="4"/>
  <c r="CT214" i="4"/>
  <c r="CU213" i="4"/>
  <c r="CT213" i="4"/>
  <c r="CU212" i="4"/>
  <c r="CT212" i="4"/>
  <c r="CU211" i="4"/>
  <c r="CT211" i="4"/>
  <c r="CU210" i="4"/>
  <c r="CT210" i="4"/>
  <c r="CU209" i="4"/>
  <c r="CT209" i="4"/>
  <c r="CU208" i="4"/>
  <c r="CT208" i="4"/>
  <c r="CU207" i="4"/>
  <c r="CT207" i="4"/>
  <c r="CU206" i="4"/>
  <c r="CT206" i="4"/>
  <c r="CU205" i="4"/>
  <c r="CT205" i="4"/>
  <c r="CU204" i="4"/>
  <c r="CT204" i="4"/>
  <c r="CU203" i="4"/>
  <c r="CT203" i="4"/>
  <c r="CU202" i="4"/>
  <c r="CT202" i="4"/>
  <c r="CU201" i="4"/>
  <c r="CT201" i="4"/>
  <c r="CU200" i="4"/>
  <c r="CT200" i="4"/>
  <c r="CU199" i="4"/>
  <c r="CT199" i="4"/>
  <c r="CU198" i="4"/>
  <c r="CT198" i="4"/>
  <c r="CU197" i="4"/>
  <c r="CT197" i="4"/>
  <c r="CU196" i="4"/>
  <c r="CT196" i="4"/>
  <c r="CU195" i="4"/>
  <c r="CT195" i="4"/>
  <c r="CU194" i="4"/>
  <c r="CT194" i="4"/>
  <c r="CU193" i="4"/>
  <c r="CT193" i="4"/>
  <c r="CU192" i="4"/>
  <c r="CT192" i="4"/>
  <c r="CU191" i="4"/>
  <c r="CT191" i="4"/>
  <c r="CU190" i="4"/>
  <c r="CT190" i="4"/>
  <c r="CU189" i="4"/>
  <c r="CT189" i="4"/>
  <c r="CU188" i="4"/>
  <c r="CT188" i="4"/>
  <c r="CU187" i="4"/>
  <c r="CT187" i="4"/>
  <c r="CU186" i="4"/>
  <c r="CT186" i="4"/>
  <c r="CU185" i="4"/>
  <c r="CT185" i="4"/>
  <c r="CU184" i="4"/>
  <c r="CT184" i="4"/>
  <c r="CU183" i="4"/>
  <c r="CT183" i="4"/>
  <c r="CU182" i="4"/>
  <c r="CT182" i="4"/>
  <c r="CU181" i="4"/>
  <c r="CT181" i="4"/>
  <c r="CU180" i="4"/>
  <c r="CT180" i="4"/>
  <c r="CU179" i="4"/>
  <c r="CT179" i="4"/>
  <c r="CU178" i="4"/>
  <c r="CT178" i="4"/>
  <c r="CU177" i="4"/>
  <c r="CT177" i="4"/>
  <c r="CU176" i="4"/>
  <c r="CT176" i="4"/>
  <c r="CU175" i="4"/>
  <c r="CT175" i="4"/>
  <c r="CU174" i="4"/>
  <c r="CT174" i="4"/>
  <c r="CU173" i="4"/>
  <c r="CT173" i="4"/>
  <c r="CU172" i="4"/>
  <c r="CT172" i="4"/>
  <c r="CU171" i="4"/>
  <c r="CT171" i="4"/>
  <c r="CU170" i="4"/>
  <c r="CT170" i="4"/>
  <c r="CU169" i="4"/>
  <c r="CT169" i="4"/>
  <c r="CU168" i="4"/>
  <c r="CT168" i="4"/>
  <c r="CU167" i="4"/>
  <c r="CT167" i="4"/>
  <c r="CU166" i="4"/>
  <c r="CT166" i="4"/>
  <c r="CU165" i="4"/>
  <c r="CT165" i="4"/>
  <c r="CU164" i="4"/>
  <c r="CT164" i="4"/>
  <c r="CU163" i="4"/>
  <c r="CT163" i="4"/>
  <c r="CU162" i="4"/>
  <c r="CT162" i="4"/>
  <c r="CU161" i="4"/>
  <c r="CT161" i="4"/>
  <c r="CU160" i="4"/>
  <c r="CT160" i="4"/>
  <c r="CU159" i="4"/>
  <c r="CT159" i="4"/>
  <c r="CU158" i="4"/>
  <c r="CT158" i="4"/>
  <c r="CU157" i="4"/>
  <c r="CT157" i="4"/>
  <c r="CU156" i="4"/>
  <c r="CT156" i="4"/>
  <c r="CU155" i="4"/>
  <c r="CT155" i="4"/>
  <c r="CU154" i="4"/>
  <c r="CT154" i="4"/>
  <c r="CU153" i="4"/>
  <c r="CT153" i="4"/>
  <c r="CU152" i="4"/>
  <c r="CT152" i="4"/>
  <c r="CU151" i="4"/>
  <c r="CT151" i="4"/>
  <c r="CU150" i="4"/>
  <c r="CT150" i="4"/>
  <c r="CU149" i="4"/>
  <c r="CT149" i="4"/>
  <c r="CU148" i="4"/>
  <c r="CT148" i="4"/>
  <c r="CU147" i="4"/>
  <c r="CT147" i="4"/>
  <c r="CU146" i="4"/>
  <c r="CT146" i="4"/>
  <c r="CU145" i="4"/>
  <c r="CT145" i="4"/>
  <c r="CU144" i="4"/>
  <c r="CT144" i="4"/>
  <c r="CU143" i="4"/>
  <c r="CT143" i="4"/>
  <c r="CU142" i="4"/>
  <c r="CT142" i="4"/>
  <c r="CU141" i="4"/>
  <c r="CT141" i="4"/>
  <c r="CU140" i="4"/>
  <c r="CT140" i="4"/>
  <c r="CU139" i="4"/>
  <c r="CT139" i="4"/>
  <c r="CU138" i="4"/>
  <c r="CT138" i="4"/>
  <c r="CU137" i="4"/>
  <c r="CT137" i="4"/>
  <c r="CU136" i="4"/>
  <c r="CT136" i="4"/>
  <c r="CU135" i="4"/>
  <c r="CT135" i="4"/>
  <c r="CU134" i="4"/>
  <c r="CT134" i="4"/>
  <c r="CU133" i="4"/>
  <c r="CT133" i="4"/>
  <c r="CU132" i="4"/>
  <c r="CT132" i="4"/>
  <c r="CU131" i="4"/>
  <c r="CT131" i="4"/>
  <c r="CU130" i="4"/>
  <c r="CT130" i="4"/>
  <c r="CU129" i="4"/>
  <c r="CT129" i="4"/>
  <c r="CU128" i="4"/>
  <c r="CT128" i="4"/>
  <c r="CU127" i="4"/>
  <c r="CT127" i="4"/>
  <c r="CU126" i="4"/>
  <c r="CT126" i="4"/>
  <c r="CU125" i="4"/>
  <c r="CT125" i="4"/>
  <c r="CU124" i="4"/>
  <c r="CT124" i="4"/>
  <c r="CU123" i="4"/>
  <c r="CT123" i="4"/>
  <c r="CU122" i="4"/>
  <c r="CT122" i="4"/>
  <c r="CU121" i="4"/>
  <c r="CT121" i="4"/>
  <c r="CU120" i="4"/>
  <c r="CT120" i="4"/>
  <c r="CU119" i="4"/>
  <c r="CT119" i="4"/>
  <c r="CU118" i="4"/>
  <c r="CT118" i="4"/>
  <c r="CU117" i="4"/>
  <c r="CT117" i="4"/>
  <c r="CU116" i="4"/>
  <c r="CT116" i="4"/>
  <c r="CU115" i="4"/>
  <c r="CT115" i="4"/>
  <c r="CU114" i="4"/>
  <c r="CT114" i="4"/>
  <c r="CU113" i="4"/>
  <c r="CT113" i="4"/>
  <c r="CU112" i="4"/>
  <c r="CT112" i="4"/>
  <c r="CU111" i="4"/>
  <c r="CT111" i="4"/>
  <c r="CU110" i="4"/>
  <c r="CT110" i="4"/>
  <c r="CU109" i="4"/>
  <c r="CT109" i="4"/>
  <c r="CU108" i="4"/>
  <c r="CT108" i="4"/>
  <c r="CU107" i="4"/>
  <c r="CT107" i="4"/>
  <c r="CU106" i="4"/>
  <c r="CT106" i="4"/>
  <c r="CU105" i="4"/>
  <c r="CT105" i="4"/>
  <c r="CU104" i="4"/>
  <c r="CT104" i="4"/>
  <c r="CU103" i="4"/>
  <c r="CT103" i="4"/>
  <c r="CU102" i="4"/>
  <c r="CT102" i="4"/>
  <c r="CU101" i="4"/>
  <c r="CT101" i="4"/>
  <c r="CU100" i="4"/>
  <c r="CT100" i="4"/>
  <c r="CU99" i="4"/>
  <c r="CT99" i="4"/>
  <c r="CU98" i="4"/>
  <c r="CT98" i="4"/>
  <c r="CU97" i="4"/>
  <c r="CT97" i="4"/>
  <c r="CU96" i="4"/>
  <c r="CT96" i="4"/>
  <c r="CU95" i="4"/>
  <c r="CT95" i="4"/>
  <c r="CU94" i="4"/>
  <c r="CT94" i="4"/>
  <c r="CU93" i="4"/>
  <c r="CT93" i="4"/>
  <c r="CU92" i="4"/>
  <c r="CT92" i="4"/>
  <c r="CU91" i="4"/>
  <c r="CT91" i="4"/>
  <c r="CU90" i="4"/>
  <c r="CT90" i="4"/>
  <c r="CU89" i="4"/>
  <c r="CT89" i="4"/>
  <c r="CU88" i="4"/>
  <c r="CT88" i="4"/>
  <c r="CU87" i="4"/>
  <c r="CT87" i="4"/>
  <c r="CU86" i="4"/>
  <c r="CT86" i="4"/>
  <c r="CU85" i="4"/>
  <c r="CT85" i="4"/>
  <c r="CU84" i="4"/>
  <c r="CT84" i="4"/>
  <c r="CU83" i="4"/>
  <c r="CT83" i="4"/>
  <c r="CU82" i="4"/>
  <c r="CT82" i="4"/>
  <c r="CU81" i="4"/>
  <c r="CT81" i="4"/>
  <c r="CU80" i="4"/>
  <c r="CT80" i="4"/>
  <c r="CU79" i="4"/>
  <c r="CT79" i="4"/>
  <c r="CU78" i="4"/>
  <c r="CT78" i="4"/>
  <c r="CU77" i="4"/>
  <c r="CT77" i="4"/>
  <c r="CU76" i="4"/>
  <c r="CT76" i="4"/>
  <c r="CU75" i="4"/>
  <c r="CT75" i="4"/>
  <c r="CU74" i="4"/>
  <c r="CT74" i="4"/>
  <c r="CU73" i="4"/>
  <c r="CT73" i="4"/>
  <c r="CU72" i="4"/>
  <c r="CT72" i="4"/>
  <c r="CU71" i="4"/>
  <c r="CT71" i="4"/>
  <c r="CU70" i="4"/>
  <c r="CT70" i="4"/>
  <c r="CU69" i="4"/>
  <c r="CT69" i="4"/>
  <c r="CU68" i="4"/>
  <c r="CT68" i="4"/>
  <c r="CU67" i="4"/>
  <c r="CT67" i="4"/>
  <c r="CU66" i="4"/>
  <c r="CT66" i="4"/>
  <c r="CU65" i="4"/>
  <c r="CT65" i="4"/>
  <c r="CU64" i="4"/>
  <c r="CT64" i="4"/>
  <c r="CU63" i="4"/>
  <c r="CT63" i="4"/>
  <c r="CU62" i="4"/>
  <c r="CT62" i="4"/>
  <c r="CU61" i="4"/>
  <c r="CT61" i="4"/>
  <c r="CU60" i="4"/>
  <c r="CT60" i="4"/>
  <c r="CU59" i="4"/>
  <c r="CT59" i="4"/>
  <c r="CU58" i="4"/>
  <c r="CT58" i="4"/>
  <c r="CU57" i="4"/>
  <c r="CT57" i="4"/>
  <c r="CU56" i="4"/>
  <c r="CT56" i="4"/>
  <c r="CU55" i="4"/>
  <c r="CT55" i="4"/>
  <c r="CU54" i="4"/>
  <c r="CT54" i="4"/>
  <c r="CU53" i="4"/>
  <c r="CT53" i="4"/>
  <c r="CU52" i="4"/>
  <c r="CT52" i="4"/>
  <c r="CU51" i="4"/>
  <c r="CT51" i="4"/>
  <c r="CU50" i="4"/>
  <c r="CT50" i="4"/>
  <c r="CU49" i="4"/>
  <c r="CT49" i="4"/>
  <c r="CU48" i="4"/>
  <c r="CT48" i="4"/>
  <c r="CU47" i="4"/>
  <c r="CT47" i="4"/>
  <c r="CU46" i="4"/>
  <c r="CT46" i="4"/>
  <c r="CU45" i="4"/>
  <c r="CT45" i="4"/>
  <c r="CU44" i="4"/>
  <c r="CT44" i="4"/>
  <c r="CU43" i="4"/>
  <c r="CT43" i="4"/>
  <c r="CU42" i="4"/>
  <c r="CT42" i="4"/>
  <c r="CU41" i="4"/>
  <c r="CT41" i="4"/>
  <c r="CU40" i="4"/>
  <c r="CT40" i="4"/>
  <c r="CU39" i="4"/>
  <c r="CT39" i="4"/>
  <c r="CU38" i="4"/>
  <c r="CT38" i="4"/>
  <c r="CU37" i="4"/>
  <c r="CT37" i="4"/>
  <c r="CU36" i="4"/>
  <c r="CT36" i="4"/>
  <c r="CU35" i="4"/>
  <c r="CT35" i="4"/>
  <c r="CU34" i="4"/>
  <c r="CT34" i="4"/>
  <c r="CU33" i="4"/>
  <c r="CT33" i="4"/>
  <c r="CU32" i="4"/>
  <c r="CT32" i="4"/>
  <c r="CU31" i="4"/>
  <c r="CT31" i="4"/>
  <c r="CU30" i="4"/>
  <c r="CT30" i="4"/>
  <c r="CU29" i="4"/>
  <c r="CT29" i="4"/>
  <c r="CU28" i="4"/>
  <c r="CT28" i="4"/>
  <c r="CU27" i="4"/>
  <c r="CT27" i="4"/>
  <c r="CU26" i="4"/>
  <c r="CT26" i="4"/>
  <c r="CU25" i="4"/>
  <c r="CT25" i="4"/>
  <c r="CU24" i="4"/>
  <c r="CT24" i="4"/>
  <c r="CU23" i="4"/>
  <c r="CT23" i="4"/>
  <c r="CU22" i="4"/>
  <c r="CT22" i="4"/>
  <c r="CU21" i="4"/>
  <c r="CT21" i="4"/>
  <c r="CU20" i="4"/>
  <c r="CT20" i="4"/>
  <c r="CU19" i="4"/>
  <c r="CT19" i="4"/>
  <c r="CU18" i="4"/>
  <c r="CT18" i="4"/>
  <c r="CU17" i="4"/>
  <c r="CT17" i="4"/>
  <c r="CU16" i="4"/>
  <c r="CT16" i="4"/>
  <c r="CU15" i="4"/>
  <c r="CT15" i="4"/>
  <c r="CU14" i="4"/>
  <c r="CT14" i="4"/>
  <c r="CU13" i="4"/>
  <c r="CT13" i="4"/>
  <c r="CU12" i="4"/>
  <c r="CT12" i="4"/>
  <c r="CU11" i="4"/>
  <c r="CT11" i="4"/>
  <c r="CU10" i="4"/>
  <c r="CT10" i="4"/>
  <c r="CO300" i="4"/>
  <c r="CN300" i="4"/>
  <c r="CO299" i="4"/>
  <c r="CN299" i="4"/>
  <c r="CO298" i="4"/>
  <c r="CN298" i="4"/>
  <c r="CO297" i="4"/>
  <c r="CN297" i="4"/>
  <c r="CO296" i="4"/>
  <c r="CN296" i="4"/>
  <c r="CO295" i="4"/>
  <c r="CN295" i="4"/>
  <c r="CO294" i="4"/>
  <c r="CN294" i="4"/>
  <c r="CO293" i="4"/>
  <c r="CN293" i="4"/>
  <c r="CO292" i="4"/>
  <c r="CN292" i="4"/>
  <c r="CO291" i="4"/>
  <c r="CN291" i="4"/>
  <c r="CO290" i="4"/>
  <c r="CN290" i="4"/>
  <c r="CO289" i="4"/>
  <c r="CN289" i="4"/>
  <c r="CO288" i="4"/>
  <c r="CN288" i="4"/>
  <c r="CO287" i="4"/>
  <c r="CN287" i="4"/>
  <c r="CO286" i="4"/>
  <c r="CN286" i="4"/>
  <c r="CO285" i="4"/>
  <c r="CN285" i="4"/>
  <c r="CO284" i="4"/>
  <c r="CN284" i="4"/>
  <c r="CO283" i="4"/>
  <c r="CN283" i="4"/>
  <c r="CO282" i="4"/>
  <c r="CN282" i="4"/>
  <c r="CO281" i="4"/>
  <c r="CN281" i="4"/>
  <c r="CO280" i="4"/>
  <c r="CN280" i="4"/>
  <c r="CO279" i="4"/>
  <c r="CN279" i="4"/>
  <c r="CO278" i="4"/>
  <c r="CN278" i="4"/>
  <c r="CO277" i="4"/>
  <c r="CN277" i="4"/>
  <c r="CO276" i="4"/>
  <c r="CN276" i="4"/>
  <c r="CO275" i="4"/>
  <c r="CN275" i="4"/>
  <c r="CO274" i="4"/>
  <c r="CN274" i="4"/>
  <c r="CO273" i="4"/>
  <c r="CN273" i="4"/>
  <c r="CO272" i="4"/>
  <c r="CN272" i="4"/>
  <c r="CO271" i="4"/>
  <c r="CN271" i="4"/>
  <c r="CO270" i="4"/>
  <c r="CN270" i="4"/>
  <c r="CO269" i="4"/>
  <c r="CN269" i="4"/>
  <c r="CO268" i="4"/>
  <c r="CN268" i="4"/>
  <c r="CO267" i="4"/>
  <c r="CN267" i="4"/>
  <c r="CO266" i="4"/>
  <c r="CN266" i="4"/>
  <c r="CO265" i="4"/>
  <c r="CN265" i="4"/>
  <c r="CO264" i="4"/>
  <c r="CN264" i="4"/>
  <c r="CO263" i="4"/>
  <c r="CN263" i="4"/>
  <c r="CO262" i="4"/>
  <c r="CN262" i="4"/>
  <c r="CO261" i="4"/>
  <c r="CN261" i="4"/>
  <c r="CO260" i="4"/>
  <c r="CN260" i="4"/>
  <c r="CO259" i="4"/>
  <c r="CN259" i="4"/>
  <c r="CO258" i="4"/>
  <c r="CN258" i="4"/>
  <c r="CO257" i="4"/>
  <c r="CN257" i="4"/>
  <c r="CO256" i="4"/>
  <c r="CN256" i="4"/>
  <c r="CO255" i="4"/>
  <c r="CN255" i="4"/>
  <c r="CO254" i="4"/>
  <c r="CN254" i="4"/>
  <c r="CO253" i="4"/>
  <c r="CN253" i="4"/>
  <c r="CO252" i="4"/>
  <c r="CN252" i="4"/>
  <c r="CO251" i="4"/>
  <c r="CN251" i="4"/>
  <c r="CO250" i="4"/>
  <c r="CN250" i="4"/>
  <c r="CO249" i="4"/>
  <c r="CN249" i="4"/>
  <c r="CO248" i="4"/>
  <c r="CN248" i="4"/>
  <c r="CO247" i="4"/>
  <c r="CN247" i="4"/>
  <c r="CO246" i="4"/>
  <c r="CN246" i="4"/>
  <c r="CO245" i="4"/>
  <c r="CN245" i="4"/>
  <c r="CO244" i="4"/>
  <c r="CN244" i="4"/>
  <c r="CO243" i="4"/>
  <c r="CN243" i="4"/>
  <c r="CO242" i="4"/>
  <c r="CN242" i="4"/>
  <c r="CO241" i="4"/>
  <c r="CN241" i="4"/>
  <c r="CO240" i="4"/>
  <c r="CN240" i="4"/>
  <c r="CO239" i="4"/>
  <c r="CN239" i="4"/>
  <c r="CO238" i="4"/>
  <c r="CN238" i="4"/>
  <c r="CO237" i="4"/>
  <c r="CN237" i="4"/>
  <c r="CO236" i="4"/>
  <c r="CN236" i="4"/>
  <c r="CO235" i="4"/>
  <c r="CN235" i="4"/>
  <c r="CO234" i="4"/>
  <c r="CN234" i="4"/>
  <c r="CO233" i="4"/>
  <c r="CN233" i="4"/>
  <c r="CO232" i="4"/>
  <c r="CN232" i="4"/>
  <c r="CO231" i="4"/>
  <c r="CN231" i="4"/>
  <c r="CO230" i="4"/>
  <c r="CN230" i="4"/>
  <c r="CO229" i="4"/>
  <c r="CN229" i="4"/>
  <c r="CO228" i="4"/>
  <c r="CN228" i="4"/>
  <c r="CO227" i="4"/>
  <c r="CN227" i="4"/>
  <c r="CO226" i="4"/>
  <c r="CN226" i="4"/>
  <c r="CO225" i="4"/>
  <c r="CN225" i="4"/>
  <c r="CO224" i="4"/>
  <c r="CN224" i="4"/>
  <c r="CO223" i="4"/>
  <c r="CN223" i="4"/>
  <c r="CO222" i="4"/>
  <c r="CN222" i="4"/>
  <c r="CO221" i="4"/>
  <c r="CN221" i="4"/>
  <c r="CO220" i="4"/>
  <c r="CN220" i="4"/>
  <c r="CO219" i="4"/>
  <c r="CN219" i="4"/>
  <c r="CO218" i="4"/>
  <c r="CN218" i="4"/>
  <c r="CO217" i="4"/>
  <c r="CN217" i="4"/>
  <c r="CO216" i="4"/>
  <c r="CN216" i="4"/>
  <c r="CO215" i="4"/>
  <c r="CN215" i="4"/>
  <c r="CO214" i="4"/>
  <c r="CN214" i="4"/>
  <c r="CO213" i="4"/>
  <c r="CN213" i="4"/>
  <c r="CO212" i="4"/>
  <c r="CN212" i="4"/>
  <c r="CO211" i="4"/>
  <c r="CN211" i="4"/>
  <c r="CO210" i="4"/>
  <c r="CN210" i="4"/>
  <c r="CO209" i="4"/>
  <c r="CN209" i="4"/>
  <c r="CO208" i="4"/>
  <c r="CN208" i="4"/>
  <c r="CO207" i="4"/>
  <c r="CN207" i="4"/>
  <c r="CO206" i="4"/>
  <c r="CN206" i="4"/>
  <c r="CO205" i="4"/>
  <c r="CN205" i="4"/>
  <c r="CO204" i="4"/>
  <c r="CN204" i="4"/>
  <c r="CO203" i="4"/>
  <c r="CN203" i="4"/>
  <c r="CO202" i="4"/>
  <c r="CN202" i="4"/>
  <c r="CO201" i="4"/>
  <c r="CN201" i="4"/>
  <c r="CO200" i="4"/>
  <c r="CN200" i="4"/>
  <c r="CO199" i="4"/>
  <c r="CN199" i="4"/>
  <c r="CO198" i="4"/>
  <c r="CN198" i="4"/>
  <c r="CO197" i="4"/>
  <c r="CN197" i="4"/>
  <c r="CO196" i="4"/>
  <c r="CN196" i="4"/>
  <c r="CO195" i="4"/>
  <c r="CN195" i="4"/>
  <c r="CO194" i="4"/>
  <c r="CN194" i="4"/>
  <c r="CO193" i="4"/>
  <c r="CN193" i="4"/>
  <c r="CO192" i="4"/>
  <c r="CN192" i="4"/>
  <c r="CO191" i="4"/>
  <c r="CN191" i="4"/>
  <c r="CO190" i="4"/>
  <c r="CN190" i="4"/>
  <c r="CO189" i="4"/>
  <c r="CN189" i="4"/>
  <c r="CO188" i="4"/>
  <c r="CN188" i="4"/>
  <c r="CO187" i="4"/>
  <c r="CN187" i="4"/>
  <c r="CO186" i="4"/>
  <c r="CN186" i="4"/>
  <c r="CO185" i="4"/>
  <c r="CN185" i="4"/>
  <c r="CO184" i="4"/>
  <c r="CN184" i="4"/>
  <c r="CO183" i="4"/>
  <c r="CN183" i="4"/>
  <c r="CO182" i="4"/>
  <c r="CN182" i="4"/>
  <c r="CO181" i="4"/>
  <c r="CN181" i="4"/>
  <c r="CO180" i="4"/>
  <c r="CN180" i="4"/>
  <c r="CO179" i="4"/>
  <c r="CN179" i="4"/>
  <c r="CO178" i="4"/>
  <c r="CN178" i="4"/>
  <c r="CO177" i="4"/>
  <c r="CN177" i="4"/>
  <c r="CO176" i="4"/>
  <c r="CN176" i="4"/>
  <c r="CO175" i="4"/>
  <c r="CN175" i="4"/>
  <c r="CO174" i="4"/>
  <c r="CN174" i="4"/>
  <c r="CO173" i="4"/>
  <c r="CN173" i="4"/>
  <c r="CO172" i="4"/>
  <c r="CN172" i="4"/>
  <c r="CO171" i="4"/>
  <c r="CN171" i="4"/>
  <c r="CO170" i="4"/>
  <c r="CN170" i="4"/>
  <c r="CO169" i="4"/>
  <c r="CN169" i="4"/>
  <c r="CO168" i="4"/>
  <c r="CN168" i="4"/>
  <c r="CO167" i="4"/>
  <c r="CN167" i="4"/>
  <c r="CO166" i="4"/>
  <c r="CN166" i="4"/>
  <c r="CO165" i="4"/>
  <c r="CN165" i="4"/>
  <c r="CO164" i="4"/>
  <c r="CN164" i="4"/>
  <c r="CO163" i="4"/>
  <c r="CN163" i="4"/>
  <c r="CO162" i="4"/>
  <c r="CN162" i="4"/>
  <c r="CO161" i="4"/>
  <c r="CN161" i="4"/>
  <c r="CO160" i="4"/>
  <c r="CN160" i="4"/>
  <c r="CO159" i="4"/>
  <c r="CN159" i="4"/>
  <c r="CO158" i="4"/>
  <c r="CN158" i="4"/>
  <c r="CO157" i="4"/>
  <c r="CN157" i="4"/>
  <c r="CO156" i="4"/>
  <c r="CN156" i="4"/>
  <c r="CO155" i="4"/>
  <c r="CN155" i="4"/>
  <c r="CO154" i="4"/>
  <c r="CN154" i="4"/>
  <c r="CO153" i="4"/>
  <c r="CN153" i="4"/>
  <c r="CO152" i="4"/>
  <c r="CN152" i="4"/>
  <c r="CO151" i="4"/>
  <c r="CN151" i="4"/>
  <c r="CO150" i="4"/>
  <c r="CN150" i="4"/>
  <c r="CO149" i="4"/>
  <c r="CN149" i="4"/>
  <c r="CO148" i="4"/>
  <c r="CN148" i="4"/>
  <c r="CO147" i="4"/>
  <c r="CN147" i="4"/>
  <c r="CO146" i="4"/>
  <c r="CN146" i="4"/>
  <c r="CO145" i="4"/>
  <c r="CN145" i="4"/>
  <c r="CO144" i="4"/>
  <c r="CN144" i="4"/>
  <c r="CO143" i="4"/>
  <c r="CN143" i="4"/>
  <c r="CO142" i="4"/>
  <c r="CN142" i="4"/>
  <c r="CO141" i="4"/>
  <c r="CN141" i="4"/>
  <c r="CO140" i="4"/>
  <c r="CN140" i="4"/>
  <c r="CO139" i="4"/>
  <c r="CN139" i="4"/>
  <c r="CO138" i="4"/>
  <c r="CN138" i="4"/>
  <c r="CO137" i="4"/>
  <c r="CN137" i="4"/>
  <c r="CO136" i="4"/>
  <c r="CN136" i="4"/>
  <c r="CO135" i="4"/>
  <c r="CN135" i="4"/>
  <c r="CO134" i="4"/>
  <c r="CN134" i="4"/>
  <c r="CO133" i="4"/>
  <c r="CN133" i="4"/>
  <c r="CO132" i="4"/>
  <c r="CN132" i="4"/>
  <c r="CO131" i="4"/>
  <c r="CN131" i="4"/>
  <c r="CO130" i="4"/>
  <c r="CN130" i="4"/>
  <c r="CO129" i="4"/>
  <c r="CN129" i="4"/>
  <c r="CO128" i="4"/>
  <c r="CN128" i="4"/>
  <c r="CO127" i="4"/>
  <c r="CN127" i="4"/>
  <c r="CO126" i="4"/>
  <c r="CN126" i="4"/>
  <c r="CO125" i="4"/>
  <c r="CN125" i="4"/>
  <c r="CO124" i="4"/>
  <c r="CN124" i="4"/>
  <c r="CO123" i="4"/>
  <c r="CN123" i="4"/>
  <c r="CO122" i="4"/>
  <c r="CN122" i="4"/>
  <c r="CO121" i="4"/>
  <c r="CN121" i="4"/>
  <c r="CO120" i="4"/>
  <c r="CN120" i="4"/>
  <c r="CO119" i="4"/>
  <c r="CN119" i="4"/>
  <c r="CO118" i="4"/>
  <c r="CN118" i="4"/>
  <c r="CO117" i="4"/>
  <c r="CN117" i="4"/>
  <c r="CO116" i="4"/>
  <c r="CN116" i="4"/>
  <c r="CO115" i="4"/>
  <c r="CN115" i="4"/>
  <c r="CO114" i="4"/>
  <c r="CN114" i="4"/>
  <c r="CO113" i="4"/>
  <c r="CN113" i="4"/>
  <c r="CO112" i="4"/>
  <c r="CN112" i="4"/>
  <c r="CO111" i="4"/>
  <c r="CN111" i="4"/>
  <c r="CO110" i="4"/>
  <c r="CN110" i="4"/>
  <c r="CO109" i="4"/>
  <c r="CN109" i="4"/>
  <c r="CO108" i="4"/>
  <c r="CN108" i="4"/>
  <c r="CO107" i="4"/>
  <c r="CN107" i="4"/>
  <c r="CO106" i="4"/>
  <c r="CN106" i="4"/>
  <c r="CO105" i="4"/>
  <c r="CN105" i="4"/>
  <c r="CO104" i="4"/>
  <c r="CN104" i="4"/>
  <c r="CO103" i="4"/>
  <c r="CN103" i="4"/>
  <c r="CO102" i="4"/>
  <c r="CN102" i="4"/>
  <c r="CO101" i="4"/>
  <c r="CN101" i="4"/>
  <c r="CO100" i="4"/>
  <c r="CN100" i="4"/>
  <c r="CO99" i="4"/>
  <c r="CN99" i="4"/>
  <c r="CO98" i="4"/>
  <c r="CN98" i="4"/>
  <c r="CO97" i="4"/>
  <c r="CN97" i="4"/>
  <c r="CO96" i="4"/>
  <c r="CN96" i="4"/>
  <c r="CO95" i="4"/>
  <c r="CN95" i="4"/>
  <c r="CO94" i="4"/>
  <c r="CN94" i="4"/>
  <c r="CO93" i="4"/>
  <c r="CN93" i="4"/>
  <c r="CO92" i="4"/>
  <c r="CN92" i="4"/>
  <c r="CO91" i="4"/>
  <c r="CN91" i="4"/>
  <c r="CO90" i="4"/>
  <c r="CN90" i="4"/>
  <c r="CO89" i="4"/>
  <c r="CN89" i="4"/>
  <c r="CO88" i="4"/>
  <c r="CN88" i="4"/>
  <c r="CO87" i="4"/>
  <c r="CN87" i="4"/>
  <c r="CO86" i="4"/>
  <c r="CN86" i="4"/>
  <c r="CO85" i="4"/>
  <c r="CN85" i="4"/>
  <c r="CO84" i="4"/>
  <c r="CN84" i="4"/>
  <c r="CO83" i="4"/>
  <c r="CN83" i="4"/>
  <c r="CO82" i="4"/>
  <c r="CN82" i="4"/>
  <c r="CO81" i="4"/>
  <c r="CN81" i="4"/>
  <c r="CO80" i="4"/>
  <c r="CN80" i="4"/>
  <c r="CO79" i="4"/>
  <c r="CN79" i="4"/>
  <c r="CO78" i="4"/>
  <c r="CN78" i="4"/>
  <c r="CO77" i="4"/>
  <c r="CN77" i="4"/>
  <c r="CO76" i="4"/>
  <c r="CN76" i="4"/>
  <c r="CO75" i="4"/>
  <c r="CN75" i="4"/>
  <c r="CO74" i="4"/>
  <c r="CN74" i="4"/>
  <c r="CO73" i="4"/>
  <c r="CN73" i="4"/>
  <c r="CO72" i="4"/>
  <c r="CN72" i="4"/>
  <c r="CO71" i="4"/>
  <c r="CN71" i="4"/>
  <c r="CO70" i="4"/>
  <c r="CN70" i="4"/>
  <c r="CO69" i="4"/>
  <c r="CN69" i="4"/>
  <c r="CO68" i="4"/>
  <c r="CN68" i="4"/>
  <c r="CO67" i="4"/>
  <c r="CN67" i="4"/>
  <c r="CO66" i="4"/>
  <c r="CN66" i="4"/>
  <c r="CO65" i="4"/>
  <c r="CN65" i="4"/>
  <c r="CO64" i="4"/>
  <c r="CN64" i="4"/>
  <c r="CO63" i="4"/>
  <c r="CN63" i="4"/>
  <c r="CO62" i="4"/>
  <c r="CN62" i="4"/>
  <c r="CO61" i="4"/>
  <c r="CN61" i="4"/>
  <c r="CO60" i="4"/>
  <c r="CN60" i="4"/>
  <c r="CO59" i="4"/>
  <c r="CN59" i="4"/>
  <c r="CO58" i="4"/>
  <c r="CN58" i="4"/>
  <c r="CO57" i="4"/>
  <c r="CN57" i="4"/>
  <c r="CO56" i="4"/>
  <c r="CN56" i="4"/>
  <c r="CO55" i="4"/>
  <c r="CN55" i="4"/>
  <c r="CO54" i="4"/>
  <c r="CN54" i="4"/>
  <c r="CO53" i="4"/>
  <c r="CN53" i="4"/>
  <c r="CO52" i="4"/>
  <c r="CN52" i="4"/>
  <c r="CO51" i="4"/>
  <c r="CN51" i="4"/>
  <c r="CO50" i="4"/>
  <c r="CN50" i="4"/>
  <c r="CO49" i="4"/>
  <c r="CN49" i="4"/>
  <c r="CO48" i="4"/>
  <c r="CN48" i="4"/>
  <c r="CO47" i="4"/>
  <c r="CN47" i="4"/>
  <c r="CO46" i="4"/>
  <c r="CN46" i="4"/>
  <c r="CO45" i="4"/>
  <c r="CN45" i="4"/>
  <c r="CO44" i="4"/>
  <c r="CN44" i="4"/>
  <c r="CO43" i="4"/>
  <c r="CN43" i="4"/>
  <c r="CO42" i="4"/>
  <c r="CN42" i="4"/>
  <c r="CO41" i="4"/>
  <c r="CN41" i="4"/>
  <c r="CO40" i="4"/>
  <c r="CN40" i="4"/>
  <c r="CO39" i="4"/>
  <c r="CN39" i="4"/>
  <c r="CO38" i="4"/>
  <c r="CN38" i="4"/>
  <c r="CO37" i="4"/>
  <c r="CN37" i="4"/>
  <c r="CO36" i="4"/>
  <c r="CN36" i="4"/>
  <c r="CO35" i="4"/>
  <c r="CN35" i="4"/>
  <c r="CO34" i="4"/>
  <c r="CN34" i="4"/>
  <c r="CO33" i="4"/>
  <c r="CN33" i="4"/>
  <c r="CO32" i="4"/>
  <c r="CN32" i="4"/>
  <c r="CO31" i="4"/>
  <c r="CN31" i="4"/>
  <c r="CO30" i="4"/>
  <c r="CN30" i="4"/>
  <c r="CO29" i="4"/>
  <c r="CN29" i="4"/>
  <c r="CO28" i="4"/>
  <c r="CN28" i="4"/>
  <c r="CO27" i="4"/>
  <c r="CN27" i="4"/>
  <c r="CO26" i="4"/>
  <c r="CN26" i="4"/>
  <c r="CO25" i="4"/>
  <c r="CN25" i="4"/>
  <c r="CO24" i="4"/>
  <c r="CN24" i="4"/>
  <c r="CO23" i="4"/>
  <c r="CN23" i="4"/>
  <c r="CO22" i="4"/>
  <c r="CN22" i="4"/>
  <c r="CO21" i="4"/>
  <c r="CN21" i="4"/>
  <c r="CO20" i="4"/>
  <c r="CN20" i="4"/>
  <c r="CO19" i="4"/>
  <c r="CN19" i="4"/>
  <c r="CO18" i="4"/>
  <c r="CN18" i="4"/>
  <c r="CO17" i="4"/>
  <c r="CN17" i="4"/>
  <c r="CO16" i="4"/>
  <c r="CN16" i="4"/>
  <c r="CO15" i="4"/>
  <c r="CN15" i="4"/>
  <c r="CO14" i="4"/>
  <c r="CN14" i="4"/>
  <c r="CO13" i="4"/>
  <c r="CN13" i="4"/>
  <c r="CO12" i="4"/>
  <c r="CN12" i="4"/>
  <c r="CO11" i="4"/>
  <c r="CN11" i="4"/>
  <c r="CO10" i="4"/>
  <c r="CN10" i="4"/>
  <c r="CH300" i="4"/>
  <c r="CG300" i="4"/>
  <c r="CH299" i="4"/>
  <c r="CG299" i="4"/>
  <c r="CH298" i="4"/>
  <c r="CG298" i="4"/>
  <c r="CH297" i="4"/>
  <c r="CG297" i="4"/>
  <c r="CH296" i="4"/>
  <c r="CG296" i="4"/>
  <c r="CH295" i="4"/>
  <c r="CG295" i="4"/>
  <c r="CH294" i="4"/>
  <c r="CG294" i="4"/>
  <c r="CH293" i="4"/>
  <c r="CG293" i="4"/>
  <c r="CH292" i="4"/>
  <c r="CG292" i="4"/>
  <c r="CH291" i="4"/>
  <c r="CG291" i="4"/>
  <c r="CH290" i="4"/>
  <c r="CG290" i="4"/>
  <c r="CH289" i="4"/>
  <c r="CG289" i="4"/>
  <c r="CH288" i="4"/>
  <c r="CG288" i="4"/>
  <c r="CH287" i="4"/>
  <c r="CG287" i="4"/>
  <c r="CH286" i="4"/>
  <c r="CG286" i="4"/>
  <c r="CH285" i="4"/>
  <c r="CG285" i="4"/>
  <c r="CH284" i="4"/>
  <c r="CG284" i="4"/>
  <c r="CH283" i="4"/>
  <c r="CG283" i="4"/>
  <c r="CH282" i="4"/>
  <c r="CG282" i="4"/>
  <c r="CH281" i="4"/>
  <c r="CG281" i="4"/>
  <c r="CH280" i="4"/>
  <c r="CG280" i="4"/>
  <c r="CH279" i="4"/>
  <c r="CG279" i="4"/>
  <c r="CH278" i="4"/>
  <c r="CG278" i="4"/>
  <c r="CH277" i="4"/>
  <c r="CG277" i="4"/>
  <c r="CH276" i="4"/>
  <c r="CG276" i="4"/>
  <c r="CH275" i="4"/>
  <c r="CG275" i="4"/>
  <c r="CH274" i="4"/>
  <c r="CG274" i="4"/>
  <c r="CH273" i="4"/>
  <c r="CG273" i="4"/>
  <c r="CH272" i="4"/>
  <c r="CG272" i="4"/>
  <c r="CH271" i="4"/>
  <c r="CG271" i="4"/>
  <c r="CH270" i="4"/>
  <c r="CG270" i="4"/>
  <c r="CH269" i="4"/>
  <c r="CG269" i="4"/>
  <c r="CH268" i="4"/>
  <c r="CG268" i="4"/>
  <c r="CH267" i="4"/>
  <c r="CG267" i="4"/>
  <c r="CH266" i="4"/>
  <c r="CG266" i="4"/>
  <c r="CH265" i="4"/>
  <c r="CG265" i="4"/>
  <c r="CH264" i="4"/>
  <c r="CG264" i="4"/>
  <c r="CH263" i="4"/>
  <c r="CG263" i="4"/>
  <c r="CH262" i="4"/>
  <c r="CG262" i="4"/>
  <c r="CH261" i="4"/>
  <c r="CG261" i="4"/>
  <c r="CH260" i="4"/>
  <c r="CG260" i="4"/>
  <c r="CH259" i="4"/>
  <c r="CG259" i="4"/>
  <c r="CH258" i="4"/>
  <c r="CG258" i="4"/>
  <c r="CH257" i="4"/>
  <c r="CG257" i="4"/>
  <c r="CH256" i="4"/>
  <c r="CG256" i="4"/>
  <c r="CH255" i="4"/>
  <c r="CG255" i="4"/>
  <c r="CH254" i="4"/>
  <c r="CG254" i="4"/>
  <c r="CH253" i="4"/>
  <c r="CG253" i="4"/>
  <c r="CH252" i="4"/>
  <c r="CG252" i="4"/>
  <c r="CH251" i="4"/>
  <c r="CG251" i="4"/>
  <c r="CH250" i="4"/>
  <c r="CG250" i="4"/>
  <c r="CH249" i="4"/>
  <c r="CG249" i="4"/>
  <c r="CH248" i="4"/>
  <c r="CG248" i="4"/>
  <c r="CH247" i="4"/>
  <c r="CG247" i="4"/>
  <c r="CH246" i="4"/>
  <c r="CG246" i="4"/>
  <c r="CH245" i="4"/>
  <c r="CG245" i="4"/>
  <c r="CH244" i="4"/>
  <c r="CG244" i="4"/>
  <c r="CH243" i="4"/>
  <c r="CG243" i="4"/>
  <c r="CH242" i="4"/>
  <c r="CG242" i="4"/>
  <c r="CH241" i="4"/>
  <c r="CG241" i="4"/>
  <c r="CH240" i="4"/>
  <c r="CG240" i="4"/>
  <c r="CH239" i="4"/>
  <c r="CG239" i="4"/>
  <c r="CH238" i="4"/>
  <c r="CG238" i="4"/>
  <c r="CH237" i="4"/>
  <c r="CG237" i="4"/>
  <c r="CH236" i="4"/>
  <c r="CG236" i="4"/>
  <c r="CH235" i="4"/>
  <c r="CG235" i="4"/>
  <c r="CH234" i="4"/>
  <c r="CG234" i="4"/>
  <c r="CH233" i="4"/>
  <c r="CG233" i="4"/>
  <c r="CH232" i="4"/>
  <c r="CG232" i="4"/>
  <c r="CH231" i="4"/>
  <c r="CG231" i="4"/>
  <c r="CH230" i="4"/>
  <c r="CG230" i="4"/>
  <c r="CH229" i="4"/>
  <c r="CG229" i="4"/>
  <c r="CH228" i="4"/>
  <c r="CG228" i="4"/>
  <c r="CH227" i="4"/>
  <c r="CG227" i="4"/>
  <c r="CH226" i="4"/>
  <c r="CG226" i="4"/>
  <c r="CH225" i="4"/>
  <c r="CG225" i="4"/>
  <c r="CH224" i="4"/>
  <c r="CG224" i="4"/>
  <c r="CH223" i="4"/>
  <c r="CG223" i="4"/>
  <c r="CH222" i="4"/>
  <c r="CG222" i="4"/>
  <c r="CH221" i="4"/>
  <c r="CG221" i="4"/>
  <c r="CH220" i="4"/>
  <c r="CG220" i="4"/>
  <c r="CH219" i="4"/>
  <c r="CG219" i="4"/>
  <c r="CH218" i="4"/>
  <c r="CG218" i="4"/>
  <c r="CH217" i="4"/>
  <c r="CG217" i="4"/>
  <c r="CH216" i="4"/>
  <c r="CG216" i="4"/>
  <c r="CH215" i="4"/>
  <c r="CG215" i="4"/>
  <c r="CH214" i="4"/>
  <c r="CG214" i="4"/>
  <c r="CH213" i="4"/>
  <c r="CG213" i="4"/>
  <c r="CH212" i="4"/>
  <c r="CG212" i="4"/>
  <c r="CH211" i="4"/>
  <c r="CG211" i="4"/>
  <c r="CH210" i="4"/>
  <c r="CG210" i="4"/>
  <c r="CH209" i="4"/>
  <c r="CG209" i="4"/>
  <c r="CH208" i="4"/>
  <c r="CG208" i="4"/>
  <c r="CH207" i="4"/>
  <c r="CG207" i="4"/>
  <c r="CH206" i="4"/>
  <c r="CG206" i="4"/>
  <c r="CH205" i="4"/>
  <c r="CG205" i="4"/>
  <c r="CH204" i="4"/>
  <c r="CG204" i="4"/>
  <c r="CH203" i="4"/>
  <c r="CG203" i="4"/>
  <c r="CH202" i="4"/>
  <c r="CG202" i="4"/>
  <c r="CH201" i="4"/>
  <c r="CG201" i="4"/>
  <c r="CH200" i="4"/>
  <c r="CG200" i="4"/>
  <c r="CH199" i="4"/>
  <c r="CG199" i="4"/>
  <c r="CH198" i="4"/>
  <c r="CG198" i="4"/>
  <c r="CH197" i="4"/>
  <c r="CG197" i="4"/>
  <c r="CH196" i="4"/>
  <c r="CG196" i="4"/>
  <c r="CH195" i="4"/>
  <c r="CG195" i="4"/>
  <c r="CH194" i="4"/>
  <c r="CG194" i="4"/>
  <c r="CH193" i="4"/>
  <c r="CG193" i="4"/>
  <c r="CH192" i="4"/>
  <c r="CG192" i="4"/>
  <c r="CH191" i="4"/>
  <c r="CG191" i="4"/>
  <c r="CH190" i="4"/>
  <c r="CG190" i="4"/>
  <c r="CH189" i="4"/>
  <c r="CG189" i="4"/>
  <c r="CH188" i="4"/>
  <c r="CG188" i="4"/>
  <c r="CH187" i="4"/>
  <c r="CG187" i="4"/>
  <c r="CH186" i="4"/>
  <c r="CG186" i="4"/>
  <c r="CH185" i="4"/>
  <c r="CG185" i="4"/>
  <c r="CH184" i="4"/>
  <c r="CG184" i="4"/>
  <c r="CH183" i="4"/>
  <c r="CG183" i="4"/>
  <c r="CH182" i="4"/>
  <c r="CG182" i="4"/>
  <c r="CH181" i="4"/>
  <c r="CG181" i="4"/>
  <c r="CH180" i="4"/>
  <c r="CG180" i="4"/>
  <c r="CH179" i="4"/>
  <c r="CG179" i="4"/>
  <c r="CH178" i="4"/>
  <c r="CG178" i="4"/>
  <c r="CH177" i="4"/>
  <c r="CG177" i="4"/>
  <c r="CH176" i="4"/>
  <c r="CG176" i="4"/>
  <c r="CH175" i="4"/>
  <c r="CG175" i="4"/>
  <c r="CH174" i="4"/>
  <c r="CG174" i="4"/>
  <c r="CH173" i="4"/>
  <c r="CG173" i="4"/>
  <c r="CH172" i="4"/>
  <c r="CG172" i="4"/>
  <c r="CH171" i="4"/>
  <c r="CG171" i="4"/>
  <c r="CH170" i="4"/>
  <c r="CG170" i="4"/>
  <c r="CH169" i="4"/>
  <c r="CG169" i="4"/>
  <c r="CH168" i="4"/>
  <c r="CG168" i="4"/>
  <c r="CH167" i="4"/>
  <c r="CG167" i="4"/>
  <c r="CH166" i="4"/>
  <c r="CG166" i="4"/>
  <c r="CH165" i="4"/>
  <c r="CG165" i="4"/>
  <c r="CH164" i="4"/>
  <c r="CG164" i="4"/>
  <c r="CH163" i="4"/>
  <c r="CG163" i="4"/>
  <c r="CH162" i="4"/>
  <c r="CG162" i="4"/>
  <c r="CH161" i="4"/>
  <c r="CG161" i="4"/>
  <c r="CH160" i="4"/>
  <c r="CG160" i="4"/>
  <c r="CH159" i="4"/>
  <c r="CG159" i="4"/>
  <c r="CH158" i="4"/>
  <c r="CG158" i="4"/>
  <c r="CH157" i="4"/>
  <c r="CG157" i="4"/>
  <c r="CH156" i="4"/>
  <c r="CG156" i="4"/>
  <c r="CH155" i="4"/>
  <c r="CG155" i="4"/>
  <c r="CH154" i="4"/>
  <c r="CG154" i="4"/>
  <c r="CH153" i="4"/>
  <c r="CG153" i="4"/>
  <c r="CH152" i="4"/>
  <c r="CG152" i="4"/>
  <c r="CH151" i="4"/>
  <c r="CG151" i="4"/>
  <c r="CH150" i="4"/>
  <c r="CG150" i="4"/>
  <c r="CH149" i="4"/>
  <c r="CG149" i="4"/>
  <c r="CH148" i="4"/>
  <c r="CG148" i="4"/>
  <c r="CH147" i="4"/>
  <c r="CG147" i="4"/>
  <c r="CH146" i="4"/>
  <c r="CG146" i="4"/>
  <c r="CH145" i="4"/>
  <c r="CG145" i="4"/>
  <c r="CH144" i="4"/>
  <c r="CG144" i="4"/>
  <c r="CH143" i="4"/>
  <c r="CG143" i="4"/>
  <c r="CH142" i="4"/>
  <c r="CG142" i="4"/>
  <c r="CH141" i="4"/>
  <c r="CG141" i="4"/>
  <c r="CH140" i="4"/>
  <c r="CG140" i="4"/>
  <c r="CH139" i="4"/>
  <c r="CG139" i="4"/>
  <c r="CH138" i="4"/>
  <c r="CG138" i="4"/>
  <c r="CH137" i="4"/>
  <c r="CG137" i="4"/>
  <c r="CH136" i="4"/>
  <c r="CG136" i="4"/>
  <c r="CH135" i="4"/>
  <c r="CG135" i="4"/>
  <c r="CH134" i="4"/>
  <c r="CG134" i="4"/>
  <c r="CH133" i="4"/>
  <c r="CG133" i="4"/>
  <c r="CH132" i="4"/>
  <c r="CG132" i="4"/>
  <c r="CH131" i="4"/>
  <c r="CG131" i="4"/>
  <c r="CH130" i="4"/>
  <c r="CG130" i="4"/>
  <c r="CH129" i="4"/>
  <c r="CG129" i="4"/>
  <c r="CH128" i="4"/>
  <c r="CG128" i="4"/>
  <c r="CH127" i="4"/>
  <c r="CG127" i="4"/>
  <c r="CH126" i="4"/>
  <c r="CG126" i="4"/>
  <c r="CH125" i="4"/>
  <c r="CG125" i="4"/>
  <c r="CH124" i="4"/>
  <c r="CG124" i="4"/>
  <c r="CH123" i="4"/>
  <c r="CG123" i="4"/>
  <c r="CH122" i="4"/>
  <c r="CG122" i="4"/>
  <c r="CH121" i="4"/>
  <c r="CG121" i="4"/>
  <c r="CH120" i="4"/>
  <c r="CG120" i="4"/>
  <c r="CH119" i="4"/>
  <c r="CG119" i="4"/>
  <c r="CH118" i="4"/>
  <c r="CG118" i="4"/>
  <c r="CH117" i="4"/>
  <c r="CG117" i="4"/>
  <c r="CH116" i="4"/>
  <c r="CG116" i="4"/>
  <c r="CH115" i="4"/>
  <c r="CG115" i="4"/>
  <c r="CH114" i="4"/>
  <c r="CG114" i="4"/>
  <c r="CH113" i="4"/>
  <c r="CG113" i="4"/>
  <c r="CH112" i="4"/>
  <c r="CG112" i="4"/>
  <c r="CH111" i="4"/>
  <c r="CG111" i="4"/>
  <c r="CH110" i="4"/>
  <c r="CG110" i="4"/>
  <c r="CH109" i="4"/>
  <c r="CG109" i="4"/>
  <c r="CH108" i="4"/>
  <c r="CG108" i="4"/>
  <c r="CH107" i="4"/>
  <c r="CG107" i="4"/>
  <c r="CH106" i="4"/>
  <c r="CG106" i="4"/>
  <c r="CH105" i="4"/>
  <c r="CG105" i="4"/>
  <c r="CH104" i="4"/>
  <c r="CG104" i="4"/>
  <c r="CH103" i="4"/>
  <c r="CG103" i="4"/>
  <c r="CH102" i="4"/>
  <c r="CG102" i="4"/>
  <c r="CH101" i="4"/>
  <c r="CG101" i="4"/>
  <c r="CH100" i="4"/>
  <c r="CG100" i="4"/>
  <c r="CH99" i="4"/>
  <c r="CG99" i="4"/>
  <c r="CH98" i="4"/>
  <c r="CG98" i="4"/>
  <c r="CH97" i="4"/>
  <c r="CG97" i="4"/>
  <c r="CH96" i="4"/>
  <c r="CG96" i="4"/>
  <c r="CH95" i="4"/>
  <c r="CG95" i="4"/>
  <c r="CH94" i="4"/>
  <c r="CG94" i="4"/>
  <c r="CH93" i="4"/>
  <c r="CG93" i="4"/>
  <c r="CH92" i="4"/>
  <c r="CG92" i="4"/>
  <c r="CH91" i="4"/>
  <c r="CG91" i="4"/>
  <c r="CH90" i="4"/>
  <c r="CG90" i="4"/>
  <c r="CH89" i="4"/>
  <c r="CG89" i="4"/>
  <c r="CH88" i="4"/>
  <c r="CG88" i="4"/>
  <c r="CH87" i="4"/>
  <c r="CG87" i="4"/>
  <c r="CH86" i="4"/>
  <c r="CG86" i="4"/>
  <c r="CH85" i="4"/>
  <c r="CG85" i="4"/>
  <c r="CH84" i="4"/>
  <c r="CG84" i="4"/>
  <c r="CH83" i="4"/>
  <c r="CG83" i="4"/>
  <c r="CH82" i="4"/>
  <c r="CG82" i="4"/>
  <c r="CH81" i="4"/>
  <c r="CG81" i="4"/>
  <c r="CH80" i="4"/>
  <c r="CG80" i="4"/>
  <c r="CH79" i="4"/>
  <c r="CG79" i="4"/>
  <c r="CH78" i="4"/>
  <c r="CG78" i="4"/>
  <c r="CH77" i="4"/>
  <c r="CG77" i="4"/>
  <c r="CH76" i="4"/>
  <c r="CG76" i="4"/>
  <c r="CH75" i="4"/>
  <c r="CG75" i="4"/>
  <c r="CH74" i="4"/>
  <c r="CG74" i="4"/>
  <c r="CH73" i="4"/>
  <c r="CG73" i="4"/>
  <c r="CH72" i="4"/>
  <c r="CG72" i="4"/>
  <c r="CH71" i="4"/>
  <c r="CG71" i="4"/>
  <c r="CH70" i="4"/>
  <c r="CG70" i="4"/>
  <c r="CH69" i="4"/>
  <c r="CG69" i="4"/>
  <c r="CH68" i="4"/>
  <c r="CG68" i="4"/>
  <c r="CH67" i="4"/>
  <c r="CG67" i="4"/>
  <c r="CH66" i="4"/>
  <c r="CG66" i="4"/>
  <c r="CH65" i="4"/>
  <c r="CG65" i="4"/>
  <c r="CH64" i="4"/>
  <c r="CG64" i="4"/>
  <c r="CH63" i="4"/>
  <c r="CG63" i="4"/>
  <c r="CH62" i="4"/>
  <c r="CG62" i="4"/>
  <c r="CH61" i="4"/>
  <c r="CG61" i="4"/>
  <c r="CH60" i="4"/>
  <c r="CG60" i="4"/>
  <c r="CH59" i="4"/>
  <c r="CG59" i="4"/>
  <c r="CH58" i="4"/>
  <c r="CG58" i="4"/>
  <c r="CH57" i="4"/>
  <c r="CG57" i="4"/>
  <c r="CH56" i="4"/>
  <c r="CG56" i="4"/>
  <c r="CH55" i="4"/>
  <c r="CG55" i="4"/>
  <c r="CH54" i="4"/>
  <c r="CG54" i="4"/>
  <c r="CH53" i="4"/>
  <c r="CG53" i="4"/>
  <c r="CH52" i="4"/>
  <c r="CG52" i="4"/>
  <c r="CH51" i="4"/>
  <c r="CG51" i="4"/>
  <c r="CH50" i="4"/>
  <c r="CG50" i="4"/>
  <c r="CH49" i="4"/>
  <c r="CG49" i="4"/>
  <c r="CH48" i="4"/>
  <c r="CG48" i="4"/>
  <c r="CH47" i="4"/>
  <c r="CG47" i="4"/>
  <c r="CH46" i="4"/>
  <c r="CG46" i="4"/>
  <c r="CH45" i="4"/>
  <c r="CG45" i="4"/>
  <c r="CH44" i="4"/>
  <c r="CG44" i="4"/>
  <c r="CH43" i="4"/>
  <c r="CG43" i="4"/>
  <c r="CH42" i="4"/>
  <c r="CG42" i="4"/>
  <c r="CH41" i="4"/>
  <c r="CG41" i="4"/>
  <c r="CH40" i="4"/>
  <c r="CG40" i="4"/>
  <c r="CH39" i="4"/>
  <c r="CG39" i="4"/>
  <c r="CH38" i="4"/>
  <c r="CG38" i="4"/>
  <c r="CH37" i="4"/>
  <c r="CG37" i="4"/>
  <c r="CH36" i="4"/>
  <c r="CG36" i="4"/>
  <c r="CH35" i="4"/>
  <c r="CG35" i="4"/>
  <c r="CH34" i="4"/>
  <c r="CG34" i="4"/>
  <c r="CH33" i="4"/>
  <c r="CG33" i="4"/>
  <c r="CH32" i="4"/>
  <c r="CG32" i="4"/>
  <c r="CH31" i="4"/>
  <c r="CG31" i="4"/>
  <c r="CH30" i="4"/>
  <c r="CG30" i="4"/>
  <c r="CH29" i="4"/>
  <c r="CG29" i="4"/>
  <c r="CH28" i="4"/>
  <c r="CG28" i="4"/>
  <c r="CH27" i="4"/>
  <c r="CG27" i="4"/>
  <c r="CH26" i="4"/>
  <c r="CG26" i="4"/>
  <c r="CH25" i="4"/>
  <c r="CG25" i="4"/>
  <c r="CH24" i="4"/>
  <c r="CG24" i="4"/>
  <c r="CH23" i="4"/>
  <c r="CG23" i="4"/>
  <c r="CH22" i="4"/>
  <c r="CG22" i="4"/>
  <c r="CH21" i="4"/>
  <c r="CG21" i="4"/>
  <c r="CH20" i="4"/>
  <c r="CG20" i="4"/>
  <c r="CH19" i="4"/>
  <c r="CG19" i="4"/>
  <c r="CH18" i="4"/>
  <c r="CG18" i="4"/>
  <c r="CH17" i="4"/>
  <c r="CG17" i="4"/>
  <c r="CH16" i="4"/>
  <c r="CG16" i="4"/>
  <c r="CH15" i="4"/>
  <c r="CG15" i="4"/>
  <c r="CH14" i="4"/>
  <c r="CG14" i="4"/>
  <c r="CH13" i="4"/>
  <c r="CG13" i="4"/>
  <c r="CH12" i="4"/>
  <c r="CG12" i="4"/>
  <c r="CH11" i="4"/>
  <c r="CG11" i="4"/>
  <c r="CH10" i="4"/>
  <c r="CG10" i="4"/>
  <c r="CB300" i="4"/>
  <c r="CA300" i="4"/>
  <c r="CB299" i="4"/>
  <c r="CA299" i="4"/>
  <c r="CB298" i="4"/>
  <c r="CA298" i="4"/>
  <c r="CB297" i="4"/>
  <c r="CA297" i="4"/>
  <c r="CB296" i="4"/>
  <c r="CA296" i="4"/>
  <c r="CB295" i="4"/>
  <c r="CA295" i="4"/>
  <c r="CB294" i="4"/>
  <c r="CA294" i="4"/>
  <c r="CB293" i="4"/>
  <c r="CA293" i="4"/>
  <c r="CB292" i="4"/>
  <c r="CA292" i="4"/>
  <c r="CB291" i="4"/>
  <c r="CA291" i="4"/>
  <c r="CB290" i="4"/>
  <c r="CA290" i="4"/>
  <c r="CB289" i="4"/>
  <c r="CA289" i="4"/>
  <c r="CB288" i="4"/>
  <c r="CA288" i="4"/>
  <c r="CB287" i="4"/>
  <c r="CA287" i="4"/>
  <c r="CB286" i="4"/>
  <c r="CA286" i="4"/>
  <c r="CB285" i="4"/>
  <c r="CA285" i="4"/>
  <c r="CB284" i="4"/>
  <c r="CA284" i="4"/>
  <c r="CB283" i="4"/>
  <c r="CA283" i="4"/>
  <c r="CB282" i="4"/>
  <c r="CA282" i="4"/>
  <c r="CB281" i="4"/>
  <c r="CA281" i="4"/>
  <c r="CB280" i="4"/>
  <c r="CA280" i="4"/>
  <c r="CB279" i="4"/>
  <c r="CA279" i="4"/>
  <c r="CB278" i="4"/>
  <c r="CA278" i="4"/>
  <c r="CB277" i="4"/>
  <c r="CA277" i="4"/>
  <c r="CB276" i="4"/>
  <c r="CA276" i="4"/>
  <c r="CB275" i="4"/>
  <c r="CA275" i="4"/>
  <c r="CB274" i="4"/>
  <c r="CA274" i="4"/>
  <c r="CB273" i="4"/>
  <c r="CA273" i="4"/>
  <c r="CB272" i="4"/>
  <c r="CA272" i="4"/>
  <c r="CB271" i="4"/>
  <c r="CA271" i="4"/>
  <c r="CB270" i="4"/>
  <c r="CA270" i="4"/>
  <c r="CB269" i="4"/>
  <c r="CA269" i="4"/>
  <c r="CB268" i="4"/>
  <c r="CA268" i="4"/>
  <c r="CB267" i="4"/>
  <c r="CA267" i="4"/>
  <c r="CB266" i="4"/>
  <c r="CA266" i="4"/>
  <c r="CB265" i="4"/>
  <c r="CA265" i="4"/>
  <c r="CB264" i="4"/>
  <c r="CA264" i="4"/>
  <c r="CB263" i="4"/>
  <c r="CA263" i="4"/>
  <c r="CB262" i="4"/>
  <c r="CA262" i="4"/>
  <c r="CB261" i="4"/>
  <c r="CA261" i="4"/>
  <c r="CB260" i="4"/>
  <c r="CA260" i="4"/>
  <c r="CB259" i="4"/>
  <c r="CA259" i="4"/>
  <c r="CB258" i="4"/>
  <c r="CA258" i="4"/>
  <c r="CB257" i="4"/>
  <c r="CA257" i="4"/>
  <c r="CB256" i="4"/>
  <c r="CA256" i="4"/>
  <c r="CB255" i="4"/>
  <c r="CA255" i="4"/>
  <c r="CB254" i="4"/>
  <c r="CA254" i="4"/>
  <c r="CB253" i="4"/>
  <c r="CA253" i="4"/>
  <c r="CB252" i="4"/>
  <c r="CA252" i="4"/>
  <c r="CB251" i="4"/>
  <c r="CA251" i="4"/>
  <c r="CB250" i="4"/>
  <c r="CA250" i="4"/>
  <c r="CB249" i="4"/>
  <c r="CA249" i="4"/>
  <c r="CB248" i="4"/>
  <c r="CA248" i="4"/>
  <c r="CB247" i="4"/>
  <c r="CA247" i="4"/>
  <c r="CB246" i="4"/>
  <c r="CA246" i="4"/>
  <c r="CB245" i="4"/>
  <c r="CA245" i="4"/>
  <c r="CB244" i="4"/>
  <c r="CA244" i="4"/>
  <c r="CB243" i="4"/>
  <c r="CA243" i="4"/>
  <c r="CB242" i="4"/>
  <c r="CA242" i="4"/>
  <c r="CB241" i="4"/>
  <c r="CA241" i="4"/>
  <c r="CB240" i="4"/>
  <c r="CA240" i="4"/>
  <c r="CB239" i="4"/>
  <c r="CA239" i="4"/>
  <c r="CB238" i="4"/>
  <c r="CA238" i="4"/>
  <c r="CB237" i="4"/>
  <c r="CA237" i="4"/>
  <c r="CB236" i="4"/>
  <c r="CA236" i="4"/>
  <c r="CB235" i="4"/>
  <c r="CA235" i="4"/>
  <c r="CB234" i="4"/>
  <c r="CA234" i="4"/>
  <c r="CB233" i="4"/>
  <c r="CA233" i="4"/>
  <c r="CB232" i="4"/>
  <c r="CA232" i="4"/>
  <c r="CB231" i="4"/>
  <c r="CA231" i="4"/>
  <c r="CB230" i="4"/>
  <c r="CA230" i="4"/>
  <c r="CB229" i="4"/>
  <c r="CA229" i="4"/>
  <c r="CB228" i="4"/>
  <c r="CA228" i="4"/>
  <c r="CB227" i="4"/>
  <c r="CA227" i="4"/>
  <c r="CB226" i="4"/>
  <c r="CA226" i="4"/>
  <c r="CB225" i="4"/>
  <c r="CA225" i="4"/>
  <c r="CB224" i="4"/>
  <c r="CA224" i="4"/>
  <c r="CB223" i="4"/>
  <c r="CA223" i="4"/>
  <c r="CB222" i="4"/>
  <c r="CA222" i="4"/>
  <c r="CB221" i="4"/>
  <c r="CA221" i="4"/>
  <c r="CB220" i="4"/>
  <c r="CA220" i="4"/>
  <c r="CB219" i="4"/>
  <c r="CA219" i="4"/>
  <c r="CB218" i="4"/>
  <c r="CA218" i="4"/>
  <c r="CB217" i="4"/>
  <c r="CA217" i="4"/>
  <c r="CB216" i="4"/>
  <c r="CA216" i="4"/>
  <c r="CB215" i="4"/>
  <c r="CA215" i="4"/>
  <c r="CB214" i="4"/>
  <c r="CA214" i="4"/>
  <c r="CB213" i="4"/>
  <c r="CA213" i="4"/>
  <c r="CB212" i="4"/>
  <c r="CA212" i="4"/>
  <c r="CB211" i="4"/>
  <c r="CA211" i="4"/>
  <c r="CB210" i="4"/>
  <c r="CA210" i="4"/>
  <c r="CB209" i="4"/>
  <c r="CA209" i="4"/>
  <c r="CB208" i="4"/>
  <c r="CA208" i="4"/>
  <c r="CB207" i="4"/>
  <c r="CA207" i="4"/>
  <c r="CB206" i="4"/>
  <c r="CA206" i="4"/>
  <c r="CB205" i="4"/>
  <c r="CA205" i="4"/>
  <c r="CB204" i="4"/>
  <c r="CA204" i="4"/>
  <c r="CB203" i="4"/>
  <c r="CA203" i="4"/>
  <c r="CB202" i="4"/>
  <c r="CA202" i="4"/>
  <c r="CB201" i="4"/>
  <c r="CA201" i="4"/>
  <c r="CB200" i="4"/>
  <c r="CA200" i="4"/>
  <c r="CB199" i="4"/>
  <c r="CA199" i="4"/>
  <c r="CB198" i="4"/>
  <c r="CA198" i="4"/>
  <c r="CB197" i="4"/>
  <c r="CA197" i="4"/>
  <c r="CB196" i="4"/>
  <c r="CA196" i="4"/>
  <c r="CB195" i="4"/>
  <c r="CA195" i="4"/>
  <c r="CB194" i="4"/>
  <c r="CA194" i="4"/>
  <c r="CB193" i="4"/>
  <c r="CA193" i="4"/>
  <c r="CB192" i="4"/>
  <c r="CA192" i="4"/>
  <c r="CB191" i="4"/>
  <c r="CA191" i="4"/>
  <c r="CB190" i="4"/>
  <c r="CA190" i="4"/>
  <c r="CB189" i="4"/>
  <c r="CA189" i="4"/>
  <c r="CB188" i="4"/>
  <c r="CA188" i="4"/>
  <c r="CB187" i="4"/>
  <c r="CA187" i="4"/>
  <c r="CB186" i="4"/>
  <c r="CA186" i="4"/>
  <c r="CB185" i="4"/>
  <c r="CA185" i="4"/>
  <c r="CB184" i="4"/>
  <c r="CA184" i="4"/>
  <c r="CB183" i="4"/>
  <c r="CA183" i="4"/>
  <c r="CB182" i="4"/>
  <c r="CA182" i="4"/>
  <c r="CB181" i="4"/>
  <c r="CA181" i="4"/>
  <c r="CB180" i="4"/>
  <c r="CA180" i="4"/>
  <c r="CB179" i="4"/>
  <c r="CA179" i="4"/>
  <c r="CB178" i="4"/>
  <c r="CA178" i="4"/>
  <c r="CB177" i="4"/>
  <c r="CA177" i="4"/>
  <c r="CB176" i="4"/>
  <c r="CA176" i="4"/>
  <c r="CB175" i="4"/>
  <c r="CA175" i="4"/>
  <c r="CB174" i="4"/>
  <c r="CA174" i="4"/>
  <c r="CB173" i="4"/>
  <c r="CA173" i="4"/>
  <c r="CB172" i="4"/>
  <c r="CA172" i="4"/>
  <c r="CB171" i="4"/>
  <c r="CA171" i="4"/>
  <c r="CB170" i="4"/>
  <c r="CA170" i="4"/>
  <c r="CB169" i="4"/>
  <c r="CA169" i="4"/>
  <c r="CB168" i="4"/>
  <c r="CA168" i="4"/>
  <c r="CB167" i="4"/>
  <c r="CA167" i="4"/>
  <c r="CB166" i="4"/>
  <c r="CA166" i="4"/>
  <c r="CB165" i="4"/>
  <c r="CA165" i="4"/>
  <c r="CB164" i="4"/>
  <c r="CA164" i="4"/>
  <c r="CB163" i="4"/>
  <c r="CA163" i="4"/>
  <c r="CB162" i="4"/>
  <c r="CA162" i="4"/>
  <c r="CB161" i="4"/>
  <c r="CA161" i="4"/>
  <c r="CB160" i="4"/>
  <c r="CA160" i="4"/>
  <c r="CB159" i="4"/>
  <c r="CA159" i="4"/>
  <c r="CB158" i="4"/>
  <c r="CA158" i="4"/>
  <c r="CB157" i="4"/>
  <c r="CA157" i="4"/>
  <c r="CB156" i="4"/>
  <c r="CA156" i="4"/>
  <c r="CB155" i="4"/>
  <c r="CA155" i="4"/>
  <c r="CB154" i="4"/>
  <c r="CA154" i="4"/>
  <c r="CB153" i="4"/>
  <c r="CA153" i="4"/>
  <c r="CB152" i="4"/>
  <c r="CA152" i="4"/>
  <c r="CB151" i="4"/>
  <c r="CA151" i="4"/>
  <c r="CB150" i="4"/>
  <c r="CA150" i="4"/>
  <c r="CB149" i="4"/>
  <c r="CA149" i="4"/>
  <c r="CB148" i="4"/>
  <c r="CA148" i="4"/>
  <c r="CB147" i="4"/>
  <c r="CA147" i="4"/>
  <c r="CB146" i="4"/>
  <c r="CA146" i="4"/>
  <c r="CB145" i="4"/>
  <c r="CA145" i="4"/>
  <c r="CB144" i="4"/>
  <c r="CA144" i="4"/>
  <c r="CB143" i="4"/>
  <c r="CA143" i="4"/>
  <c r="CB142" i="4"/>
  <c r="CA142" i="4"/>
  <c r="CB141" i="4"/>
  <c r="CA141" i="4"/>
  <c r="CB140" i="4"/>
  <c r="CA140" i="4"/>
  <c r="CB139" i="4"/>
  <c r="CA139" i="4"/>
  <c r="CB138" i="4"/>
  <c r="CA138" i="4"/>
  <c r="CB137" i="4"/>
  <c r="CA137" i="4"/>
  <c r="CB136" i="4"/>
  <c r="CA136" i="4"/>
  <c r="CB135" i="4"/>
  <c r="CA135" i="4"/>
  <c r="CB134" i="4"/>
  <c r="CA134" i="4"/>
  <c r="CB133" i="4"/>
  <c r="CA133" i="4"/>
  <c r="CB132" i="4"/>
  <c r="CA132" i="4"/>
  <c r="CB131" i="4"/>
  <c r="CA131" i="4"/>
  <c r="CB130" i="4"/>
  <c r="CA130" i="4"/>
  <c r="CB129" i="4"/>
  <c r="CA129" i="4"/>
  <c r="CB128" i="4"/>
  <c r="CA128" i="4"/>
  <c r="CB127" i="4"/>
  <c r="CA127" i="4"/>
  <c r="CB126" i="4"/>
  <c r="CA126" i="4"/>
  <c r="CB125" i="4"/>
  <c r="CA125" i="4"/>
  <c r="CB124" i="4"/>
  <c r="CA124" i="4"/>
  <c r="CB123" i="4"/>
  <c r="CA123" i="4"/>
  <c r="CB122" i="4"/>
  <c r="CA122" i="4"/>
  <c r="CB121" i="4"/>
  <c r="CA121" i="4"/>
  <c r="CB120" i="4"/>
  <c r="CA120" i="4"/>
  <c r="CB119" i="4"/>
  <c r="CA119" i="4"/>
  <c r="CB118" i="4"/>
  <c r="CA118" i="4"/>
  <c r="CB117" i="4"/>
  <c r="CA117" i="4"/>
  <c r="CB116" i="4"/>
  <c r="CA116" i="4"/>
  <c r="CB115" i="4"/>
  <c r="CA115" i="4"/>
  <c r="CB114" i="4"/>
  <c r="CA114" i="4"/>
  <c r="CB113" i="4"/>
  <c r="CA113" i="4"/>
  <c r="CB112" i="4"/>
  <c r="CA112" i="4"/>
  <c r="CB111" i="4"/>
  <c r="CA111" i="4"/>
  <c r="CB110" i="4"/>
  <c r="CA110" i="4"/>
  <c r="CB109" i="4"/>
  <c r="CA109" i="4"/>
  <c r="CB108" i="4"/>
  <c r="CA108" i="4"/>
  <c r="CB107" i="4"/>
  <c r="CA107" i="4"/>
  <c r="CB106" i="4"/>
  <c r="CA106" i="4"/>
  <c r="CB105" i="4"/>
  <c r="CA105" i="4"/>
  <c r="CB104" i="4"/>
  <c r="CA104" i="4"/>
  <c r="CB103" i="4"/>
  <c r="CA103" i="4"/>
  <c r="CB102" i="4"/>
  <c r="CA102" i="4"/>
  <c r="CB101" i="4"/>
  <c r="CA101" i="4"/>
  <c r="CB100" i="4"/>
  <c r="CA100" i="4"/>
  <c r="CB99" i="4"/>
  <c r="CA99" i="4"/>
  <c r="CB98" i="4"/>
  <c r="CA98" i="4"/>
  <c r="CB97" i="4"/>
  <c r="CA97" i="4"/>
  <c r="CB96" i="4"/>
  <c r="CA96" i="4"/>
  <c r="CB95" i="4"/>
  <c r="CA95" i="4"/>
  <c r="CB94" i="4"/>
  <c r="CA94" i="4"/>
  <c r="CB93" i="4"/>
  <c r="CA93" i="4"/>
  <c r="CB92" i="4"/>
  <c r="CA92" i="4"/>
  <c r="CB91" i="4"/>
  <c r="CA91" i="4"/>
  <c r="CB90" i="4"/>
  <c r="CA90" i="4"/>
  <c r="CB89" i="4"/>
  <c r="CA89" i="4"/>
  <c r="CB88" i="4"/>
  <c r="CA88" i="4"/>
  <c r="CB87" i="4"/>
  <c r="CA87" i="4"/>
  <c r="CB86" i="4"/>
  <c r="CA86" i="4"/>
  <c r="CB85" i="4"/>
  <c r="CA85" i="4"/>
  <c r="CB84" i="4"/>
  <c r="CA84" i="4"/>
  <c r="CB83" i="4"/>
  <c r="CA83" i="4"/>
  <c r="CB82" i="4"/>
  <c r="CA82" i="4"/>
  <c r="CB81" i="4"/>
  <c r="CA81" i="4"/>
  <c r="CB80" i="4"/>
  <c r="CA80" i="4"/>
  <c r="CB79" i="4"/>
  <c r="CA79" i="4"/>
  <c r="CB78" i="4"/>
  <c r="CA78" i="4"/>
  <c r="CB77" i="4"/>
  <c r="CA77" i="4"/>
  <c r="CB76" i="4"/>
  <c r="CA76" i="4"/>
  <c r="CB75" i="4"/>
  <c r="CA75" i="4"/>
  <c r="CB74" i="4"/>
  <c r="CA74" i="4"/>
  <c r="CB73" i="4"/>
  <c r="CA73" i="4"/>
  <c r="CB72" i="4"/>
  <c r="CA72" i="4"/>
  <c r="CB71" i="4"/>
  <c r="CA71" i="4"/>
  <c r="CB70" i="4"/>
  <c r="CA70" i="4"/>
  <c r="CB69" i="4"/>
  <c r="CA69" i="4"/>
  <c r="CB68" i="4"/>
  <c r="CA68" i="4"/>
  <c r="CB67" i="4"/>
  <c r="CA67" i="4"/>
  <c r="CB66" i="4"/>
  <c r="CA66" i="4"/>
  <c r="CB65" i="4"/>
  <c r="CA65" i="4"/>
  <c r="CB64" i="4"/>
  <c r="CA64" i="4"/>
  <c r="CB63" i="4"/>
  <c r="CA63" i="4"/>
  <c r="CB62" i="4"/>
  <c r="CA62" i="4"/>
  <c r="CB61" i="4"/>
  <c r="CA61" i="4"/>
  <c r="CB60" i="4"/>
  <c r="CA60" i="4"/>
  <c r="CB59" i="4"/>
  <c r="CA59" i="4"/>
  <c r="CB58" i="4"/>
  <c r="CA58" i="4"/>
  <c r="CB57" i="4"/>
  <c r="CA57" i="4"/>
  <c r="CB56" i="4"/>
  <c r="CA56" i="4"/>
  <c r="CB55" i="4"/>
  <c r="CA55" i="4"/>
  <c r="CB54" i="4"/>
  <c r="CA54" i="4"/>
  <c r="CB53" i="4"/>
  <c r="CA53" i="4"/>
  <c r="CB52" i="4"/>
  <c r="CA52" i="4"/>
  <c r="CB51" i="4"/>
  <c r="CA51" i="4"/>
  <c r="CB50" i="4"/>
  <c r="CA50" i="4"/>
  <c r="CB49" i="4"/>
  <c r="CA49" i="4"/>
  <c r="CB48" i="4"/>
  <c r="CA48" i="4"/>
  <c r="CB47" i="4"/>
  <c r="CA47" i="4"/>
  <c r="CB46" i="4"/>
  <c r="CA46" i="4"/>
  <c r="CB45" i="4"/>
  <c r="CA45" i="4"/>
  <c r="CB44" i="4"/>
  <c r="CA44" i="4"/>
  <c r="CB43" i="4"/>
  <c r="CA43" i="4"/>
  <c r="CB42" i="4"/>
  <c r="CA42" i="4"/>
  <c r="CB41" i="4"/>
  <c r="CA41" i="4"/>
  <c r="CB40" i="4"/>
  <c r="CA40" i="4"/>
  <c r="CB39" i="4"/>
  <c r="CA39" i="4"/>
  <c r="CB38" i="4"/>
  <c r="CA38" i="4"/>
  <c r="CB37" i="4"/>
  <c r="CA37" i="4"/>
  <c r="CB36" i="4"/>
  <c r="CA36" i="4"/>
  <c r="CB35" i="4"/>
  <c r="CA35" i="4"/>
  <c r="CB34" i="4"/>
  <c r="CA34" i="4"/>
  <c r="CB33" i="4"/>
  <c r="CA33" i="4"/>
  <c r="CB32" i="4"/>
  <c r="CA32" i="4"/>
  <c r="CB31" i="4"/>
  <c r="CA31" i="4"/>
  <c r="CB30" i="4"/>
  <c r="CA30" i="4"/>
  <c r="CB29" i="4"/>
  <c r="CA29" i="4"/>
  <c r="CB28" i="4"/>
  <c r="CA28" i="4"/>
  <c r="CB27" i="4"/>
  <c r="CA27" i="4"/>
  <c r="CB26" i="4"/>
  <c r="CA26" i="4"/>
  <c r="CB25" i="4"/>
  <c r="CA25" i="4"/>
  <c r="CB24" i="4"/>
  <c r="CA24" i="4"/>
  <c r="CB23" i="4"/>
  <c r="CA23" i="4"/>
  <c r="CB22" i="4"/>
  <c r="CA22" i="4"/>
  <c r="CB21" i="4"/>
  <c r="CA21" i="4"/>
  <c r="CB20" i="4"/>
  <c r="CA20" i="4"/>
  <c r="CB19" i="4"/>
  <c r="CA19" i="4"/>
  <c r="CB18" i="4"/>
  <c r="CA18" i="4"/>
  <c r="CB17" i="4"/>
  <c r="CA17" i="4"/>
  <c r="CB16" i="4"/>
  <c r="CA16" i="4"/>
  <c r="CB15" i="4"/>
  <c r="CA15" i="4"/>
  <c r="CB14" i="4"/>
  <c r="CA14" i="4"/>
  <c r="CB13" i="4"/>
  <c r="CA13" i="4"/>
  <c r="CB12" i="4"/>
  <c r="CA12" i="4"/>
  <c r="CB11" i="4"/>
  <c r="CA11" i="4"/>
  <c r="CB10" i="4"/>
  <c r="CA10" i="4"/>
  <c r="BV300" i="4"/>
  <c r="BU300" i="4"/>
  <c r="BV299" i="4"/>
  <c r="BU299" i="4"/>
  <c r="BV298" i="4"/>
  <c r="BU298" i="4"/>
  <c r="BV297" i="4"/>
  <c r="BU297" i="4"/>
  <c r="BV296" i="4"/>
  <c r="BU296" i="4"/>
  <c r="BV295" i="4"/>
  <c r="BU295" i="4"/>
  <c r="BV294" i="4"/>
  <c r="BU294" i="4"/>
  <c r="BV293" i="4"/>
  <c r="BU293" i="4"/>
  <c r="BV292" i="4"/>
  <c r="BU292" i="4"/>
  <c r="BV291" i="4"/>
  <c r="BU291" i="4"/>
  <c r="BV290" i="4"/>
  <c r="BU290" i="4"/>
  <c r="BV289" i="4"/>
  <c r="BU289" i="4"/>
  <c r="BV288" i="4"/>
  <c r="BU288" i="4"/>
  <c r="BV287" i="4"/>
  <c r="BU287" i="4"/>
  <c r="BV286" i="4"/>
  <c r="BU286" i="4"/>
  <c r="BV285" i="4"/>
  <c r="BU285" i="4"/>
  <c r="BV284" i="4"/>
  <c r="BU284" i="4"/>
  <c r="BV283" i="4"/>
  <c r="BU283" i="4"/>
  <c r="BV282" i="4"/>
  <c r="BU282" i="4"/>
  <c r="BV281" i="4"/>
  <c r="BU281" i="4"/>
  <c r="BV280" i="4"/>
  <c r="BU280" i="4"/>
  <c r="BV279" i="4"/>
  <c r="BU279" i="4"/>
  <c r="BV278" i="4"/>
  <c r="BU278" i="4"/>
  <c r="BV277" i="4"/>
  <c r="BU277" i="4"/>
  <c r="BV276" i="4"/>
  <c r="BU276" i="4"/>
  <c r="BV275" i="4"/>
  <c r="BU275" i="4"/>
  <c r="BV274" i="4"/>
  <c r="BU274" i="4"/>
  <c r="BV273" i="4"/>
  <c r="BU273" i="4"/>
  <c r="BV272" i="4"/>
  <c r="BU272" i="4"/>
  <c r="BV271" i="4"/>
  <c r="BU271" i="4"/>
  <c r="BV270" i="4"/>
  <c r="BU270" i="4"/>
  <c r="BV269" i="4"/>
  <c r="BU269" i="4"/>
  <c r="BV268" i="4"/>
  <c r="BU268" i="4"/>
  <c r="BV267" i="4"/>
  <c r="BU267" i="4"/>
  <c r="BV266" i="4"/>
  <c r="BU266" i="4"/>
  <c r="BV265" i="4"/>
  <c r="BU265" i="4"/>
  <c r="BV264" i="4"/>
  <c r="BU264" i="4"/>
  <c r="BV263" i="4"/>
  <c r="BU263" i="4"/>
  <c r="BV262" i="4"/>
  <c r="BU262" i="4"/>
  <c r="BV261" i="4"/>
  <c r="BU261" i="4"/>
  <c r="BV260" i="4"/>
  <c r="BU260" i="4"/>
  <c r="BV259" i="4"/>
  <c r="BU259" i="4"/>
  <c r="BV258" i="4"/>
  <c r="BU258" i="4"/>
  <c r="BV257" i="4"/>
  <c r="BU257" i="4"/>
  <c r="BV256" i="4"/>
  <c r="BU256" i="4"/>
  <c r="BV255" i="4"/>
  <c r="BU255" i="4"/>
  <c r="BV254" i="4"/>
  <c r="BU254" i="4"/>
  <c r="BV253" i="4"/>
  <c r="BU253" i="4"/>
  <c r="BV252" i="4"/>
  <c r="BU252" i="4"/>
  <c r="BV251" i="4"/>
  <c r="BU251" i="4"/>
  <c r="BV250" i="4"/>
  <c r="BU250" i="4"/>
  <c r="BV249" i="4"/>
  <c r="BU249" i="4"/>
  <c r="BV248" i="4"/>
  <c r="BU248" i="4"/>
  <c r="BV247" i="4"/>
  <c r="BU247" i="4"/>
  <c r="BV246" i="4"/>
  <c r="BU246" i="4"/>
  <c r="BV245" i="4"/>
  <c r="BU245" i="4"/>
  <c r="BV244" i="4"/>
  <c r="BU244" i="4"/>
  <c r="BV243" i="4"/>
  <c r="BU243" i="4"/>
  <c r="BV242" i="4"/>
  <c r="BU242" i="4"/>
  <c r="BV241" i="4"/>
  <c r="BU241" i="4"/>
  <c r="BV240" i="4"/>
  <c r="BU240" i="4"/>
  <c r="BV239" i="4"/>
  <c r="BU239" i="4"/>
  <c r="BV238" i="4"/>
  <c r="BU238" i="4"/>
  <c r="BV237" i="4"/>
  <c r="BU237" i="4"/>
  <c r="BV236" i="4"/>
  <c r="BU236" i="4"/>
  <c r="BV235" i="4"/>
  <c r="BU235" i="4"/>
  <c r="BV234" i="4"/>
  <c r="BU234" i="4"/>
  <c r="BV233" i="4"/>
  <c r="BU233" i="4"/>
  <c r="BV232" i="4"/>
  <c r="BU232" i="4"/>
  <c r="BV231" i="4"/>
  <c r="BU231" i="4"/>
  <c r="BV230" i="4"/>
  <c r="BU230" i="4"/>
  <c r="BV229" i="4"/>
  <c r="BU229" i="4"/>
  <c r="BV228" i="4"/>
  <c r="BU228" i="4"/>
  <c r="BV227" i="4"/>
  <c r="BU227" i="4"/>
  <c r="BV226" i="4"/>
  <c r="BU226" i="4"/>
  <c r="BV225" i="4"/>
  <c r="BU225" i="4"/>
  <c r="BV224" i="4"/>
  <c r="BU224" i="4"/>
  <c r="BV223" i="4"/>
  <c r="BU223" i="4"/>
  <c r="BV222" i="4"/>
  <c r="BU222" i="4"/>
  <c r="BV221" i="4"/>
  <c r="BU221" i="4"/>
  <c r="BV220" i="4"/>
  <c r="BU220" i="4"/>
  <c r="BV219" i="4"/>
  <c r="BU219" i="4"/>
  <c r="BV218" i="4"/>
  <c r="BU218" i="4"/>
  <c r="BV217" i="4"/>
  <c r="BU217" i="4"/>
  <c r="BV216" i="4"/>
  <c r="BU216" i="4"/>
  <c r="BV215" i="4"/>
  <c r="BU215" i="4"/>
  <c r="BV214" i="4"/>
  <c r="BU214" i="4"/>
  <c r="BV213" i="4"/>
  <c r="BU213" i="4"/>
  <c r="BV212" i="4"/>
  <c r="BU212" i="4"/>
  <c r="BV211" i="4"/>
  <c r="BU211" i="4"/>
  <c r="BV210" i="4"/>
  <c r="BU210" i="4"/>
  <c r="BV209" i="4"/>
  <c r="BU209" i="4"/>
  <c r="BV208" i="4"/>
  <c r="BU208" i="4"/>
  <c r="BV207" i="4"/>
  <c r="BU207" i="4"/>
  <c r="BV206" i="4"/>
  <c r="BU206" i="4"/>
  <c r="BV205" i="4"/>
  <c r="BU205" i="4"/>
  <c r="BV204" i="4"/>
  <c r="BU204" i="4"/>
  <c r="BV203" i="4"/>
  <c r="BU203" i="4"/>
  <c r="BV202" i="4"/>
  <c r="BU202" i="4"/>
  <c r="BV201" i="4"/>
  <c r="BU201" i="4"/>
  <c r="BV200" i="4"/>
  <c r="BU200" i="4"/>
  <c r="BV199" i="4"/>
  <c r="BU199" i="4"/>
  <c r="BV198" i="4"/>
  <c r="BU198" i="4"/>
  <c r="BV197" i="4"/>
  <c r="BU197" i="4"/>
  <c r="BV196" i="4"/>
  <c r="BU196" i="4"/>
  <c r="BV195" i="4"/>
  <c r="BU195" i="4"/>
  <c r="BV194" i="4"/>
  <c r="BU194" i="4"/>
  <c r="BV193" i="4"/>
  <c r="BU193" i="4"/>
  <c r="BV192" i="4"/>
  <c r="BU192" i="4"/>
  <c r="BV191" i="4"/>
  <c r="BU191" i="4"/>
  <c r="BV190" i="4"/>
  <c r="BU190" i="4"/>
  <c r="BV189" i="4"/>
  <c r="BU189" i="4"/>
  <c r="BV188" i="4"/>
  <c r="BU188" i="4"/>
  <c r="BV187" i="4"/>
  <c r="BU187" i="4"/>
  <c r="BV186" i="4"/>
  <c r="BU186" i="4"/>
  <c r="BV185" i="4"/>
  <c r="BU185" i="4"/>
  <c r="BV184" i="4"/>
  <c r="BU184" i="4"/>
  <c r="BV183" i="4"/>
  <c r="BU183" i="4"/>
  <c r="BV182" i="4"/>
  <c r="BU182" i="4"/>
  <c r="BV181" i="4"/>
  <c r="BU181" i="4"/>
  <c r="BV180" i="4"/>
  <c r="BU180" i="4"/>
  <c r="BV179" i="4"/>
  <c r="BU179" i="4"/>
  <c r="BV178" i="4"/>
  <c r="BU178" i="4"/>
  <c r="BV177" i="4"/>
  <c r="BU177" i="4"/>
  <c r="BV176" i="4"/>
  <c r="BU176" i="4"/>
  <c r="BV175" i="4"/>
  <c r="BU175" i="4"/>
  <c r="BV174" i="4"/>
  <c r="BU174" i="4"/>
  <c r="BV173" i="4"/>
  <c r="BU173" i="4"/>
  <c r="BV172" i="4"/>
  <c r="BU172" i="4"/>
  <c r="BV171" i="4"/>
  <c r="BU171" i="4"/>
  <c r="BV170" i="4"/>
  <c r="BU170" i="4"/>
  <c r="BV169" i="4"/>
  <c r="BU169" i="4"/>
  <c r="BV168" i="4"/>
  <c r="BU168" i="4"/>
  <c r="BV167" i="4"/>
  <c r="BU167" i="4"/>
  <c r="BV166" i="4"/>
  <c r="BU166" i="4"/>
  <c r="BV165" i="4"/>
  <c r="BU165" i="4"/>
  <c r="BV164" i="4"/>
  <c r="BU164" i="4"/>
  <c r="BV163" i="4"/>
  <c r="BU163" i="4"/>
  <c r="BV162" i="4"/>
  <c r="BU162" i="4"/>
  <c r="BV161" i="4"/>
  <c r="BU161" i="4"/>
  <c r="BV160" i="4"/>
  <c r="BU160" i="4"/>
  <c r="BV159" i="4"/>
  <c r="BU159" i="4"/>
  <c r="BV158" i="4"/>
  <c r="BU158" i="4"/>
  <c r="BV157" i="4"/>
  <c r="BU157" i="4"/>
  <c r="BV156" i="4"/>
  <c r="BU156" i="4"/>
  <c r="BV155" i="4"/>
  <c r="BU155" i="4"/>
  <c r="BV154" i="4"/>
  <c r="BU154" i="4"/>
  <c r="BV153" i="4"/>
  <c r="BU153" i="4"/>
  <c r="BV152" i="4"/>
  <c r="BU152" i="4"/>
  <c r="BV151" i="4"/>
  <c r="BU151" i="4"/>
  <c r="BV150" i="4"/>
  <c r="BU150" i="4"/>
  <c r="BV149" i="4"/>
  <c r="BU149" i="4"/>
  <c r="BV148" i="4"/>
  <c r="BU148" i="4"/>
  <c r="BV147" i="4"/>
  <c r="BU147" i="4"/>
  <c r="BV146" i="4"/>
  <c r="BU146" i="4"/>
  <c r="BV145" i="4"/>
  <c r="BU145" i="4"/>
  <c r="BV144" i="4"/>
  <c r="BU144" i="4"/>
  <c r="BV143" i="4"/>
  <c r="BU143" i="4"/>
  <c r="BV142" i="4"/>
  <c r="BU142" i="4"/>
  <c r="BV141" i="4"/>
  <c r="BU141" i="4"/>
  <c r="BV140" i="4"/>
  <c r="BU140" i="4"/>
  <c r="BV139" i="4"/>
  <c r="BU139" i="4"/>
  <c r="BV138" i="4"/>
  <c r="BU138" i="4"/>
  <c r="BV137" i="4"/>
  <c r="BU137" i="4"/>
  <c r="BV136" i="4"/>
  <c r="BU136" i="4"/>
  <c r="BV135" i="4"/>
  <c r="BU135" i="4"/>
  <c r="BV134" i="4"/>
  <c r="BU134" i="4"/>
  <c r="BV133" i="4"/>
  <c r="BU133" i="4"/>
  <c r="BV132" i="4"/>
  <c r="BU132" i="4"/>
  <c r="BV131" i="4"/>
  <c r="BU131" i="4"/>
  <c r="BV130" i="4"/>
  <c r="BU130" i="4"/>
  <c r="BV129" i="4"/>
  <c r="BU129" i="4"/>
  <c r="BV128" i="4"/>
  <c r="BU128" i="4"/>
  <c r="BV127" i="4"/>
  <c r="BU127" i="4"/>
  <c r="BV126" i="4"/>
  <c r="BU126" i="4"/>
  <c r="BV125" i="4"/>
  <c r="BU125" i="4"/>
  <c r="BV124" i="4"/>
  <c r="BU124" i="4"/>
  <c r="BV123" i="4"/>
  <c r="BU123" i="4"/>
  <c r="BV122" i="4"/>
  <c r="BU122" i="4"/>
  <c r="BV121" i="4"/>
  <c r="BU121" i="4"/>
  <c r="BV120" i="4"/>
  <c r="BU120" i="4"/>
  <c r="BV119" i="4"/>
  <c r="BU119" i="4"/>
  <c r="BV118" i="4"/>
  <c r="BU118" i="4"/>
  <c r="BV117" i="4"/>
  <c r="BU117" i="4"/>
  <c r="BV116" i="4"/>
  <c r="BU116" i="4"/>
  <c r="BV115" i="4"/>
  <c r="BU115" i="4"/>
  <c r="BV114" i="4"/>
  <c r="BU114" i="4"/>
  <c r="BV113" i="4"/>
  <c r="BU113" i="4"/>
  <c r="BV112" i="4"/>
  <c r="BU112" i="4"/>
  <c r="BV111" i="4"/>
  <c r="BU111" i="4"/>
  <c r="BV110" i="4"/>
  <c r="BU110" i="4"/>
  <c r="BV109" i="4"/>
  <c r="BU109" i="4"/>
  <c r="BV108" i="4"/>
  <c r="BU108" i="4"/>
  <c r="BV107" i="4"/>
  <c r="BU107" i="4"/>
  <c r="BV106" i="4"/>
  <c r="BU106" i="4"/>
  <c r="BV105" i="4"/>
  <c r="BU105" i="4"/>
  <c r="BV104" i="4"/>
  <c r="BU104" i="4"/>
  <c r="BV103" i="4"/>
  <c r="BU103" i="4"/>
  <c r="BV102" i="4"/>
  <c r="BU102" i="4"/>
  <c r="BV101" i="4"/>
  <c r="BU101" i="4"/>
  <c r="BV100" i="4"/>
  <c r="BU100" i="4"/>
  <c r="BV99" i="4"/>
  <c r="BU99" i="4"/>
  <c r="BV98" i="4"/>
  <c r="BU98" i="4"/>
  <c r="BV97" i="4"/>
  <c r="BU97" i="4"/>
  <c r="BV96" i="4"/>
  <c r="BU96" i="4"/>
  <c r="BV95" i="4"/>
  <c r="BU95" i="4"/>
  <c r="BV94" i="4"/>
  <c r="BU94" i="4"/>
  <c r="BV93" i="4"/>
  <c r="BU93" i="4"/>
  <c r="BV92" i="4"/>
  <c r="BU92" i="4"/>
  <c r="BV91" i="4"/>
  <c r="BU91" i="4"/>
  <c r="BV90" i="4"/>
  <c r="BU90" i="4"/>
  <c r="BV89" i="4"/>
  <c r="BU89" i="4"/>
  <c r="BV88" i="4"/>
  <c r="BU88" i="4"/>
  <c r="BV87" i="4"/>
  <c r="BU87" i="4"/>
  <c r="BV86" i="4"/>
  <c r="BU86" i="4"/>
  <c r="BV85" i="4"/>
  <c r="BU85" i="4"/>
  <c r="BV84" i="4"/>
  <c r="BU84" i="4"/>
  <c r="BV83" i="4"/>
  <c r="BU83" i="4"/>
  <c r="BV82" i="4"/>
  <c r="BU82" i="4"/>
  <c r="BV81" i="4"/>
  <c r="BU81" i="4"/>
  <c r="BV80" i="4"/>
  <c r="BU80" i="4"/>
  <c r="BV79" i="4"/>
  <c r="BU79" i="4"/>
  <c r="BV78" i="4"/>
  <c r="BU78" i="4"/>
  <c r="BV77" i="4"/>
  <c r="BU77" i="4"/>
  <c r="BV76" i="4"/>
  <c r="BU76" i="4"/>
  <c r="BV75" i="4"/>
  <c r="BU75" i="4"/>
  <c r="BV74" i="4"/>
  <c r="BU74" i="4"/>
  <c r="BV73" i="4"/>
  <c r="BU73" i="4"/>
  <c r="BV72" i="4"/>
  <c r="BU72" i="4"/>
  <c r="BV71" i="4"/>
  <c r="BU71" i="4"/>
  <c r="BV70" i="4"/>
  <c r="BU70" i="4"/>
  <c r="BV69" i="4"/>
  <c r="BU69" i="4"/>
  <c r="BV68" i="4"/>
  <c r="BU68" i="4"/>
  <c r="BV67" i="4"/>
  <c r="BU67" i="4"/>
  <c r="BV66" i="4"/>
  <c r="BU66" i="4"/>
  <c r="BV65" i="4"/>
  <c r="BU65" i="4"/>
  <c r="BV64" i="4"/>
  <c r="BU64" i="4"/>
  <c r="BV63" i="4"/>
  <c r="BU63" i="4"/>
  <c r="BV62" i="4"/>
  <c r="BU62" i="4"/>
  <c r="BV61" i="4"/>
  <c r="BU61" i="4"/>
  <c r="BV60" i="4"/>
  <c r="BU60" i="4"/>
  <c r="BV59" i="4"/>
  <c r="BU59" i="4"/>
  <c r="BV58" i="4"/>
  <c r="BU58" i="4"/>
  <c r="BV57" i="4"/>
  <c r="BU57" i="4"/>
  <c r="BV56" i="4"/>
  <c r="BU56" i="4"/>
  <c r="BV55" i="4"/>
  <c r="BU55" i="4"/>
  <c r="BV54" i="4"/>
  <c r="BU54" i="4"/>
  <c r="BV53" i="4"/>
  <c r="BU53" i="4"/>
  <c r="BV52" i="4"/>
  <c r="BU52" i="4"/>
  <c r="BV51" i="4"/>
  <c r="BU51" i="4"/>
  <c r="BV50" i="4"/>
  <c r="BU50" i="4"/>
  <c r="BV49" i="4"/>
  <c r="BU49" i="4"/>
  <c r="BV48" i="4"/>
  <c r="BU48" i="4"/>
  <c r="BV47" i="4"/>
  <c r="BU47" i="4"/>
  <c r="BV46" i="4"/>
  <c r="BU46" i="4"/>
  <c r="BV45" i="4"/>
  <c r="BU45" i="4"/>
  <c r="BV44" i="4"/>
  <c r="BU44" i="4"/>
  <c r="BV43" i="4"/>
  <c r="BU43" i="4"/>
  <c r="BV42" i="4"/>
  <c r="BU42" i="4"/>
  <c r="BV41" i="4"/>
  <c r="BU41" i="4"/>
  <c r="BV40" i="4"/>
  <c r="BU40" i="4"/>
  <c r="BV39" i="4"/>
  <c r="BU39" i="4"/>
  <c r="BV38" i="4"/>
  <c r="BU38" i="4"/>
  <c r="BV37" i="4"/>
  <c r="BU37" i="4"/>
  <c r="BV36" i="4"/>
  <c r="BU36" i="4"/>
  <c r="BV35" i="4"/>
  <c r="BU35" i="4"/>
  <c r="BV34" i="4"/>
  <c r="BU34" i="4"/>
  <c r="BV33" i="4"/>
  <c r="BU33" i="4"/>
  <c r="BV32" i="4"/>
  <c r="BU32" i="4"/>
  <c r="BV31" i="4"/>
  <c r="BU31" i="4"/>
  <c r="BV30" i="4"/>
  <c r="BU30" i="4"/>
  <c r="BV29" i="4"/>
  <c r="BU29" i="4"/>
  <c r="BV28" i="4"/>
  <c r="BU28" i="4"/>
  <c r="BV27" i="4"/>
  <c r="BU27" i="4"/>
  <c r="BV26" i="4"/>
  <c r="BU26" i="4"/>
  <c r="BV25" i="4"/>
  <c r="BU25" i="4"/>
  <c r="BV24" i="4"/>
  <c r="BU24" i="4"/>
  <c r="BV23" i="4"/>
  <c r="BU23" i="4"/>
  <c r="BV22" i="4"/>
  <c r="BU22" i="4"/>
  <c r="BV21" i="4"/>
  <c r="BU21" i="4"/>
  <c r="BV20" i="4"/>
  <c r="BU20" i="4"/>
  <c r="BV19" i="4"/>
  <c r="BU19" i="4"/>
  <c r="BV18" i="4"/>
  <c r="BU18" i="4"/>
  <c r="BV17" i="4"/>
  <c r="BU17" i="4"/>
  <c r="BV16" i="4"/>
  <c r="BU16" i="4"/>
  <c r="BV15" i="4"/>
  <c r="BU15" i="4"/>
  <c r="BV14" i="4"/>
  <c r="BU14" i="4"/>
  <c r="BV13" i="4"/>
  <c r="BU13" i="4"/>
  <c r="BV12" i="4"/>
  <c r="BU12" i="4"/>
  <c r="BV11" i="4"/>
  <c r="BU11" i="4"/>
  <c r="BV10" i="4"/>
  <c r="BU10" i="4"/>
  <c r="BP300" i="4"/>
  <c r="BO300" i="4"/>
  <c r="BP299" i="4"/>
  <c r="BO299" i="4"/>
  <c r="BP298" i="4"/>
  <c r="BO298" i="4"/>
  <c r="BP297" i="4"/>
  <c r="BO297" i="4"/>
  <c r="BP296" i="4"/>
  <c r="BO296" i="4"/>
  <c r="BP295" i="4"/>
  <c r="BO295" i="4"/>
  <c r="BP294" i="4"/>
  <c r="BO294" i="4"/>
  <c r="BP293" i="4"/>
  <c r="BO293" i="4"/>
  <c r="BP292" i="4"/>
  <c r="BO292" i="4"/>
  <c r="BP291" i="4"/>
  <c r="BO291" i="4"/>
  <c r="BP290" i="4"/>
  <c r="BO290" i="4"/>
  <c r="BP289" i="4"/>
  <c r="BO289" i="4"/>
  <c r="BP288" i="4"/>
  <c r="BO288" i="4"/>
  <c r="BP287" i="4"/>
  <c r="BO287" i="4"/>
  <c r="BP286" i="4"/>
  <c r="BO286" i="4"/>
  <c r="BP285" i="4"/>
  <c r="BO285" i="4"/>
  <c r="BP284" i="4"/>
  <c r="BO284" i="4"/>
  <c r="BP283" i="4"/>
  <c r="BO283" i="4"/>
  <c r="BP282" i="4"/>
  <c r="BO282" i="4"/>
  <c r="BP281" i="4"/>
  <c r="BO281" i="4"/>
  <c r="BP280" i="4"/>
  <c r="BO280" i="4"/>
  <c r="BP279" i="4"/>
  <c r="BO279" i="4"/>
  <c r="BP278" i="4"/>
  <c r="BO278" i="4"/>
  <c r="BP277" i="4"/>
  <c r="BO277" i="4"/>
  <c r="BP276" i="4"/>
  <c r="BO276" i="4"/>
  <c r="BP275" i="4"/>
  <c r="BO275" i="4"/>
  <c r="BP274" i="4"/>
  <c r="BO274" i="4"/>
  <c r="BP273" i="4"/>
  <c r="BO273" i="4"/>
  <c r="BP272" i="4"/>
  <c r="BO272" i="4"/>
  <c r="BP271" i="4"/>
  <c r="BO271" i="4"/>
  <c r="BP270" i="4"/>
  <c r="BO270" i="4"/>
  <c r="BP269" i="4"/>
  <c r="BO269" i="4"/>
  <c r="BP268" i="4"/>
  <c r="BO268" i="4"/>
  <c r="BP267" i="4"/>
  <c r="BO267" i="4"/>
  <c r="BP266" i="4"/>
  <c r="BO266" i="4"/>
  <c r="BP265" i="4"/>
  <c r="BO265" i="4"/>
  <c r="BP264" i="4"/>
  <c r="BO264" i="4"/>
  <c r="BP263" i="4"/>
  <c r="BO263" i="4"/>
  <c r="BP262" i="4"/>
  <c r="BO262" i="4"/>
  <c r="BP261" i="4"/>
  <c r="BO261" i="4"/>
  <c r="BP260" i="4"/>
  <c r="BO260" i="4"/>
  <c r="BP259" i="4"/>
  <c r="BO259" i="4"/>
  <c r="BP258" i="4"/>
  <c r="BO258" i="4"/>
  <c r="BP257" i="4"/>
  <c r="BO257" i="4"/>
  <c r="BP256" i="4"/>
  <c r="BO256" i="4"/>
  <c r="BP255" i="4"/>
  <c r="BO255" i="4"/>
  <c r="BP254" i="4"/>
  <c r="BO254" i="4"/>
  <c r="BP253" i="4"/>
  <c r="BO253" i="4"/>
  <c r="BP252" i="4"/>
  <c r="BO252" i="4"/>
  <c r="BP251" i="4"/>
  <c r="BO251" i="4"/>
  <c r="BP250" i="4"/>
  <c r="BO250" i="4"/>
  <c r="BP249" i="4"/>
  <c r="BO249" i="4"/>
  <c r="BP248" i="4"/>
  <c r="BO248" i="4"/>
  <c r="BP247" i="4"/>
  <c r="BO247" i="4"/>
  <c r="BP246" i="4"/>
  <c r="BO246" i="4"/>
  <c r="BP245" i="4"/>
  <c r="BO245" i="4"/>
  <c r="BP244" i="4"/>
  <c r="BO244" i="4"/>
  <c r="BP243" i="4"/>
  <c r="BO243" i="4"/>
  <c r="BP242" i="4"/>
  <c r="BO242" i="4"/>
  <c r="BP241" i="4"/>
  <c r="BO241" i="4"/>
  <c r="BP240" i="4"/>
  <c r="BO240" i="4"/>
  <c r="BP239" i="4"/>
  <c r="BO239" i="4"/>
  <c r="BP238" i="4"/>
  <c r="BO238" i="4"/>
  <c r="BP237" i="4"/>
  <c r="BO237" i="4"/>
  <c r="BP236" i="4"/>
  <c r="BO236" i="4"/>
  <c r="BP235" i="4"/>
  <c r="BO235" i="4"/>
  <c r="BP234" i="4"/>
  <c r="BO234" i="4"/>
  <c r="BP233" i="4"/>
  <c r="BO233" i="4"/>
  <c r="BP232" i="4"/>
  <c r="BO232" i="4"/>
  <c r="BP231" i="4"/>
  <c r="BO231" i="4"/>
  <c r="BP230" i="4"/>
  <c r="BO230" i="4"/>
  <c r="BP229" i="4"/>
  <c r="BO229" i="4"/>
  <c r="BP228" i="4"/>
  <c r="BO228" i="4"/>
  <c r="BP227" i="4"/>
  <c r="BO227" i="4"/>
  <c r="BP226" i="4"/>
  <c r="BO226" i="4"/>
  <c r="BP225" i="4"/>
  <c r="BO225" i="4"/>
  <c r="BP224" i="4"/>
  <c r="BO224" i="4"/>
  <c r="BP223" i="4"/>
  <c r="BO223" i="4"/>
  <c r="BP222" i="4"/>
  <c r="BO222" i="4"/>
  <c r="BP221" i="4"/>
  <c r="BO221" i="4"/>
  <c r="BP220" i="4"/>
  <c r="BO220" i="4"/>
  <c r="BP219" i="4"/>
  <c r="BO219" i="4"/>
  <c r="BP218" i="4"/>
  <c r="BO218" i="4"/>
  <c r="BP217" i="4"/>
  <c r="BO217" i="4"/>
  <c r="BP216" i="4"/>
  <c r="BO216" i="4"/>
  <c r="BP215" i="4"/>
  <c r="BO215" i="4"/>
  <c r="BP214" i="4"/>
  <c r="BO214" i="4"/>
  <c r="BP213" i="4"/>
  <c r="BO213" i="4"/>
  <c r="BP212" i="4"/>
  <c r="BO212" i="4"/>
  <c r="BP211" i="4"/>
  <c r="BO211" i="4"/>
  <c r="BP210" i="4"/>
  <c r="BO210" i="4"/>
  <c r="BP209" i="4"/>
  <c r="BO209" i="4"/>
  <c r="BP208" i="4"/>
  <c r="BO208" i="4"/>
  <c r="BP207" i="4"/>
  <c r="BO207" i="4"/>
  <c r="BP206" i="4"/>
  <c r="BO206" i="4"/>
  <c r="BP205" i="4"/>
  <c r="BO205" i="4"/>
  <c r="BP204" i="4"/>
  <c r="BO204" i="4"/>
  <c r="BP203" i="4"/>
  <c r="BO203" i="4"/>
  <c r="BP202" i="4"/>
  <c r="BO202" i="4"/>
  <c r="BP201" i="4"/>
  <c r="BO201" i="4"/>
  <c r="BP200" i="4"/>
  <c r="BO200" i="4"/>
  <c r="BP199" i="4"/>
  <c r="BO199" i="4"/>
  <c r="BP198" i="4"/>
  <c r="BO198" i="4"/>
  <c r="BP197" i="4"/>
  <c r="BO197" i="4"/>
  <c r="BP196" i="4"/>
  <c r="BO196" i="4"/>
  <c r="BP195" i="4"/>
  <c r="BO195" i="4"/>
  <c r="BP194" i="4"/>
  <c r="BO194" i="4"/>
  <c r="BP193" i="4"/>
  <c r="BO193" i="4"/>
  <c r="BP192" i="4"/>
  <c r="BO192" i="4"/>
  <c r="BP191" i="4"/>
  <c r="BO191" i="4"/>
  <c r="BP190" i="4"/>
  <c r="BO190" i="4"/>
  <c r="BP189" i="4"/>
  <c r="BO189" i="4"/>
  <c r="BP188" i="4"/>
  <c r="BO188" i="4"/>
  <c r="BP187" i="4"/>
  <c r="BO187" i="4"/>
  <c r="BP186" i="4"/>
  <c r="BO186" i="4"/>
  <c r="BP185" i="4"/>
  <c r="BO185" i="4"/>
  <c r="BP184" i="4"/>
  <c r="BO184" i="4"/>
  <c r="BP183" i="4"/>
  <c r="BO183" i="4"/>
  <c r="BP182" i="4"/>
  <c r="BO182" i="4"/>
  <c r="BP181" i="4"/>
  <c r="BO181" i="4"/>
  <c r="BP180" i="4"/>
  <c r="BO180" i="4"/>
  <c r="BP179" i="4"/>
  <c r="BO179" i="4"/>
  <c r="BP178" i="4"/>
  <c r="BO178" i="4"/>
  <c r="BP177" i="4"/>
  <c r="BO177" i="4"/>
  <c r="BP176" i="4"/>
  <c r="BO176" i="4"/>
  <c r="BP175" i="4"/>
  <c r="BO175" i="4"/>
  <c r="BP174" i="4"/>
  <c r="BO174" i="4"/>
  <c r="BP173" i="4"/>
  <c r="BO173" i="4"/>
  <c r="BP172" i="4"/>
  <c r="BO172" i="4"/>
  <c r="BP171" i="4"/>
  <c r="BO171" i="4"/>
  <c r="BP170" i="4"/>
  <c r="BO170" i="4"/>
  <c r="BP169" i="4"/>
  <c r="BO169" i="4"/>
  <c r="BP168" i="4"/>
  <c r="BO168" i="4"/>
  <c r="BP167" i="4"/>
  <c r="BO167" i="4"/>
  <c r="BP166" i="4"/>
  <c r="BO166" i="4"/>
  <c r="BP165" i="4"/>
  <c r="BO165" i="4"/>
  <c r="BP164" i="4"/>
  <c r="BO164" i="4"/>
  <c r="BP163" i="4"/>
  <c r="BO163" i="4"/>
  <c r="BP162" i="4"/>
  <c r="BO162" i="4"/>
  <c r="BP161" i="4"/>
  <c r="BO161" i="4"/>
  <c r="BP160" i="4"/>
  <c r="BO160" i="4"/>
  <c r="BP159" i="4"/>
  <c r="BO159" i="4"/>
  <c r="BP158" i="4"/>
  <c r="BO158" i="4"/>
  <c r="BP157" i="4"/>
  <c r="BO157" i="4"/>
  <c r="BP156" i="4"/>
  <c r="BO156" i="4"/>
  <c r="BP155" i="4"/>
  <c r="BO155" i="4"/>
  <c r="BP154" i="4"/>
  <c r="BO154" i="4"/>
  <c r="BP153" i="4"/>
  <c r="BO153" i="4"/>
  <c r="BP152" i="4"/>
  <c r="BO152" i="4"/>
  <c r="BP151" i="4"/>
  <c r="BO151" i="4"/>
  <c r="BP150" i="4"/>
  <c r="BO150" i="4"/>
  <c r="BP149" i="4"/>
  <c r="BO149" i="4"/>
  <c r="BP148" i="4"/>
  <c r="BO148" i="4"/>
  <c r="BP147" i="4"/>
  <c r="BO147" i="4"/>
  <c r="BP146" i="4"/>
  <c r="BO146" i="4"/>
  <c r="BP145" i="4"/>
  <c r="BO145" i="4"/>
  <c r="BP144" i="4"/>
  <c r="BO144" i="4"/>
  <c r="BP143" i="4"/>
  <c r="BO143" i="4"/>
  <c r="BP142" i="4"/>
  <c r="BO142" i="4"/>
  <c r="BP141" i="4"/>
  <c r="BO141" i="4"/>
  <c r="BP140" i="4"/>
  <c r="BO140" i="4"/>
  <c r="BP139" i="4"/>
  <c r="BO139" i="4"/>
  <c r="BP138" i="4"/>
  <c r="BO138" i="4"/>
  <c r="BP137" i="4"/>
  <c r="BO137" i="4"/>
  <c r="BP136" i="4"/>
  <c r="BO136" i="4"/>
  <c r="BP135" i="4"/>
  <c r="BO135" i="4"/>
  <c r="BP134" i="4"/>
  <c r="BO134" i="4"/>
  <c r="BP133" i="4"/>
  <c r="BO133" i="4"/>
  <c r="BP132" i="4"/>
  <c r="BO132" i="4"/>
  <c r="BP131" i="4"/>
  <c r="BO131" i="4"/>
  <c r="BP130" i="4"/>
  <c r="BO130" i="4"/>
  <c r="BP129" i="4"/>
  <c r="BO129" i="4"/>
  <c r="BP128" i="4"/>
  <c r="BO128" i="4"/>
  <c r="BP127" i="4"/>
  <c r="BO127" i="4"/>
  <c r="BP126" i="4"/>
  <c r="BO126" i="4"/>
  <c r="BP125" i="4"/>
  <c r="BO125" i="4"/>
  <c r="BP124" i="4"/>
  <c r="BO124" i="4"/>
  <c r="BP123" i="4"/>
  <c r="BO123" i="4"/>
  <c r="BP122" i="4"/>
  <c r="BO122" i="4"/>
  <c r="BP121" i="4"/>
  <c r="BO121" i="4"/>
  <c r="BP120" i="4"/>
  <c r="BO120" i="4"/>
  <c r="BP119" i="4"/>
  <c r="BO119" i="4"/>
  <c r="BP118" i="4"/>
  <c r="BO118" i="4"/>
  <c r="BP117" i="4"/>
  <c r="BO117" i="4"/>
  <c r="BP116" i="4"/>
  <c r="BO116" i="4"/>
  <c r="BP115" i="4"/>
  <c r="BO115" i="4"/>
  <c r="BP114" i="4"/>
  <c r="BO114" i="4"/>
  <c r="BP113" i="4"/>
  <c r="BO113" i="4"/>
  <c r="BP112" i="4"/>
  <c r="BO112" i="4"/>
  <c r="BP111" i="4"/>
  <c r="BO111" i="4"/>
  <c r="BP110" i="4"/>
  <c r="BO110" i="4"/>
  <c r="BP109" i="4"/>
  <c r="BO109" i="4"/>
  <c r="BP108" i="4"/>
  <c r="BO108" i="4"/>
  <c r="BP107" i="4"/>
  <c r="BO107" i="4"/>
  <c r="BP106" i="4"/>
  <c r="BO106" i="4"/>
  <c r="BP105" i="4"/>
  <c r="BO105" i="4"/>
  <c r="BP104" i="4"/>
  <c r="BO104" i="4"/>
  <c r="BP103" i="4"/>
  <c r="BO103" i="4"/>
  <c r="BP102" i="4"/>
  <c r="BO102" i="4"/>
  <c r="BP101" i="4"/>
  <c r="BO101" i="4"/>
  <c r="BP100" i="4"/>
  <c r="BO100" i="4"/>
  <c r="BP99" i="4"/>
  <c r="BO99" i="4"/>
  <c r="BP98" i="4"/>
  <c r="BO98" i="4"/>
  <c r="BP97" i="4"/>
  <c r="BO97" i="4"/>
  <c r="BP96" i="4"/>
  <c r="BO96" i="4"/>
  <c r="BP95" i="4"/>
  <c r="BO95" i="4"/>
  <c r="BP94" i="4"/>
  <c r="BO94" i="4"/>
  <c r="BP93" i="4"/>
  <c r="BO93" i="4"/>
  <c r="BP92" i="4"/>
  <c r="BO92" i="4"/>
  <c r="BP91" i="4"/>
  <c r="BO91" i="4"/>
  <c r="BP90" i="4"/>
  <c r="BO90" i="4"/>
  <c r="BP89" i="4"/>
  <c r="BO89" i="4"/>
  <c r="BP88" i="4"/>
  <c r="BO88" i="4"/>
  <c r="BP87" i="4"/>
  <c r="BO87" i="4"/>
  <c r="BP86" i="4"/>
  <c r="BO86" i="4"/>
  <c r="BP85" i="4"/>
  <c r="BO85" i="4"/>
  <c r="BP84" i="4"/>
  <c r="BO84" i="4"/>
  <c r="BP83" i="4"/>
  <c r="BO83" i="4"/>
  <c r="BP82" i="4"/>
  <c r="BO82" i="4"/>
  <c r="BP81" i="4"/>
  <c r="BO81" i="4"/>
  <c r="BP80" i="4"/>
  <c r="BO80" i="4"/>
  <c r="BP79" i="4"/>
  <c r="BO79" i="4"/>
  <c r="BP78" i="4"/>
  <c r="BO78" i="4"/>
  <c r="BP77" i="4"/>
  <c r="BO77" i="4"/>
  <c r="BP76" i="4"/>
  <c r="BO76" i="4"/>
  <c r="BP75" i="4"/>
  <c r="BO75" i="4"/>
  <c r="BP74" i="4"/>
  <c r="BO74" i="4"/>
  <c r="BP73" i="4"/>
  <c r="BO73" i="4"/>
  <c r="BP72" i="4"/>
  <c r="BO72" i="4"/>
  <c r="BP71" i="4"/>
  <c r="BO71" i="4"/>
  <c r="BP70" i="4"/>
  <c r="BO70" i="4"/>
  <c r="BP69" i="4"/>
  <c r="BO69" i="4"/>
  <c r="BP68" i="4"/>
  <c r="BO68" i="4"/>
  <c r="BP67" i="4"/>
  <c r="BO67" i="4"/>
  <c r="BP66" i="4"/>
  <c r="BO66" i="4"/>
  <c r="BP65" i="4"/>
  <c r="BO65" i="4"/>
  <c r="BP64" i="4"/>
  <c r="BO64" i="4"/>
  <c r="BP63" i="4"/>
  <c r="BO63" i="4"/>
  <c r="BP62" i="4"/>
  <c r="BO62" i="4"/>
  <c r="BP61" i="4"/>
  <c r="BO61" i="4"/>
  <c r="BP60" i="4"/>
  <c r="BO60" i="4"/>
  <c r="BP59" i="4"/>
  <c r="BO59" i="4"/>
  <c r="BP58" i="4"/>
  <c r="BO58" i="4"/>
  <c r="BP57" i="4"/>
  <c r="BO57" i="4"/>
  <c r="BP56" i="4"/>
  <c r="BO56" i="4"/>
  <c r="BP55" i="4"/>
  <c r="BO55" i="4"/>
  <c r="BP54" i="4"/>
  <c r="BO54" i="4"/>
  <c r="BP53" i="4"/>
  <c r="BO53" i="4"/>
  <c r="BP52" i="4"/>
  <c r="BO52" i="4"/>
  <c r="BP51" i="4"/>
  <c r="BO51" i="4"/>
  <c r="BP50" i="4"/>
  <c r="BO50" i="4"/>
  <c r="BP49" i="4"/>
  <c r="BO49" i="4"/>
  <c r="BP48" i="4"/>
  <c r="BO48" i="4"/>
  <c r="BP47" i="4"/>
  <c r="BO47" i="4"/>
  <c r="BP46" i="4"/>
  <c r="BO46" i="4"/>
  <c r="BP45" i="4"/>
  <c r="BO45" i="4"/>
  <c r="BP44" i="4"/>
  <c r="BO44" i="4"/>
  <c r="BP43" i="4"/>
  <c r="BO43" i="4"/>
  <c r="BP42" i="4"/>
  <c r="BO42" i="4"/>
  <c r="BP41" i="4"/>
  <c r="BO41" i="4"/>
  <c r="BP40" i="4"/>
  <c r="BO40" i="4"/>
  <c r="BP39" i="4"/>
  <c r="BO39" i="4"/>
  <c r="BP38" i="4"/>
  <c r="BO38" i="4"/>
  <c r="BP37" i="4"/>
  <c r="BO37" i="4"/>
  <c r="BP36" i="4"/>
  <c r="BO36" i="4"/>
  <c r="BP35" i="4"/>
  <c r="BO35" i="4"/>
  <c r="BP34" i="4"/>
  <c r="BO34" i="4"/>
  <c r="BP33" i="4"/>
  <c r="BO33" i="4"/>
  <c r="BP32" i="4"/>
  <c r="BO32" i="4"/>
  <c r="BP31" i="4"/>
  <c r="BO31" i="4"/>
  <c r="BP30" i="4"/>
  <c r="BO30" i="4"/>
  <c r="BP29" i="4"/>
  <c r="BO29" i="4"/>
  <c r="BP28" i="4"/>
  <c r="BO28" i="4"/>
  <c r="BP27" i="4"/>
  <c r="BO27" i="4"/>
  <c r="BP26" i="4"/>
  <c r="BO26" i="4"/>
  <c r="BP25" i="4"/>
  <c r="BO25" i="4"/>
  <c r="BP24" i="4"/>
  <c r="BO24" i="4"/>
  <c r="BP23" i="4"/>
  <c r="BO23" i="4"/>
  <c r="BP22" i="4"/>
  <c r="BO22" i="4"/>
  <c r="BP21" i="4"/>
  <c r="BO21" i="4"/>
  <c r="BP20" i="4"/>
  <c r="BO20" i="4"/>
  <c r="BP19" i="4"/>
  <c r="BO19" i="4"/>
  <c r="BP18" i="4"/>
  <c r="BO18" i="4"/>
  <c r="BP17" i="4"/>
  <c r="BO17" i="4"/>
  <c r="BP16" i="4"/>
  <c r="BO16" i="4"/>
  <c r="BP15" i="4"/>
  <c r="BO15" i="4"/>
  <c r="BP14" i="4"/>
  <c r="BO14" i="4"/>
  <c r="BP13" i="4"/>
  <c r="BO13" i="4"/>
  <c r="BP12" i="4"/>
  <c r="BO12" i="4"/>
  <c r="BP11" i="4"/>
  <c r="BO11" i="4"/>
  <c r="BP10" i="4"/>
  <c r="BO10" i="4"/>
  <c r="BJ300" i="4"/>
  <c r="BI300" i="4"/>
  <c r="BJ299" i="4"/>
  <c r="BI299" i="4"/>
  <c r="BJ298" i="4"/>
  <c r="BI298" i="4"/>
  <c r="BJ297" i="4"/>
  <c r="BI297" i="4"/>
  <c r="BJ296" i="4"/>
  <c r="BI296" i="4"/>
  <c r="BJ295" i="4"/>
  <c r="BI295" i="4"/>
  <c r="BJ294" i="4"/>
  <c r="BI294" i="4"/>
  <c r="BJ293" i="4"/>
  <c r="BI293" i="4"/>
  <c r="BJ292" i="4"/>
  <c r="BI292" i="4"/>
  <c r="BJ291" i="4"/>
  <c r="BI291" i="4"/>
  <c r="BJ290" i="4"/>
  <c r="BI290" i="4"/>
  <c r="BJ289" i="4"/>
  <c r="BI289" i="4"/>
  <c r="BJ288" i="4"/>
  <c r="BI288" i="4"/>
  <c r="BJ287" i="4"/>
  <c r="BI287" i="4"/>
  <c r="BJ286" i="4"/>
  <c r="BI286" i="4"/>
  <c r="BJ285" i="4"/>
  <c r="BI285" i="4"/>
  <c r="BJ284" i="4"/>
  <c r="BI284" i="4"/>
  <c r="BJ283" i="4"/>
  <c r="BI283" i="4"/>
  <c r="BJ282" i="4"/>
  <c r="BI282" i="4"/>
  <c r="BJ281" i="4"/>
  <c r="BI281" i="4"/>
  <c r="BJ280" i="4"/>
  <c r="BI280" i="4"/>
  <c r="BJ279" i="4"/>
  <c r="BI279" i="4"/>
  <c r="BJ278" i="4"/>
  <c r="BI278" i="4"/>
  <c r="BJ277" i="4"/>
  <c r="BI277" i="4"/>
  <c r="BJ276" i="4"/>
  <c r="BI276" i="4"/>
  <c r="BJ275" i="4"/>
  <c r="BI275" i="4"/>
  <c r="BJ274" i="4"/>
  <c r="BI274" i="4"/>
  <c r="BJ273" i="4"/>
  <c r="BI273" i="4"/>
  <c r="BJ272" i="4"/>
  <c r="BI272" i="4"/>
  <c r="BJ271" i="4"/>
  <c r="BI271" i="4"/>
  <c r="BJ270" i="4"/>
  <c r="BI270" i="4"/>
  <c r="BJ269" i="4"/>
  <c r="BI269" i="4"/>
  <c r="BJ268" i="4"/>
  <c r="BI268" i="4"/>
  <c r="BJ267" i="4"/>
  <c r="BI267" i="4"/>
  <c r="BJ266" i="4"/>
  <c r="BI266" i="4"/>
  <c r="BJ265" i="4"/>
  <c r="BI265" i="4"/>
  <c r="BJ264" i="4"/>
  <c r="BI264" i="4"/>
  <c r="BJ263" i="4"/>
  <c r="BI263" i="4"/>
  <c r="BJ262" i="4"/>
  <c r="BI262" i="4"/>
  <c r="BJ261" i="4"/>
  <c r="BI261" i="4"/>
  <c r="BJ260" i="4"/>
  <c r="BI260" i="4"/>
  <c r="BJ259" i="4"/>
  <c r="BI259" i="4"/>
  <c r="BJ258" i="4"/>
  <c r="BI258" i="4"/>
  <c r="BJ257" i="4"/>
  <c r="BI257" i="4"/>
  <c r="BJ256" i="4"/>
  <c r="BI256" i="4"/>
  <c r="BJ255" i="4"/>
  <c r="BI255" i="4"/>
  <c r="BJ254" i="4"/>
  <c r="BI254" i="4"/>
  <c r="BJ253" i="4"/>
  <c r="BI253" i="4"/>
  <c r="BJ252" i="4"/>
  <c r="BI252" i="4"/>
  <c r="BJ251" i="4"/>
  <c r="BI251" i="4"/>
  <c r="BJ250" i="4"/>
  <c r="BI250" i="4"/>
  <c r="BJ249" i="4"/>
  <c r="BI249" i="4"/>
  <c r="BJ248" i="4"/>
  <c r="BI248" i="4"/>
  <c r="BJ247" i="4"/>
  <c r="BI247" i="4"/>
  <c r="BJ246" i="4"/>
  <c r="BI246" i="4"/>
  <c r="BJ245" i="4"/>
  <c r="BI245" i="4"/>
  <c r="BJ244" i="4"/>
  <c r="BI244" i="4"/>
  <c r="BJ243" i="4"/>
  <c r="BI243" i="4"/>
  <c r="BJ242" i="4"/>
  <c r="BI242" i="4"/>
  <c r="BJ241" i="4"/>
  <c r="BI241" i="4"/>
  <c r="BJ240" i="4"/>
  <c r="BI240" i="4"/>
  <c r="BJ239" i="4"/>
  <c r="BI239" i="4"/>
  <c r="BJ238" i="4"/>
  <c r="BI238" i="4"/>
  <c r="BJ237" i="4"/>
  <c r="BI237" i="4"/>
  <c r="BJ236" i="4"/>
  <c r="BI236" i="4"/>
  <c r="BJ235" i="4"/>
  <c r="BI235" i="4"/>
  <c r="BJ234" i="4"/>
  <c r="BI234" i="4"/>
  <c r="BJ233" i="4"/>
  <c r="BI233" i="4"/>
  <c r="BJ232" i="4"/>
  <c r="BI232" i="4"/>
  <c r="BJ231" i="4"/>
  <c r="BI231" i="4"/>
  <c r="BJ230" i="4"/>
  <c r="BI230" i="4"/>
  <c r="BJ229" i="4"/>
  <c r="BI229" i="4"/>
  <c r="BJ228" i="4"/>
  <c r="BI228" i="4"/>
  <c r="BJ227" i="4"/>
  <c r="BI227" i="4"/>
  <c r="BJ226" i="4"/>
  <c r="BI226" i="4"/>
  <c r="BJ225" i="4"/>
  <c r="BI225" i="4"/>
  <c r="BJ224" i="4"/>
  <c r="BI224" i="4"/>
  <c r="BJ223" i="4"/>
  <c r="BI223" i="4"/>
  <c r="BJ222" i="4"/>
  <c r="BI222" i="4"/>
  <c r="BJ221" i="4"/>
  <c r="BI221" i="4"/>
  <c r="BJ220" i="4"/>
  <c r="BI220" i="4"/>
  <c r="BJ219" i="4"/>
  <c r="BI219" i="4"/>
  <c r="BJ218" i="4"/>
  <c r="BI218" i="4"/>
  <c r="BJ217" i="4"/>
  <c r="BI217" i="4"/>
  <c r="BJ216" i="4"/>
  <c r="BI216" i="4"/>
  <c r="BJ215" i="4"/>
  <c r="BI215" i="4"/>
  <c r="BJ214" i="4"/>
  <c r="BI214" i="4"/>
  <c r="BJ213" i="4"/>
  <c r="BI213" i="4"/>
  <c r="BJ212" i="4"/>
  <c r="BI212" i="4"/>
  <c r="BJ211" i="4"/>
  <c r="BI211" i="4"/>
  <c r="BJ210" i="4"/>
  <c r="BI210" i="4"/>
  <c r="BJ209" i="4"/>
  <c r="BI209" i="4"/>
  <c r="BJ208" i="4"/>
  <c r="BI208" i="4"/>
  <c r="BJ207" i="4"/>
  <c r="BI207" i="4"/>
  <c r="BJ206" i="4"/>
  <c r="BI206" i="4"/>
  <c r="BJ205" i="4"/>
  <c r="BI205" i="4"/>
  <c r="BJ204" i="4"/>
  <c r="BI204" i="4"/>
  <c r="BJ203" i="4"/>
  <c r="BI203" i="4"/>
  <c r="BJ202" i="4"/>
  <c r="BI202" i="4"/>
  <c r="BJ201" i="4"/>
  <c r="BI201" i="4"/>
  <c r="BJ200" i="4"/>
  <c r="BI200" i="4"/>
  <c r="BJ199" i="4"/>
  <c r="BI199" i="4"/>
  <c r="BJ198" i="4"/>
  <c r="BI198" i="4"/>
  <c r="BJ197" i="4"/>
  <c r="BI197" i="4"/>
  <c r="BJ196" i="4"/>
  <c r="BI196" i="4"/>
  <c r="BJ195" i="4"/>
  <c r="BI195" i="4"/>
  <c r="BJ194" i="4"/>
  <c r="BI194" i="4"/>
  <c r="BJ193" i="4"/>
  <c r="BI193" i="4"/>
  <c r="BJ192" i="4"/>
  <c r="BI192" i="4"/>
  <c r="BJ191" i="4"/>
  <c r="BI191" i="4"/>
  <c r="BJ190" i="4"/>
  <c r="BI190" i="4"/>
  <c r="BJ189" i="4"/>
  <c r="BI189" i="4"/>
  <c r="BJ188" i="4"/>
  <c r="BI188" i="4"/>
  <c r="BJ187" i="4"/>
  <c r="BI187" i="4"/>
  <c r="BJ186" i="4"/>
  <c r="BI186" i="4"/>
  <c r="BJ185" i="4"/>
  <c r="BI185" i="4"/>
  <c r="BJ184" i="4"/>
  <c r="BI184" i="4"/>
  <c r="BJ183" i="4"/>
  <c r="BI183" i="4"/>
  <c r="BJ182" i="4"/>
  <c r="BI182" i="4"/>
  <c r="BJ181" i="4"/>
  <c r="BI181" i="4"/>
  <c r="BJ180" i="4"/>
  <c r="BI180" i="4"/>
  <c r="BJ179" i="4"/>
  <c r="BI179" i="4"/>
  <c r="BJ178" i="4"/>
  <c r="BI178" i="4"/>
  <c r="BJ177" i="4"/>
  <c r="BI177" i="4"/>
  <c r="BJ176" i="4"/>
  <c r="BI176" i="4"/>
  <c r="BJ175" i="4"/>
  <c r="BI175" i="4"/>
  <c r="BJ174" i="4"/>
  <c r="BI174" i="4"/>
  <c r="BJ173" i="4"/>
  <c r="BI173" i="4"/>
  <c r="BJ172" i="4"/>
  <c r="BI172" i="4"/>
  <c r="BJ171" i="4"/>
  <c r="BI171" i="4"/>
  <c r="BJ170" i="4"/>
  <c r="BI170" i="4"/>
  <c r="BJ169" i="4"/>
  <c r="BI169" i="4"/>
  <c r="BJ168" i="4"/>
  <c r="BI168" i="4"/>
  <c r="BJ167" i="4"/>
  <c r="BI167" i="4"/>
  <c r="BJ166" i="4"/>
  <c r="BI166" i="4"/>
  <c r="BJ165" i="4"/>
  <c r="BI165" i="4"/>
  <c r="BJ164" i="4"/>
  <c r="BI164" i="4"/>
  <c r="BJ163" i="4"/>
  <c r="BI163" i="4"/>
  <c r="BJ162" i="4"/>
  <c r="BI162" i="4"/>
  <c r="BJ161" i="4"/>
  <c r="BI161" i="4"/>
  <c r="BJ160" i="4"/>
  <c r="BI160" i="4"/>
  <c r="BJ159" i="4"/>
  <c r="BI159" i="4"/>
  <c r="BJ158" i="4"/>
  <c r="BI158" i="4"/>
  <c r="BJ157" i="4"/>
  <c r="BI157" i="4"/>
  <c r="BJ156" i="4"/>
  <c r="BI156" i="4"/>
  <c r="BJ155" i="4"/>
  <c r="BI155" i="4"/>
  <c r="BJ154" i="4"/>
  <c r="BI154" i="4"/>
  <c r="BJ153" i="4"/>
  <c r="BI153" i="4"/>
  <c r="BJ152" i="4"/>
  <c r="BI152" i="4"/>
  <c r="BJ151" i="4"/>
  <c r="BI151" i="4"/>
  <c r="BJ150" i="4"/>
  <c r="BI150" i="4"/>
  <c r="BJ149" i="4"/>
  <c r="BI149" i="4"/>
  <c r="BJ148" i="4"/>
  <c r="BI148" i="4"/>
  <c r="BJ147" i="4"/>
  <c r="BI147" i="4"/>
  <c r="BJ146" i="4"/>
  <c r="BI146" i="4"/>
  <c r="BJ145" i="4"/>
  <c r="BI145" i="4"/>
  <c r="BJ144" i="4"/>
  <c r="BI144" i="4"/>
  <c r="BJ143" i="4"/>
  <c r="BI143" i="4"/>
  <c r="BJ142" i="4"/>
  <c r="BI142" i="4"/>
  <c r="BJ141" i="4"/>
  <c r="BI141" i="4"/>
  <c r="BJ140" i="4"/>
  <c r="BI140" i="4"/>
  <c r="BJ139" i="4"/>
  <c r="BI139" i="4"/>
  <c r="BJ138" i="4"/>
  <c r="BI138" i="4"/>
  <c r="BJ137" i="4"/>
  <c r="BI137" i="4"/>
  <c r="BJ136" i="4"/>
  <c r="BI136" i="4"/>
  <c r="BJ135" i="4"/>
  <c r="BI135" i="4"/>
  <c r="BJ134" i="4"/>
  <c r="BI134" i="4"/>
  <c r="BJ133" i="4"/>
  <c r="BI133" i="4"/>
  <c r="BJ132" i="4"/>
  <c r="BI132" i="4"/>
  <c r="BJ131" i="4"/>
  <c r="BI131" i="4"/>
  <c r="BJ130" i="4"/>
  <c r="BI130" i="4"/>
  <c r="BJ129" i="4"/>
  <c r="BI129" i="4"/>
  <c r="BJ128" i="4"/>
  <c r="BI128" i="4"/>
  <c r="BJ127" i="4"/>
  <c r="BI127" i="4"/>
  <c r="BJ126" i="4"/>
  <c r="BI126" i="4"/>
  <c r="BJ125" i="4"/>
  <c r="BI125" i="4"/>
  <c r="BJ124" i="4"/>
  <c r="BI124" i="4"/>
  <c r="BJ123" i="4"/>
  <c r="BI123" i="4"/>
  <c r="BJ122" i="4"/>
  <c r="BI122" i="4"/>
  <c r="BJ121" i="4"/>
  <c r="BI121" i="4"/>
  <c r="BJ120" i="4"/>
  <c r="BI120" i="4"/>
  <c r="BJ119" i="4"/>
  <c r="BI119" i="4"/>
  <c r="BJ118" i="4"/>
  <c r="BI118" i="4"/>
  <c r="BJ117" i="4"/>
  <c r="BI117" i="4"/>
  <c r="BJ116" i="4"/>
  <c r="BI116" i="4"/>
  <c r="BJ115" i="4"/>
  <c r="BI115" i="4"/>
  <c r="BJ114" i="4"/>
  <c r="BI114" i="4"/>
  <c r="BJ113" i="4"/>
  <c r="BI113" i="4"/>
  <c r="BJ112" i="4"/>
  <c r="BI112" i="4"/>
  <c r="BJ111" i="4"/>
  <c r="BI111" i="4"/>
  <c r="BJ110" i="4"/>
  <c r="BI110" i="4"/>
  <c r="BJ109" i="4"/>
  <c r="BI109" i="4"/>
  <c r="BJ108" i="4"/>
  <c r="BI108" i="4"/>
  <c r="BJ107" i="4"/>
  <c r="BI107" i="4"/>
  <c r="BJ106" i="4"/>
  <c r="BI106" i="4"/>
  <c r="BJ105" i="4"/>
  <c r="BI105" i="4"/>
  <c r="BJ104" i="4"/>
  <c r="BI104" i="4"/>
  <c r="BJ103" i="4"/>
  <c r="BI103" i="4"/>
  <c r="BJ102" i="4"/>
  <c r="BI102" i="4"/>
  <c r="BJ101" i="4"/>
  <c r="BI101" i="4"/>
  <c r="BJ100" i="4"/>
  <c r="BI100" i="4"/>
  <c r="BJ99" i="4"/>
  <c r="BI99" i="4"/>
  <c r="BJ98" i="4"/>
  <c r="BI98" i="4"/>
  <c r="BJ97" i="4"/>
  <c r="BI97" i="4"/>
  <c r="BJ96" i="4"/>
  <c r="BI96" i="4"/>
  <c r="BJ95" i="4"/>
  <c r="BI95" i="4"/>
  <c r="BJ94" i="4"/>
  <c r="BI94" i="4"/>
  <c r="BJ93" i="4"/>
  <c r="BI93" i="4"/>
  <c r="BJ92" i="4"/>
  <c r="BI92" i="4"/>
  <c r="BJ91" i="4"/>
  <c r="BI91" i="4"/>
  <c r="BJ90" i="4"/>
  <c r="BI90" i="4"/>
  <c r="BJ89" i="4"/>
  <c r="BI89" i="4"/>
  <c r="BJ88" i="4"/>
  <c r="BI88" i="4"/>
  <c r="BJ87" i="4"/>
  <c r="BI87" i="4"/>
  <c r="BJ86" i="4"/>
  <c r="BI86" i="4"/>
  <c r="BJ85" i="4"/>
  <c r="BI85" i="4"/>
  <c r="BJ84" i="4"/>
  <c r="BI84" i="4"/>
  <c r="BJ83" i="4"/>
  <c r="BI83" i="4"/>
  <c r="BJ82" i="4"/>
  <c r="BI82" i="4"/>
  <c r="BJ81" i="4"/>
  <c r="BI81" i="4"/>
  <c r="BJ80" i="4"/>
  <c r="BI80" i="4"/>
  <c r="BJ79" i="4"/>
  <c r="BI79" i="4"/>
  <c r="BJ78" i="4"/>
  <c r="BI78" i="4"/>
  <c r="BJ77" i="4"/>
  <c r="BI77" i="4"/>
  <c r="BJ76" i="4"/>
  <c r="BI76" i="4"/>
  <c r="BJ75" i="4"/>
  <c r="BI75" i="4"/>
  <c r="BJ74" i="4"/>
  <c r="BI74" i="4"/>
  <c r="BJ73" i="4"/>
  <c r="BI73" i="4"/>
  <c r="BJ72" i="4"/>
  <c r="BI72" i="4"/>
  <c r="BJ71" i="4"/>
  <c r="BI71" i="4"/>
  <c r="BJ70" i="4"/>
  <c r="BI70" i="4"/>
  <c r="BJ69" i="4"/>
  <c r="BI69" i="4"/>
  <c r="BJ68" i="4"/>
  <c r="BI68" i="4"/>
  <c r="BJ67" i="4"/>
  <c r="BI67" i="4"/>
  <c r="BJ66" i="4"/>
  <c r="BI66" i="4"/>
  <c r="BJ65" i="4"/>
  <c r="BI65" i="4"/>
  <c r="BJ64" i="4"/>
  <c r="BI64" i="4"/>
  <c r="BJ63" i="4"/>
  <c r="BI63" i="4"/>
  <c r="BJ62" i="4"/>
  <c r="BI62" i="4"/>
  <c r="BJ61" i="4"/>
  <c r="BI61" i="4"/>
  <c r="BJ60" i="4"/>
  <c r="BI60" i="4"/>
  <c r="BJ59" i="4"/>
  <c r="BI59" i="4"/>
  <c r="BJ58" i="4"/>
  <c r="BI58" i="4"/>
  <c r="BJ57" i="4"/>
  <c r="BI57" i="4"/>
  <c r="BJ56" i="4"/>
  <c r="BI56" i="4"/>
  <c r="BJ55" i="4"/>
  <c r="BI55" i="4"/>
  <c r="BJ54" i="4"/>
  <c r="BI54" i="4"/>
  <c r="BJ53" i="4"/>
  <c r="BI53" i="4"/>
  <c r="BJ52" i="4"/>
  <c r="BI52" i="4"/>
  <c r="BJ51" i="4"/>
  <c r="BI51" i="4"/>
  <c r="BJ50" i="4"/>
  <c r="BI50" i="4"/>
  <c r="BJ49" i="4"/>
  <c r="BI49" i="4"/>
  <c r="BJ48" i="4"/>
  <c r="BI48" i="4"/>
  <c r="BJ47" i="4"/>
  <c r="BI47" i="4"/>
  <c r="BJ46" i="4"/>
  <c r="BI46" i="4"/>
  <c r="BJ45" i="4"/>
  <c r="BI45" i="4"/>
  <c r="BJ44" i="4"/>
  <c r="BI44" i="4"/>
  <c r="BJ43" i="4"/>
  <c r="BI43" i="4"/>
  <c r="BJ42" i="4"/>
  <c r="BI42" i="4"/>
  <c r="BJ41" i="4"/>
  <c r="BI41" i="4"/>
  <c r="BJ40" i="4"/>
  <c r="BI40" i="4"/>
  <c r="BJ39" i="4"/>
  <c r="BI39" i="4"/>
  <c r="BJ38" i="4"/>
  <c r="BI38" i="4"/>
  <c r="BJ37" i="4"/>
  <c r="BI37" i="4"/>
  <c r="BJ36" i="4"/>
  <c r="BI36" i="4"/>
  <c r="BJ35" i="4"/>
  <c r="BI35" i="4"/>
  <c r="BJ34" i="4"/>
  <c r="BI34" i="4"/>
  <c r="BJ33" i="4"/>
  <c r="BI33" i="4"/>
  <c r="BJ32" i="4"/>
  <c r="BI32" i="4"/>
  <c r="BJ31" i="4"/>
  <c r="BI31" i="4"/>
  <c r="BJ30" i="4"/>
  <c r="BI30" i="4"/>
  <c r="BJ29" i="4"/>
  <c r="BI29" i="4"/>
  <c r="BJ28" i="4"/>
  <c r="BI28" i="4"/>
  <c r="BJ27" i="4"/>
  <c r="BI27" i="4"/>
  <c r="BJ26" i="4"/>
  <c r="BI26" i="4"/>
  <c r="BJ25" i="4"/>
  <c r="BI25" i="4"/>
  <c r="BJ24" i="4"/>
  <c r="BI24" i="4"/>
  <c r="BJ23" i="4"/>
  <c r="BI23" i="4"/>
  <c r="BJ22" i="4"/>
  <c r="BI22" i="4"/>
  <c r="BJ21" i="4"/>
  <c r="BI21" i="4"/>
  <c r="BJ20" i="4"/>
  <c r="BI20" i="4"/>
  <c r="BJ19" i="4"/>
  <c r="BI19" i="4"/>
  <c r="BJ18" i="4"/>
  <c r="BI18" i="4"/>
  <c r="BJ17" i="4"/>
  <c r="BI17" i="4"/>
  <c r="BJ16" i="4"/>
  <c r="BI16" i="4"/>
  <c r="BJ15" i="4"/>
  <c r="BI15" i="4"/>
  <c r="BJ14" i="4"/>
  <c r="BI14" i="4"/>
  <c r="BJ13" i="4"/>
  <c r="BI13" i="4"/>
  <c r="BJ12" i="4"/>
  <c r="BI12" i="4"/>
  <c r="BJ11" i="4"/>
  <c r="BI11" i="4"/>
  <c r="BJ10" i="4"/>
  <c r="BI10" i="4"/>
  <c r="BD300" i="4"/>
  <c r="BC300" i="4"/>
  <c r="BD299" i="4"/>
  <c r="BC299" i="4"/>
  <c r="BD298" i="4"/>
  <c r="BC298" i="4"/>
  <c r="BD297" i="4"/>
  <c r="BC297" i="4"/>
  <c r="BD296" i="4"/>
  <c r="BC296" i="4"/>
  <c r="BD295" i="4"/>
  <c r="BC295" i="4"/>
  <c r="BD294" i="4"/>
  <c r="BC294" i="4"/>
  <c r="BD293" i="4"/>
  <c r="BC293" i="4"/>
  <c r="BD292" i="4"/>
  <c r="BC292" i="4"/>
  <c r="BD291" i="4"/>
  <c r="BC291" i="4"/>
  <c r="BD290" i="4"/>
  <c r="BC290" i="4"/>
  <c r="BD289" i="4"/>
  <c r="BC289" i="4"/>
  <c r="BD288" i="4"/>
  <c r="BC288" i="4"/>
  <c r="BD287" i="4"/>
  <c r="BC287" i="4"/>
  <c r="BD286" i="4"/>
  <c r="BC286" i="4"/>
  <c r="BD285" i="4"/>
  <c r="BC285" i="4"/>
  <c r="BD284" i="4"/>
  <c r="BC284" i="4"/>
  <c r="BD283" i="4"/>
  <c r="BC283" i="4"/>
  <c r="BD282" i="4"/>
  <c r="BC282" i="4"/>
  <c r="BD281" i="4"/>
  <c r="BC281" i="4"/>
  <c r="BD280" i="4"/>
  <c r="BC280" i="4"/>
  <c r="BD279" i="4"/>
  <c r="BC279" i="4"/>
  <c r="BD278" i="4"/>
  <c r="BC278" i="4"/>
  <c r="BD277" i="4"/>
  <c r="BC277" i="4"/>
  <c r="BD276" i="4"/>
  <c r="BC276" i="4"/>
  <c r="BD275" i="4"/>
  <c r="BC275" i="4"/>
  <c r="BD274" i="4"/>
  <c r="BC274" i="4"/>
  <c r="BD273" i="4"/>
  <c r="BC273" i="4"/>
  <c r="BD272" i="4"/>
  <c r="BC272" i="4"/>
  <c r="BD271" i="4"/>
  <c r="BC271" i="4"/>
  <c r="BD270" i="4"/>
  <c r="BC270" i="4"/>
  <c r="BD269" i="4"/>
  <c r="BC269" i="4"/>
  <c r="BD268" i="4"/>
  <c r="BC268" i="4"/>
  <c r="BD267" i="4"/>
  <c r="BC267" i="4"/>
  <c r="BD266" i="4"/>
  <c r="BC266" i="4"/>
  <c r="BD265" i="4"/>
  <c r="BC265" i="4"/>
  <c r="BD264" i="4"/>
  <c r="BC264" i="4"/>
  <c r="BD263" i="4"/>
  <c r="BC263" i="4"/>
  <c r="BD262" i="4"/>
  <c r="BC262" i="4"/>
  <c r="BD261" i="4"/>
  <c r="BC261" i="4"/>
  <c r="BD260" i="4"/>
  <c r="BC260" i="4"/>
  <c r="BD259" i="4"/>
  <c r="BC259" i="4"/>
  <c r="BD258" i="4"/>
  <c r="BC258" i="4"/>
  <c r="BD257" i="4"/>
  <c r="BC257" i="4"/>
  <c r="BD256" i="4"/>
  <c r="BC256" i="4"/>
  <c r="BD255" i="4"/>
  <c r="BC255" i="4"/>
  <c r="BD254" i="4"/>
  <c r="BC254" i="4"/>
  <c r="BD253" i="4"/>
  <c r="BC253" i="4"/>
  <c r="BD252" i="4"/>
  <c r="BC252" i="4"/>
  <c r="BD251" i="4"/>
  <c r="BC251" i="4"/>
  <c r="BD250" i="4"/>
  <c r="BC250" i="4"/>
  <c r="BD249" i="4"/>
  <c r="BC249" i="4"/>
  <c r="BD248" i="4"/>
  <c r="BC248" i="4"/>
  <c r="BD247" i="4"/>
  <c r="BC247" i="4"/>
  <c r="BD246" i="4"/>
  <c r="BC246" i="4"/>
  <c r="BD245" i="4"/>
  <c r="BC245" i="4"/>
  <c r="BD244" i="4"/>
  <c r="BC244" i="4"/>
  <c r="BD243" i="4"/>
  <c r="BC243" i="4"/>
  <c r="BD242" i="4"/>
  <c r="BC242" i="4"/>
  <c r="BD241" i="4"/>
  <c r="BC241" i="4"/>
  <c r="BD240" i="4"/>
  <c r="BC240" i="4"/>
  <c r="BD239" i="4"/>
  <c r="BC239" i="4"/>
  <c r="BD238" i="4"/>
  <c r="BC238" i="4"/>
  <c r="BD237" i="4"/>
  <c r="BC237" i="4"/>
  <c r="BD236" i="4"/>
  <c r="BC236" i="4"/>
  <c r="BD235" i="4"/>
  <c r="BC235" i="4"/>
  <c r="BD234" i="4"/>
  <c r="BC234" i="4"/>
  <c r="BD233" i="4"/>
  <c r="BC233" i="4"/>
  <c r="BD232" i="4"/>
  <c r="BC232" i="4"/>
  <c r="BD231" i="4"/>
  <c r="BC231" i="4"/>
  <c r="BD230" i="4"/>
  <c r="BC230" i="4"/>
  <c r="BD229" i="4"/>
  <c r="BC229" i="4"/>
  <c r="BD228" i="4"/>
  <c r="BC228" i="4"/>
  <c r="BD227" i="4"/>
  <c r="BC227" i="4"/>
  <c r="BD226" i="4"/>
  <c r="BC226" i="4"/>
  <c r="BD225" i="4"/>
  <c r="BC225" i="4"/>
  <c r="BD224" i="4"/>
  <c r="BC224" i="4"/>
  <c r="BD223" i="4"/>
  <c r="BC223" i="4"/>
  <c r="BD222" i="4"/>
  <c r="BC222" i="4"/>
  <c r="BD221" i="4"/>
  <c r="BC221" i="4"/>
  <c r="BD220" i="4"/>
  <c r="BC220" i="4"/>
  <c r="BD219" i="4"/>
  <c r="BC219" i="4"/>
  <c r="BD218" i="4"/>
  <c r="BC218" i="4"/>
  <c r="BD217" i="4"/>
  <c r="BC217" i="4"/>
  <c r="BD216" i="4"/>
  <c r="BC216" i="4"/>
  <c r="BD215" i="4"/>
  <c r="BC215" i="4"/>
  <c r="BD214" i="4"/>
  <c r="BC214" i="4"/>
  <c r="BD213" i="4"/>
  <c r="BC213" i="4"/>
  <c r="BD212" i="4"/>
  <c r="BC212" i="4"/>
  <c r="BD211" i="4"/>
  <c r="BC211" i="4"/>
  <c r="BD210" i="4"/>
  <c r="BC210" i="4"/>
  <c r="BD209" i="4"/>
  <c r="BC209" i="4"/>
  <c r="BD208" i="4"/>
  <c r="BC208" i="4"/>
  <c r="BD207" i="4"/>
  <c r="BC207" i="4"/>
  <c r="BD206" i="4"/>
  <c r="BC206" i="4"/>
  <c r="BD205" i="4"/>
  <c r="BC205" i="4"/>
  <c r="BD204" i="4"/>
  <c r="BC204" i="4"/>
  <c r="BD203" i="4"/>
  <c r="BC203" i="4"/>
  <c r="BD202" i="4"/>
  <c r="BC202" i="4"/>
  <c r="BD201" i="4"/>
  <c r="BC201" i="4"/>
  <c r="BD200" i="4"/>
  <c r="BC200" i="4"/>
  <c r="BD199" i="4"/>
  <c r="BC199" i="4"/>
  <c r="BD198" i="4"/>
  <c r="BC198" i="4"/>
  <c r="BD197" i="4"/>
  <c r="BC197" i="4"/>
  <c r="BD196" i="4"/>
  <c r="BC196" i="4"/>
  <c r="BD195" i="4"/>
  <c r="BC195" i="4"/>
  <c r="BD194" i="4"/>
  <c r="BC194" i="4"/>
  <c r="BD193" i="4"/>
  <c r="BC193" i="4"/>
  <c r="BD192" i="4"/>
  <c r="BC192" i="4"/>
  <c r="BD191" i="4"/>
  <c r="BC191" i="4"/>
  <c r="BD190" i="4"/>
  <c r="BC190" i="4"/>
  <c r="BD189" i="4"/>
  <c r="BC189" i="4"/>
  <c r="BD188" i="4"/>
  <c r="BC188" i="4"/>
  <c r="BD187" i="4"/>
  <c r="BC187" i="4"/>
  <c r="BD186" i="4"/>
  <c r="BC186" i="4"/>
  <c r="BD185" i="4"/>
  <c r="BC185" i="4"/>
  <c r="BD184" i="4"/>
  <c r="BC184" i="4"/>
  <c r="BD183" i="4"/>
  <c r="BC183" i="4"/>
  <c r="BD182" i="4"/>
  <c r="BC182" i="4"/>
  <c r="BD181" i="4"/>
  <c r="BC181" i="4"/>
  <c r="BD180" i="4"/>
  <c r="BC180" i="4"/>
  <c r="BD179" i="4"/>
  <c r="BC179" i="4"/>
  <c r="BD178" i="4"/>
  <c r="BC178" i="4"/>
  <c r="BD177" i="4"/>
  <c r="BC177" i="4"/>
  <c r="BD176" i="4"/>
  <c r="BC176" i="4"/>
  <c r="BD175" i="4"/>
  <c r="BC175" i="4"/>
  <c r="BD174" i="4"/>
  <c r="BC174" i="4"/>
  <c r="BD173" i="4"/>
  <c r="BC173" i="4"/>
  <c r="BD172" i="4"/>
  <c r="BC172" i="4"/>
  <c r="BD171" i="4"/>
  <c r="BC171" i="4"/>
  <c r="BD170" i="4"/>
  <c r="BC170" i="4"/>
  <c r="BD169" i="4"/>
  <c r="BC169" i="4"/>
  <c r="BD168" i="4"/>
  <c r="BC168" i="4"/>
  <c r="BD167" i="4"/>
  <c r="BC167" i="4"/>
  <c r="BD166" i="4"/>
  <c r="BC166" i="4"/>
  <c r="BD165" i="4"/>
  <c r="BC165" i="4"/>
  <c r="BD164" i="4"/>
  <c r="BC164" i="4"/>
  <c r="BD163" i="4"/>
  <c r="BC163" i="4"/>
  <c r="BD162" i="4"/>
  <c r="BC162" i="4"/>
  <c r="BD161" i="4"/>
  <c r="BC161" i="4"/>
  <c r="BD160" i="4"/>
  <c r="BC160" i="4"/>
  <c r="BD159" i="4"/>
  <c r="BC159" i="4"/>
  <c r="BD158" i="4"/>
  <c r="BC158" i="4"/>
  <c r="BD157" i="4"/>
  <c r="BC157" i="4"/>
  <c r="BD156" i="4"/>
  <c r="BC156" i="4"/>
  <c r="BD155" i="4"/>
  <c r="BC155" i="4"/>
  <c r="BD154" i="4"/>
  <c r="BC154" i="4"/>
  <c r="BD153" i="4"/>
  <c r="BC153" i="4"/>
  <c r="BD152" i="4"/>
  <c r="BC152" i="4"/>
  <c r="BD151" i="4"/>
  <c r="BC151" i="4"/>
  <c r="BD150" i="4"/>
  <c r="BC150" i="4"/>
  <c r="BD149" i="4"/>
  <c r="BC149" i="4"/>
  <c r="BD148" i="4"/>
  <c r="BC148" i="4"/>
  <c r="BD147" i="4"/>
  <c r="BC147" i="4"/>
  <c r="BD146" i="4"/>
  <c r="BC146" i="4"/>
  <c r="BD145" i="4"/>
  <c r="BC145" i="4"/>
  <c r="BD144" i="4"/>
  <c r="BC144" i="4"/>
  <c r="BD143" i="4"/>
  <c r="BC143" i="4"/>
  <c r="BD142" i="4"/>
  <c r="BC142" i="4"/>
  <c r="BD141" i="4"/>
  <c r="BC141" i="4"/>
  <c r="BD140" i="4"/>
  <c r="BC140" i="4"/>
  <c r="BD139" i="4"/>
  <c r="BC139" i="4"/>
  <c r="BD138" i="4"/>
  <c r="BC138" i="4"/>
  <c r="BD137" i="4"/>
  <c r="BC137" i="4"/>
  <c r="BD136" i="4"/>
  <c r="BC136" i="4"/>
  <c r="BD135" i="4"/>
  <c r="BC135" i="4"/>
  <c r="BD134" i="4"/>
  <c r="BC134" i="4"/>
  <c r="BD133" i="4"/>
  <c r="BC133" i="4"/>
  <c r="BD132" i="4"/>
  <c r="BC132" i="4"/>
  <c r="BD131" i="4"/>
  <c r="BC131" i="4"/>
  <c r="BD130" i="4"/>
  <c r="BC130" i="4"/>
  <c r="BD129" i="4"/>
  <c r="BC129" i="4"/>
  <c r="BD128" i="4"/>
  <c r="BC128" i="4"/>
  <c r="BD127" i="4"/>
  <c r="BC127" i="4"/>
  <c r="BD126" i="4"/>
  <c r="BC126" i="4"/>
  <c r="BD125" i="4"/>
  <c r="BC125" i="4"/>
  <c r="BD124" i="4"/>
  <c r="BC124" i="4"/>
  <c r="BD123" i="4"/>
  <c r="BC123" i="4"/>
  <c r="BD122" i="4"/>
  <c r="BC122" i="4"/>
  <c r="BD121" i="4"/>
  <c r="BC121" i="4"/>
  <c r="BD120" i="4"/>
  <c r="BC120" i="4"/>
  <c r="BD119" i="4"/>
  <c r="BC119" i="4"/>
  <c r="BD118" i="4"/>
  <c r="BC118" i="4"/>
  <c r="BD117" i="4"/>
  <c r="BC117" i="4"/>
  <c r="BD116" i="4"/>
  <c r="BC116" i="4"/>
  <c r="BD115" i="4"/>
  <c r="BC115" i="4"/>
  <c r="BD114" i="4"/>
  <c r="BC114" i="4"/>
  <c r="BD113" i="4"/>
  <c r="BC113" i="4"/>
  <c r="BD112" i="4"/>
  <c r="BC112" i="4"/>
  <c r="BD111" i="4"/>
  <c r="BC111" i="4"/>
  <c r="BD110" i="4"/>
  <c r="BC110" i="4"/>
  <c r="BD109" i="4"/>
  <c r="BC109" i="4"/>
  <c r="BD108" i="4"/>
  <c r="BC108" i="4"/>
  <c r="BD107" i="4"/>
  <c r="BC107" i="4"/>
  <c r="BD106" i="4"/>
  <c r="BC106" i="4"/>
  <c r="BD105" i="4"/>
  <c r="BC105" i="4"/>
  <c r="BD104" i="4"/>
  <c r="BC104" i="4"/>
  <c r="BD103" i="4"/>
  <c r="BC103" i="4"/>
  <c r="BD102" i="4"/>
  <c r="BC102" i="4"/>
  <c r="BD101" i="4"/>
  <c r="BC101" i="4"/>
  <c r="BD100" i="4"/>
  <c r="BC100" i="4"/>
  <c r="BD99" i="4"/>
  <c r="BC99" i="4"/>
  <c r="BD98" i="4"/>
  <c r="BC98" i="4"/>
  <c r="BD97" i="4"/>
  <c r="BC97" i="4"/>
  <c r="BD96" i="4"/>
  <c r="BC96" i="4"/>
  <c r="BD95" i="4"/>
  <c r="BC95" i="4"/>
  <c r="BD94" i="4"/>
  <c r="BC94" i="4"/>
  <c r="BD93" i="4"/>
  <c r="BC93" i="4"/>
  <c r="BD92" i="4"/>
  <c r="BC92" i="4"/>
  <c r="BD91" i="4"/>
  <c r="BC91" i="4"/>
  <c r="BD90" i="4"/>
  <c r="BC90" i="4"/>
  <c r="BD89" i="4"/>
  <c r="BC89" i="4"/>
  <c r="BD88" i="4"/>
  <c r="BC88" i="4"/>
  <c r="BD87" i="4"/>
  <c r="BC87" i="4"/>
  <c r="BD86" i="4"/>
  <c r="BC86" i="4"/>
  <c r="BD85" i="4"/>
  <c r="BC85" i="4"/>
  <c r="BD84" i="4"/>
  <c r="BC84" i="4"/>
  <c r="BD83" i="4"/>
  <c r="BC83" i="4"/>
  <c r="BD82" i="4"/>
  <c r="BC82" i="4"/>
  <c r="BD81" i="4"/>
  <c r="BC81" i="4"/>
  <c r="BD80" i="4"/>
  <c r="BC80" i="4"/>
  <c r="BD79" i="4"/>
  <c r="BC79" i="4"/>
  <c r="BD78" i="4"/>
  <c r="BC78" i="4"/>
  <c r="BD77" i="4"/>
  <c r="BC77" i="4"/>
  <c r="BD76" i="4"/>
  <c r="BC76" i="4"/>
  <c r="BD75" i="4"/>
  <c r="BC75" i="4"/>
  <c r="BD74" i="4"/>
  <c r="BC74" i="4"/>
  <c r="BD73" i="4"/>
  <c r="BC73" i="4"/>
  <c r="BD72" i="4"/>
  <c r="BC72" i="4"/>
  <c r="BD71" i="4"/>
  <c r="BC71" i="4"/>
  <c r="BD70" i="4"/>
  <c r="BC70" i="4"/>
  <c r="BD69" i="4"/>
  <c r="BC69" i="4"/>
  <c r="BD68" i="4"/>
  <c r="BC68" i="4"/>
  <c r="BD67" i="4"/>
  <c r="BC67" i="4"/>
  <c r="BD66" i="4"/>
  <c r="BC66" i="4"/>
  <c r="BD65" i="4"/>
  <c r="BC65" i="4"/>
  <c r="BD64" i="4"/>
  <c r="BC64" i="4"/>
  <c r="BD63" i="4"/>
  <c r="BC63" i="4"/>
  <c r="BD62" i="4"/>
  <c r="BC62" i="4"/>
  <c r="BD61" i="4"/>
  <c r="BC61" i="4"/>
  <c r="BD60" i="4"/>
  <c r="BC60" i="4"/>
  <c r="BD59" i="4"/>
  <c r="BC59" i="4"/>
  <c r="BD58" i="4"/>
  <c r="BC58" i="4"/>
  <c r="BD57" i="4"/>
  <c r="BC57" i="4"/>
  <c r="BD56" i="4"/>
  <c r="BC56" i="4"/>
  <c r="BD55" i="4"/>
  <c r="BC55" i="4"/>
  <c r="BD54" i="4"/>
  <c r="BC54" i="4"/>
  <c r="BD53" i="4"/>
  <c r="BC53" i="4"/>
  <c r="BD52" i="4"/>
  <c r="BC52" i="4"/>
  <c r="BD51" i="4"/>
  <c r="BC51" i="4"/>
  <c r="BD50" i="4"/>
  <c r="BC50" i="4"/>
  <c r="BD49" i="4"/>
  <c r="BC49" i="4"/>
  <c r="BD48" i="4"/>
  <c r="BC48" i="4"/>
  <c r="BD47" i="4"/>
  <c r="BC47" i="4"/>
  <c r="BD46" i="4"/>
  <c r="BC46" i="4"/>
  <c r="BD45" i="4"/>
  <c r="BC45" i="4"/>
  <c r="BD44" i="4"/>
  <c r="BC44" i="4"/>
  <c r="BD43" i="4"/>
  <c r="BC43" i="4"/>
  <c r="BD42" i="4"/>
  <c r="BC42" i="4"/>
  <c r="BD41" i="4"/>
  <c r="BC41" i="4"/>
  <c r="BD40" i="4"/>
  <c r="BC40" i="4"/>
  <c r="BD39" i="4"/>
  <c r="BC39" i="4"/>
  <c r="BD38" i="4"/>
  <c r="BC38" i="4"/>
  <c r="BD37" i="4"/>
  <c r="BC37" i="4"/>
  <c r="BD36" i="4"/>
  <c r="BC36" i="4"/>
  <c r="BD35" i="4"/>
  <c r="BC35" i="4"/>
  <c r="BD34" i="4"/>
  <c r="BC34" i="4"/>
  <c r="BD33" i="4"/>
  <c r="BC33" i="4"/>
  <c r="BD32" i="4"/>
  <c r="BC32" i="4"/>
  <c r="BD31" i="4"/>
  <c r="BC31" i="4"/>
  <c r="BD30" i="4"/>
  <c r="BC30" i="4"/>
  <c r="BD29" i="4"/>
  <c r="BC29" i="4"/>
  <c r="BD28" i="4"/>
  <c r="BC28" i="4"/>
  <c r="BD27" i="4"/>
  <c r="BC27" i="4"/>
  <c r="BD26" i="4"/>
  <c r="BC26" i="4"/>
  <c r="BD25" i="4"/>
  <c r="BC25" i="4"/>
  <c r="BD24" i="4"/>
  <c r="BC24" i="4"/>
  <c r="BD23" i="4"/>
  <c r="BC23" i="4"/>
  <c r="BD22" i="4"/>
  <c r="BC22" i="4"/>
  <c r="BD21" i="4"/>
  <c r="BC21" i="4"/>
  <c r="BD20" i="4"/>
  <c r="BC20" i="4"/>
  <c r="BD19" i="4"/>
  <c r="BC19" i="4"/>
  <c r="AX300" i="4"/>
  <c r="AX299" i="4"/>
  <c r="AX298" i="4"/>
  <c r="AX297" i="4"/>
  <c r="AX296" i="4"/>
  <c r="AX295" i="4"/>
  <c r="AX294" i="4"/>
  <c r="AX293" i="4"/>
  <c r="AX292" i="4"/>
  <c r="AX291" i="4"/>
  <c r="AX290" i="4"/>
  <c r="AX289" i="4"/>
  <c r="AX288" i="4"/>
  <c r="AX287" i="4"/>
  <c r="AX286" i="4"/>
  <c r="AX285" i="4"/>
  <c r="AX284" i="4"/>
  <c r="AX283" i="4"/>
  <c r="AX282" i="4"/>
  <c r="AX281" i="4"/>
  <c r="AX280" i="4"/>
  <c r="AX279" i="4"/>
  <c r="AX278" i="4"/>
  <c r="AX277" i="4"/>
  <c r="AX276" i="4"/>
  <c r="AX275" i="4"/>
  <c r="AX274" i="4"/>
  <c r="AX273" i="4"/>
  <c r="AX272" i="4"/>
  <c r="AX271" i="4"/>
  <c r="AX270" i="4"/>
  <c r="AX269" i="4"/>
  <c r="AX268" i="4"/>
  <c r="AX267" i="4"/>
  <c r="AX266" i="4"/>
  <c r="AX265" i="4"/>
  <c r="AX264" i="4"/>
  <c r="AX263" i="4"/>
  <c r="AX262" i="4"/>
  <c r="AX261" i="4"/>
  <c r="AX260" i="4"/>
  <c r="AX259" i="4"/>
  <c r="AX258" i="4"/>
  <c r="AX257" i="4"/>
  <c r="AX256" i="4"/>
  <c r="AX255" i="4"/>
  <c r="AX254" i="4"/>
  <c r="AX253" i="4"/>
  <c r="AX252" i="4"/>
  <c r="AX251" i="4"/>
  <c r="AX250" i="4"/>
  <c r="AX249" i="4"/>
  <c r="AX248" i="4"/>
  <c r="AX247" i="4"/>
  <c r="AX246" i="4"/>
  <c r="AX245" i="4"/>
  <c r="AX244" i="4"/>
  <c r="AX243" i="4"/>
  <c r="AX242" i="4"/>
  <c r="AX241" i="4"/>
  <c r="AX240" i="4"/>
  <c r="AX239" i="4"/>
  <c r="AX238" i="4"/>
  <c r="AX237" i="4"/>
  <c r="AX236" i="4"/>
  <c r="AX235" i="4"/>
  <c r="AX234" i="4"/>
  <c r="AX233" i="4"/>
  <c r="AX232" i="4"/>
  <c r="AX231" i="4"/>
  <c r="AX230" i="4"/>
  <c r="AX229" i="4"/>
  <c r="AX228" i="4"/>
  <c r="AX227" i="4"/>
  <c r="AX226" i="4"/>
  <c r="AX225" i="4"/>
  <c r="AX224" i="4"/>
  <c r="AX223" i="4"/>
  <c r="AX222" i="4"/>
  <c r="AX221" i="4"/>
  <c r="AX220" i="4"/>
  <c r="AX219" i="4"/>
  <c r="AX218" i="4"/>
  <c r="AX217" i="4"/>
  <c r="AX216" i="4"/>
  <c r="AX215" i="4"/>
  <c r="AX214" i="4"/>
  <c r="AX213" i="4"/>
  <c r="AX212" i="4"/>
  <c r="AX211" i="4"/>
  <c r="AX210" i="4"/>
  <c r="AX209" i="4"/>
  <c r="AX208" i="4"/>
  <c r="AX207" i="4"/>
  <c r="AX206" i="4"/>
  <c r="AX205" i="4"/>
  <c r="AX204" i="4"/>
  <c r="AX203" i="4"/>
  <c r="AX202" i="4"/>
  <c r="AX201" i="4"/>
  <c r="AX200" i="4"/>
  <c r="AX199" i="4"/>
  <c r="AX198" i="4"/>
  <c r="AX197" i="4"/>
  <c r="AX196" i="4"/>
  <c r="AX195" i="4"/>
  <c r="AX194" i="4"/>
  <c r="AX193" i="4"/>
  <c r="AX192" i="4"/>
  <c r="AX191" i="4"/>
  <c r="AX190" i="4"/>
  <c r="AX189" i="4"/>
  <c r="AX188" i="4"/>
  <c r="AX187" i="4"/>
  <c r="AX186" i="4"/>
  <c r="AX185" i="4"/>
  <c r="AX184" i="4"/>
  <c r="AX183" i="4"/>
  <c r="AX182" i="4"/>
  <c r="AX181" i="4"/>
  <c r="AX180" i="4"/>
  <c r="AX179" i="4"/>
  <c r="AX178" i="4"/>
  <c r="AX177" i="4"/>
  <c r="AX176" i="4"/>
  <c r="AX175" i="4"/>
  <c r="AX174" i="4"/>
  <c r="AX173" i="4"/>
  <c r="AX172" i="4"/>
  <c r="AX171" i="4"/>
  <c r="AX170" i="4"/>
  <c r="AX169" i="4"/>
  <c r="AX168" i="4"/>
  <c r="AX167" i="4"/>
  <c r="AX166" i="4"/>
  <c r="AX165" i="4"/>
  <c r="AX164" i="4"/>
  <c r="AX163" i="4"/>
  <c r="AX162" i="4"/>
  <c r="AX161" i="4"/>
  <c r="AX160" i="4"/>
  <c r="AX159" i="4"/>
  <c r="AX158" i="4"/>
  <c r="AX157" i="4"/>
  <c r="AX156" i="4"/>
  <c r="AX155" i="4"/>
  <c r="AX154" i="4"/>
  <c r="AX153" i="4"/>
  <c r="AX152" i="4"/>
  <c r="AX151" i="4"/>
  <c r="AX150" i="4"/>
  <c r="AX149" i="4"/>
  <c r="AX148" i="4"/>
  <c r="AX147" i="4"/>
  <c r="AX146" i="4"/>
  <c r="AX145" i="4"/>
  <c r="AX144" i="4"/>
  <c r="AX143" i="4"/>
  <c r="AX142" i="4"/>
  <c r="AX141" i="4"/>
  <c r="AX140" i="4"/>
  <c r="AX139" i="4"/>
  <c r="AX138" i="4"/>
  <c r="AX137" i="4"/>
  <c r="AX136" i="4"/>
  <c r="AX135" i="4"/>
  <c r="AX134" i="4"/>
  <c r="AX133" i="4"/>
  <c r="AX132" i="4"/>
  <c r="AX131" i="4"/>
  <c r="AX130" i="4"/>
  <c r="AX129" i="4"/>
  <c r="AX128" i="4"/>
  <c r="AX127" i="4"/>
  <c r="AX126" i="4"/>
  <c r="AX125" i="4"/>
  <c r="AX124" i="4"/>
  <c r="AX123" i="4"/>
  <c r="AX122" i="4"/>
  <c r="AX121" i="4"/>
  <c r="AX120" i="4"/>
  <c r="AX119" i="4"/>
  <c r="AX118" i="4"/>
  <c r="AX117" i="4"/>
  <c r="AX116" i="4"/>
  <c r="AX115" i="4"/>
  <c r="AX114" i="4"/>
  <c r="AX113" i="4"/>
  <c r="AX112" i="4"/>
  <c r="AX111" i="4"/>
  <c r="AX110" i="4"/>
  <c r="AX109" i="4"/>
  <c r="AX108" i="4"/>
  <c r="AX107" i="4"/>
  <c r="AX106" i="4"/>
  <c r="AX105" i="4"/>
  <c r="AX104" i="4"/>
  <c r="AX103" i="4"/>
  <c r="AX102" i="4"/>
  <c r="AX101" i="4"/>
  <c r="AX100" i="4"/>
  <c r="AX99" i="4"/>
  <c r="AX98" i="4"/>
  <c r="AX97" i="4"/>
  <c r="AX96" i="4"/>
  <c r="AX95" i="4"/>
  <c r="AX94" i="4"/>
  <c r="AX93" i="4"/>
  <c r="AX92" i="4"/>
  <c r="AX91" i="4"/>
  <c r="AX90" i="4"/>
  <c r="AX89" i="4"/>
  <c r="AX88" i="4"/>
  <c r="AX87" i="4"/>
  <c r="AX86" i="4"/>
  <c r="AX85" i="4"/>
  <c r="AX84" i="4"/>
  <c r="AX83" i="4"/>
  <c r="AX82" i="4"/>
  <c r="AX81" i="4"/>
  <c r="AX80" i="4"/>
  <c r="AX79" i="4"/>
  <c r="AX78" i="4"/>
  <c r="AX77" i="4"/>
  <c r="AX76" i="4"/>
  <c r="AX75" i="4"/>
  <c r="AX74" i="4"/>
  <c r="AX73" i="4"/>
  <c r="AX72" i="4"/>
  <c r="AX71" i="4"/>
  <c r="AX70" i="4"/>
  <c r="AX69" i="4"/>
  <c r="AX68" i="4"/>
  <c r="AX67" i="4"/>
  <c r="AX66" i="4"/>
  <c r="AX65" i="4"/>
  <c r="AX64" i="4"/>
  <c r="AX63" i="4"/>
  <c r="AX62" i="4"/>
  <c r="AX61" i="4"/>
  <c r="AX60" i="4"/>
  <c r="AX59" i="4"/>
  <c r="AX58" i="4"/>
  <c r="AX57" i="4"/>
  <c r="AX56" i="4"/>
  <c r="AX55" i="4"/>
  <c r="AX54" i="4"/>
  <c r="AX53" i="4"/>
  <c r="AX52" i="4"/>
  <c r="AX51" i="4"/>
  <c r="AX50" i="4"/>
  <c r="AX49" i="4"/>
  <c r="AX48" i="4"/>
  <c r="AX47" i="4"/>
  <c r="AX46" i="4"/>
  <c r="AX45" i="4"/>
  <c r="AX44" i="4"/>
  <c r="AX43" i="4"/>
  <c r="AX42" i="4"/>
  <c r="AX41" i="4"/>
  <c r="AX40" i="4"/>
  <c r="AX39" i="4"/>
  <c r="AX38" i="4"/>
  <c r="AX37" i="4"/>
  <c r="AX36" i="4"/>
  <c r="AX35" i="4"/>
  <c r="AX34" i="4"/>
  <c r="AX33" i="4"/>
  <c r="AX32" i="4"/>
  <c r="AX31" i="4"/>
  <c r="AX30" i="4"/>
  <c r="AX29" i="4"/>
  <c r="AX28" i="4"/>
  <c r="AX27" i="4"/>
  <c r="AX26" i="4"/>
  <c r="AX25" i="4"/>
  <c r="AX24" i="4"/>
  <c r="AX23" i="4"/>
  <c r="AX22" i="4"/>
  <c r="AX21" i="4"/>
  <c r="AX20" i="4"/>
  <c r="AX19" i="4"/>
  <c r="AX18" i="4"/>
  <c r="AX17" i="4"/>
  <c r="AX16" i="4"/>
  <c r="AX15" i="4"/>
  <c r="AX14" i="4"/>
  <c r="AX13" i="4"/>
  <c r="AX12" i="4"/>
  <c r="AX11" i="4"/>
  <c r="AX10" i="4"/>
  <c r="AQ300" i="4"/>
  <c r="AP300" i="4"/>
  <c r="AQ299" i="4"/>
  <c r="AP299" i="4"/>
  <c r="AQ298" i="4"/>
  <c r="AP298" i="4"/>
  <c r="AQ297" i="4"/>
  <c r="AP297" i="4"/>
  <c r="AQ296" i="4"/>
  <c r="AP296" i="4"/>
  <c r="AQ295" i="4"/>
  <c r="AP295" i="4"/>
  <c r="AQ294" i="4"/>
  <c r="AP294" i="4"/>
  <c r="AQ293" i="4"/>
  <c r="AP293" i="4"/>
  <c r="AQ292" i="4"/>
  <c r="AP292" i="4"/>
  <c r="AQ291" i="4"/>
  <c r="AP291" i="4"/>
  <c r="AQ290" i="4"/>
  <c r="AP290" i="4"/>
  <c r="AQ289" i="4"/>
  <c r="AP289" i="4"/>
  <c r="AQ288" i="4"/>
  <c r="AP288" i="4"/>
  <c r="AQ287" i="4"/>
  <c r="AP287" i="4"/>
  <c r="AQ286" i="4"/>
  <c r="AP286" i="4"/>
  <c r="AQ285" i="4"/>
  <c r="AP285" i="4"/>
  <c r="AQ284" i="4"/>
  <c r="AP284" i="4"/>
  <c r="AQ283" i="4"/>
  <c r="AP283" i="4"/>
  <c r="AQ282" i="4"/>
  <c r="AP282" i="4"/>
  <c r="AQ281" i="4"/>
  <c r="AP281" i="4"/>
  <c r="AQ280" i="4"/>
  <c r="AP280" i="4"/>
  <c r="AQ279" i="4"/>
  <c r="AP279" i="4"/>
  <c r="AQ278" i="4"/>
  <c r="AP278" i="4"/>
  <c r="AQ277" i="4"/>
  <c r="AP277" i="4"/>
  <c r="AQ276" i="4"/>
  <c r="AP276" i="4"/>
  <c r="AQ275" i="4"/>
  <c r="AP275" i="4"/>
  <c r="AQ274" i="4"/>
  <c r="AP274" i="4"/>
  <c r="AQ273" i="4"/>
  <c r="AP273" i="4"/>
  <c r="AQ272" i="4"/>
  <c r="AP272" i="4"/>
  <c r="AQ271" i="4"/>
  <c r="AP271" i="4"/>
  <c r="AQ270" i="4"/>
  <c r="AP270" i="4"/>
  <c r="AQ269" i="4"/>
  <c r="AP269" i="4"/>
  <c r="AQ268" i="4"/>
  <c r="AP268" i="4"/>
  <c r="AQ267" i="4"/>
  <c r="AP267" i="4"/>
  <c r="AQ266" i="4"/>
  <c r="AP266" i="4"/>
  <c r="AQ265" i="4"/>
  <c r="AP265" i="4"/>
  <c r="AQ264" i="4"/>
  <c r="AP264" i="4"/>
  <c r="AQ263" i="4"/>
  <c r="AP263" i="4"/>
  <c r="AQ262" i="4"/>
  <c r="AP262" i="4"/>
  <c r="AQ261" i="4"/>
  <c r="AP261" i="4"/>
  <c r="AQ260" i="4"/>
  <c r="AP260" i="4"/>
  <c r="AQ259" i="4"/>
  <c r="AP259" i="4"/>
  <c r="AQ258" i="4"/>
  <c r="AP258" i="4"/>
  <c r="AQ257" i="4"/>
  <c r="AP257" i="4"/>
  <c r="AQ256" i="4"/>
  <c r="AP256" i="4"/>
  <c r="AQ255" i="4"/>
  <c r="AP255" i="4"/>
  <c r="AQ254" i="4"/>
  <c r="AP254" i="4"/>
  <c r="AQ253" i="4"/>
  <c r="AP253" i="4"/>
  <c r="AQ252" i="4"/>
  <c r="AP252" i="4"/>
  <c r="AQ251" i="4"/>
  <c r="AP251" i="4"/>
  <c r="AQ250" i="4"/>
  <c r="AP250" i="4"/>
  <c r="AQ249" i="4"/>
  <c r="AP249" i="4"/>
  <c r="AQ248" i="4"/>
  <c r="AP248" i="4"/>
  <c r="AQ247" i="4"/>
  <c r="AP247" i="4"/>
  <c r="AQ246" i="4"/>
  <c r="AP246" i="4"/>
  <c r="AQ245" i="4"/>
  <c r="AP245" i="4"/>
  <c r="AQ244" i="4"/>
  <c r="AP244" i="4"/>
  <c r="AQ243" i="4"/>
  <c r="AP243" i="4"/>
  <c r="AQ242" i="4"/>
  <c r="AP242" i="4"/>
  <c r="AQ241" i="4"/>
  <c r="AP241" i="4"/>
  <c r="AQ240" i="4"/>
  <c r="AP240" i="4"/>
  <c r="AQ239" i="4"/>
  <c r="AP239" i="4"/>
  <c r="AQ238" i="4"/>
  <c r="AP238" i="4"/>
  <c r="AQ237" i="4"/>
  <c r="AP237" i="4"/>
  <c r="AQ236" i="4"/>
  <c r="AP236" i="4"/>
  <c r="AQ235" i="4"/>
  <c r="AP235" i="4"/>
  <c r="AQ234" i="4"/>
  <c r="AP234" i="4"/>
  <c r="AQ233" i="4"/>
  <c r="AP233" i="4"/>
  <c r="AQ232" i="4"/>
  <c r="AP232" i="4"/>
  <c r="AQ231" i="4"/>
  <c r="AP231" i="4"/>
  <c r="AQ230" i="4"/>
  <c r="AP230" i="4"/>
  <c r="AQ229" i="4"/>
  <c r="AP229" i="4"/>
  <c r="AQ228" i="4"/>
  <c r="AP228" i="4"/>
  <c r="AQ227" i="4"/>
  <c r="AP227" i="4"/>
  <c r="AQ226" i="4"/>
  <c r="AP226" i="4"/>
  <c r="AQ225" i="4"/>
  <c r="AP225" i="4"/>
  <c r="AQ224" i="4"/>
  <c r="AP224" i="4"/>
  <c r="AQ223" i="4"/>
  <c r="AP223" i="4"/>
  <c r="AQ222" i="4"/>
  <c r="AP222" i="4"/>
  <c r="AQ221" i="4"/>
  <c r="AP221" i="4"/>
  <c r="AQ220" i="4"/>
  <c r="AP220" i="4"/>
  <c r="AQ219" i="4"/>
  <c r="AP219" i="4"/>
  <c r="AQ218" i="4"/>
  <c r="AP218" i="4"/>
  <c r="AQ217" i="4"/>
  <c r="AP217" i="4"/>
  <c r="AQ216" i="4"/>
  <c r="AP216" i="4"/>
  <c r="AQ215" i="4"/>
  <c r="AP215" i="4"/>
  <c r="AQ214" i="4"/>
  <c r="AP214" i="4"/>
  <c r="AQ213" i="4"/>
  <c r="AP213" i="4"/>
  <c r="AQ212" i="4"/>
  <c r="AP212" i="4"/>
  <c r="AQ211" i="4"/>
  <c r="AP211" i="4"/>
  <c r="AQ210" i="4"/>
  <c r="AP210" i="4"/>
  <c r="AQ209" i="4"/>
  <c r="AP209" i="4"/>
  <c r="AQ208" i="4"/>
  <c r="AP208" i="4"/>
  <c r="AQ207" i="4"/>
  <c r="AP207" i="4"/>
  <c r="AQ206" i="4"/>
  <c r="AP206" i="4"/>
  <c r="AQ205" i="4"/>
  <c r="AP205" i="4"/>
  <c r="AQ204" i="4"/>
  <c r="AP204" i="4"/>
  <c r="AQ203" i="4"/>
  <c r="AP203" i="4"/>
  <c r="AQ202" i="4"/>
  <c r="AP202" i="4"/>
  <c r="AQ201" i="4"/>
  <c r="AP201" i="4"/>
  <c r="AQ200" i="4"/>
  <c r="AP200" i="4"/>
  <c r="AQ199" i="4"/>
  <c r="AP199" i="4"/>
  <c r="AQ198" i="4"/>
  <c r="AP198" i="4"/>
  <c r="AQ197" i="4"/>
  <c r="AP197" i="4"/>
  <c r="AQ196" i="4"/>
  <c r="AP196" i="4"/>
  <c r="AQ195" i="4"/>
  <c r="AP195" i="4"/>
  <c r="AQ194" i="4"/>
  <c r="AP194" i="4"/>
  <c r="AQ193" i="4"/>
  <c r="AP193" i="4"/>
  <c r="AQ192" i="4"/>
  <c r="AP192" i="4"/>
  <c r="AQ191" i="4"/>
  <c r="AP191" i="4"/>
  <c r="AQ190" i="4"/>
  <c r="AP190" i="4"/>
  <c r="AQ189" i="4"/>
  <c r="AP189" i="4"/>
  <c r="AQ188" i="4"/>
  <c r="AP188" i="4"/>
  <c r="AQ187" i="4"/>
  <c r="AP187" i="4"/>
  <c r="AQ186" i="4"/>
  <c r="AP186" i="4"/>
  <c r="AQ185" i="4"/>
  <c r="AP185" i="4"/>
  <c r="AQ184" i="4"/>
  <c r="AP184" i="4"/>
  <c r="AQ183" i="4"/>
  <c r="AP183" i="4"/>
  <c r="AQ182" i="4"/>
  <c r="AP182" i="4"/>
  <c r="AQ181" i="4"/>
  <c r="AP181" i="4"/>
  <c r="AQ180" i="4"/>
  <c r="AP180" i="4"/>
  <c r="AQ179" i="4"/>
  <c r="AP179" i="4"/>
  <c r="AQ178" i="4"/>
  <c r="AP178" i="4"/>
  <c r="AQ177" i="4"/>
  <c r="AP177" i="4"/>
  <c r="AQ176" i="4"/>
  <c r="AP176" i="4"/>
  <c r="AQ175" i="4"/>
  <c r="AP175" i="4"/>
  <c r="AQ174" i="4"/>
  <c r="AP174" i="4"/>
  <c r="AQ173" i="4"/>
  <c r="AP173" i="4"/>
  <c r="AQ172" i="4"/>
  <c r="AP172" i="4"/>
  <c r="AQ171" i="4"/>
  <c r="AP171" i="4"/>
  <c r="AQ170" i="4"/>
  <c r="AP170" i="4"/>
  <c r="AQ169" i="4"/>
  <c r="AP169" i="4"/>
  <c r="AQ168" i="4"/>
  <c r="AP168" i="4"/>
  <c r="AQ167" i="4"/>
  <c r="AP167" i="4"/>
  <c r="AQ166" i="4"/>
  <c r="AP166" i="4"/>
  <c r="AQ165" i="4"/>
  <c r="AP165" i="4"/>
  <c r="AQ164" i="4"/>
  <c r="AP164" i="4"/>
  <c r="AQ163" i="4"/>
  <c r="AP163" i="4"/>
  <c r="AQ162" i="4"/>
  <c r="AP162" i="4"/>
  <c r="AQ161" i="4"/>
  <c r="AP161" i="4"/>
  <c r="AQ160" i="4"/>
  <c r="AP160" i="4"/>
  <c r="AQ159" i="4"/>
  <c r="AP159" i="4"/>
  <c r="AQ158" i="4"/>
  <c r="AP158" i="4"/>
  <c r="AQ157" i="4"/>
  <c r="AP157" i="4"/>
  <c r="AQ156" i="4"/>
  <c r="AP156" i="4"/>
  <c r="AQ155" i="4"/>
  <c r="AP155" i="4"/>
  <c r="AQ154" i="4"/>
  <c r="AP154" i="4"/>
  <c r="AQ153" i="4"/>
  <c r="AP153" i="4"/>
  <c r="AQ152" i="4"/>
  <c r="AP152" i="4"/>
  <c r="AQ151" i="4"/>
  <c r="AP151" i="4"/>
  <c r="AQ150" i="4"/>
  <c r="AP150" i="4"/>
  <c r="AQ149" i="4"/>
  <c r="AP149" i="4"/>
  <c r="AQ148" i="4"/>
  <c r="AP148" i="4"/>
  <c r="AQ147" i="4"/>
  <c r="AP147" i="4"/>
  <c r="AQ146" i="4"/>
  <c r="AP146" i="4"/>
  <c r="AQ145" i="4"/>
  <c r="AP145" i="4"/>
  <c r="AQ144" i="4"/>
  <c r="AP144" i="4"/>
  <c r="AQ143" i="4"/>
  <c r="AP143" i="4"/>
  <c r="AQ142" i="4"/>
  <c r="AP142" i="4"/>
  <c r="AQ141" i="4"/>
  <c r="AP141" i="4"/>
  <c r="AQ140" i="4"/>
  <c r="AP140" i="4"/>
  <c r="AQ139" i="4"/>
  <c r="AP139" i="4"/>
  <c r="AQ138" i="4"/>
  <c r="AP138" i="4"/>
  <c r="AQ137" i="4"/>
  <c r="AP137" i="4"/>
  <c r="AQ136" i="4"/>
  <c r="AP136" i="4"/>
  <c r="AQ135" i="4"/>
  <c r="AP135" i="4"/>
  <c r="AQ134" i="4"/>
  <c r="AP134" i="4"/>
  <c r="AQ133" i="4"/>
  <c r="AP133" i="4"/>
  <c r="AQ132" i="4"/>
  <c r="AP132" i="4"/>
  <c r="AQ131" i="4"/>
  <c r="AP131" i="4"/>
  <c r="AQ130" i="4"/>
  <c r="AP130" i="4"/>
  <c r="AQ129" i="4"/>
  <c r="AP129" i="4"/>
  <c r="AQ128" i="4"/>
  <c r="AP128" i="4"/>
  <c r="AQ127" i="4"/>
  <c r="AP127" i="4"/>
  <c r="AQ126" i="4"/>
  <c r="AP126" i="4"/>
  <c r="AQ125" i="4"/>
  <c r="AP125" i="4"/>
  <c r="AQ124" i="4"/>
  <c r="AP124" i="4"/>
  <c r="AQ123" i="4"/>
  <c r="AP123" i="4"/>
  <c r="AQ122" i="4"/>
  <c r="AP122" i="4"/>
  <c r="AQ121" i="4"/>
  <c r="AP121" i="4"/>
  <c r="AQ120" i="4"/>
  <c r="AP120" i="4"/>
  <c r="AQ119" i="4"/>
  <c r="AP119" i="4"/>
  <c r="AQ118" i="4"/>
  <c r="AP118" i="4"/>
  <c r="AQ117" i="4"/>
  <c r="AP117" i="4"/>
  <c r="AQ116" i="4"/>
  <c r="AP116" i="4"/>
  <c r="AQ115" i="4"/>
  <c r="AP115" i="4"/>
  <c r="AQ114" i="4"/>
  <c r="AP114" i="4"/>
  <c r="AQ113" i="4"/>
  <c r="AP113" i="4"/>
  <c r="AQ112" i="4"/>
  <c r="AP112" i="4"/>
  <c r="AQ111" i="4"/>
  <c r="AP111" i="4"/>
  <c r="AQ110" i="4"/>
  <c r="AP110" i="4"/>
  <c r="AQ109" i="4"/>
  <c r="AP109" i="4"/>
  <c r="AQ108" i="4"/>
  <c r="AP108" i="4"/>
  <c r="AQ107" i="4"/>
  <c r="AP107" i="4"/>
  <c r="AQ106" i="4"/>
  <c r="AP106" i="4"/>
  <c r="AQ105" i="4"/>
  <c r="AP105" i="4"/>
  <c r="AQ104" i="4"/>
  <c r="AP104" i="4"/>
  <c r="AQ103" i="4"/>
  <c r="AP103" i="4"/>
  <c r="AQ102" i="4"/>
  <c r="AP102" i="4"/>
  <c r="AQ101" i="4"/>
  <c r="AP101" i="4"/>
  <c r="AQ100" i="4"/>
  <c r="AP100" i="4"/>
  <c r="AQ99" i="4"/>
  <c r="AP99" i="4"/>
  <c r="AQ98" i="4"/>
  <c r="AP98" i="4"/>
  <c r="AQ97" i="4"/>
  <c r="AP97" i="4"/>
  <c r="AQ96" i="4"/>
  <c r="AP96" i="4"/>
  <c r="AQ95" i="4"/>
  <c r="AP95" i="4"/>
  <c r="AQ94" i="4"/>
  <c r="AP94" i="4"/>
  <c r="AQ93" i="4"/>
  <c r="AP93" i="4"/>
  <c r="AQ92" i="4"/>
  <c r="AP92" i="4"/>
  <c r="AQ91" i="4"/>
  <c r="AP91" i="4"/>
  <c r="AQ90" i="4"/>
  <c r="AP90" i="4"/>
  <c r="AQ89" i="4"/>
  <c r="AP89" i="4"/>
  <c r="AQ88" i="4"/>
  <c r="AP88" i="4"/>
  <c r="AQ87" i="4"/>
  <c r="AP87" i="4"/>
  <c r="AQ86" i="4"/>
  <c r="AP86" i="4"/>
  <c r="AQ85" i="4"/>
  <c r="AP85" i="4"/>
  <c r="AQ84" i="4"/>
  <c r="AP84" i="4"/>
  <c r="AQ83" i="4"/>
  <c r="AP83" i="4"/>
  <c r="AQ82" i="4"/>
  <c r="AP82" i="4"/>
  <c r="AQ81" i="4"/>
  <c r="AP81" i="4"/>
  <c r="AQ80" i="4"/>
  <c r="AP80" i="4"/>
  <c r="AQ79" i="4"/>
  <c r="AP79" i="4"/>
  <c r="AQ78" i="4"/>
  <c r="AP78" i="4"/>
  <c r="AQ77" i="4"/>
  <c r="AP77" i="4"/>
  <c r="AQ76" i="4"/>
  <c r="AP76" i="4"/>
  <c r="AQ75" i="4"/>
  <c r="AP75" i="4"/>
  <c r="AQ74" i="4"/>
  <c r="AP74" i="4"/>
  <c r="AQ73" i="4"/>
  <c r="AP73" i="4"/>
  <c r="AQ72" i="4"/>
  <c r="AP72" i="4"/>
  <c r="AQ71" i="4"/>
  <c r="AP71" i="4"/>
  <c r="AQ70" i="4"/>
  <c r="AP70" i="4"/>
  <c r="AQ69" i="4"/>
  <c r="AP69" i="4"/>
  <c r="AQ68" i="4"/>
  <c r="AP68" i="4"/>
  <c r="AQ67" i="4"/>
  <c r="AP67" i="4"/>
  <c r="AQ66" i="4"/>
  <c r="AP66" i="4"/>
  <c r="AQ65" i="4"/>
  <c r="AP65" i="4"/>
  <c r="AQ64" i="4"/>
  <c r="AP64" i="4"/>
  <c r="AQ63" i="4"/>
  <c r="AP63" i="4"/>
  <c r="AQ62" i="4"/>
  <c r="AP62" i="4"/>
  <c r="AQ61" i="4"/>
  <c r="AP61" i="4"/>
  <c r="AQ60" i="4"/>
  <c r="AP60" i="4"/>
  <c r="AQ59" i="4"/>
  <c r="AP59" i="4"/>
  <c r="AQ58" i="4"/>
  <c r="AP58" i="4"/>
  <c r="AQ57" i="4"/>
  <c r="AP57" i="4"/>
  <c r="AQ56" i="4"/>
  <c r="AP56" i="4"/>
  <c r="AQ55" i="4"/>
  <c r="AP55" i="4"/>
  <c r="AQ54" i="4"/>
  <c r="AP54" i="4"/>
  <c r="AQ53" i="4"/>
  <c r="AP53" i="4"/>
  <c r="AQ52" i="4"/>
  <c r="AP52" i="4"/>
  <c r="AQ51" i="4"/>
  <c r="AP51" i="4"/>
  <c r="AQ50" i="4"/>
  <c r="AP50" i="4"/>
  <c r="AQ49" i="4"/>
  <c r="AP49" i="4"/>
  <c r="AQ48" i="4"/>
  <c r="AP48" i="4"/>
  <c r="AQ47" i="4"/>
  <c r="AP47" i="4"/>
  <c r="AQ46" i="4"/>
  <c r="AP46" i="4"/>
  <c r="AQ45" i="4"/>
  <c r="AP45" i="4"/>
  <c r="AQ44" i="4"/>
  <c r="AP44" i="4"/>
  <c r="AQ43" i="4"/>
  <c r="AP43" i="4"/>
  <c r="AQ42" i="4"/>
  <c r="AP42" i="4"/>
  <c r="AQ41" i="4"/>
  <c r="AP41" i="4"/>
  <c r="AQ40" i="4"/>
  <c r="AP40" i="4"/>
  <c r="AQ39" i="4"/>
  <c r="AP39" i="4"/>
  <c r="AQ38" i="4"/>
  <c r="AP38" i="4"/>
  <c r="AQ37" i="4"/>
  <c r="AP37" i="4"/>
  <c r="AQ36" i="4"/>
  <c r="AP36" i="4"/>
  <c r="AQ35" i="4"/>
  <c r="AP35" i="4"/>
  <c r="AQ34" i="4"/>
  <c r="AP34" i="4"/>
  <c r="AQ33" i="4"/>
  <c r="AP33" i="4"/>
  <c r="AQ32" i="4"/>
  <c r="AP32" i="4"/>
  <c r="AQ31" i="4"/>
  <c r="AP31" i="4"/>
  <c r="AQ30" i="4"/>
  <c r="AP30" i="4"/>
  <c r="AQ29" i="4"/>
  <c r="AP29" i="4"/>
  <c r="AQ28" i="4"/>
  <c r="AP28" i="4"/>
  <c r="AQ27" i="4"/>
  <c r="AP27" i="4"/>
  <c r="AQ26" i="4"/>
  <c r="AP26" i="4"/>
  <c r="AQ25" i="4"/>
  <c r="AP25" i="4"/>
  <c r="AQ24" i="4"/>
  <c r="AP24" i="4"/>
  <c r="AQ23" i="4"/>
  <c r="AP23" i="4"/>
  <c r="AQ22" i="4"/>
  <c r="AP22" i="4"/>
  <c r="AQ21" i="4"/>
  <c r="AP21" i="4"/>
  <c r="AQ20" i="4"/>
  <c r="AP20" i="4"/>
  <c r="AQ19" i="4"/>
  <c r="AP19" i="4"/>
  <c r="AQ18" i="4"/>
  <c r="AP18" i="4"/>
  <c r="AQ17" i="4"/>
  <c r="AP17" i="4"/>
  <c r="AQ16" i="4"/>
  <c r="AP16" i="4"/>
  <c r="AQ15" i="4"/>
  <c r="AP15" i="4"/>
  <c r="AQ14" i="4"/>
  <c r="AP14" i="4"/>
  <c r="AQ13" i="4"/>
  <c r="AP13" i="4"/>
  <c r="AQ12" i="4"/>
  <c r="AP12" i="4"/>
  <c r="AQ11" i="4"/>
  <c r="AP11" i="4"/>
  <c r="AQ10" i="4"/>
  <c r="AP10" i="4"/>
  <c r="AK300" i="4"/>
  <c r="AJ300" i="4"/>
  <c r="AK299" i="4"/>
  <c r="AJ299" i="4"/>
  <c r="AK298" i="4"/>
  <c r="AJ298" i="4"/>
  <c r="AK297" i="4"/>
  <c r="AJ297" i="4"/>
  <c r="AK296" i="4"/>
  <c r="AJ296" i="4"/>
  <c r="AK295" i="4"/>
  <c r="AJ295" i="4"/>
  <c r="AK294" i="4"/>
  <c r="AJ294" i="4"/>
  <c r="AK293" i="4"/>
  <c r="AJ293" i="4"/>
  <c r="AK292" i="4"/>
  <c r="AJ292" i="4"/>
  <c r="AK291" i="4"/>
  <c r="AJ291" i="4"/>
  <c r="AK290" i="4"/>
  <c r="AJ290" i="4"/>
  <c r="AK289" i="4"/>
  <c r="AJ289" i="4"/>
  <c r="AK288" i="4"/>
  <c r="AJ288" i="4"/>
  <c r="AK287" i="4"/>
  <c r="AJ287" i="4"/>
  <c r="AK286" i="4"/>
  <c r="AJ286" i="4"/>
  <c r="AK285" i="4"/>
  <c r="AJ285" i="4"/>
  <c r="AK284" i="4"/>
  <c r="AJ284" i="4"/>
  <c r="AK283" i="4"/>
  <c r="AJ283" i="4"/>
  <c r="AK282" i="4"/>
  <c r="AJ282" i="4"/>
  <c r="AK281" i="4"/>
  <c r="AJ281" i="4"/>
  <c r="AK280" i="4"/>
  <c r="AJ280" i="4"/>
  <c r="AK279" i="4"/>
  <c r="AJ279" i="4"/>
  <c r="AK278" i="4"/>
  <c r="AJ278" i="4"/>
  <c r="AK277" i="4"/>
  <c r="AJ277" i="4"/>
  <c r="AK276" i="4"/>
  <c r="AJ276" i="4"/>
  <c r="AK275" i="4"/>
  <c r="AJ275" i="4"/>
  <c r="AK274" i="4"/>
  <c r="AJ274" i="4"/>
  <c r="AK273" i="4"/>
  <c r="AJ273" i="4"/>
  <c r="AK272" i="4"/>
  <c r="AJ272" i="4"/>
  <c r="AK271" i="4"/>
  <c r="AJ271" i="4"/>
  <c r="AK270" i="4"/>
  <c r="AJ270" i="4"/>
  <c r="AK269" i="4"/>
  <c r="AJ269" i="4"/>
  <c r="AK268" i="4"/>
  <c r="AJ268" i="4"/>
  <c r="AK267" i="4"/>
  <c r="AJ267" i="4"/>
  <c r="AK266" i="4"/>
  <c r="AJ266" i="4"/>
  <c r="AK265" i="4"/>
  <c r="AJ265" i="4"/>
  <c r="AK264" i="4"/>
  <c r="AJ264" i="4"/>
  <c r="AK263" i="4"/>
  <c r="AJ263" i="4"/>
  <c r="AK262" i="4"/>
  <c r="AJ262" i="4"/>
  <c r="AK261" i="4"/>
  <c r="AJ261" i="4"/>
  <c r="AK260" i="4"/>
  <c r="AJ260" i="4"/>
  <c r="AK259" i="4"/>
  <c r="AJ259" i="4"/>
  <c r="AK258" i="4"/>
  <c r="AJ258" i="4"/>
  <c r="AK257" i="4"/>
  <c r="AJ257" i="4"/>
  <c r="AK256" i="4"/>
  <c r="AJ256" i="4"/>
  <c r="AK255" i="4"/>
  <c r="AJ255" i="4"/>
  <c r="AK254" i="4"/>
  <c r="AJ254" i="4"/>
  <c r="AK253" i="4"/>
  <c r="AJ253" i="4"/>
  <c r="AK252" i="4"/>
  <c r="AJ252" i="4"/>
  <c r="AK251" i="4"/>
  <c r="AJ251" i="4"/>
  <c r="AK250" i="4"/>
  <c r="AJ250" i="4"/>
  <c r="AK249" i="4"/>
  <c r="AJ249" i="4"/>
  <c r="AK248" i="4"/>
  <c r="AJ248" i="4"/>
  <c r="AK247" i="4"/>
  <c r="AJ247" i="4"/>
  <c r="AK246" i="4"/>
  <c r="AJ246" i="4"/>
  <c r="AK245" i="4"/>
  <c r="AJ245" i="4"/>
  <c r="AK244" i="4"/>
  <c r="AJ244" i="4"/>
  <c r="AK243" i="4"/>
  <c r="AJ243" i="4"/>
  <c r="AK242" i="4"/>
  <c r="AJ242" i="4"/>
  <c r="AK241" i="4"/>
  <c r="AJ241" i="4"/>
  <c r="AK240" i="4"/>
  <c r="AJ240" i="4"/>
  <c r="AK239" i="4"/>
  <c r="AJ239" i="4"/>
  <c r="AK238" i="4"/>
  <c r="AJ238" i="4"/>
  <c r="AK237" i="4"/>
  <c r="AJ237" i="4"/>
  <c r="AK236" i="4"/>
  <c r="AJ236" i="4"/>
  <c r="AK235" i="4"/>
  <c r="AJ235" i="4"/>
  <c r="AK234" i="4"/>
  <c r="AJ234" i="4"/>
  <c r="AK233" i="4"/>
  <c r="AJ233" i="4"/>
  <c r="AK232" i="4"/>
  <c r="AJ232" i="4"/>
  <c r="AK231" i="4"/>
  <c r="AJ231" i="4"/>
  <c r="AK230" i="4"/>
  <c r="AJ230" i="4"/>
  <c r="AK229" i="4"/>
  <c r="AJ229" i="4"/>
  <c r="AK228" i="4"/>
  <c r="AJ228" i="4"/>
  <c r="AK227" i="4"/>
  <c r="AJ227" i="4"/>
  <c r="AK226" i="4"/>
  <c r="AJ226" i="4"/>
  <c r="AK225" i="4"/>
  <c r="AJ225" i="4"/>
  <c r="AK224" i="4"/>
  <c r="AJ224" i="4"/>
  <c r="AK223" i="4"/>
  <c r="AJ223" i="4"/>
  <c r="AK222" i="4"/>
  <c r="AJ222" i="4"/>
  <c r="AK221" i="4"/>
  <c r="AJ221" i="4"/>
  <c r="AK220" i="4"/>
  <c r="AJ220" i="4"/>
  <c r="AK219" i="4"/>
  <c r="AJ219" i="4"/>
  <c r="AK218" i="4"/>
  <c r="AJ218" i="4"/>
  <c r="AK217" i="4"/>
  <c r="AJ217" i="4"/>
  <c r="AK216" i="4"/>
  <c r="AJ216" i="4"/>
  <c r="AK215" i="4"/>
  <c r="AJ215" i="4"/>
  <c r="AK214" i="4"/>
  <c r="AJ214" i="4"/>
  <c r="AK213" i="4"/>
  <c r="AJ213" i="4"/>
  <c r="AK212" i="4"/>
  <c r="AJ212" i="4"/>
  <c r="AK211" i="4"/>
  <c r="AJ211" i="4"/>
  <c r="AK210" i="4"/>
  <c r="AJ210" i="4"/>
  <c r="AK209" i="4"/>
  <c r="AJ209" i="4"/>
  <c r="AK208" i="4"/>
  <c r="AJ208" i="4"/>
  <c r="AK207" i="4"/>
  <c r="AJ207" i="4"/>
  <c r="AK206" i="4"/>
  <c r="AJ206" i="4"/>
  <c r="AK205" i="4"/>
  <c r="AJ205" i="4"/>
  <c r="AK204" i="4"/>
  <c r="AJ204" i="4"/>
  <c r="AK203" i="4"/>
  <c r="AJ203" i="4"/>
  <c r="AK202" i="4"/>
  <c r="AJ202" i="4"/>
  <c r="AK201" i="4"/>
  <c r="AJ201" i="4"/>
  <c r="AK200" i="4"/>
  <c r="AJ200" i="4"/>
  <c r="AK199" i="4"/>
  <c r="AJ199" i="4"/>
  <c r="AK198" i="4"/>
  <c r="AJ198" i="4"/>
  <c r="AK197" i="4"/>
  <c r="AJ197" i="4"/>
  <c r="AK196" i="4"/>
  <c r="AJ196" i="4"/>
  <c r="AK195" i="4"/>
  <c r="AJ195" i="4"/>
  <c r="AK194" i="4"/>
  <c r="AJ194" i="4"/>
  <c r="AK193" i="4"/>
  <c r="AJ193" i="4"/>
  <c r="AK192" i="4"/>
  <c r="AJ192" i="4"/>
  <c r="AK191" i="4"/>
  <c r="AJ191" i="4"/>
  <c r="AK190" i="4"/>
  <c r="AJ190" i="4"/>
  <c r="AK189" i="4"/>
  <c r="AJ189" i="4"/>
  <c r="AK188" i="4"/>
  <c r="AJ188" i="4"/>
  <c r="AK187" i="4"/>
  <c r="AJ187" i="4"/>
  <c r="AK186" i="4"/>
  <c r="AJ186" i="4"/>
  <c r="AK185" i="4"/>
  <c r="AJ185" i="4"/>
  <c r="AK184" i="4"/>
  <c r="AJ184" i="4"/>
  <c r="AK183" i="4"/>
  <c r="AJ183" i="4"/>
  <c r="AK182" i="4"/>
  <c r="AJ182" i="4"/>
  <c r="AK181" i="4"/>
  <c r="AJ181" i="4"/>
  <c r="AK180" i="4"/>
  <c r="AJ180" i="4"/>
  <c r="AK179" i="4"/>
  <c r="AJ179" i="4"/>
  <c r="AK178" i="4"/>
  <c r="AJ178" i="4"/>
  <c r="AK177" i="4"/>
  <c r="AJ177" i="4"/>
  <c r="AK176" i="4"/>
  <c r="AJ176" i="4"/>
  <c r="AK175" i="4"/>
  <c r="AJ175" i="4"/>
  <c r="AK174" i="4"/>
  <c r="AJ174" i="4"/>
  <c r="AK173" i="4"/>
  <c r="AJ173" i="4"/>
  <c r="AK172" i="4"/>
  <c r="AJ172" i="4"/>
  <c r="AK171" i="4"/>
  <c r="AJ171" i="4"/>
  <c r="AK170" i="4"/>
  <c r="AJ170" i="4"/>
  <c r="AK169" i="4"/>
  <c r="AJ169" i="4"/>
  <c r="AK168" i="4"/>
  <c r="AJ168" i="4"/>
  <c r="AK167" i="4"/>
  <c r="AJ167" i="4"/>
  <c r="AK166" i="4"/>
  <c r="AJ166" i="4"/>
  <c r="AK165" i="4"/>
  <c r="AJ165" i="4"/>
  <c r="AK164" i="4"/>
  <c r="AJ164" i="4"/>
  <c r="AK163" i="4"/>
  <c r="AJ163" i="4"/>
  <c r="AK162" i="4"/>
  <c r="AJ162" i="4"/>
  <c r="AK161" i="4"/>
  <c r="AJ161" i="4"/>
  <c r="AK160" i="4"/>
  <c r="AJ160" i="4"/>
  <c r="AK159" i="4"/>
  <c r="AJ159" i="4"/>
  <c r="AK158" i="4"/>
  <c r="AJ158" i="4"/>
  <c r="AK157" i="4"/>
  <c r="AJ157" i="4"/>
  <c r="AK156" i="4"/>
  <c r="AJ156" i="4"/>
  <c r="AK155" i="4"/>
  <c r="AJ155" i="4"/>
  <c r="AK154" i="4"/>
  <c r="AJ154" i="4"/>
  <c r="AK153" i="4"/>
  <c r="AJ153" i="4"/>
  <c r="AK152" i="4"/>
  <c r="AJ152" i="4"/>
  <c r="AK151" i="4"/>
  <c r="AJ151" i="4"/>
  <c r="AK150" i="4"/>
  <c r="AJ150" i="4"/>
  <c r="AK149" i="4"/>
  <c r="AJ149" i="4"/>
  <c r="AK148" i="4"/>
  <c r="AJ148" i="4"/>
  <c r="AK147" i="4"/>
  <c r="AJ147" i="4"/>
  <c r="AK146" i="4"/>
  <c r="AJ146" i="4"/>
  <c r="AK145" i="4"/>
  <c r="AJ145" i="4"/>
  <c r="AK144" i="4"/>
  <c r="AJ144" i="4"/>
  <c r="AK143" i="4"/>
  <c r="AJ143" i="4"/>
  <c r="AK142" i="4"/>
  <c r="AJ142" i="4"/>
  <c r="AK141" i="4"/>
  <c r="AJ141" i="4"/>
  <c r="AK140" i="4"/>
  <c r="AJ140" i="4"/>
  <c r="AK139" i="4"/>
  <c r="AJ139" i="4"/>
  <c r="AK138" i="4"/>
  <c r="AJ138" i="4"/>
  <c r="AK137" i="4"/>
  <c r="AJ137" i="4"/>
  <c r="AK136" i="4"/>
  <c r="AJ136" i="4"/>
  <c r="AK135" i="4"/>
  <c r="AJ135" i="4"/>
  <c r="AK134" i="4"/>
  <c r="AJ134" i="4"/>
  <c r="AK133" i="4"/>
  <c r="AJ133" i="4"/>
  <c r="AK132" i="4"/>
  <c r="AJ132" i="4"/>
  <c r="AK131" i="4"/>
  <c r="AJ131" i="4"/>
  <c r="AK130" i="4"/>
  <c r="AJ130" i="4"/>
  <c r="AK129" i="4"/>
  <c r="AJ129" i="4"/>
  <c r="AK128" i="4"/>
  <c r="AJ128" i="4"/>
  <c r="AK127" i="4"/>
  <c r="AJ127" i="4"/>
  <c r="AK126" i="4"/>
  <c r="AJ126" i="4"/>
  <c r="AK125" i="4"/>
  <c r="AJ125" i="4"/>
  <c r="AK124" i="4"/>
  <c r="AJ124" i="4"/>
  <c r="AK123" i="4"/>
  <c r="AJ123" i="4"/>
  <c r="AK122" i="4"/>
  <c r="AJ122" i="4"/>
  <c r="AK121" i="4"/>
  <c r="AJ121" i="4"/>
  <c r="AK120" i="4"/>
  <c r="AJ120" i="4"/>
  <c r="AK119" i="4"/>
  <c r="AJ119" i="4"/>
  <c r="AK118" i="4"/>
  <c r="AJ118" i="4"/>
  <c r="AK117" i="4"/>
  <c r="AJ117" i="4"/>
  <c r="AK116" i="4"/>
  <c r="AJ116" i="4"/>
  <c r="AK115" i="4"/>
  <c r="AJ115" i="4"/>
  <c r="AK114" i="4"/>
  <c r="AJ114" i="4"/>
  <c r="AK113" i="4"/>
  <c r="AJ113" i="4"/>
  <c r="AK112" i="4"/>
  <c r="AJ112" i="4"/>
  <c r="AK111" i="4"/>
  <c r="AJ111" i="4"/>
  <c r="AK110" i="4"/>
  <c r="AJ110" i="4"/>
  <c r="AK109" i="4"/>
  <c r="AJ109" i="4"/>
  <c r="AK108" i="4"/>
  <c r="AJ108" i="4"/>
  <c r="AK107" i="4"/>
  <c r="AJ107" i="4"/>
  <c r="AK106" i="4"/>
  <c r="AJ106" i="4"/>
  <c r="AK105" i="4"/>
  <c r="AJ105" i="4"/>
  <c r="AK104" i="4"/>
  <c r="AJ104" i="4"/>
  <c r="AK103" i="4"/>
  <c r="AJ103" i="4"/>
  <c r="AK102" i="4"/>
  <c r="AJ102" i="4"/>
  <c r="AK101" i="4"/>
  <c r="AJ101" i="4"/>
  <c r="AK100" i="4"/>
  <c r="AJ100" i="4"/>
  <c r="AK99" i="4"/>
  <c r="AJ99" i="4"/>
  <c r="AK98" i="4"/>
  <c r="AJ98" i="4"/>
  <c r="AK97" i="4"/>
  <c r="AJ97" i="4"/>
  <c r="AK96" i="4"/>
  <c r="AJ96" i="4"/>
  <c r="AK95" i="4"/>
  <c r="AJ95" i="4"/>
  <c r="AK94" i="4"/>
  <c r="AJ94" i="4"/>
  <c r="AK93" i="4"/>
  <c r="AJ93" i="4"/>
  <c r="AK92" i="4"/>
  <c r="AJ92" i="4"/>
  <c r="AK91" i="4"/>
  <c r="AJ91" i="4"/>
  <c r="AK90" i="4"/>
  <c r="AJ90" i="4"/>
  <c r="AK89" i="4"/>
  <c r="AJ89" i="4"/>
  <c r="AK88" i="4"/>
  <c r="AJ88" i="4"/>
  <c r="AK87" i="4"/>
  <c r="AJ87" i="4"/>
  <c r="AK86" i="4"/>
  <c r="AJ86" i="4"/>
  <c r="AK85" i="4"/>
  <c r="AJ85" i="4"/>
  <c r="AK84" i="4"/>
  <c r="AJ84" i="4"/>
  <c r="AK83" i="4"/>
  <c r="AJ83" i="4"/>
  <c r="AK82" i="4"/>
  <c r="AJ82" i="4"/>
  <c r="AK81" i="4"/>
  <c r="AJ81" i="4"/>
  <c r="AK80" i="4"/>
  <c r="AJ80" i="4"/>
  <c r="AK79" i="4"/>
  <c r="AJ79" i="4"/>
  <c r="AK78" i="4"/>
  <c r="AJ78" i="4"/>
  <c r="AK77" i="4"/>
  <c r="AJ77" i="4"/>
  <c r="AK76" i="4"/>
  <c r="AJ76" i="4"/>
  <c r="AK75" i="4"/>
  <c r="AJ75" i="4"/>
  <c r="AK74" i="4"/>
  <c r="AJ74" i="4"/>
  <c r="AK73" i="4"/>
  <c r="AJ73" i="4"/>
  <c r="AK72" i="4"/>
  <c r="AJ72" i="4"/>
  <c r="AK71" i="4"/>
  <c r="AJ71" i="4"/>
  <c r="AK70" i="4"/>
  <c r="AJ70" i="4"/>
  <c r="AK69" i="4"/>
  <c r="AJ69" i="4"/>
  <c r="AK68" i="4"/>
  <c r="AJ68" i="4"/>
  <c r="AK67" i="4"/>
  <c r="AJ67" i="4"/>
  <c r="AK66" i="4"/>
  <c r="AJ66" i="4"/>
  <c r="AK65" i="4"/>
  <c r="AJ65" i="4"/>
  <c r="AK64" i="4"/>
  <c r="AJ64" i="4"/>
  <c r="AK63" i="4"/>
  <c r="AJ63" i="4"/>
  <c r="AK62" i="4"/>
  <c r="AJ62" i="4"/>
  <c r="AK61" i="4"/>
  <c r="AJ61" i="4"/>
  <c r="AK60" i="4"/>
  <c r="AJ60" i="4"/>
  <c r="AK59" i="4"/>
  <c r="AJ59" i="4"/>
  <c r="AK58" i="4"/>
  <c r="AJ58" i="4"/>
  <c r="AK57" i="4"/>
  <c r="AJ57" i="4"/>
  <c r="AK56" i="4"/>
  <c r="AJ56" i="4"/>
  <c r="AK55" i="4"/>
  <c r="AJ55" i="4"/>
  <c r="AK54" i="4"/>
  <c r="AJ54" i="4"/>
  <c r="AK53" i="4"/>
  <c r="AJ53" i="4"/>
  <c r="AK52" i="4"/>
  <c r="AJ52" i="4"/>
  <c r="AK51" i="4"/>
  <c r="AJ51" i="4"/>
  <c r="AK50" i="4"/>
  <c r="AJ50" i="4"/>
  <c r="AK49" i="4"/>
  <c r="AJ49" i="4"/>
  <c r="AK48" i="4"/>
  <c r="AJ48" i="4"/>
  <c r="AK47" i="4"/>
  <c r="AJ47" i="4"/>
  <c r="AK46" i="4"/>
  <c r="AJ46" i="4"/>
  <c r="AK45" i="4"/>
  <c r="AJ45" i="4"/>
  <c r="AK44" i="4"/>
  <c r="AJ44" i="4"/>
  <c r="AK43" i="4"/>
  <c r="AJ43" i="4"/>
  <c r="AK42" i="4"/>
  <c r="AJ42" i="4"/>
  <c r="AK41" i="4"/>
  <c r="AJ41" i="4"/>
  <c r="AK40" i="4"/>
  <c r="AJ40" i="4"/>
  <c r="AK39" i="4"/>
  <c r="AJ39" i="4"/>
  <c r="AK38" i="4"/>
  <c r="AJ38" i="4"/>
  <c r="AK37" i="4"/>
  <c r="AJ37" i="4"/>
  <c r="AK36" i="4"/>
  <c r="AJ36" i="4"/>
  <c r="AK35" i="4"/>
  <c r="AJ35" i="4"/>
  <c r="AK34" i="4"/>
  <c r="AJ34" i="4"/>
  <c r="AK33" i="4"/>
  <c r="AJ33" i="4"/>
  <c r="AK32" i="4"/>
  <c r="AJ32" i="4"/>
  <c r="AK31" i="4"/>
  <c r="AJ31" i="4"/>
  <c r="AK30" i="4"/>
  <c r="AJ30" i="4"/>
  <c r="AK29" i="4"/>
  <c r="AJ29" i="4"/>
  <c r="AK28" i="4"/>
  <c r="AJ28" i="4"/>
  <c r="AK27" i="4"/>
  <c r="AJ27" i="4"/>
  <c r="AK26" i="4"/>
  <c r="AJ26" i="4"/>
  <c r="AK25" i="4"/>
  <c r="AJ25" i="4"/>
  <c r="AK24" i="4"/>
  <c r="AJ24" i="4"/>
  <c r="AK23" i="4"/>
  <c r="AJ23" i="4"/>
  <c r="AK22" i="4"/>
  <c r="AJ22" i="4"/>
  <c r="AK21" i="4"/>
  <c r="AJ21" i="4"/>
  <c r="AK20" i="4"/>
  <c r="AJ20" i="4"/>
  <c r="AK19" i="4"/>
  <c r="AJ19" i="4"/>
  <c r="AK18" i="4"/>
  <c r="AJ18" i="4"/>
  <c r="AK17" i="4"/>
  <c r="AJ17" i="4"/>
  <c r="AK16" i="4"/>
  <c r="AJ16" i="4"/>
  <c r="AK15" i="4"/>
  <c r="AJ15" i="4"/>
  <c r="AK14" i="4"/>
  <c r="AJ14" i="4"/>
  <c r="AK13" i="4"/>
  <c r="AJ13" i="4"/>
  <c r="AK12" i="4"/>
  <c r="AJ12" i="4"/>
  <c r="AK11" i="4"/>
  <c r="AJ11" i="4"/>
  <c r="AK10" i="4"/>
  <c r="AJ10" i="4"/>
  <c r="AE300" i="4"/>
  <c r="AD300" i="4"/>
  <c r="AE299" i="4"/>
  <c r="AD299" i="4"/>
  <c r="AE298" i="4"/>
  <c r="AD298" i="4"/>
  <c r="AE297" i="4"/>
  <c r="AD297" i="4"/>
  <c r="AE296" i="4"/>
  <c r="AD296" i="4"/>
  <c r="AE295" i="4"/>
  <c r="AD295" i="4"/>
  <c r="AE294" i="4"/>
  <c r="AD294" i="4"/>
  <c r="AE293" i="4"/>
  <c r="AD293" i="4"/>
  <c r="AE292" i="4"/>
  <c r="AD292" i="4"/>
  <c r="AE291" i="4"/>
  <c r="AD291" i="4"/>
  <c r="AE290" i="4"/>
  <c r="AD290" i="4"/>
  <c r="AE289" i="4"/>
  <c r="AD289" i="4"/>
  <c r="AE288" i="4"/>
  <c r="AD288" i="4"/>
  <c r="AE287" i="4"/>
  <c r="AD287" i="4"/>
  <c r="AE286" i="4"/>
  <c r="AD286" i="4"/>
  <c r="AE285" i="4"/>
  <c r="AD285" i="4"/>
  <c r="AE284" i="4"/>
  <c r="AD284" i="4"/>
  <c r="AE283" i="4"/>
  <c r="AD283" i="4"/>
  <c r="AE282" i="4"/>
  <c r="AD282" i="4"/>
  <c r="AE281" i="4"/>
  <c r="AD281" i="4"/>
  <c r="AE280" i="4"/>
  <c r="AD280" i="4"/>
  <c r="AE279" i="4"/>
  <c r="AD279" i="4"/>
  <c r="AE278" i="4"/>
  <c r="AD278" i="4"/>
  <c r="AE277" i="4"/>
  <c r="AD277" i="4"/>
  <c r="AE276" i="4"/>
  <c r="AD276" i="4"/>
  <c r="AE275" i="4"/>
  <c r="AD275" i="4"/>
  <c r="AE274" i="4"/>
  <c r="AD274" i="4"/>
  <c r="AE273" i="4"/>
  <c r="AD273" i="4"/>
  <c r="AE272" i="4"/>
  <c r="AD272" i="4"/>
  <c r="AE271" i="4"/>
  <c r="AD271" i="4"/>
  <c r="AE270" i="4"/>
  <c r="AD270" i="4"/>
  <c r="AE269" i="4"/>
  <c r="AD269" i="4"/>
  <c r="AE268" i="4"/>
  <c r="AD268" i="4"/>
  <c r="AE267" i="4"/>
  <c r="AD267" i="4"/>
  <c r="AE266" i="4"/>
  <c r="AD266" i="4"/>
  <c r="AE265" i="4"/>
  <c r="AD265" i="4"/>
  <c r="AE264" i="4"/>
  <c r="AD264" i="4"/>
  <c r="AE263" i="4"/>
  <c r="AD263" i="4"/>
  <c r="AE262" i="4"/>
  <c r="AD262" i="4"/>
  <c r="AE261" i="4"/>
  <c r="AD261" i="4"/>
  <c r="AE260" i="4"/>
  <c r="AD260" i="4"/>
  <c r="AE259" i="4"/>
  <c r="AD259" i="4"/>
  <c r="AE258" i="4"/>
  <c r="AD258" i="4"/>
  <c r="AE257" i="4"/>
  <c r="AD257" i="4"/>
  <c r="AE256" i="4"/>
  <c r="AD256" i="4"/>
  <c r="AE255" i="4"/>
  <c r="AD255" i="4"/>
  <c r="AE254" i="4"/>
  <c r="AD254" i="4"/>
  <c r="AE253" i="4"/>
  <c r="AD253" i="4"/>
  <c r="AE252" i="4"/>
  <c r="AD252" i="4"/>
  <c r="AE251" i="4"/>
  <c r="AD251" i="4"/>
  <c r="AE250" i="4"/>
  <c r="AD250" i="4"/>
  <c r="AE249" i="4"/>
  <c r="AD249" i="4"/>
  <c r="AE248" i="4"/>
  <c r="AD248" i="4"/>
  <c r="AE247" i="4"/>
  <c r="AD247" i="4"/>
  <c r="AE246" i="4"/>
  <c r="AD246" i="4"/>
  <c r="AE245" i="4"/>
  <c r="AD245" i="4"/>
  <c r="AE244" i="4"/>
  <c r="AD244" i="4"/>
  <c r="AE243" i="4"/>
  <c r="AD243" i="4"/>
  <c r="AE242" i="4"/>
  <c r="AD242" i="4"/>
  <c r="AE241" i="4"/>
  <c r="AD241" i="4"/>
  <c r="AE240" i="4"/>
  <c r="AD240" i="4"/>
  <c r="AE239" i="4"/>
  <c r="AD239" i="4"/>
  <c r="AE238" i="4"/>
  <c r="AD238" i="4"/>
  <c r="AE237" i="4"/>
  <c r="AD237" i="4"/>
  <c r="AE236" i="4"/>
  <c r="AD236" i="4"/>
  <c r="AE235" i="4"/>
  <c r="AD235" i="4"/>
  <c r="AE234" i="4"/>
  <c r="AD234" i="4"/>
  <c r="AE233" i="4"/>
  <c r="AD233" i="4"/>
  <c r="AE232" i="4"/>
  <c r="AD232" i="4"/>
  <c r="AE231" i="4"/>
  <c r="AD231" i="4"/>
  <c r="AE230" i="4"/>
  <c r="AD230" i="4"/>
  <c r="AE229" i="4"/>
  <c r="AD229" i="4"/>
  <c r="AE228" i="4"/>
  <c r="AD228" i="4"/>
  <c r="AE227" i="4"/>
  <c r="AD227" i="4"/>
  <c r="AE226" i="4"/>
  <c r="AD226" i="4"/>
  <c r="AE225" i="4"/>
  <c r="AD225" i="4"/>
  <c r="AE224" i="4"/>
  <c r="AD224" i="4"/>
  <c r="AE223" i="4"/>
  <c r="AD223" i="4"/>
  <c r="AE222" i="4"/>
  <c r="AD222" i="4"/>
  <c r="AE221" i="4"/>
  <c r="AD221" i="4"/>
  <c r="AE220" i="4"/>
  <c r="AD220" i="4"/>
  <c r="AE219" i="4"/>
  <c r="AD219" i="4"/>
  <c r="AE218" i="4"/>
  <c r="AD218" i="4"/>
  <c r="AE217" i="4"/>
  <c r="AD217" i="4"/>
  <c r="AE216" i="4"/>
  <c r="AD216" i="4"/>
  <c r="AE215" i="4"/>
  <c r="AD215" i="4"/>
  <c r="AE214" i="4"/>
  <c r="AD214" i="4"/>
  <c r="AE213" i="4"/>
  <c r="AD213" i="4"/>
  <c r="AE212" i="4"/>
  <c r="AD212" i="4"/>
  <c r="AE211" i="4"/>
  <c r="AD211" i="4"/>
  <c r="AE210" i="4"/>
  <c r="AD210" i="4"/>
  <c r="AE209" i="4"/>
  <c r="AD209" i="4"/>
  <c r="AE208" i="4"/>
  <c r="AD208" i="4"/>
  <c r="AE207" i="4"/>
  <c r="AD207" i="4"/>
  <c r="AE206" i="4"/>
  <c r="AD206" i="4"/>
  <c r="AE205" i="4"/>
  <c r="AD205" i="4"/>
  <c r="AE204" i="4"/>
  <c r="AD204" i="4"/>
  <c r="AE203" i="4"/>
  <c r="AD203" i="4"/>
  <c r="AE202" i="4"/>
  <c r="AD202" i="4"/>
  <c r="AE201" i="4"/>
  <c r="AD201" i="4"/>
  <c r="AE200" i="4"/>
  <c r="AD200" i="4"/>
  <c r="AE199" i="4"/>
  <c r="AD199" i="4"/>
  <c r="AE198" i="4"/>
  <c r="AD198" i="4"/>
  <c r="AE197" i="4"/>
  <c r="AD197" i="4"/>
  <c r="AE196" i="4"/>
  <c r="AD196" i="4"/>
  <c r="AE195" i="4"/>
  <c r="AD195" i="4"/>
  <c r="AE194" i="4"/>
  <c r="AD194" i="4"/>
  <c r="AE193" i="4"/>
  <c r="AD193" i="4"/>
  <c r="AE192" i="4"/>
  <c r="AD192" i="4"/>
  <c r="AE191" i="4"/>
  <c r="AD191" i="4"/>
  <c r="AE190" i="4"/>
  <c r="AD190" i="4"/>
  <c r="AE189" i="4"/>
  <c r="AD189" i="4"/>
  <c r="AE188" i="4"/>
  <c r="AD188" i="4"/>
  <c r="AE187" i="4"/>
  <c r="AD187" i="4"/>
  <c r="AE186" i="4"/>
  <c r="AD186" i="4"/>
  <c r="AE185" i="4"/>
  <c r="AD185" i="4"/>
  <c r="AE184" i="4"/>
  <c r="AD184" i="4"/>
  <c r="AE183" i="4"/>
  <c r="AD183" i="4"/>
  <c r="AE182" i="4"/>
  <c r="AD182" i="4"/>
  <c r="AE181" i="4"/>
  <c r="AD181" i="4"/>
  <c r="AE180" i="4"/>
  <c r="AD180" i="4"/>
  <c r="AE179" i="4"/>
  <c r="AD179" i="4"/>
  <c r="AE178" i="4"/>
  <c r="AD178" i="4"/>
  <c r="AE177" i="4"/>
  <c r="AD177" i="4"/>
  <c r="AE176" i="4"/>
  <c r="AD176" i="4"/>
  <c r="AE175" i="4"/>
  <c r="AD175" i="4"/>
  <c r="AE174" i="4"/>
  <c r="AD174" i="4"/>
  <c r="AE173" i="4"/>
  <c r="AD173" i="4"/>
  <c r="AE172" i="4"/>
  <c r="AD172" i="4"/>
  <c r="AE171" i="4"/>
  <c r="AD171" i="4"/>
  <c r="AE170" i="4"/>
  <c r="AD170" i="4"/>
  <c r="AE169" i="4"/>
  <c r="AD169" i="4"/>
  <c r="AE168" i="4"/>
  <c r="AD168" i="4"/>
  <c r="AE167" i="4"/>
  <c r="AD167" i="4"/>
  <c r="AE166" i="4"/>
  <c r="AD166" i="4"/>
  <c r="AE165" i="4"/>
  <c r="AD165" i="4"/>
  <c r="AE164" i="4"/>
  <c r="AD164" i="4"/>
  <c r="AE163" i="4"/>
  <c r="AD163" i="4"/>
  <c r="AE162" i="4"/>
  <c r="AD162" i="4"/>
  <c r="AE161" i="4"/>
  <c r="AD161" i="4"/>
  <c r="AE160" i="4"/>
  <c r="AD160" i="4"/>
  <c r="AE159" i="4"/>
  <c r="AD159" i="4"/>
  <c r="AE158" i="4"/>
  <c r="AD158" i="4"/>
  <c r="AE157" i="4"/>
  <c r="AD157" i="4"/>
  <c r="AE156" i="4"/>
  <c r="AD156" i="4"/>
  <c r="AE155" i="4"/>
  <c r="AD155" i="4"/>
  <c r="AE154" i="4"/>
  <c r="AD154" i="4"/>
  <c r="AE153" i="4"/>
  <c r="AD153" i="4"/>
  <c r="AE152" i="4"/>
  <c r="AD152" i="4"/>
  <c r="AE151" i="4"/>
  <c r="AD151" i="4"/>
  <c r="AE150" i="4"/>
  <c r="AD150" i="4"/>
  <c r="AE149" i="4"/>
  <c r="AD149" i="4"/>
  <c r="AE148" i="4"/>
  <c r="AD148" i="4"/>
  <c r="AE147" i="4"/>
  <c r="AD147" i="4"/>
  <c r="AE146" i="4"/>
  <c r="AD146" i="4"/>
  <c r="AE145" i="4"/>
  <c r="AD145" i="4"/>
  <c r="AE144" i="4"/>
  <c r="AD144" i="4"/>
  <c r="AE143" i="4"/>
  <c r="AD143" i="4"/>
  <c r="AE142" i="4"/>
  <c r="AD142" i="4"/>
  <c r="AE141" i="4"/>
  <c r="AD141" i="4"/>
  <c r="AE140" i="4"/>
  <c r="AD140" i="4"/>
  <c r="AE139" i="4"/>
  <c r="AD139" i="4"/>
  <c r="AE138" i="4"/>
  <c r="AD138" i="4"/>
  <c r="AE137" i="4"/>
  <c r="AD137" i="4"/>
  <c r="AE136" i="4"/>
  <c r="AD136" i="4"/>
  <c r="AE135" i="4"/>
  <c r="AD135" i="4"/>
  <c r="AE134" i="4"/>
  <c r="AD134" i="4"/>
  <c r="AE133" i="4"/>
  <c r="AD133" i="4"/>
  <c r="AE132" i="4"/>
  <c r="AD132" i="4"/>
  <c r="AE131" i="4"/>
  <c r="AD131" i="4"/>
  <c r="AE130" i="4"/>
  <c r="AD130" i="4"/>
  <c r="AE129" i="4"/>
  <c r="AD129" i="4"/>
  <c r="AE128" i="4"/>
  <c r="AD128" i="4"/>
  <c r="AE127" i="4"/>
  <c r="AD127" i="4"/>
  <c r="AE126" i="4"/>
  <c r="AD126" i="4"/>
  <c r="AE125" i="4"/>
  <c r="AD125" i="4"/>
  <c r="AE124" i="4"/>
  <c r="AD124" i="4"/>
  <c r="AE123" i="4"/>
  <c r="AD123" i="4"/>
  <c r="AE122" i="4"/>
  <c r="AD122" i="4"/>
  <c r="AE121" i="4"/>
  <c r="AD121" i="4"/>
  <c r="AE120" i="4"/>
  <c r="AD120" i="4"/>
  <c r="AE119" i="4"/>
  <c r="AD119" i="4"/>
  <c r="AE118" i="4"/>
  <c r="AD118" i="4"/>
  <c r="AE117" i="4"/>
  <c r="AD117" i="4"/>
  <c r="AE116" i="4"/>
  <c r="AD116" i="4"/>
  <c r="AE115" i="4"/>
  <c r="AD115" i="4"/>
  <c r="AE114" i="4"/>
  <c r="AD114" i="4"/>
  <c r="AE113" i="4"/>
  <c r="AD113" i="4"/>
  <c r="AE112" i="4"/>
  <c r="AD112" i="4"/>
  <c r="AE111" i="4"/>
  <c r="AD111" i="4"/>
  <c r="AE110" i="4"/>
  <c r="AD110" i="4"/>
  <c r="AE109" i="4"/>
  <c r="AD109" i="4"/>
  <c r="AE108" i="4"/>
  <c r="AD108" i="4"/>
  <c r="AE107" i="4"/>
  <c r="AD107" i="4"/>
  <c r="AE106" i="4"/>
  <c r="AD106" i="4"/>
  <c r="AE105" i="4"/>
  <c r="AD105" i="4"/>
  <c r="AE104" i="4"/>
  <c r="AD104" i="4"/>
  <c r="AE103" i="4"/>
  <c r="AD103" i="4"/>
  <c r="AE102" i="4"/>
  <c r="AD102" i="4"/>
  <c r="AE101" i="4"/>
  <c r="AD101" i="4"/>
  <c r="AE100" i="4"/>
  <c r="AD100" i="4"/>
  <c r="AE99" i="4"/>
  <c r="AD99" i="4"/>
  <c r="AE98" i="4"/>
  <c r="AD98" i="4"/>
  <c r="AE97" i="4"/>
  <c r="AD97" i="4"/>
  <c r="AE96" i="4"/>
  <c r="AD96" i="4"/>
  <c r="AE95" i="4"/>
  <c r="AD95" i="4"/>
  <c r="AE94" i="4"/>
  <c r="AD94" i="4"/>
  <c r="AE93" i="4"/>
  <c r="AD93" i="4"/>
  <c r="AE92" i="4"/>
  <c r="AD92" i="4"/>
  <c r="AE91" i="4"/>
  <c r="AD91" i="4"/>
  <c r="AE90" i="4"/>
  <c r="AD90" i="4"/>
  <c r="AE89" i="4"/>
  <c r="AD89" i="4"/>
  <c r="AE88" i="4"/>
  <c r="AD88" i="4"/>
  <c r="AE87" i="4"/>
  <c r="AD87" i="4"/>
  <c r="AE86" i="4"/>
  <c r="AD86" i="4"/>
  <c r="AE85" i="4"/>
  <c r="AD85" i="4"/>
  <c r="AE84" i="4"/>
  <c r="AD84" i="4"/>
  <c r="AE83" i="4"/>
  <c r="AD83" i="4"/>
  <c r="AE82" i="4"/>
  <c r="AD82" i="4"/>
  <c r="AE81" i="4"/>
  <c r="AD81" i="4"/>
  <c r="AE80" i="4"/>
  <c r="AD80" i="4"/>
  <c r="AE79" i="4"/>
  <c r="AD79" i="4"/>
  <c r="AE78" i="4"/>
  <c r="AD78" i="4"/>
  <c r="AE77" i="4"/>
  <c r="AD77" i="4"/>
  <c r="AE76" i="4"/>
  <c r="AD76" i="4"/>
  <c r="AE75" i="4"/>
  <c r="AD75" i="4"/>
  <c r="AE74" i="4"/>
  <c r="AD74" i="4"/>
  <c r="AE73" i="4"/>
  <c r="AD73" i="4"/>
  <c r="AE72" i="4"/>
  <c r="AD72" i="4"/>
  <c r="AE71" i="4"/>
  <c r="AD71" i="4"/>
  <c r="AE70" i="4"/>
  <c r="AD70" i="4"/>
  <c r="AE69" i="4"/>
  <c r="AD69" i="4"/>
  <c r="AE68" i="4"/>
  <c r="AD68" i="4"/>
  <c r="AE67" i="4"/>
  <c r="AD67" i="4"/>
  <c r="AE66" i="4"/>
  <c r="AD66" i="4"/>
  <c r="AE65" i="4"/>
  <c r="AD65" i="4"/>
  <c r="AE64" i="4"/>
  <c r="AD64" i="4"/>
  <c r="AE63" i="4"/>
  <c r="AD63" i="4"/>
  <c r="AE62" i="4"/>
  <c r="AD62" i="4"/>
  <c r="AE61" i="4"/>
  <c r="AD61" i="4"/>
  <c r="AE60" i="4"/>
  <c r="AD60" i="4"/>
  <c r="AE59" i="4"/>
  <c r="AD59" i="4"/>
  <c r="AE58" i="4"/>
  <c r="AD58" i="4"/>
  <c r="AE57" i="4"/>
  <c r="AD57" i="4"/>
  <c r="AE56" i="4"/>
  <c r="AD56" i="4"/>
  <c r="AE55" i="4"/>
  <c r="AD55" i="4"/>
  <c r="AE54" i="4"/>
  <c r="AD54" i="4"/>
  <c r="AE53" i="4"/>
  <c r="AD53" i="4"/>
  <c r="AE52" i="4"/>
  <c r="AD52" i="4"/>
  <c r="AE51" i="4"/>
  <c r="AD51" i="4"/>
  <c r="AE50" i="4"/>
  <c r="AD50" i="4"/>
  <c r="AE49" i="4"/>
  <c r="AD49" i="4"/>
  <c r="AE48" i="4"/>
  <c r="AD48" i="4"/>
  <c r="AE47" i="4"/>
  <c r="AD47" i="4"/>
  <c r="AE46" i="4"/>
  <c r="AD46" i="4"/>
  <c r="AE45" i="4"/>
  <c r="AD45" i="4"/>
  <c r="AE44" i="4"/>
  <c r="AD44" i="4"/>
  <c r="AE43" i="4"/>
  <c r="AD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Y300" i="4"/>
  <c r="X300" i="4"/>
  <c r="Y299" i="4"/>
  <c r="X299" i="4"/>
  <c r="Y298" i="4"/>
  <c r="X298" i="4"/>
  <c r="Y297" i="4"/>
  <c r="X297" i="4"/>
  <c r="Y296" i="4"/>
  <c r="X296" i="4"/>
  <c r="Y295" i="4"/>
  <c r="X295" i="4"/>
  <c r="Y294" i="4"/>
  <c r="X294" i="4"/>
  <c r="Y293" i="4"/>
  <c r="X293" i="4"/>
  <c r="Y292" i="4"/>
  <c r="X292" i="4"/>
  <c r="Y291" i="4"/>
  <c r="X291" i="4"/>
  <c r="Y290" i="4"/>
  <c r="X290" i="4"/>
  <c r="Y289" i="4"/>
  <c r="X289" i="4"/>
  <c r="Y288" i="4"/>
  <c r="X288" i="4"/>
  <c r="Y287" i="4"/>
  <c r="X287" i="4"/>
  <c r="Y286" i="4"/>
  <c r="X286" i="4"/>
  <c r="Y285" i="4"/>
  <c r="X285" i="4"/>
  <c r="Y284" i="4"/>
  <c r="X284" i="4"/>
  <c r="Y283" i="4"/>
  <c r="X283" i="4"/>
  <c r="Y282" i="4"/>
  <c r="X282" i="4"/>
  <c r="Y281" i="4"/>
  <c r="X281" i="4"/>
  <c r="Y280" i="4"/>
  <c r="X280" i="4"/>
  <c r="Y279" i="4"/>
  <c r="X279" i="4"/>
  <c r="Y278" i="4"/>
  <c r="X278" i="4"/>
  <c r="Y277" i="4"/>
  <c r="X277" i="4"/>
  <c r="Y276" i="4"/>
  <c r="X276" i="4"/>
  <c r="Y275" i="4"/>
  <c r="X275" i="4"/>
  <c r="Y274" i="4"/>
  <c r="X274" i="4"/>
  <c r="Y273" i="4"/>
  <c r="X273" i="4"/>
  <c r="Y272" i="4"/>
  <c r="X272" i="4"/>
  <c r="Y271" i="4"/>
  <c r="X271" i="4"/>
  <c r="Y270" i="4"/>
  <c r="X270" i="4"/>
  <c r="Y269" i="4"/>
  <c r="X269" i="4"/>
  <c r="Y268" i="4"/>
  <c r="X268" i="4"/>
  <c r="Y267" i="4"/>
  <c r="X267" i="4"/>
  <c r="Y266" i="4"/>
  <c r="X266" i="4"/>
  <c r="Y265" i="4"/>
  <c r="X265" i="4"/>
  <c r="Y264" i="4"/>
  <c r="X264" i="4"/>
  <c r="Y263" i="4"/>
  <c r="X263" i="4"/>
  <c r="Y262" i="4"/>
  <c r="X262" i="4"/>
  <c r="Y261" i="4"/>
  <c r="X261" i="4"/>
  <c r="Y260" i="4"/>
  <c r="X260" i="4"/>
  <c r="Y259" i="4"/>
  <c r="X259" i="4"/>
  <c r="Y258" i="4"/>
  <c r="X258" i="4"/>
  <c r="Y257" i="4"/>
  <c r="X257" i="4"/>
  <c r="Y256" i="4"/>
  <c r="X256" i="4"/>
  <c r="Y255" i="4"/>
  <c r="X255" i="4"/>
  <c r="Y254" i="4"/>
  <c r="X254" i="4"/>
  <c r="Y253" i="4"/>
  <c r="X253" i="4"/>
  <c r="Y252" i="4"/>
  <c r="X252" i="4"/>
  <c r="Y251" i="4"/>
  <c r="X251" i="4"/>
  <c r="Y250" i="4"/>
  <c r="X250" i="4"/>
  <c r="Y249" i="4"/>
  <c r="X249" i="4"/>
  <c r="Y248" i="4"/>
  <c r="X248" i="4"/>
  <c r="Y247" i="4"/>
  <c r="X247" i="4"/>
  <c r="Y246" i="4"/>
  <c r="X246" i="4"/>
  <c r="Y245" i="4"/>
  <c r="X245" i="4"/>
  <c r="Y244" i="4"/>
  <c r="X244" i="4"/>
  <c r="Y243" i="4"/>
  <c r="X243" i="4"/>
  <c r="Y242" i="4"/>
  <c r="X242" i="4"/>
  <c r="Y241" i="4"/>
  <c r="X241" i="4"/>
  <c r="Y240" i="4"/>
  <c r="X240" i="4"/>
  <c r="Y239" i="4"/>
  <c r="X239" i="4"/>
  <c r="Y238" i="4"/>
  <c r="X238" i="4"/>
  <c r="Y237" i="4"/>
  <c r="X237" i="4"/>
  <c r="Y236" i="4"/>
  <c r="X236" i="4"/>
  <c r="Y235" i="4"/>
  <c r="X235" i="4"/>
  <c r="Y234" i="4"/>
  <c r="X234" i="4"/>
  <c r="Y233" i="4"/>
  <c r="X233" i="4"/>
  <c r="Y232" i="4"/>
  <c r="X232" i="4"/>
  <c r="Y231" i="4"/>
  <c r="X231" i="4"/>
  <c r="Y230" i="4"/>
  <c r="X230" i="4"/>
  <c r="Y229" i="4"/>
  <c r="X229" i="4"/>
  <c r="Y228" i="4"/>
  <c r="X228" i="4"/>
  <c r="Y227" i="4"/>
  <c r="X227" i="4"/>
  <c r="Y226" i="4"/>
  <c r="X226" i="4"/>
  <c r="Y225" i="4"/>
  <c r="X225" i="4"/>
  <c r="Y224" i="4"/>
  <c r="X224" i="4"/>
  <c r="Y223" i="4"/>
  <c r="X223" i="4"/>
  <c r="Y222" i="4"/>
  <c r="X222" i="4"/>
  <c r="Y221" i="4"/>
  <c r="X221" i="4"/>
  <c r="Y220" i="4"/>
  <c r="X220" i="4"/>
  <c r="Y219" i="4"/>
  <c r="X219" i="4"/>
  <c r="Y218" i="4"/>
  <c r="X218" i="4"/>
  <c r="Y217" i="4"/>
  <c r="X217" i="4"/>
  <c r="Y216" i="4"/>
  <c r="X216" i="4"/>
  <c r="Y215" i="4"/>
  <c r="X215" i="4"/>
  <c r="Y214" i="4"/>
  <c r="X214" i="4"/>
  <c r="Y213" i="4"/>
  <c r="X213" i="4"/>
  <c r="Y212" i="4"/>
  <c r="X212" i="4"/>
  <c r="Y211" i="4"/>
  <c r="X211" i="4"/>
  <c r="Y210" i="4"/>
  <c r="X210" i="4"/>
  <c r="Y209" i="4"/>
  <c r="X209" i="4"/>
  <c r="Y208" i="4"/>
  <c r="X208" i="4"/>
  <c r="Y207" i="4"/>
  <c r="X207" i="4"/>
  <c r="Y206" i="4"/>
  <c r="X206" i="4"/>
  <c r="Y205" i="4"/>
  <c r="X205" i="4"/>
  <c r="Y204" i="4"/>
  <c r="X204" i="4"/>
  <c r="Y203" i="4"/>
  <c r="X203" i="4"/>
  <c r="Y202" i="4"/>
  <c r="X202" i="4"/>
  <c r="Y201" i="4"/>
  <c r="X201" i="4"/>
  <c r="Y200" i="4"/>
  <c r="X200" i="4"/>
  <c r="Y199" i="4"/>
  <c r="X199" i="4"/>
  <c r="Y198" i="4"/>
  <c r="X198" i="4"/>
  <c r="Y197" i="4"/>
  <c r="X197" i="4"/>
  <c r="Y196" i="4"/>
  <c r="X196" i="4"/>
  <c r="Y195" i="4"/>
  <c r="X195" i="4"/>
  <c r="Y194" i="4"/>
  <c r="X194" i="4"/>
  <c r="Y193" i="4"/>
  <c r="X193" i="4"/>
  <c r="Y192" i="4"/>
  <c r="X192" i="4"/>
  <c r="Y191" i="4"/>
  <c r="X191" i="4"/>
  <c r="Y190" i="4"/>
  <c r="X190" i="4"/>
  <c r="Y189" i="4"/>
  <c r="X189" i="4"/>
  <c r="Y188" i="4"/>
  <c r="X188" i="4"/>
  <c r="Y187" i="4"/>
  <c r="X187" i="4"/>
  <c r="Y186" i="4"/>
  <c r="X186" i="4"/>
  <c r="Y185" i="4"/>
  <c r="X185" i="4"/>
  <c r="Y184" i="4"/>
  <c r="X184" i="4"/>
  <c r="Y183" i="4"/>
  <c r="X183" i="4"/>
  <c r="Y182" i="4"/>
  <c r="X182" i="4"/>
  <c r="Y181" i="4"/>
  <c r="X181" i="4"/>
  <c r="Y180" i="4"/>
  <c r="X180" i="4"/>
  <c r="Y179" i="4"/>
  <c r="X179" i="4"/>
  <c r="Y178" i="4"/>
  <c r="X178" i="4"/>
  <c r="Y177" i="4"/>
  <c r="X177" i="4"/>
  <c r="Y176" i="4"/>
  <c r="X176" i="4"/>
  <c r="Y175" i="4"/>
  <c r="X175" i="4"/>
  <c r="Y174" i="4"/>
  <c r="X174" i="4"/>
  <c r="Y173" i="4"/>
  <c r="X173" i="4"/>
  <c r="Y172" i="4"/>
  <c r="X172" i="4"/>
  <c r="Y171" i="4"/>
  <c r="X171" i="4"/>
  <c r="Y170" i="4"/>
  <c r="X170" i="4"/>
  <c r="Y169" i="4"/>
  <c r="X169" i="4"/>
  <c r="Y168" i="4"/>
  <c r="X168" i="4"/>
  <c r="Y167" i="4"/>
  <c r="X167" i="4"/>
  <c r="Y166" i="4"/>
  <c r="X166" i="4"/>
  <c r="Y165" i="4"/>
  <c r="X165" i="4"/>
  <c r="Y164" i="4"/>
  <c r="X164" i="4"/>
  <c r="Y163" i="4"/>
  <c r="X163" i="4"/>
  <c r="Y162" i="4"/>
  <c r="X162" i="4"/>
  <c r="Y161" i="4"/>
  <c r="X161" i="4"/>
  <c r="Y160" i="4"/>
  <c r="X160" i="4"/>
  <c r="Y159" i="4"/>
  <c r="X159" i="4"/>
  <c r="Y158" i="4"/>
  <c r="X158" i="4"/>
  <c r="Y157" i="4"/>
  <c r="X157" i="4"/>
  <c r="Y156" i="4"/>
  <c r="X156" i="4"/>
  <c r="Y155" i="4"/>
  <c r="X155" i="4"/>
  <c r="Y154" i="4"/>
  <c r="X154" i="4"/>
  <c r="Y153" i="4"/>
  <c r="X153" i="4"/>
  <c r="Y152" i="4"/>
  <c r="X152" i="4"/>
  <c r="Y151" i="4"/>
  <c r="X151" i="4"/>
  <c r="Y150" i="4"/>
  <c r="X150" i="4"/>
  <c r="Y149" i="4"/>
  <c r="X149" i="4"/>
  <c r="Y148" i="4"/>
  <c r="X148" i="4"/>
  <c r="Y147" i="4"/>
  <c r="X147" i="4"/>
  <c r="Y146" i="4"/>
  <c r="X146" i="4"/>
  <c r="Y145" i="4"/>
  <c r="X145" i="4"/>
  <c r="Y144" i="4"/>
  <c r="X144" i="4"/>
  <c r="Y143" i="4"/>
  <c r="X143" i="4"/>
  <c r="Y142" i="4"/>
  <c r="X142" i="4"/>
  <c r="Y141" i="4"/>
  <c r="X141" i="4"/>
  <c r="Y140" i="4"/>
  <c r="X140" i="4"/>
  <c r="Y139" i="4"/>
  <c r="X139" i="4"/>
  <c r="Y138" i="4"/>
  <c r="X138" i="4"/>
  <c r="Y137" i="4"/>
  <c r="X137" i="4"/>
  <c r="Y136" i="4"/>
  <c r="X136" i="4"/>
  <c r="Y135" i="4"/>
  <c r="X135" i="4"/>
  <c r="Y134" i="4"/>
  <c r="X134" i="4"/>
  <c r="Y133" i="4"/>
  <c r="X133" i="4"/>
  <c r="Y132" i="4"/>
  <c r="X132" i="4"/>
  <c r="Y131" i="4"/>
  <c r="X131" i="4"/>
  <c r="Y130" i="4"/>
  <c r="X130" i="4"/>
  <c r="Y129" i="4"/>
  <c r="X129" i="4"/>
  <c r="Y128" i="4"/>
  <c r="X128" i="4"/>
  <c r="Y127" i="4"/>
  <c r="X127" i="4"/>
  <c r="Y126" i="4"/>
  <c r="X126" i="4"/>
  <c r="Y125" i="4"/>
  <c r="X125" i="4"/>
  <c r="Y124" i="4"/>
  <c r="X124" i="4"/>
  <c r="Y123" i="4"/>
  <c r="X123" i="4"/>
  <c r="Y122" i="4"/>
  <c r="X122" i="4"/>
  <c r="Y121" i="4"/>
  <c r="X121" i="4"/>
  <c r="Y120" i="4"/>
  <c r="X120" i="4"/>
  <c r="Y119" i="4"/>
  <c r="X119" i="4"/>
  <c r="Y118" i="4"/>
  <c r="X118" i="4"/>
  <c r="Y117" i="4"/>
  <c r="X117" i="4"/>
  <c r="Y116" i="4"/>
  <c r="X116" i="4"/>
  <c r="Y115" i="4"/>
  <c r="X115" i="4"/>
  <c r="Y114" i="4"/>
  <c r="X114" i="4"/>
  <c r="Y113" i="4"/>
  <c r="X113" i="4"/>
  <c r="Y112" i="4"/>
  <c r="X112" i="4"/>
  <c r="Y111" i="4"/>
  <c r="X111" i="4"/>
  <c r="Y110" i="4"/>
  <c r="X110" i="4"/>
  <c r="Y109" i="4"/>
  <c r="X109" i="4"/>
  <c r="Y108" i="4"/>
  <c r="X108" i="4"/>
  <c r="Y107" i="4"/>
  <c r="X107" i="4"/>
  <c r="Y106" i="4"/>
  <c r="X106" i="4"/>
  <c r="Y105" i="4"/>
  <c r="X105" i="4"/>
  <c r="Y104" i="4"/>
  <c r="X104" i="4"/>
  <c r="Y103" i="4"/>
  <c r="X103" i="4"/>
  <c r="Y102" i="4"/>
  <c r="X102" i="4"/>
  <c r="Y101" i="4"/>
  <c r="X101" i="4"/>
  <c r="Y100" i="4"/>
  <c r="X100" i="4"/>
  <c r="Y99" i="4"/>
  <c r="X99" i="4"/>
  <c r="Y98" i="4"/>
  <c r="X98" i="4"/>
  <c r="Y97" i="4"/>
  <c r="X97" i="4"/>
  <c r="Y96" i="4"/>
  <c r="X96" i="4"/>
  <c r="Y95" i="4"/>
  <c r="X95" i="4"/>
  <c r="Y94" i="4"/>
  <c r="X94" i="4"/>
  <c r="Y93" i="4"/>
  <c r="X93" i="4"/>
  <c r="Y92" i="4"/>
  <c r="X92" i="4"/>
  <c r="Y91" i="4"/>
  <c r="X91" i="4"/>
  <c r="Y90" i="4"/>
  <c r="X90" i="4"/>
  <c r="Y89" i="4"/>
  <c r="X89" i="4"/>
  <c r="Y88" i="4"/>
  <c r="X88" i="4"/>
  <c r="Y87" i="4"/>
  <c r="X87" i="4"/>
  <c r="Y86" i="4"/>
  <c r="X86" i="4"/>
  <c r="Y85" i="4"/>
  <c r="X85" i="4"/>
  <c r="Y84" i="4"/>
  <c r="X84" i="4"/>
  <c r="Y83" i="4"/>
  <c r="X83" i="4"/>
  <c r="Y82" i="4"/>
  <c r="X82" i="4"/>
  <c r="Y81" i="4"/>
  <c r="X81" i="4"/>
  <c r="Y80" i="4"/>
  <c r="X80" i="4"/>
  <c r="Y79" i="4"/>
  <c r="X79" i="4"/>
  <c r="Y78" i="4"/>
  <c r="X78" i="4"/>
  <c r="Y77" i="4"/>
  <c r="X77" i="4"/>
  <c r="Y76" i="4"/>
  <c r="X76" i="4"/>
  <c r="Y75" i="4"/>
  <c r="X75" i="4"/>
  <c r="Y74" i="4"/>
  <c r="X74" i="4"/>
  <c r="Y73" i="4"/>
  <c r="X73" i="4"/>
  <c r="Y72" i="4"/>
  <c r="X72" i="4"/>
  <c r="Y71" i="4"/>
  <c r="X71" i="4"/>
  <c r="Y70" i="4"/>
  <c r="X70" i="4"/>
  <c r="Y69" i="4"/>
  <c r="X69" i="4"/>
  <c r="Y68" i="4"/>
  <c r="X68" i="4"/>
  <c r="Y67" i="4"/>
  <c r="X67" i="4"/>
  <c r="Y66" i="4"/>
  <c r="X66" i="4"/>
  <c r="Y65" i="4"/>
  <c r="X65" i="4"/>
  <c r="Y64" i="4"/>
  <c r="X64" i="4"/>
  <c r="Y63" i="4"/>
  <c r="X63" i="4"/>
  <c r="Y62" i="4"/>
  <c r="X62" i="4"/>
  <c r="Y61" i="4"/>
  <c r="X61" i="4"/>
  <c r="Y60" i="4"/>
  <c r="X60" i="4"/>
  <c r="Y59" i="4"/>
  <c r="X59" i="4"/>
  <c r="Y58" i="4"/>
  <c r="X58" i="4"/>
  <c r="Y57" i="4"/>
  <c r="X57" i="4"/>
  <c r="Y56" i="4"/>
  <c r="X56" i="4"/>
  <c r="Y55" i="4"/>
  <c r="X55" i="4"/>
  <c r="Y54" i="4"/>
  <c r="X54" i="4"/>
  <c r="Y53" i="4"/>
  <c r="X53" i="4"/>
  <c r="Y52" i="4"/>
  <c r="X52" i="4"/>
  <c r="Y51" i="4"/>
  <c r="X51" i="4"/>
  <c r="Y50" i="4"/>
  <c r="X50" i="4"/>
  <c r="Y49" i="4"/>
  <c r="X49" i="4"/>
  <c r="Y48" i="4"/>
  <c r="X48" i="4"/>
  <c r="Y47" i="4"/>
  <c r="X47" i="4"/>
  <c r="Y46" i="4"/>
  <c r="X46" i="4"/>
  <c r="Y45" i="4"/>
  <c r="X45" i="4"/>
  <c r="Y44" i="4"/>
  <c r="X44" i="4"/>
  <c r="Y43" i="4"/>
  <c r="X43" i="4"/>
  <c r="Y42" i="4"/>
  <c r="X42" i="4"/>
  <c r="Y41" i="4"/>
  <c r="X41" i="4"/>
  <c r="Y40" i="4"/>
  <c r="X40" i="4"/>
  <c r="Y39" i="4"/>
  <c r="X39" i="4"/>
  <c r="Y38" i="4"/>
  <c r="X38" i="4"/>
  <c r="Y37" i="4"/>
  <c r="X37" i="4"/>
  <c r="Y36" i="4"/>
  <c r="X36" i="4"/>
  <c r="Y35" i="4"/>
  <c r="X35" i="4"/>
  <c r="Y34" i="4"/>
  <c r="X34" i="4"/>
  <c r="Y33" i="4"/>
  <c r="X33" i="4"/>
  <c r="Y32" i="4"/>
  <c r="X32" i="4"/>
  <c r="Y31" i="4"/>
  <c r="X31" i="4"/>
  <c r="Y30" i="4"/>
  <c r="X30" i="4"/>
  <c r="Y29" i="4"/>
  <c r="X29" i="4"/>
  <c r="Y28" i="4"/>
  <c r="X28" i="4"/>
  <c r="Y27" i="4"/>
  <c r="X27" i="4"/>
  <c r="Y26" i="4"/>
  <c r="X26" i="4"/>
  <c r="Y25" i="4"/>
  <c r="X25" i="4"/>
  <c r="Y24" i="4"/>
  <c r="X24" i="4"/>
  <c r="Y23" i="4"/>
  <c r="X23" i="4"/>
  <c r="Y22" i="4"/>
  <c r="X22" i="4"/>
  <c r="Y21" i="4"/>
  <c r="X21" i="4"/>
  <c r="Y20" i="4"/>
  <c r="X20" i="4"/>
  <c r="Y19" i="4"/>
  <c r="X19" i="4"/>
  <c r="Y18" i="4"/>
  <c r="X18" i="4"/>
  <c r="Y17" i="4"/>
  <c r="X17" i="4"/>
  <c r="Y16" i="4"/>
  <c r="X16" i="4"/>
  <c r="Y15" i="4"/>
  <c r="X15" i="4"/>
  <c r="Y14" i="4"/>
  <c r="X14" i="4"/>
  <c r="Y13" i="4"/>
  <c r="X13" i="4"/>
  <c r="Y12" i="4"/>
  <c r="X12" i="4"/>
  <c r="Y11" i="4"/>
  <c r="X11" i="4"/>
  <c r="Y10" i="4"/>
  <c r="X10" i="4"/>
  <c r="S300" i="4"/>
  <c r="R300" i="4"/>
  <c r="S299" i="4"/>
  <c r="R299" i="4"/>
  <c r="S298" i="4"/>
  <c r="R298" i="4"/>
  <c r="S297" i="4"/>
  <c r="R297" i="4"/>
  <c r="S296" i="4"/>
  <c r="R296" i="4"/>
  <c r="S295" i="4"/>
  <c r="R295" i="4"/>
  <c r="S294" i="4"/>
  <c r="R294" i="4"/>
  <c r="S293" i="4"/>
  <c r="R293" i="4"/>
  <c r="S292" i="4"/>
  <c r="R292" i="4"/>
  <c r="S291" i="4"/>
  <c r="R291" i="4"/>
  <c r="S290" i="4"/>
  <c r="R290" i="4"/>
  <c r="S289" i="4"/>
  <c r="R289" i="4"/>
  <c r="S288" i="4"/>
  <c r="R288" i="4"/>
  <c r="S287" i="4"/>
  <c r="R287" i="4"/>
  <c r="S286" i="4"/>
  <c r="R286" i="4"/>
  <c r="S285" i="4"/>
  <c r="R285" i="4"/>
  <c r="S284" i="4"/>
  <c r="R284" i="4"/>
  <c r="S283" i="4"/>
  <c r="R283" i="4"/>
  <c r="S282" i="4"/>
  <c r="R282" i="4"/>
  <c r="S281" i="4"/>
  <c r="R281" i="4"/>
  <c r="S280" i="4"/>
  <c r="R280" i="4"/>
  <c r="S279" i="4"/>
  <c r="R279" i="4"/>
  <c r="S278" i="4"/>
  <c r="R278" i="4"/>
  <c r="S277" i="4"/>
  <c r="R277" i="4"/>
  <c r="S276" i="4"/>
  <c r="R276" i="4"/>
  <c r="S275" i="4"/>
  <c r="R275" i="4"/>
  <c r="S274" i="4"/>
  <c r="R274" i="4"/>
  <c r="S273" i="4"/>
  <c r="R273" i="4"/>
  <c r="S272" i="4"/>
  <c r="R272" i="4"/>
  <c r="S271" i="4"/>
  <c r="R271" i="4"/>
  <c r="S270" i="4"/>
  <c r="R270" i="4"/>
  <c r="S269" i="4"/>
  <c r="R269" i="4"/>
  <c r="S268" i="4"/>
  <c r="R268" i="4"/>
  <c r="S267" i="4"/>
  <c r="R267" i="4"/>
  <c r="S266" i="4"/>
  <c r="R266" i="4"/>
  <c r="S265" i="4"/>
  <c r="R265" i="4"/>
  <c r="S264" i="4"/>
  <c r="R264" i="4"/>
  <c r="S263" i="4"/>
  <c r="R263" i="4"/>
  <c r="S262" i="4"/>
  <c r="R262" i="4"/>
  <c r="S261" i="4"/>
  <c r="R261" i="4"/>
  <c r="S260" i="4"/>
  <c r="R260" i="4"/>
  <c r="S259" i="4"/>
  <c r="R259" i="4"/>
  <c r="S258" i="4"/>
  <c r="R258" i="4"/>
  <c r="S257" i="4"/>
  <c r="R257" i="4"/>
  <c r="S256" i="4"/>
  <c r="R256" i="4"/>
  <c r="S255" i="4"/>
  <c r="R255" i="4"/>
  <c r="S254" i="4"/>
  <c r="R254" i="4"/>
  <c r="S253" i="4"/>
  <c r="R253" i="4"/>
  <c r="S252" i="4"/>
  <c r="R252" i="4"/>
  <c r="S251" i="4"/>
  <c r="R251" i="4"/>
  <c r="S250" i="4"/>
  <c r="R250" i="4"/>
  <c r="S249" i="4"/>
  <c r="R249" i="4"/>
  <c r="S248" i="4"/>
  <c r="R248" i="4"/>
  <c r="S247" i="4"/>
  <c r="R247" i="4"/>
  <c r="S246" i="4"/>
  <c r="R246" i="4"/>
  <c r="S245" i="4"/>
  <c r="R245" i="4"/>
  <c r="S244" i="4"/>
  <c r="R244" i="4"/>
  <c r="S243" i="4"/>
  <c r="R243" i="4"/>
  <c r="S242" i="4"/>
  <c r="R242" i="4"/>
  <c r="S241" i="4"/>
  <c r="R241" i="4"/>
  <c r="S240" i="4"/>
  <c r="R240" i="4"/>
  <c r="S239" i="4"/>
  <c r="R239" i="4"/>
  <c r="S238" i="4"/>
  <c r="R238" i="4"/>
  <c r="S237" i="4"/>
  <c r="R237" i="4"/>
  <c r="S236" i="4"/>
  <c r="R236" i="4"/>
  <c r="S235" i="4"/>
  <c r="R235" i="4"/>
  <c r="S234" i="4"/>
  <c r="R234" i="4"/>
  <c r="S233" i="4"/>
  <c r="R233" i="4"/>
  <c r="S232" i="4"/>
  <c r="R232" i="4"/>
  <c r="S231" i="4"/>
  <c r="R231" i="4"/>
  <c r="S230" i="4"/>
  <c r="R230" i="4"/>
  <c r="S229" i="4"/>
  <c r="R229" i="4"/>
  <c r="S228" i="4"/>
  <c r="R228" i="4"/>
  <c r="S227" i="4"/>
  <c r="R227" i="4"/>
  <c r="S226" i="4"/>
  <c r="R226" i="4"/>
  <c r="S225" i="4"/>
  <c r="R225" i="4"/>
  <c r="S224" i="4"/>
  <c r="R224" i="4"/>
  <c r="S223" i="4"/>
  <c r="R223" i="4"/>
  <c r="S222" i="4"/>
  <c r="R222" i="4"/>
  <c r="S221" i="4"/>
  <c r="R221" i="4"/>
  <c r="S220" i="4"/>
  <c r="R220" i="4"/>
  <c r="S219" i="4"/>
  <c r="R219" i="4"/>
  <c r="S218" i="4"/>
  <c r="R218" i="4"/>
  <c r="S217" i="4"/>
  <c r="R217" i="4"/>
  <c r="S216" i="4"/>
  <c r="R216" i="4"/>
  <c r="S215" i="4"/>
  <c r="R215" i="4"/>
  <c r="S214" i="4"/>
  <c r="R214" i="4"/>
  <c r="S213" i="4"/>
  <c r="R213" i="4"/>
  <c r="S212" i="4"/>
  <c r="R212" i="4"/>
  <c r="S211" i="4"/>
  <c r="R211" i="4"/>
  <c r="S210" i="4"/>
  <c r="R210" i="4"/>
  <c r="S209" i="4"/>
  <c r="R209" i="4"/>
  <c r="S208" i="4"/>
  <c r="R208" i="4"/>
  <c r="S207" i="4"/>
  <c r="R207" i="4"/>
  <c r="S206" i="4"/>
  <c r="R206" i="4"/>
  <c r="S205" i="4"/>
  <c r="R205" i="4"/>
  <c r="S204" i="4"/>
  <c r="R204" i="4"/>
  <c r="S203" i="4"/>
  <c r="R203" i="4"/>
  <c r="S202" i="4"/>
  <c r="R202" i="4"/>
  <c r="S201" i="4"/>
  <c r="R201" i="4"/>
  <c r="S200" i="4"/>
  <c r="R200" i="4"/>
  <c r="S199" i="4"/>
  <c r="R199" i="4"/>
  <c r="S198" i="4"/>
  <c r="R198" i="4"/>
  <c r="S197" i="4"/>
  <c r="R197" i="4"/>
  <c r="S196" i="4"/>
  <c r="R196" i="4"/>
  <c r="S195" i="4"/>
  <c r="R195" i="4"/>
  <c r="S194" i="4"/>
  <c r="R194" i="4"/>
  <c r="S193" i="4"/>
  <c r="R193" i="4"/>
  <c r="S192" i="4"/>
  <c r="R192" i="4"/>
  <c r="S191" i="4"/>
  <c r="R191" i="4"/>
  <c r="S190" i="4"/>
  <c r="R190" i="4"/>
  <c r="S189" i="4"/>
  <c r="R189" i="4"/>
  <c r="S188" i="4"/>
  <c r="R188" i="4"/>
  <c r="S187" i="4"/>
  <c r="R187" i="4"/>
  <c r="S186" i="4"/>
  <c r="R186" i="4"/>
  <c r="S185" i="4"/>
  <c r="R185" i="4"/>
  <c r="S184" i="4"/>
  <c r="R184" i="4"/>
  <c r="S183" i="4"/>
  <c r="R183" i="4"/>
  <c r="S182" i="4"/>
  <c r="R182" i="4"/>
  <c r="S181" i="4"/>
  <c r="R181" i="4"/>
  <c r="S180" i="4"/>
  <c r="R180" i="4"/>
  <c r="S179" i="4"/>
  <c r="R179" i="4"/>
  <c r="S178" i="4"/>
  <c r="R178" i="4"/>
  <c r="S177" i="4"/>
  <c r="R177" i="4"/>
  <c r="S176" i="4"/>
  <c r="R176" i="4"/>
  <c r="S175" i="4"/>
  <c r="R175" i="4"/>
  <c r="S174" i="4"/>
  <c r="R174" i="4"/>
  <c r="S173" i="4"/>
  <c r="R173" i="4"/>
  <c r="S172" i="4"/>
  <c r="R172" i="4"/>
  <c r="S171" i="4"/>
  <c r="R171" i="4"/>
  <c r="S170" i="4"/>
  <c r="R170" i="4"/>
  <c r="S169" i="4"/>
  <c r="R169" i="4"/>
  <c r="S168" i="4"/>
  <c r="R168" i="4"/>
  <c r="S167" i="4"/>
  <c r="R167" i="4"/>
  <c r="S166" i="4"/>
  <c r="R166" i="4"/>
  <c r="S165" i="4"/>
  <c r="R165" i="4"/>
  <c r="S164" i="4"/>
  <c r="R164" i="4"/>
  <c r="S163" i="4"/>
  <c r="R163" i="4"/>
  <c r="S162" i="4"/>
  <c r="R162" i="4"/>
  <c r="S161" i="4"/>
  <c r="R161" i="4"/>
  <c r="S160" i="4"/>
  <c r="R160" i="4"/>
  <c r="S159" i="4"/>
  <c r="R159" i="4"/>
  <c r="S158" i="4"/>
  <c r="R158" i="4"/>
  <c r="S157" i="4"/>
  <c r="R157" i="4"/>
  <c r="S156" i="4"/>
  <c r="R156" i="4"/>
  <c r="S155" i="4"/>
  <c r="R155" i="4"/>
  <c r="S154" i="4"/>
  <c r="R154" i="4"/>
  <c r="S153" i="4"/>
  <c r="R153" i="4"/>
  <c r="S152" i="4"/>
  <c r="R152" i="4"/>
  <c r="S151" i="4"/>
  <c r="R151" i="4"/>
  <c r="S150" i="4"/>
  <c r="R150" i="4"/>
  <c r="S149" i="4"/>
  <c r="R149" i="4"/>
  <c r="S148" i="4"/>
  <c r="R148" i="4"/>
  <c r="S147" i="4"/>
  <c r="R147" i="4"/>
  <c r="S146" i="4"/>
  <c r="R146" i="4"/>
  <c r="S145" i="4"/>
  <c r="R145" i="4"/>
  <c r="S144" i="4"/>
  <c r="R144" i="4"/>
  <c r="S143" i="4"/>
  <c r="R143" i="4"/>
  <c r="S142" i="4"/>
  <c r="R142" i="4"/>
  <c r="S141" i="4"/>
  <c r="R141" i="4"/>
  <c r="S140" i="4"/>
  <c r="R140" i="4"/>
  <c r="S139" i="4"/>
  <c r="R139" i="4"/>
  <c r="S138" i="4"/>
  <c r="R138" i="4"/>
  <c r="S137" i="4"/>
  <c r="R137" i="4"/>
  <c r="S136" i="4"/>
  <c r="R136" i="4"/>
  <c r="S135" i="4"/>
  <c r="R135" i="4"/>
  <c r="S134" i="4"/>
  <c r="R134" i="4"/>
  <c r="S133" i="4"/>
  <c r="R133" i="4"/>
  <c r="S132" i="4"/>
  <c r="R132" i="4"/>
  <c r="S131" i="4"/>
  <c r="R131" i="4"/>
  <c r="S130" i="4"/>
  <c r="R130" i="4"/>
  <c r="S129" i="4"/>
  <c r="R129" i="4"/>
  <c r="S128" i="4"/>
  <c r="R128" i="4"/>
  <c r="S127" i="4"/>
  <c r="R127" i="4"/>
  <c r="S126" i="4"/>
  <c r="R126" i="4"/>
  <c r="S125" i="4"/>
  <c r="R125" i="4"/>
  <c r="S124" i="4"/>
  <c r="R124" i="4"/>
  <c r="S123" i="4"/>
  <c r="R123" i="4"/>
  <c r="S122" i="4"/>
  <c r="R122" i="4"/>
  <c r="S121" i="4"/>
  <c r="R121" i="4"/>
  <c r="S120" i="4"/>
  <c r="R120" i="4"/>
  <c r="S119" i="4"/>
  <c r="R119" i="4"/>
  <c r="S118" i="4"/>
  <c r="R118" i="4"/>
  <c r="S117" i="4"/>
  <c r="R117" i="4"/>
  <c r="S116" i="4"/>
  <c r="R116" i="4"/>
  <c r="S115" i="4"/>
  <c r="R115" i="4"/>
  <c r="S114" i="4"/>
  <c r="R114" i="4"/>
  <c r="S113" i="4"/>
  <c r="R113" i="4"/>
  <c r="S112" i="4"/>
  <c r="R112" i="4"/>
  <c r="S111" i="4"/>
  <c r="R111" i="4"/>
  <c r="S110" i="4"/>
  <c r="R110" i="4"/>
  <c r="S109" i="4"/>
  <c r="R109" i="4"/>
  <c r="S108" i="4"/>
  <c r="R108" i="4"/>
  <c r="S107" i="4"/>
  <c r="R107" i="4"/>
  <c r="S106" i="4"/>
  <c r="R106" i="4"/>
  <c r="S105" i="4"/>
  <c r="R105" i="4"/>
  <c r="S104" i="4"/>
  <c r="R104" i="4"/>
  <c r="S103" i="4"/>
  <c r="R103" i="4"/>
  <c r="S102" i="4"/>
  <c r="R102" i="4"/>
  <c r="S101" i="4"/>
  <c r="R101" i="4"/>
  <c r="S100" i="4"/>
  <c r="R100" i="4"/>
  <c r="S99" i="4"/>
  <c r="R99" i="4"/>
  <c r="S98" i="4"/>
  <c r="R98" i="4"/>
  <c r="S97" i="4"/>
  <c r="R97" i="4"/>
  <c r="S96" i="4"/>
  <c r="R96" i="4"/>
  <c r="S95" i="4"/>
  <c r="R95" i="4"/>
  <c r="S94" i="4"/>
  <c r="R94" i="4"/>
  <c r="S93" i="4"/>
  <c r="R93" i="4"/>
  <c r="S92" i="4"/>
  <c r="R92" i="4"/>
  <c r="S91" i="4"/>
  <c r="R91" i="4"/>
  <c r="S90" i="4"/>
  <c r="R90" i="4"/>
  <c r="S89" i="4"/>
  <c r="R89" i="4"/>
  <c r="S88" i="4"/>
  <c r="R88" i="4"/>
  <c r="S87" i="4"/>
  <c r="R87" i="4"/>
  <c r="S86" i="4"/>
  <c r="R86" i="4"/>
  <c r="S85" i="4"/>
  <c r="R85" i="4"/>
  <c r="S84" i="4"/>
  <c r="R84" i="4"/>
  <c r="S83" i="4"/>
  <c r="R83" i="4"/>
  <c r="S82" i="4"/>
  <c r="R82" i="4"/>
  <c r="S81" i="4"/>
  <c r="R81" i="4"/>
  <c r="S80" i="4"/>
  <c r="R80" i="4"/>
  <c r="S79" i="4"/>
  <c r="R79" i="4"/>
  <c r="S78" i="4"/>
  <c r="R78" i="4"/>
  <c r="S77" i="4"/>
  <c r="R77" i="4"/>
  <c r="S76" i="4"/>
  <c r="R76" i="4"/>
  <c r="S75" i="4"/>
  <c r="R75" i="4"/>
  <c r="S74" i="4"/>
  <c r="R74" i="4"/>
  <c r="S73" i="4"/>
  <c r="R73" i="4"/>
  <c r="S72" i="4"/>
  <c r="R72" i="4"/>
  <c r="S71" i="4"/>
  <c r="R71" i="4"/>
  <c r="S70" i="4"/>
  <c r="R70" i="4"/>
  <c r="S69" i="4"/>
  <c r="R69" i="4"/>
  <c r="S68" i="4"/>
  <c r="R68" i="4"/>
  <c r="S67" i="4"/>
  <c r="R67" i="4"/>
  <c r="S66" i="4"/>
  <c r="R66" i="4"/>
  <c r="S65" i="4"/>
  <c r="R65" i="4"/>
  <c r="S64" i="4"/>
  <c r="R64" i="4"/>
  <c r="S63" i="4"/>
  <c r="R63" i="4"/>
  <c r="S62" i="4"/>
  <c r="R62" i="4"/>
  <c r="S61" i="4"/>
  <c r="R61" i="4"/>
  <c r="S60" i="4"/>
  <c r="R60" i="4"/>
  <c r="S59" i="4"/>
  <c r="R59" i="4"/>
  <c r="S58" i="4"/>
  <c r="R58" i="4"/>
  <c r="S57" i="4"/>
  <c r="R57" i="4"/>
  <c r="S56" i="4"/>
  <c r="R56" i="4"/>
  <c r="S55" i="4"/>
  <c r="R55" i="4"/>
  <c r="S54" i="4"/>
  <c r="R54" i="4"/>
  <c r="S53" i="4"/>
  <c r="R53" i="4"/>
  <c r="S52" i="4"/>
  <c r="R52" i="4"/>
  <c r="S51" i="4"/>
  <c r="R51" i="4"/>
  <c r="S50" i="4"/>
  <c r="R50" i="4"/>
  <c r="S49" i="4"/>
  <c r="R49" i="4"/>
  <c r="S48" i="4"/>
  <c r="R48" i="4"/>
  <c r="S47" i="4"/>
  <c r="R47" i="4"/>
  <c r="S46" i="4"/>
  <c r="R46" i="4"/>
  <c r="S45" i="4"/>
  <c r="R45" i="4"/>
  <c r="S44" i="4"/>
  <c r="R44" i="4"/>
  <c r="S43" i="4"/>
  <c r="R43" i="4"/>
  <c r="S42" i="4"/>
  <c r="R42" i="4"/>
  <c r="S41" i="4"/>
  <c r="R41" i="4"/>
  <c r="S40" i="4"/>
  <c r="R40" i="4"/>
  <c r="S39" i="4"/>
  <c r="R39" i="4"/>
  <c r="S38" i="4"/>
  <c r="R38" i="4"/>
  <c r="S37" i="4"/>
  <c r="R37" i="4"/>
  <c r="S36" i="4"/>
  <c r="R36" i="4"/>
  <c r="S35" i="4"/>
  <c r="R35" i="4"/>
  <c r="S34" i="4"/>
  <c r="R34" i="4"/>
  <c r="S33" i="4"/>
  <c r="R33" i="4"/>
  <c r="S32" i="4"/>
  <c r="R32" i="4"/>
  <c r="S31" i="4"/>
  <c r="R31" i="4"/>
  <c r="S30" i="4"/>
  <c r="R30" i="4"/>
  <c r="S29" i="4"/>
  <c r="R29" i="4"/>
  <c r="S28" i="4"/>
  <c r="R28" i="4"/>
  <c r="S27" i="4"/>
  <c r="R27" i="4"/>
  <c r="S26" i="4"/>
  <c r="R26" i="4"/>
  <c r="S25" i="4"/>
  <c r="R25" i="4"/>
  <c r="S24" i="4"/>
  <c r="R24" i="4"/>
  <c r="S23" i="4"/>
  <c r="R23" i="4"/>
  <c r="S22" i="4"/>
  <c r="R22" i="4"/>
  <c r="S21" i="4"/>
  <c r="R21" i="4"/>
  <c r="S20" i="4"/>
  <c r="R20" i="4"/>
  <c r="S19" i="4"/>
  <c r="R19" i="4"/>
  <c r="S18" i="4"/>
  <c r="R18" i="4"/>
  <c r="S17" i="4"/>
  <c r="R17" i="4"/>
  <c r="S16" i="4"/>
  <c r="R16" i="4"/>
  <c r="S15" i="4"/>
  <c r="R15" i="4"/>
  <c r="S14" i="4"/>
  <c r="R14" i="4"/>
  <c r="S13" i="4"/>
  <c r="R13" i="4"/>
  <c r="S12" i="4"/>
  <c r="R12" i="4"/>
  <c r="S11" i="4"/>
  <c r="R11" i="4"/>
  <c r="S10" i="4"/>
  <c r="R10" i="4"/>
  <c r="M300" i="4"/>
  <c r="L300" i="4"/>
  <c r="M299" i="4"/>
  <c r="L299" i="4"/>
  <c r="M298" i="4"/>
  <c r="L298" i="4"/>
  <c r="M297" i="4"/>
  <c r="L297" i="4"/>
  <c r="M296" i="4"/>
  <c r="L296" i="4"/>
  <c r="M295" i="4"/>
  <c r="L295" i="4"/>
  <c r="M294" i="4"/>
  <c r="L294" i="4"/>
  <c r="M293" i="4"/>
  <c r="L293" i="4"/>
  <c r="M292" i="4"/>
  <c r="L292" i="4"/>
  <c r="M291" i="4"/>
  <c r="L291" i="4"/>
  <c r="M290" i="4"/>
  <c r="L290" i="4"/>
  <c r="M289" i="4"/>
  <c r="L289" i="4"/>
  <c r="M288" i="4"/>
  <c r="L288" i="4"/>
  <c r="M287" i="4"/>
  <c r="L287" i="4"/>
  <c r="M286" i="4"/>
  <c r="L286" i="4"/>
  <c r="M285" i="4"/>
  <c r="L285" i="4"/>
  <c r="M284" i="4"/>
  <c r="L284" i="4"/>
  <c r="M283" i="4"/>
  <c r="L283" i="4"/>
  <c r="M282" i="4"/>
  <c r="L282" i="4"/>
  <c r="M281" i="4"/>
  <c r="L281" i="4"/>
  <c r="M280" i="4"/>
  <c r="L280" i="4"/>
  <c r="M279" i="4"/>
  <c r="L279" i="4"/>
  <c r="M278" i="4"/>
  <c r="L278" i="4"/>
  <c r="M277" i="4"/>
  <c r="L277" i="4"/>
  <c r="M276" i="4"/>
  <c r="L276" i="4"/>
  <c r="M275" i="4"/>
  <c r="L275" i="4"/>
  <c r="M274" i="4"/>
  <c r="L274" i="4"/>
  <c r="M273" i="4"/>
  <c r="L273" i="4"/>
  <c r="M272" i="4"/>
  <c r="L272" i="4"/>
  <c r="M271" i="4"/>
  <c r="L271" i="4"/>
  <c r="M270" i="4"/>
  <c r="L270" i="4"/>
  <c r="M269" i="4"/>
  <c r="L269" i="4"/>
  <c r="M268" i="4"/>
  <c r="L268" i="4"/>
  <c r="M267" i="4"/>
  <c r="L267" i="4"/>
  <c r="M266" i="4"/>
  <c r="L266" i="4"/>
  <c r="M265" i="4"/>
  <c r="L265" i="4"/>
  <c r="M264" i="4"/>
  <c r="L264" i="4"/>
  <c r="M263" i="4"/>
  <c r="L263" i="4"/>
  <c r="M262" i="4"/>
  <c r="L262" i="4"/>
  <c r="M261" i="4"/>
  <c r="L261" i="4"/>
  <c r="M260" i="4"/>
  <c r="L260" i="4"/>
  <c r="M259" i="4"/>
  <c r="L259" i="4"/>
  <c r="M258" i="4"/>
  <c r="L258" i="4"/>
  <c r="M257" i="4"/>
  <c r="L257" i="4"/>
  <c r="M256" i="4"/>
  <c r="L256" i="4"/>
  <c r="M255" i="4"/>
  <c r="L255" i="4"/>
  <c r="M254" i="4"/>
  <c r="L254" i="4"/>
  <c r="M253" i="4"/>
  <c r="L253" i="4"/>
  <c r="M252" i="4"/>
  <c r="L252" i="4"/>
  <c r="M251" i="4"/>
  <c r="L251" i="4"/>
  <c r="M250" i="4"/>
  <c r="L250" i="4"/>
  <c r="M249" i="4"/>
  <c r="L249" i="4"/>
  <c r="M248" i="4"/>
  <c r="L248" i="4"/>
  <c r="M247" i="4"/>
  <c r="L247" i="4"/>
  <c r="M246" i="4"/>
  <c r="L246" i="4"/>
  <c r="M245" i="4"/>
  <c r="L245" i="4"/>
  <c r="M244" i="4"/>
  <c r="L244" i="4"/>
  <c r="M243" i="4"/>
  <c r="L243" i="4"/>
  <c r="M242" i="4"/>
  <c r="L242" i="4"/>
  <c r="M241" i="4"/>
  <c r="L241" i="4"/>
  <c r="M240" i="4"/>
  <c r="L240" i="4"/>
  <c r="M239" i="4"/>
  <c r="L239" i="4"/>
  <c r="M238" i="4"/>
  <c r="L238" i="4"/>
  <c r="M237" i="4"/>
  <c r="L237" i="4"/>
  <c r="M236" i="4"/>
  <c r="L236" i="4"/>
  <c r="M235" i="4"/>
  <c r="L235" i="4"/>
  <c r="M234" i="4"/>
  <c r="L234" i="4"/>
  <c r="M233" i="4"/>
  <c r="L233" i="4"/>
  <c r="M232" i="4"/>
  <c r="L232" i="4"/>
  <c r="M231" i="4"/>
  <c r="L231" i="4"/>
  <c r="M230" i="4"/>
  <c r="L230" i="4"/>
  <c r="M229" i="4"/>
  <c r="L229" i="4"/>
  <c r="M228" i="4"/>
  <c r="L228" i="4"/>
  <c r="M227" i="4"/>
  <c r="L227" i="4"/>
  <c r="M226" i="4"/>
  <c r="L226" i="4"/>
  <c r="M225" i="4"/>
  <c r="L225" i="4"/>
  <c r="M224" i="4"/>
  <c r="L224" i="4"/>
  <c r="M223" i="4"/>
  <c r="L223" i="4"/>
  <c r="M222" i="4"/>
  <c r="L222" i="4"/>
  <c r="M221" i="4"/>
  <c r="L221" i="4"/>
  <c r="M220" i="4"/>
  <c r="L220" i="4"/>
  <c r="M219" i="4"/>
  <c r="L219" i="4"/>
  <c r="M218" i="4"/>
  <c r="L218" i="4"/>
  <c r="M217" i="4"/>
  <c r="L217" i="4"/>
  <c r="M216" i="4"/>
  <c r="L216" i="4"/>
  <c r="M215" i="4"/>
  <c r="L215" i="4"/>
  <c r="M214" i="4"/>
  <c r="L214" i="4"/>
  <c r="M213" i="4"/>
  <c r="L213" i="4"/>
  <c r="M212" i="4"/>
  <c r="L212" i="4"/>
  <c r="M211" i="4"/>
  <c r="L211" i="4"/>
  <c r="M210" i="4"/>
  <c r="L210" i="4"/>
  <c r="M209" i="4"/>
  <c r="L209" i="4"/>
  <c r="M208" i="4"/>
  <c r="L208" i="4"/>
  <c r="M207" i="4"/>
  <c r="L207" i="4"/>
  <c r="M206" i="4"/>
  <c r="L206" i="4"/>
  <c r="M205" i="4"/>
  <c r="L205" i="4"/>
  <c r="M204" i="4"/>
  <c r="L204" i="4"/>
  <c r="M203" i="4"/>
  <c r="L203" i="4"/>
  <c r="M202" i="4"/>
  <c r="L202" i="4"/>
  <c r="M201" i="4"/>
  <c r="L201" i="4"/>
  <c r="M200" i="4"/>
  <c r="L200" i="4"/>
  <c r="M199" i="4"/>
  <c r="L199" i="4"/>
  <c r="M198" i="4"/>
  <c r="L198" i="4"/>
  <c r="M197" i="4"/>
  <c r="L197" i="4"/>
  <c r="M196" i="4"/>
  <c r="L196" i="4"/>
  <c r="M195" i="4"/>
  <c r="L195" i="4"/>
  <c r="M194" i="4"/>
  <c r="L194" i="4"/>
  <c r="M193" i="4"/>
  <c r="L193" i="4"/>
  <c r="M192" i="4"/>
  <c r="L192" i="4"/>
  <c r="M191" i="4"/>
  <c r="L191" i="4"/>
  <c r="M190" i="4"/>
  <c r="L190" i="4"/>
  <c r="M189" i="4"/>
  <c r="L189" i="4"/>
  <c r="M188" i="4"/>
  <c r="L188" i="4"/>
  <c r="M187" i="4"/>
  <c r="L187" i="4"/>
  <c r="M186" i="4"/>
  <c r="L186" i="4"/>
  <c r="M185" i="4"/>
  <c r="L185" i="4"/>
  <c r="M184" i="4"/>
  <c r="L184" i="4"/>
  <c r="M183" i="4"/>
  <c r="L183" i="4"/>
  <c r="M182" i="4"/>
  <c r="L182" i="4"/>
  <c r="M181" i="4"/>
  <c r="L181" i="4"/>
  <c r="M180" i="4"/>
  <c r="L180" i="4"/>
  <c r="M179" i="4"/>
  <c r="L179" i="4"/>
  <c r="M178" i="4"/>
  <c r="L178" i="4"/>
  <c r="M177" i="4"/>
  <c r="L177" i="4"/>
  <c r="M176" i="4"/>
  <c r="L176" i="4"/>
  <c r="M175" i="4"/>
  <c r="L175" i="4"/>
  <c r="M174" i="4"/>
  <c r="L174" i="4"/>
  <c r="M173" i="4"/>
  <c r="L173" i="4"/>
  <c r="M172" i="4"/>
  <c r="L172" i="4"/>
  <c r="M171" i="4"/>
  <c r="L171" i="4"/>
  <c r="M170" i="4"/>
  <c r="L170" i="4"/>
  <c r="M169" i="4"/>
  <c r="L169" i="4"/>
  <c r="M168" i="4"/>
  <c r="L168" i="4"/>
  <c r="M167" i="4"/>
  <c r="L167" i="4"/>
  <c r="M166" i="4"/>
  <c r="L166" i="4"/>
  <c r="M165" i="4"/>
  <c r="L165" i="4"/>
  <c r="M164" i="4"/>
  <c r="L164" i="4"/>
  <c r="M163" i="4"/>
  <c r="L163" i="4"/>
  <c r="M162" i="4"/>
  <c r="L162" i="4"/>
  <c r="M161" i="4"/>
  <c r="L161" i="4"/>
  <c r="M160" i="4"/>
  <c r="L160" i="4"/>
  <c r="M159" i="4"/>
  <c r="L159" i="4"/>
  <c r="M158" i="4"/>
  <c r="L158" i="4"/>
  <c r="M157" i="4"/>
  <c r="L157" i="4"/>
  <c r="M156" i="4"/>
  <c r="L156" i="4"/>
  <c r="M155" i="4"/>
  <c r="L155" i="4"/>
  <c r="M154" i="4"/>
  <c r="L154" i="4"/>
  <c r="M153" i="4"/>
  <c r="L153" i="4"/>
  <c r="M152" i="4"/>
  <c r="L152" i="4"/>
  <c r="M151" i="4"/>
  <c r="L151" i="4"/>
  <c r="M150" i="4"/>
  <c r="L150" i="4"/>
  <c r="M149" i="4"/>
  <c r="L149" i="4"/>
  <c r="M148" i="4"/>
  <c r="L148" i="4"/>
  <c r="M147" i="4"/>
  <c r="L147" i="4"/>
  <c r="M146" i="4"/>
  <c r="L146" i="4"/>
  <c r="M145" i="4"/>
  <c r="L145" i="4"/>
  <c r="M144" i="4"/>
  <c r="L144" i="4"/>
  <c r="M143" i="4"/>
  <c r="L143" i="4"/>
  <c r="M142" i="4"/>
  <c r="L142" i="4"/>
  <c r="M141" i="4"/>
  <c r="L141" i="4"/>
  <c r="M140" i="4"/>
  <c r="L140" i="4"/>
  <c r="M139" i="4"/>
  <c r="L139" i="4"/>
  <c r="M138" i="4"/>
  <c r="L138" i="4"/>
  <c r="M137" i="4"/>
  <c r="L137" i="4"/>
  <c r="M136" i="4"/>
  <c r="L136" i="4"/>
  <c r="M135" i="4"/>
  <c r="L135" i="4"/>
  <c r="M134" i="4"/>
  <c r="L134" i="4"/>
  <c r="M133" i="4"/>
  <c r="L133" i="4"/>
  <c r="M132" i="4"/>
  <c r="L132" i="4"/>
  <c r="M131" i="4"/>
  <c r="L131" i="4"/>
  <c r="M130" i="4"/>
  <c r="L130" i="4"/>
  <c r="M129" i="4"/>
  <c r="L129" i="4"/>
  <c r="M128" i="4"/>
  <c r="L128" i="4"/>
  <c r="M127" i="4"/>
  <c r="L127" i="4"/>
  <c r="M126" i="4"/>
  <c r="L126" i="4"/>
  <c r="M125" i="4"/>
  <c r="L125" i="4"/>
  <c r="M124" i="4"/>
  <c r="L124" i="4"/>
  <c r="M123" i="4"/>
  <c r="L123" i="4"/>
  <c r="M122" i="4"/>
  <c r="L122" i="4"/>
  <c r="M121" i="4"/>
  <c r="L121" i="4"/>
  <c r="M120" i="4"/>
  <c r="L120" i="4"/>
  <c r="M119" i="4"/>
  <c r="L119" i="4"/>
  <c r="M118" i="4"/>
  <c r="L118" i="4"/>
  <c r="M117" i="4"/>
  <c r="L117" i="4"/>
  <c r="M116" i="4"/>
  <c r="L116" i="4"/>
  <c r="M115" i="4"/>
  <c r="L115" i="4"/>
  <c r="M114" i="4"/>
  <c r="L114" i="4"/>
  <c r="M113" i="4"/>
  <c r="L113" i="4"/>
  <c r="M112" i="4"/>
  <c r="L112" i="4"/>
  <c r="M111" i="4"/>
  <c r="L111" i="4"/>
  <c r="M110" i="4"/>
  <c r="L110" i="4"/>
  <c r="M109" i="4"/>
  <c r="L109" i="4"/>
  <c r="M108" i="4"/>
  <c r="L108" i="4"/>
  <c r="M107" i="4"/>
  <c r="L107" i="4"/>
  <c r="M106" i="4"/>
  <c r="L106" i="4"/>
  <c r="M105" i="4"/>
  <c r="L105" i="4"/>
  <c r="M104" i="4"/>
  <c r="L104" i="4"/>
  <c r="M103" i="4"/>
  <c r="L103" i="4"/>
  <c r="M102" i="4"/>
  <c r="L102" i="4"/>
  <c r="M101" i="4"/>
  <c r="L101" i="4"/>
  <c r="M100" i="4"/>
  <c r="L100" i="4"/>
  <c r="M99" i="4"/>
  <c r="L99" i="4"/>
  <c r="M98" i="4"/>
  <c r="L98" i="4"/>
  <c r="M97" i="4"/>
  <c r="L97" i="4"/>
  <c r="M96" i="4"/>
  <c r="L96" i="4"/>
  <c r="M95" i="4"/>
  <c r="L95" i="4"/>
  <c r="M94" i="4"/>
  <c r="L94" i="4"/>
  <c r="M93" i="4"/>
  <c r="L93" i="4"/>
  <c r="M92" i="4"/>
  <c r="L92" i="4"/>
  <c r="M91" i="4"/>
  <c r="L91" i="4"/>
  <c r="M90" i="4"/>
  <c r="L90" i="4"/>
  <c r="M89" i="4"/>
  <c r="L89" i="4"/>
  <c r="M88" i="4"/>
  <c r="L88" i="4"/>
  <c r="M87" i="4"/>
  <c r="L87" i="4"/>
  <c r="M86" i="4"/>
  <c r="L86" i="4"/>
  <c r="M85" i="4"/>
  <c r="L85" i="4"/>
  <c r="M84" i="4"/>
  <c r="L84" i="4"/>
  <c r="M83" i="4"/>
  <c r="L83" i="4"/>
  <c r="M82" i="4"/>
  <c r="L82" i="4"/>
  <c r="M81" i="4"/>
  <c r="L81" i="4"/>
  <c r="M80" i="4"/>
  <c r="L80" i="4"/>
  <c r="M79" i="4"/>
  <c r="L79" i="4"/>
  <c r="M78" i="4"/>
  <c r="L78" i="4"/>
  <c r="M77" i="4"/>
  <c r="L77" i="4"/>
  <c r="M76" i="4"/>
  <c r="L76" i="4"/>
  <c r="M75" i="4"/>
  <c r="L75" i="4"/>
  <c r="M74" i="4"/>
  <c r="L74" i="4"/>
  <c r="M73" i="4"/>
  <c r="L73" i="4"/>
  <c r="M72" i="4"/>
  <c r="L72" i="4"/>
  <c r="M71" i="4"/>
  <c r="L71" i="4"/>
  <c r="M70" i="4"/>
  <c r="L70" i="4"/>
  <c r="M69" i="4"/>
  <c r="L69" i="4"/>
  <c r="M68" i="4"/>
  <c r="L68" i="4"/>
  <c r="M67" i="4"/>
  <c r="L67" i="4"/>
  <c r="M66" i="4"/>
  <c r="L66" i="4"/>
  <c r="M65" i="4"/>
  <c r="L65" i="4"/>
  <c r="M64" i="4"/>
  <c r="L64" i="4"/>
  <c r="M63" i="4"/>
  <c r="L63" i="4"/>
  <c r="M62" i="4"/>
  <c r="L62" i="4"/>
  <c r="M61" i="4"/>
  <c r="L61" i="4"/>
  <c r="M60" i="4"/>
  <c r="L60" i="4"/>
  <c r="M59" i="4"/>
  <c r="L59" i="4"/>
  <c r="M58" i="4"/>
  <c r="L58" i="4"/>
  <c r="M57" i="4"/>
  <c r="L57" i="4"/>
  <c r="M56" i="4"/>
  <c r="L56" i="4"/>
  <c r="M55" i="4"/>
  <c r="L55" i="4"/>
  <c r="M54" i="4"/>
  <c r="L54" i="4"/>
  <c r="M53" i="4"/>
  <c r="L53" i="4"/>
  <c r="M52" i="4"/>
  <c r="L52" i="4"/>
  <c r="M51" i="4"/>
  <c r="L51" i="4"/>
  <c r="M50" i="4"/>
  <c r="L50" i="4"/>
  <c r="M49" i="4"/>
  <c r="L49" i="4"/>
  <c r="M48" i="4"/>
  <c r="L48" i="4"/>
  <c r="M47" i="4"/>
  <c r="L47" i="4"/>
  <c r="M46" i="4"/>
  <c r="L46" i="4"/>
  <c r="M45" i="4"/>
  <c r="L45" i="4"/>
  <c r="M44" i="4"/>
  <c r="L44" i="4"/>
  <c r="M43" i="4"/>
  <c r="L43" i="4"/>
  <c r="M42" i="4"/>
  <c r="L42" i="4"/>
  <c r="M41" i="4"/>
  <c r="L41" i="4"/>
  <c r="M40" i="4"/>
  <c r="L40" i="4"/>
  <c r="M39" i="4"/>
  <c r="L39" i="4"/>
  <c r="M38" i="4"/>
  <c r="L38" i="4"/>
  <c r="M37" i="4"/>
  <c r="L37" i="4"/>
  <c r="M36" i="4"/>
  <c r="L36" i="4"/>
  <c r="M35" i="4"/>
  <c r="L35" i="4"/>
  <c r="M34" i="4"/>
  <c r="L34" i="4"/>
  <c r="M33" i="4"/>
  <c r="L33" i="4"/>
  <c r="M32" i="4"/>
  <c r="L32" i="4"/>
  <c r="M31" i="4"/>
  <c r="L31" i="4"/>
  <c r="M30" i="4"/>
  <c r="L30" i="4"/>
  <c r="M29" i="4"/>
  <c r="L29" i="4"/>
  <c r="M28" i="4"/>
  <c r="L28" i="4"/>
  <c r="M27" i="4"/>
  <c r="L27" i="4"/>
  <c r="M26" i="4"/>
  <c r="L26" i="4"/>
  <c r="M25" i="4"/>
  <c r="L25" i="4"/>
  <c r="M24" i="4"/>
  <c r="L24" i="4"/>
  <c r="M23" i="4"/>
  <c r="L23" i="4"/>
  <c r="M22" i="4"/>
  <c r="L22" i="4"/>
  <c r="M21" i="4"/>
  <c r="L21" i="4"/>
  <c r="M20" i="4"/>
  <c r="L20" i="4"/>
  <c r="M19" i="4"/>
  <c r="L19" i="4"/>
  <c r="M18" i="4"/>
  <c r="L18" i="4"/>
  <c r="M17" i="4"/>
  <c r="L17" i="4"/>
  <c r="M16" i="4"/>
  <c r="L16" i="4"/>
  <c r="M15" i="4"/>
  <c r="L15" i="4"/>
  <c r="M14" i="4"/>
  <c r="L14" i="4"/>
  <c r="M13" i="4"/>
  <c r="L13" i="4"/>
  <c r="M12" i="4"/>
  <c r="L12" i="4"/>
  <c r="M11" i="4"/>
  <c r="L11" i="4"/>
  <c r="M10" i="4"/>
  <c r="L10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F300" i="4"/>
  <c r="F299" i="4"/>
  <c r="F298" i="4"/>
  <c r="F297" i="4"/>
  <c r="F296" i="4"/>
  <c r="F295" i="4"/>
  <c r="F294" i="4"/>
  <c r="F293" i="4"/>
  <c r="F292" i="4"/>
  <c r="F291" i="4"/>
  <c r="F290" i="4"/>
  <c r="F289" i="4"/>
  <c r="F288" i="4"/>
  <c r="F287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C11" i="4" l="1"/>
  <c r="B15" i="4"/>
  <c r="C10" i="4" l="1"/>
  <c r="C12" i="4"/>
  <c r="C13" i="4"/>
  <c r="C14" i="4"/>
  <c r="C15" i="4"/>
  <c r="C16" i="4"/>
  <c r="C17" i="4"/>
  <c r="C18" i="4"/>
  <c r="C300" i="4" l="1"/>
  <c r="B300" i="4"/>
  <c r="C299" i="4"/>
  <c r="B299" i="4"/>
  <c r="C298" i="4"/>
  <c r="B298" i="4"/>
  <c r="C297" i="4"/>
  <c r="B297" i="4"/>
  <c r="C296" i="4"/>
  <c r="B296" i="4"/>
  <c r="C295" i="4"/>
  <c r="B295" i="4"/>
  <c r="C294" i="4"/>
  <c r="B294" i="4"/>
  <c r="C293" i="4"/>
  <c r="B293" i="4"/>
  <c r="C292" i="4"/>
  <c r="B292" i="4"/>
  <c r="C291" i="4"/>
  <c r="B291" i="4"/>
  <c r="C290" i="4"/>
  <c r="B290" i="4"/>
  <c r="C289" i="4"/>
  <c r="B289" i="4"/>
  <c r="C288" i="4"/>
  <c r="B288" i="4"/>
  <c r="C287" i="4"/>
  <c r="B287" i="4"/>
  <c r="C286" i="4"/>
  <c r="B286" i="4"/>
  <c r="C285" i="4"/>
  <c r="B285" i="4"/>
  <c r="C284" i="4"/>
  <c r="B284" i="4"/>
  <c r="C283" i="4"/>
  <c r="B283" i="4"/>
  <c r="C282" i="4"/>
  <c r="B282" i="4"/>
  <c r="C281" i="4"/>
  <c r="B281" i="4"/>
  <c r="C280" i="4"/>
  <c r="B280" i="4"/>
  <c r="C279" i="4"/>
  <c r="B279" i="4"/>
  <c r="C278" i="4"/>
  <c r="B278" i="4"/>
  <c r="C277" i="4"/>
  <c r="B277" i="4"/>
  <c r="C276" i="4"/>
  <c r="B276" i="4"/>
  <c r="C275" i="4"/>
  <c r="B275" i="4"/>
  <c r="C274" i="4"/>
  <c r="B274" i="4"/>
  <c r="C273" i="4"/>
  <c r="B273" i="4"/>
  <c r="C272" i="4"/>
  <c r="B272" i="4"/>
  <c r="C271" i="4"/>
  <c r="B271" i="4"/>
  <c r="C270" i="4"/>
  <c r="B270" i="4"/>
  <c r="C269" i="4"/>
  <c r="B269" i="4"/>
  <c r="C268" i="4"/>
  <c r="B268" i="4"/>
  <c r="C267" i="4"/>
  <c r="B267" i="4"/>
  <c r="C266" i="4"/>
  <c r="B266" i="4"/>
  <c r="C265" i="4"/>
  <c r="B265" i="4"/>
  <c r="C264" i="4"/>
  <c r="B264" i="4"/>
  <c r="C263" i="4"/>
  <c r="B263" i="4"/>
  <c r="C262" i="4"/>
  <c r="B262" i="4"/>
  <c r="C261" i="4"/>
  <c r="B261" i="4"/>
  <c r="C260" i="4"/>
  <c r="B260" i="4"/>
  <c r="C259" i="4"/>
  <c r="B259" i="4"/>
  <c r="C258" i="4"/>
  <c r="B258" i="4"/>
  <c r="C257" i="4"/>
  <c r="B257" i="4"/>
  <c r="C256" i="4"/>
  <c r="B256" i="4"/>
  <c r="C255" i="4"/>
  <c r="B255" i="4"/>
  <c r="C254" i="4"/>
  <c r="B254" i="4"/>
  <c r="C253" i="4"/>
  <c r="B253" i="4"/>
  <c r="C252" i="4"/>
  <c r="B252" i="4"/>
  <c r="C251" i="4"/>
  <c r="B251" i="4"/>
  <c r="C250" i="4"/>
  <c r="B250" i="4"/>
  <c r="C249" i="4"/>
  <c r="B249" i="4"/>
  <c r="C248" i="4"/>
  <c r="B248" i="4"/>
  <c r="C247" i="4"/>
  <c r="B247" i="4"/>
  <c r="C246" i="4"/>
  <c r="B246" i="4"/>
  <c r="C245" i="4"/>
  <c r="B245" i="4"/>
  <c r="C244" i="4"/>
  <c r="B244" i="4"/>
  <c r="C243" i="4"/>
  <c r="B243" i="4"/>
  <c r="C242" i="4"/>
  <c r="B242" i="4"/>
  <c r="C241" i="4"/>
  <c r="B241" i="4"/>
  <c r="C240" i="4"/>
  <c r="B240" i="4"/>
  <c r="C239" i="4"/>
  <c r="B239" i="4"/>
  <c r="C238" i="4"/>
  <c r="B238" i="4"/>
  <c r="C237" i="4"/>
  <c r="B237" i="4"/>
  <c r="C236" i="4"/>
  <c r="B236" i="4"/>
  <c r="C235" i="4"/>
  <c r="B235" i="4"/>
  <c r="C234" i="4"/>
  <c r="B234" i="4"/>
  <c r="C233" i="4"/>
  <c r="B233" i="4"/>
  <c r="C232" i="4"/>
  <c r="B232" i="4"/>
  <c r="C231" i="4"/>
  <c r="B231" i="4"/>
  <c r="C230" i="4"/>
  <c r="B230" i="4"/>
  <c r="C229" i="4"/>
  <c r="B229" i="4"/>
  <c r="C228" i="4"/>
  <c r="B228" i="4"/>
  <c r="C227" i="4"/>
  <c r="B227" i="4"/>
  <c r="C226" i="4"/>
  <c r="B226" i="4"/>
  <c r="C225" i="4"/>
  <c r="B225" i="4"/>
  <c r="C224" i="4"/>
  <c r="B224" i="4"/>
  <c r="C223" i="4"/>
  <c r="B223" i="4"/>
  <c r="C222" i="4"/>
  <c r="B222" i="4"/>
  <c r="C221" i="4"/>
  <c r="B221" i="4"/>
  <c r="C220" i="4"/>
  <c r="B220" i="4"/>
  <c r="C219" i="4"/>
  <c r="B219" i="4"/>
  <c r="C218" i="4"/>
  <c r="B218" i="4"/>
  <c r="C217" i="4"/>
  <c r="B217" i="4"/>
  <c r="C216" i="4"/>
  <c r="B216" i="4"/>
  <c r="C215" i="4"/>
  <c r="B215" i="4"/>
  <c r="C214" i="4"/>
  <c r="B214" i="4"/>
  <c r="C213" i="4"/>
  <c r="B213" i="4"/>
  <c r="C212" i="4"/>
  <c r="B212" i="4"/>
  <c r="C211" i="4"/>
  <c r="B211" i="4"/>
  <c r="C210" i="4"/>
  <c r="B210" i="4"/>
  <c r="C209" i="4"/>
  <c r="B209" i="4"/>
  <c r="C208" i="4"/>
  <c r="B208" i="4"/>
  <c r="C207" i="4"/>
  <c r="B207" i="4"/>
  <c r="C206" i="4"/>
  <c r="B206" i="4"/>
  <c r="C205" i="4"/>
  <c r="B205" i="4"/>
  <c r="C204" i="4"/>
  <c r="B204" i="4"/>
  <c r="C203" i="4"/>
  <c r="B203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B18" i="4"/>
  <c r="B17" i="4"/>
  <c r="B16" i="4"/>
  <c r="B14" i="4"/>
  <c r="B13" i="4"/>
  <c r="B12" i="4"/>
  <c r="B11" i="4"/>
  <c r="BE11" i="4" l="1"/>
  <c r="FK11" i="4"/>
  <c r="T12" i="4"/>
  <c r="BK13" i="4"/>
  <c r="FE13" i="4"/>
  <c r="FQ13" i="4"/>
  <c r="GD13" i="4"/>
  <c r="HB13" i="4"/>
  <c r="HO13" i="4"/>
  <c r="IA13" i="4"/>
  <c r="Z14" i="4"/>
  <c r="BK17" i="4"/>
  <c r="DH17" i="4"/>
  <c r="DT17" i="4"/>
  <c r="BQ19" i="4"/>
  <c r="CC19" i="4"/>
  <c r="DT21" i="4"/>
  <c r="BE23" i="4"/>
  <c r="BQ23" i="4"/>
  <c r="CC23" i="4"/>
  <c r="EM23" i="4"/>
  <c r="EY23" i="4"/>
  <c r="FK23" i="4"/>
  <c r="GJ23" i="4"/>
  <c r="FQ25" i="4"/>
  <c r="GD25" i="4"/>
  <c r="BK29" i="4"/>
  <c r="BQ39" i="4"/>
  <c r="CP39" i="4"/>
  <c r="DB39" i="4"/>
  <c r="DN39" i="4"/>
  <c r="DZ39" i="4"/>
  <c r="EM39" i="4"/>
  <c r="AY41" i="4"/>
  <c r="BK41" i="4"/>
  <c r="BW41" i="4"/>
  <c r="CI41" i="4"/>
  <c r="CV41" i="4"/>
  <c r="IA41" i="4"/>
  <c r="IM41" i="4"/>
  <c r="IY41" i="4"/>
  <c r="N42" i="4"/>
  <c r="Z42" i="4"/>
  <c r="BE43" i="4"/>
  <c r="FX43" i="4"/>
  <c r="GV43" i="4"/>
  <c r="HH43" i="4"/>
  <c r="HU43" i="4"/>
  <c r="EY47" i="4"/>
  <c r="FX47" i="4"/>
  <c r="GJ47" i="4"/>
  <c r="GV47" i="4"/>
  <c r="EG49" i="4"/>
  <c r="ES49" i="4"/>
  <c r="FE49" i="4"/>
  <c r="CC51" i="4"/>
  <c r="EY51" i="4"/>
  <c r="HH51" i="4"/>
  <c r="HU51" i="4"/>
  <c r="HO53" i="4"/>
  <c r="IA53" i="4"/>
  <c r="IM53" i="4"/>
  <c r="IY53" i="4"/>
  <c r="N54" i="4"/>
  <c r="Z54" i="4"/>
  <c r="AL54" i="4"/>
  <c r="IG55" i="4"/>
  <c r="H56" i="4"/>
  <c r="AF56" i="4"/>
  <c r="DZ59" i="4"/>
  <c r="EM59" i="4"/>
  <c r="GV59" i="4"/>
  <c r="CI61" i="4"/>
  <c r="CV61" i="4"/>
  <c r="IY61" i="4"/>
  <c r="GJ63" i="4"/>
  <c r="IG63" i="4"/>
  <c r="H64" i="4"/>
  <c r="FQ65" i="4"/>
  <c r="GD65" i="4"/>
  <c r="HB65" i="4"/>
  <c r="IA65" i="4"/>
  <c r="Z66" i="4"/>
  <c r="AY77" i="4"/>
  <c r="ES77" i="4"/>
  <c r="FE77" i="4"/>
  <c r="FQ77" i="4"/>
  <c r="GP77" i="4"/>
  <c r="EY79" i="4"/>
  <c r="HH79" i="4"/>
  <c r="HU79" i="4"/>
  <c r="AY81" i="4"/>
  <c r="BK81" i="4"/>
  <c r="BW81" i="4"/>
  <c r="EG81" i="4"/>
  <c r="IA81" i="4"/>
  <c r="IM81" i="4"/>
  <c r="IY81" i="4"/>
  <c r="N82" i="4"/>
  <c r="IG83" i="4"/>
  <c r="H84" i="4"/>
  <c r="AY85" i="4"/>
  <c r="EG85" i="4"/>
  <c r="HO85" i="4"/>
  <c r="IA85" i="4"/>
  <c r="IM85" i="4"/>
  <c r="FQ89" i="4"/>
  <c r="GD89" i="4"/>
  <c r="CI92" i="4"/>
  <c r="ES92" i="4"/>
  <c r="CP104" i="4"/>
  <c r="DB104" i="4"/>
  <c r="DZ104" i="4"/>
  <c r="EM104" i="4"/>
  <c r="EY104" i="4"/>
  <c r="FK104" i="4"/>
  <c r="FX104" i="4"/>
  <c r="GV104" i="4"/>
  <c r="IS104" i="4"/>
  <c r="FK105" i="4"/>
  <c r="GJ105" i="4"/>
  <c r="HH126" i="4"/>
  <c r="BQ127" i="4"/>
  <c r="AR133" i="4"/>
  <c r="BQ133" i="4"/>
  <c r="HU133" i="4"/>
  <c r="IG133" i="4"/>
  <c r="H134" i="4"/>
  <c r="DZ134" i="4"/>
  <c r="FX143" i="4"/>
  <c r="H144" i="4"/>
  <c r="BQ144" i="4"/>
  <c r="CC144" i="4"/>
  <c r="DN144" i="4"/>
  <c r="EM144" i="4"/>
  <c r="HU144" i="4"/>
  <c r="IG144" i="4"/>
  <c r="IS144" i="4"/>
  <c r="BQ146" i="4"/>
  <c r="CC146" i="4"/>
  <c r="DZ146" i="4"/>
  <c r="EM146" i="4"/>
  <c r="EY146" i="4"/>
  <c r="GJ146" i="4"/>
  <c r="IS146" i="4"/>
  <c r="H147" i="4"/>
  <c r="AF147" i="4"/>
  <c r="AR147" i="4"/>
  <c r="CP147" i="4"/>
  <c r="DN147" i="4"/>
  <c r="DZ147" i="4"/>
  <c r="FX147" i="4"/>
  <c r="GV147" i="4"/>
  <c r="HH147" i="4"/>
  <c r="H148" i="4"/>
  <c r="EM149" i="4"/>
  <c r="AR157" i="4"/>
  <c r="DB157" i="4"/>
  <c r="DN157" i="4"/>
  <c r="DZ157" i="4"/>
  <c r="EM157" i="4"/>
  <c r="EY159" i="4"/>
  <c r="FX159" i="4"/>
  <c r="HH159" i="4"/>
  <c r="IG159" i="4"/>
  <c r="AF160" i="4"/>
  <c r="BE160" i="4"/>
  <c r="FK160" i="4"/>
  <c r="FX160" i="4"/>
  <c r="CP166" i="4"/>
  <c r="DN166" i="4"/>
  <c r="EY166" i="4"/>
  <c r="IG166" i="4"/>
  <c r="H167" i="4"/>
  <c r="BQ167" i="4"/>
  <c r="T168" i="4"/>
  <c r="BE168" i="4"/>
  <c r="BQ168" i="4"/>
  <c r="DB168" i="4"/>
  <c r="DN168" i="4"/>
  <c r="DZ168" i="4"/>
  <c r="GJ168" i="4"/>
  <c r="GV168" i="4"/>
  <c r="HH168" i="4"/>
  <c r="T169" i="4"/>
  <c r="DZ169" i="4"/>
  <c r="EM169" i="4"/>
  <c r="EY169" i="4"/>
  <c r="FK169" i="4"/>
  <c r="IG169" i="4"/>
  <c r="IS169" i="4"/>
  <c r="H170" i="4"/>
  <c r="T170" i="4"/>
  <c r="AF170" i="4"/>
  <c r="FX170" i="4"/>
  <c r="GJ170" i="4"/>
  <c r="GV170" i="4"/>
  <c r="H171" i="4"/>
  <c r="CC171" i="4"/>
  <c r="T173" i="4"/>
  <c r="BQ173" i="4"/>
  <c r="DZ173" i="4"/>
  <c r="EM173" i="4"/>
  <c r="EY173" i="4"/>
  <c r="HH173" i="4"/>
  <c r="HU173" i="4"/>
  <c r="IG173" i="4"/>
  <c r="IS173" i="4"/>
  <c r="H174" i="4"/>
  <c r="AF174" i="4"/>
  <c r="CP174" i="4"/>
  <c r="DN174" i="4"/>
  <c r="FX174" i="4"/>
  <c r="GV174" i="4"/>
  <c r="CC175" i="4"/>
  <c r="CP175" i="4"/>
  <c r="DN175" i="4"/>
  <c r="EM175" i="4"/>
  <c r="FK175" i="4"/>
  <c r="HU176" i="4"/>
  <c r="AR177" i="4"/>
  <c r="BE177" i="4"/>
  <c r="BQ177" i="4"/>
  <c r="CC177" i="4"/>
  <c r="FK177" i="4"/>
  <c r="DN183" i="4"/>
  <c r="EM183" i="4"/>
  <c r="FK183" i="4"/>
  <c r="DB184" i="4"/>
  <c r="H188" i="4"/>
  <c r="T188" i="4"/>
  <c r="AF188" i="4"/>
  <c r="AR188" i="4"/>
  <c r="CC188" i="4"/>
  <c r="CP188" i="4"/>
  <c r="DB188" i="4"/>
  <c r="DN188" i="4"/>
  <c r="DZ188" i="4"/>
  <c r="FK188" i="4"/>
  <c r="FX188" i="4"/>
  <c r="GJ188" i="4"/>
  <c r="GV188" i="4"/>
  <c r="HH188" i="4"/>
  <c r="IS188" i="4"/>
  <c r="BQ189" i="4"/>
  <c r="DB189" i="4"/>
  <c r="BQ190" i="4"/>
  <c r="EY190" i="4"/>
  <c r="IG190" i="4"/>
  <c r="GV191" i="4"/>
  <c r="HU191" i="4"/>
  <c r="IG191" i="4"/>
  <c r="IS191" i="4"/>
  <c r="T192" i="4"/>
  <c r="BE192" i="4"/>
  <c r="DB192" i="4"/>
  <c r="EM192" i="4"/>
  <c r="GJ192" i="4"/>
  <c r="HU192" i="4"/>
  <c r="AR193" i="4"/>
  <c r="BE193" i="4"/>
  <c r="BQ193" i="4"/>
  <c r="CC193" i="4"/>
  <c r="FK193" i="4"/>
  <c r="GJ193" i="4"/>
  <c r="IG193" i="4"/>
  <c r="H196" i="4"/>
  <c r="T196" i="4"/>
  <c r="AF196" i="4"/>
  <c r="AR196" i="4"/>
  <c r="CC196" i="4"/>
  <c r="CP196" i="4"/>
  <c r="DB196" i="4"/>
  <c r="DN196" i="4"/>
  <c r="DZ196" i="4"/>
  <c r="FK196" i="4"/>
  <c r="FX196" i="4"/>
  <c r="GJ196" i="4"/>
  <c r="GV196" i="4"/>
  <c r="HH196" i="4"/>
  <c r="IS196" i="4"/>
  <c r="BQ197" i="4"/>
  <c r="DZ197" i="4"/>
  <c r="EM197" i="4"/>
  <c r="EY197" i="4"/>
  <c r="HH197" i="4"/>
  <c r="HU197" i="4"/>
  <c r="IG197" i="4"/>
  <c r="IS197" i="4"/>
  <c r="H198" i="4"/>
  <c r="AF198" i="4"/>
  <c r="BQ198" i="4"/>
  <c r="H207" i="4"/>
  <c r="BE207" i="4"/>
  <c r="DN207" i="4"/>
  <c r="EM207" i="4"/>
  <c r="FK207" i="4"/>
  <c r="FK208" i="4"/>
  <c r="IG208" i="4"/>
  <c r="DH39" i="4"/>
  <c r="EG39" i="4"/>
  <c r="ES39" i="4"/>
  <c r="BQ41" i="4"/>
  <c r="CC41" i="4"/>
  <c r="CP41" i="4"/>
  <c r="DB41" i="4"/>
  <c r="GJ41" i="4"/>
  <c r="H42" i="4"/>
  <c r="GP43" i="4"/>
  <c r="IA43" i="4"/>
  <c r="CC45" i="4"/>
  <c r="DZ45" i="4"/>
  <c r="HH45" i="4"/>
  <c r="ES93" i="4"/>
  <c r="FE93" i="4"/>
  <c r="FQ93" i="4"/>
  <c r="DB94" i="4"/>
  <c r="DZ94" i="4"/>
  <c r="EM94" i="4"/>
  <c r="EY94" i="4"/>
  <c r="IG94" i="4"/>
  <c r="AY95" i="4"/>
  <c r="BK95" i="4"/>
  <c r="BW95" i="4"/>
  <c r="CI95" i="4"/>
  <c r="CV95" i="4"/>
  <c r="DT95" i="4"/>
  <c r="HB95" i="4"/>
  <c r="HO95" i="4"/>
  <c r="IA95" i="4"/>
  <c r="IM95" i="4"/>
  <c r="IY95" i="4"/>
  <c r="N96" i="4"/>
  <c r="Z96" i="4"/>
  <c r="AR96" i="4"/>
  <c r="BE96" i="4"/>
  <c r="BQ96" i="4"/>
  <c r="CC96" i="4"/>
  <c r="CP96" i="4"/>
  <c r="DN96" i="4"/>
  <c r="EM96" i="4"/>
  <c r="H97" i="4"/>
  <c r="T97" i="4"/>
  <c r="AY97" i="4"/>
  <c r="BK97" i="4"/>
  <c r="BW97" i="4"/>
  <c r="N98" i="4"/>
  <c r="BW98" i="4"/>
  <c r="CV98" i="4"/>
  <c r="IM98" i="4"/>
  <c r="BW102" i="4"/>
  <c r="CV102" i="4"/>
  <c r="EG102" i="4"/>
  <c r="ES102" i="4"/>
  <c r="FQ102" i="4"/>
  <c r="GD102" i="4"/>
  <c r="GP102" i="4"/>
  <c r="HB102" i="4"/>
  <c r="HO102" i="4"/>
  <c r="IM102" i="4"/>
  <c r="CI103" i="4"/>
  <c r="DT103" i="4"/>
  <c r="EG103" i="4"/>
  <c r="ES103" i="4"/>
  <c r="CI108" i="4"/>
  <c r="CI116" i="4"/>
  <c r="FQ116" i="4"/>
  <c r="IA116" i="4"/>
  <c r="IY116" i="4"/>
  <c r="Z117" i="4"/>
  <c r="BW117" i="4"/>
  <c r="IM118" i="4"/>
  <c r="Z120" i="4"/>
  <c r="BK120" i="4"/>
  <c r="CI120" i="4"/>
  <c r="FQ120" i="4"/>
  <c r="IY120" i="4"/>
  <c r="Z121" i="4"/>
  <c r="DH121" i="4"/>
  <c r="DT121" i="4"/>
  <c r="FE121" i="4"/>
  <c r="GP121" i="4"/>
  <c r="HO121" i="4"/>
  <c r="N123" i="4"/>
  <c r="AL123" i="4"/>
  <c r="CI123" i="4"/>
  <c r="DH123" i="4"/>
  <c r="FE123" i="4"/>
  <c r="FQ123" i="4"/>
  <c r="GD123" i="4"/>
  <c r="HB123" i="4"/>
  <c r="IA123" i="4"/>
  <c r="Z124" i="4"/>
  <c r="BK124" i="4"/>
  <c r="CI124" i="4"/>
  <c r="N126" i="4"/>
  <c r="ES198" i="4"/>
  <c r="HB198" i="4"/>
  <c r="HO198" i="4"/>
  <c r="IA198" i="4"/>
  <c r="Z199" i="4"/>
  <c r="AL199" i="4"/>
  <c r="FQ199" i="4"/>
  <c r="GD199" i="4"/>
  <c r="GP199" i="4"/>
  <c r="BW200" i="4"/>
  <c r="CI200" i="4"/>
  <c r="FE200" i="4"/>
  <c r="FQ200" i="4"/>
  <c r="HO200" i="4"/>
  <c r="GD201" i="4"/>
  <c r="HO201" i="4"/>
  <c r="IM201" i="4"/>
  <c r="BW202" i="4"/>
  <c r="CI202" i="4"/>
  <c r="FE202" i="4"/>
  <c r="FQ202" i="4"/>
  <c r="IM202" i="4"/>
  <c r="IY202" i="4"/>
  <c r="N203" i="4"/>
  <c r="Z203" i="4"/>
  <c r="CI203" i="4"/>
  <c r="CV203" i="4"/>
  <c r="DH203" i="4"/>
  <c r="DT203" i="4"/>
  <c r="HB203" i="4"/>
  <c r="N205" i="4"/>
  <c r="GD206" i="4"/>
  <c r="IY206" i="4"/>
  <c r="BK207" i="4"/>
  <c r="DH207" i="4"/>
  <c r="ES207" i="4"/>
  <c r="Z209" i="4"/>
  <c r="FQ209" i="4"/>
  <c r="HO210" i="4"/>
  <c r="Z211" i="4"/>
  <c r="AL211" i="4"/>
  <c r="AY211" i="4"/>
  <c r="BK211" i="4"/>
  <c r="DH211" i="4"/>
  <c r="DT211" i="4"/>
  <c r="EG211" i="4"/>
  <c r="ES211" i="4"/>
  <c r="DB12" i="4"/>
  <c r="DN12" i="4"/>
  <c r="DZ12" i="4"/>
  <c r="GJ12" i="4"/>
  <c r="GV12" i="4"/>
  <c r="HH12" i="4"/>
  <c r="Z15" i="4"/>
  <c r="CP16" i="4"/>
  <c r="DB16" i="4"/>
  <c r="FX16" i="4"/>
  <c r="GJ16" i="4"/>
  <c r="H17" i="4"/>
  <c r="Z19" i="4"/>
  <c r="BQ20" i="4"/>
  <c r="EY20" i="4"/>
  <c r="IG20" i="4"/>
  <c r="GV116" i="4"/>
  <c r="DZ283" i="4"/>
  <c r="BE18" i="4"/>
  <c r="CP18" i="4"/>
  <c r="DZ18" i="4"/>
  <c r="EM18" i="4"/>
  <c r="FX18" i="4"/>
  <c r="HH18" i="4"/>
  <c r="HU18" i="4"/>
  <c r="T19" i="4"/>
  <c r="BK20" i="4"/>
  <c r="BW20" i="4"/>
  <c r="ES20" i="4"/>
  <c r="FE20" i="4"/>
  <c r="HB20" i="4"/>
  <c r="IA20" i="4"/>
  <c r="IM20" i="4"/>
  <c r="CC22" i="4"/>
  <c r="FK22" i="4"/>
  <c r="IS22" i="4"/>
  <c r="N25" i="4"/>
  <c r="GD32" i="4"/>
  <c r="GP32" i="4"/>
  <c r="HB32" i="4"/>
  <c r="HO32" i="4"/>
  <c r="DH36" i="4"/>
  <c r="DZ38" i="4"/>
  <c r="HH38" i="4"/>
  <c r="IG38" i="4"/>
  <c r="DT50" i="4"/>
  <c r="CC52" i="4"/>
  <c r="FX52" i="4"/>
  <c r="GV52" i="4"/>
  <c r="T53" i="4"/>
  <c r="GD54" i="4"/>
  <c r="GP54" i="4"/>
  <c r="HB54" i="4"/>
  <c r="HO54" i="4"/>
  <c r="AL55" i="4"/>
  <c r="BE56" i="4"/>
  <c r="GV56" i="4"/>
  <c r="HH56" i="4"/>
  <c r="HU56" i="4"/>
  <c r="IG56" i="4"/>
  <c r="IS56" i="4"/>
  <c r="H57" i="4"/>
  <c r="BW58" i="4"/>
  <c r="DH58" i="4"/>
  <c r="FE58" i="4"/>
  <c r="GD58" i="4"/>
  <c r="IY58" i="4"/>
  <c r="FQ60" i="4"/>
  <c r="GD60" i="4"/>
  <c r="GP60" i="4"/>
  <c r="HB60" i="4"/>
  <c r="HO60" i="4"/>
  <c r="N81" i="4"/>
  <c r="Z81" i="4"/>
  <c r="BE82" i="4"/>
  <c r="BQ82" i="4"/>
  <c r="CC82" i="4"/>
  <c r="DB82" i="4"/>
  <c r="GJ82" i="4"/>
  <c r="BE90" i="4"/>
  <c r="BQ90" i="4"/>
  <c r="CC90" i="4"/>
  <c r="EY90" i="4"/>
  <c r="GJ90" i="4"/>
  <c r="HH90" i="4"/>
  <c r="HU90" i="4"/>
  <c r="IG90" i="4"/>
  <c r="IS90" i="4"/>
  <c r="H91" i="4"/>
  <c r="T91" i="4"/>
  <c r="BQ284" i="4"/>
  <c r="FX284" i="4"/>
  <c r="HU285" i="4"/>
  <c r="DB286" i="4"/>
  <c r="DZ286" i="4"/>
  <c r="EM286" i="4"/>
  <c r="HU286" i="4"/>
  <c r="DB289" i="4"/>
  <c r="FK289" i="4"/>
  <c r="AR291" i="4"/>
  <c r="DN210" i="4"/>
  <c r="HH210" i="4"/>
  <c r="IS246" i="4"/>
  <c r="IG250" i="4"/>
  <c r="IS250" i="4"/>
  <c r="H251" i="4"/>
  <c r="AF251" i="4"/>
  <c r="BE252" i="4"/>
  <c r="BQ252" i="4"/>
  <c r="DZ252" i="4"/>
  <c r="EM252" i="4"/>
  <c r="FK252" i="4"/>
  <c r="IG252" i="4"/>
  <c r="T253" i="4"/>
  <c r="AF253" i="4"/>
  <c r="DN253" i="4"/>
  <c r="GJ253" i="4"/>
  <c r="GV253" i="4"/>
  <c r="BE254" i="4"/>
  <c r="BQ254" i="4"/>
  <c r="AF257" i="4"/>
  <c r="FK263" i="4"/>
  <c r="FX263" i="4"/>
  <c r="GJ263" i="4"/>
  <c r="HH263" i="4"/>
  <c r="IS263" i="4"/>
  <c r="AF265" i="4"/>
  <c r="FX265" i="4"/>
  <c r="EM266" i="4"/>
  <c r="AR267" i="4"/>
  <c r="DZ268" i="4"/>
  <c r="EM268" i="4"/>
  <c r="EY268" i="4"/>
  <c r="GJ268" i="4"/>
  <c r="H269" i="4"/>
  <c r="HH269" i="4"/>
  <c r="FX270" i="4"/>
  <c r="AF271" i="4"/>
  <c r="AR271" i="4"/>
  <c r="BE271" i="4"/>
  <c r="DN271" i="4"/>
  <c r="DZ271" i="4"/>
  <c r="EM271" i="4"/>
  <c r="GV271" i="4"/>
  <c r="HH271" i="4"/>
  <c r="HU271" i="4"/>
  <c r="FX274" i="4"/>
  <c r="IG274" i="4"/>
  <c r="IS274" i="4"/>
  <c r="AF275" i="4"/>
  <c r="AR275" i="4"/>
  <c r="CC275" i="4"/>
  <c r="CP275" i="4"/>
  <c r="DB275" i="4"/>
  <c r="DN275" i="4"/>
  <c r="DZ275" i="4"/>
  <c r="EM275" i="4"/>
  <c r="GJ276" i="4"/>
  <c r="HU276" i="4"/>
  <c r="T277" i="4"/>
  <c r="AF277" i="4"/>
  <c r="CP277" i="4"/>
  <c r="GJ277" i="4"/>
  <c r="GV277" i="4"/>
  <c r="GV278" i="4"/>
  <c r="HH278" i="4"/>
  <c r="T279" i="4"/>
  <c r="DN279" i="4"/>
  <c r="DZ279" i="4"/>
  <c r="FX279" i="4"/>
  <c r="GJ279" i="4"/>
  <c r="HH279" i="4"/>
  <c r="HU279" i="4"/>
  <c r="IG279" i="4"/>
  <c r="IS279" i="4"/>
  <c r="AR280" i="4"/>
  <c r="AR281" i="4"/>
  <c r="BE281" i="4"/>
  <c r="BQ281" i="4"/>
  <c r="EM281" i="4"/>
  <c r="FX281" i="4"/>
  <c r="GJ281" i="4"/>
  <c r="GV281" i="4"/>
  <c r="HU281" i="4"/>
  <c r="BE283" i="4"/>
  <c r="HH106" i="4"/>
  <c r="H107" i="4"/>
  <c r="CP107" i="4"/>
  <c r="DB107" i="4"/>
  <c r="DN107" i="4"/>
  <c r="DZ107" i="4"/>
  <c r="EM107" i="4"/>
  <c r="EY107" i="4"/>
  <c r="FK107" i="4"/>
  <c r="AF108" i="4"/>
  <c r="BE108" i="4"/>
  <c r="DZ119" i="4"/>
  <c r="EM119" i="4"/>
  <c r="H120" i="4"/>
  <c r="CP124" i="4"/>
  <c r="DB124" i="4"/>
  <c r="DZ124" i="4"/>
  <c r="EM124" i="4"/>
  <c r="EY124" i="4"/>
  <c r="FK124" i="4"/>
  <c r="FX124" i="4"/>
  <c r="GV124" i="4"/>
  <c r="AR125" i="4"/>
  <c r="BQ125" i="4"/>
  <c r="HU125" i="4"/>
  <c r="IG125" i="4"/>
  <c r="H126" i="4"/>
  <c r="AY126" i="4"/>
  <c r="IM126" i="4"/>
  <c r="ES132" i="4"/>
  <c r="BK135" i="4"/>
  <c r="ES143" i="4"/>
  <c r="DT169" i="4"/>
  <c r="BW281" i="4"/>
  <c r="HO283" i="4"/>
  <c r="IM283" i="4"/>
  <c r="FQ285" i="4"/>
  <c r="GD285" i="4"/>
  <c r="FE287" i="4"/>
  <c r="GD287" i="4"/>
  <c r="HO287" i="4"/>
  <c r="IA287" i="4"/>
  <c r="IM287" i="4"/>
  <c r="N288" i="4"/>
  <c r="BW288" i="4"/>
  <c r="CV288" i="4"/>
  <c r="DT288" i="4"/>
  <c r="CI289" i="4"/>
  <c r="GP289" i="4"/>
  <c r="HO289" i="4"/>
  <c r="IA289" i="4"/>
  <c r="IM289" i="4"/>
  <c r="IY289" i="4"/>
  <c r="N290" i="4"/>
  <c r="HO291" i="4"/>
  <c r="IA291" i="4"/>
  <c r="BK293" i="4"/>
  <c r="HB296" i="4"/>
  <c r="CI51" i="4"/>
  <c r="IS77" i="4"/>
  <c r="GJ81" i="4"/>
  <c r="CC89" i="4"/>
  <c r="GJ89" i="4"/>
  <c r="T117" i="4"/>
  <c r="ES169" i="4"/>
  <c r="FQ169" i="4"/>
  <c r="IY169" i="4"/>
  <c r="Z170" i="4"/>
  <c r="FQ170" i="4"/>
  <c r="CI174" i="4"/>
  <c r="DH175" i="4"/>
  <c r="N189" i="4"/>
  <c r="HB47" i="4"/>
  <c r="HU49" i="4"/>
  <c r="HU116" i="4"/>
  <c r="IA40" i="4"/>
  <c r="IG42" i="4"/>
  <c r="BW109" i="4"/>
  <c r="HO113" i="4"/>
  <c r="EY164" i="4"/>
  <c r="CI87" i="4"/>
  <c r="Z88" i="4"/>
  <c r="CI40" i="4"/>
  <c r="DB46" i="4"/>
  <c r="ES108" i="4"/>
  <c r="GP211" i="4"/>
  <c r="HB211" i="4"/>
  <c r="HO211" i="4"/>
  <c r="IA211" i="4"/>
  <c r="Z212" i="4"/>
  <c r="AL212" i="4"/>
  <c r="BK212" i="4"/>
  <c r="DH212" i="4"/>
  <c r="DT212" i="4"/>
  <c r="ES212" i="4"/>
  <c r="GP215" i="4"/>
  <c r="HB215" i="4"/>
  <c r="N216" i="4"/>
  <c r="Z216" i="4"/>
  <c r="AL216" i="4"/>
  <c r="CI216" i="4"/>
  <c r="DH216" i="4"/>
  <c r="DT216" i="4"/>
  <c r="IY216" i="4"/>
  <c r="DT221" i="4"/>
  <c r="EG221" i="4"/>
  <c r="ES221" i="4"/>
  <c r="FE221" i="4"/>
  <c r="FQ221" i="4"/>
  <c r="GP221" i="4"/>
  <c r="HB221" i="4"/>
  <c r="AY222" i="4"/>
  <c r="GP222" i="4"/>
  <c r="HO222" i="4"/>
  <c r="IM222" i="4"/>
  <c r="CI223" i="4"/>
  <c r="FE223" i="4"/>
  <c r="FQ223" i="4"/>
  <c r="DH230" i="4"/>
  <c r="DT230" i="4"/>
  <c r="IM230" i="4"/>
  <c r="DT231" i="4"/>
  <c r="GD231" i="4"/>
  <c r="AY235" i="4"/>
  <c r="BK235" i="4"/>
  <c r="EG235" i="4"/>
  <c r="ES235" i="4"/>
  <c r="HO235" i="4"/>
  <c r="IA235" i="4"/>
  <c r="BK241" i="4"/>
  <c r="DT241" i="4"/>
  <c r="HB241" i="4"/>
  <c r="IA241" i="4"/>
  <c r="N242" i="4"/>
  <c r="Z242" i="4"/>
  <c r="CI242" i="4"/>
  <c r="CV242" i="4"/>
  <c r="GP242" i="4"/>
  <c r="AY243" i="4"/>
  <c r="BK243" i="4"/>
  <c r="FE243" i="4"/>
  <c r="FQ243" i="4"/>
  <c r="IY243" i="4"/>
  <c r="FQ246" i="4"/>
  <c r="GD246" i="4"/>
  <c r="HB254" i="4"/>
  <c r="AY255" i="4"/>
  <c r="HO255" i="4"/>
  <c r="IY255" i="4"/>
  <c r="N256" i="4"/>
  <c r="AY256" i="4"/>
  <c r="HO256" i="4"/>
  <c r="N257" i="4"/>
  <c r="EG263" i="4"/>
  <c r="ES263" i="4"/>
  <c r="FE263" i="4"/>
  <c r="N264" i="4"/>
  <c r="AL264" i="4"/>
  <c r="AY264" i="4"/>
  <c r="CV264" i="4"/>
  <c r="BK265" i="4"/>
  <c r="FQ265" i="4"/>
  <c r="ES266" i="4"/>
  <c r="FQ266" i="4"/>
  <c r="GD266" i="4"/>
  <c r="GP266" i="4"/>
  <c r="IA266" i="4"/>
  <c r="IM282" i="4"/>
  <c r="AY283" i="4"/>
  <c r="BW283" i="4"/>
  <c r="BE25" i="4"/>
  <c r="BQ25" i="4"/>
  <c r="EM25" i="4"/>
  <c r="EY25" i="4"/>
  <c r="FK25" i="4"/>
  <c r="FX25" i="4"/>
  <c r="BE29" i="4"/>
  <c r="BQ29" i="4"/>
  <c r="HU32" i="4"/>
  <c r="CC33" i="4"/>
  <c r="HH33" i="4"/>
  <c r="IS33" i="4"/>
  <c r="EM37" i="4"/>
  <c r="FK37" i="4"/>
  <c r="FX37" i="4"/>
  <c r="GJ37" i="4"/>
  <c r="DN40" i="4"/>
  <c r="FX40" i="4"/>
  <c r="IA42" i="4"/>
  <c r="GD46" i="4"/>
  <c r="IM46" i="4"/>
  <c r="N47" i="4"/>
  <c r="BQ48" i="4"/>
  <c r="CC48" i="4"/>
  <c r="CP48" i="4"/>
  <c r="GJ50" i="4"/>
  <c r="BQ60" i="4"/>
  <c r="CP60" i="4"/>
  <c r="DB60" i="4"/>
  <c r="HH60" i="4"/>
  <c r="HU60" i="4"/>
  <c r="EG66" i="4"/>
  <c r="FE66" i="4"/>
  <c r="GP66" i="4"/>
  <c r="CP68" i="4"/>
  <c r="DB68" i="4"/>
  <c r="DZ68" i="4"/>
  <c r="EM68" i="4"/>
  <c r="EY68" i="4"/>
  <c r="FK68" i="4"/>
  <c r="EG70" i="4"/>
  <c r="FE70" i="4"/>
  <c r="GP70" i="4"/>
  <c r="BE72" i="4"/>
  <c r="CV74" i="4"/>
  <c r="DH74" i="4"/>
  <c r="DT74" i="4"/>
  <c r="EG74" i="4"/>
  <c r="FE74" i="4"/>
  <c r="HB74" i="4"/>
  <c r="CC76" i="4"/>
  <c r="FK76" i="4"/>
  <c r="FX76" i="4"/>
  <c r="GV76" i="4"/>
  <c r="HU76" i="4"/>
  <c r="AY78" i="4"/>
  <c r="BW78" i="4"/>
  <c r="N79" i="4"/>
  <c r="BE80" i="4"/>
  <c r="BQ80" i="4"/>
  <c r="CC80" i="4"/>
  <c r="CP80" i="4"/>
  <c r="DN80" i="4"/>
  <c r="FK80" i="4"/>
  <c r="IS80" i="4"/>
  <c r="N83" i="4"/>
  <c r="DN84" i="4"/>
  <c r="EM84" i="4"/>
  <c r="EY84" i="4"/>
  <c r="FK84" i="4"/>
  <c r="FX84" i="4"/>
  <c r="BW86" i="4"/>
  <c r="CV86" i="4"/>
  <c r="DN88" i="4"/>
  <c r="DZ88" i="4"/>
  <c r="EM88" i="4"/>
  <c r="EY88" i="4"/>
  <c r="FK88" i="4"/>
  <c r="FX88" i="4"/>
  <c r="GV88" i="4"/>
  <c r="HU88" i="4"/>
  <c r="DZ102" i="4"/>
  <c r="AR109" i="4"/>
  <c r="BQ109" i="4"/>
  <c r="EM109" i="4"/>
  <c r="HU113" i="4"/>
  <c r="T114" i="4"/>
  <c r="EM114" i="4"/>
  <c r="EY114" i="4"/>
  <c r="FK114" i="4"/>
  <c r="FX114" i="4"/>
  <c r="GV114" i="4"/>
  <c r="DT151" i="4"/>
  <c r="EG151" i="4"/>
  <c r="ES151" i="4"/>
  <c r="HB151" i="4"/>
  <c r="HO151" i="4"/>
  <c r="IA151" i="4"/>
  <c r="Z153" i="4"/>
  <c r="BK153" i="4"/>
  <c r="BW153" i="4"/>
  <c r="DH153" i="4"/>
  <c r="ES153" i="4"/>
  <c r="FE153" i="4"/>
  <c r="GP153" i="4"/>
  <c r="IA153" i="4"/>
  <c r="IM153" i="4"/>
  <c r="N154" i="4"/>
  <c r="Z154" i="4"/>
  <c r="AL154" i="4"/>
  <c r="Z156" i="4"/>
  <c r="HO157" i="4"/>
  <c r="IA157" i="4"/>
  <c r="IM157" i="4"/>
  <c r="EG158" i="4"/>
  <c r="IM158" i="4"/>
  <c r="DT159" i="4"/>
  <c r="ES159" i="4"/>
  <c r="N160" i="4"/>
  <c r="Z160" i="4"/>
  <c r="AL160" i="4"/>
  <c r="GP160" i="4"/>
  <c r="HO162" i="4"/>
  <c r="IY162" i="4"/>
  <c r="AY163" i="4"/>
  <c r="HO163" i="4"/>
  <c r="N164" i="4"/>
  <c r="Z164" i="4"/>
  <c r="AL164" i="4"/>
  <c r="AY164" i="4"/>
  <c r="BK164" i="4"/>
  <c r="DH164" i="4"/>
  <c r="DT164" i="4"/>
  <c r="ES164" i="4"/>
  <c r="HO164" i="4"/>
  <c r="IM164" i="4"/>
  <c r="IY164" i="4"/>
  <c r="AL165" i="4"/>
  <c r="BW165" i="4"/>
  <c r="DH165" i="4"/>
  <c r="HB165" i="4"/>
  <c r="N166" i="4"/>
  <c r="AL166" i="4"/>
  <c r="BK166" i="4"/>
  <c r="CI166" i="4"/>
  <c r="AY167" i="4"/>
  <c r="BW167" i="4"/>
  <c r="CI167" i="4"/>
  <c r="DH167" i="4"/>
  <c r="EG167" i="4"/>
  <c r="HO167" i="4"/>
  <c r="AL169" i="4"/>
  <c r="BW169" i="4"/>
  <c r="CV169" i="4"/>
  <c r="DH169" i="4"/>
  <c r="HU213" i="4"/>
  <c r="EY214" i="4"/>
  <c r="FK217" i="4"/>
  <c r="HH217" i="4"/>
  <c r="GJ218" i="4"/>
  <c r="IG226" i="4"/>
  <c r="CP227" i="4"/>
  <c r="IG227" i="4"/>
  <c r="AF228" i="4"/>
  <c r="HH241" i="4"/>
  <c r="CP293" i="4"/>
  <c r="FX293" i="4"/>
  <c r="HU296" i="4"/>
  <c r="IG296" i="4"/>
  <c r="AR300" i="4"/>
  <c r="BE300" i="4"/>
  <c r="BQ300" i="4"/>
  <c r="CC300" i="4"/>
  <c r="FK300" i="4"/>
  <c r="GJ300" i="4"/>
  <c r="IG300" i="4"/>
  <c r="IM12" i="4"/>
  <c r="GD31" i="4"/>
  <c r="N32" i="4"/>
  <c r="AY34" i="4"/>
  <c r="BE36" i="4"/>
  <c r="CP36" i="4"/>
  <c r="IS36" i="4"/>
  <c r="FE38" i="4"/>
  <c r="GV23" i="4"/>
  <c r="HU23" i="4"/>
  <c r="FX26" i="4"/>
  <c r="DH28" i="4"/>
  <c r="GP28" i="4"/>
  <c r="IS30" i="4"/>
  <c r="GP11" i="4"/>
  <c r="HB11" i="4"/>
  <c r="HO11" i="4"/>
  <c r="N12" i="4"/>
  <c r="BE13" i="4"/>
  <c r="DN44" i="4"/>
  <c r="HU44" i="4"/>
  <c r="CP67" i="4"/>
  <c r="GV67" i="4"/>
  <c r="H68" i="4"/>
  <c r="BW69" i="4"/>
  <c r="DH69" i="4"/>
  <c r="FX71" i="4"/>
  <c r="IG71" i="4"/>
  <c r="AL99" i="4"/>
  <c r="GD99" i="4"/>
  <c r="BW101" i="4"/>
  <c r="HH109" i="4"/>
  <c r="BQ111" i="4"/>
  <c r="DB113" i="4"/>
  <c r="AY118" i="4"/>
  <c r="DN127" i="4"/>
  <c r="DB129" i="4"/>
  <c r="DZ130" i="4"/>
  <c r="DZ141" i="4"/>
  <c r="H142" i="4"/>
  <c r="BQ142" i="4"/>
  <c r="H143" i="4"/>
  <c r="HO160" i="4"/>
  <c r="AF182" i="4"/>
  <c r="BQ13" i="4"/>
  <c r="EY13" i="4"/>
  <c r="FK13" i="4"/>
  <c r="FX13" i="4"/>
  <c r="HH13" i="4"/>
  <c r="HU13" i="4"/>
  <c r="IG13" i="4"/>
  <c r="H14" i="4"/>
  <c r="T14" i="4"/>
  <c r="DN17" i="4"/>
  <c r="GP23" i="4"/>
  <c r="HO26" i="4"/>
  <c r="IA26" i="4"/>
  <c r="N27" i="4"/>
  <c r="Z27" i="4"/>
  <c r="BK30" i="4"/>
  <c r="BQ32" i="4"/>
  <c r="CC32" i="4"/>
  <c r="DN32" i="4"/>
  <c r="EY32" i="4"/>
  <c r="FK32" i="4"/>
  <c r="HH32" i="4"/>
  <c r="IA33" i="4"/>
  <c r="BK37" i="4"/>
  <c r="DH37" i="4"/>
  <c r="FQ37" i="4"/>
  <c r="GD37" i="4"/>
  <c r="IY37" i="4"/>
  <c r="N38" i="4"/>
  <c r="Z38" i="4"/>
  <c r="BK43" i="4"/>
  <c r="AY44" i="4"/>
  <c r="HB44" i="4"/>
  <c r="HO44" i="4"/>
  <c r="HO51" i="4"/>
  <c r="IA51" i="4"/>
  <c r="DB53" i="4"/>
  <c r="FK53" i="4"/>
  <c r="HH53" i="4"/>
  <c r="AL56" i="4"/>
  <c r="AY59" i="4"/>
  <c r="BK59" i="4"/>
  <c r="BW59" i="4"/>
  <c r="HB59" i="4"/>
  <c r="BE61" i="4"/>
  <c r="CP61" i="4"/>
  <c r="DB61" i="4"/>
  <c r="HU61" i="4"/>
  <c r="IS61" i="4"/>
  <c r="T62" i="4"/>
  <c r="CV63" i="4"/>
  <c r="HB63" i="4"/>
  <c r="IS65" i="4"/>
  <c r="T66" i="4"/>
  <c r="T70" i="4"/>
  <c r="DB73" i="4"/>
  <c r="FX73" i="4"/>
  <c r="GJ73" i="4"/>
  <c r="IS73" i="4"/>
  <c r="T74" i="4"/>
  <c r="BK75" i="4"/>
  <c r="DT75" i="4"/>
  <c r="FQ75" i="4"/>
  <c r="N76" i="4"/>
  <c r="Z76" i="4"/>
  <c r="AY82" i="4"/>
  <c r="DT82" i="4"/>
  <c r="CI83" i="4"/>
  <c r="HB83" i="4"/>
  <c r="GP92" i="4"/>
  <c r="HH93" i="4"/>
  <c r="HO94" i="4"/>
  <c r="DZ98" i="4"/>
  <c r="H99" i="4"/>
  <c r="BQ99" i="4"/>
  <c r="DZ99" i="4"/>
  <c r="EM99" i="4"/>
  <c r="CP100" i="4"/>
  <c r="EM100" i="4"/>
  <c r="EY100" i="4"/>
  <c r="FK100" i="4"/>
  <c r="FX100" i="4"/>
  <c r="GV100" i="4"/>
  <c r="AR101" i="4"/>
  <c r="BQ101" i="4"/>
  <c r="GD103" i="4"/>
  <c r="BW105" i="4"/>
  <c r="FE109" i="4"/>
  <c r="GP109" i="4"/>
  <c r="HO109" i="4"/>
  <c r="N110" i="4"/>
  <c r="EG110" i="4"/>
  <c r="ES110" i="4"/>
  <c r="FQ110" i="4"/>
  <c r="GD110" i="4"/>
  <c r="GP110" i="4"/>
  <c r="HB110" i="4"/>
  <c r="IM110" i="4"/>
  <c r="CI111" i="4"/>
  <c r="ES111" i="4"/>
  <c r="Z113" i="4"/>
  <c r="CI113" i="4"/>
  <c r="CC117" i="4"/>
  <c r="CP117" i="4"/>
  <c r="DB117" i="4"/>
  <c r="EM117" i="4"/>
  <c r="HU117" i="4"/>
  <c r="IG117" i="4"/>
  <c r="H118" i="4"/>
  <c r="HH118" i="4"/>
  <c r="AL119" i="4"/>
  <c r="ES119" i="4"/>
  <c r="ES124" i="4"/>
  <c r="CI127" i="4"/>
  <c r="DH127" i="4"/>
  <c r="ES127" i="4"/>
  <c r="Z128" i="4"/>
  <c r="BK128" i="4"/>
  <c r="CI128" i="4"/>
  <c r="FQ128" i="4"/>
  <c r="IY128" i="4"/>
  <c r="Z129" i="4"/>
  <c r="DH129" i="4"/>
  <c r="DT129" i="4"/>
  <c r="FE129" i="4"/>
  <c r="GP129" i="4"/>
  <c r="HO129" i="4"/>
  <c r="N131" i="4"/>
  <c r="AL131" i="4"/>
  <c r="CI131" i="4"/>
  <c r="DH131" i="4"/>
  <c r="FE131" i="4"/>
  <c r="FQ131" i="4"/>
  <c r="GD131" i="4"/>
  <c r="HB131" i="4"/>
  <c r="IA131" i="4"/>
  <c r="Z132" i="4"/>
  <c r="BK132" i="4"/>
  <c r="CI132" i="4"/>
  <c r="GP136" i="4"/>
  <c r="BW141" i="4"/>
  <c r="EG141" i="4"/>
  <c r="ES141" i="4"/>
  <c r="FE141" i="4"/>
  <c r="HO141" i="4"/>
  <c r="IA141" i="4"/>
  <c r="IM141" i="4"/>
  <c r="Z142" i="4"/>
  <c r="AL142" i="4"/>
  <c r="BW142" i="4"/>
  <c r="CV142" i="4"/>
  <c r="EG142" i="4"/>
  <c r="IM142" i="4"/>
  <c r="DN150" i="4"/>
  <c r="H151" i="4"/>
  <c r="HH152" i="4"/>
  <c r="IS152" i="4"/>
  <c r="GV160" i="4"/>
  <c r="HU160" i="4"/>
  <c r="IS160" i="4"/>
  <c r="T161" i="4"/>
  <c r="CP161" i="4"/>
  <c r="DB161" i="4"/>
  <c r="EY161" i="4"/>
  <c r="FK161" i="4"/>
  <c r="H162" i="4"/>
  <c r="T162" i="4"/>
  <c r="AF162" i="4"/>
  <c r="CC162" i="4"/>
  <c r="N46" i="4"/>
  <c r="EY46" i="4"/>
  <c r="IA60" i="4"/>
  <c r="FQ64" i="4"/>
  <c r="IA64" i="4"/>
  <c r="DZ70" i="4"/>
  <c r="BK80" i="4"/>
  <c r="DH80" i="4"/>
  <c r="FQ80" i="4"/>
  <c r="GJ86" i="4"/>
  <c r="IG86" i="4"/>
  <c r="HU89" i="4"/>
  <c r="HB91" i="4"/>
  <c r="IY91" i="4"/>
  <c r="CC92" i="4"/>
  <c r="GJ102" i="4"/>
  <c r="N114" i="4"/>
  <c r="HB114" i="4"/>
  <c r="CC120" i="4"/>
  <c r="HU120" i="4"/>
  <c r="DZ122" i="4"/>
  <c r="BQ123" i="4"/>
  <c r="H124" i="4"/>
  <c r="FQ143" i="4"/>
  <c r="AY148" i="4"/>
  <c r="GV165" i="4"/>
  <c r="AL189" i="4"/>
  <c r="DT189" i="4"/>
  <c r="AY192" i="4"/>
  <c r="AL205" i="4"/>
  <c r="IS241" i="4"/>
  <c r="AR242" i="4"/>
  <c r="DB242" i="4"/>
  <c r="HH242" i="4"/>
  <c r="IS242" i="4"/>
  <c r="H243" i="4"/>
  <c r="BE257" i="4"/>
  <c r="EM257" i="4"/>
  <c r="HU257" i="4"/>
  <c r="T258" i="4"/>
  <c r="DZ258" i="4"/>
  <c r="GJ258" i="4"/>
  <c r="HU258" i="4"/>
  <c r="FQ212" i="4"/>
  <c r="GD212" i="4"/>
  <c r="IY212" i="4"/>
  <c r="AY217" i="4"/>
  <c r="ES217" i="4"/>
  <c r="N218" i="4"/>
  <c r="AL218" i="4"/>
  <c r="EG218" i="4"/>
  <c r="GD218" i="4"/>
  <c r="AL219" i="4"/>
  <c r="IA219" i="4"/>
  <c r="GP228" i="4"/>
  <c r="GP233" i="4"/>
  <c r="CV234" i="4"/>
  <c r="CP162" i="4"/>
  <c r="DB162" i="4"/>
  <c r="DN162" i="4"/>
  <c r="FX162" i="4"/>
  <c r="GV162" i="4"/>
  <c r="BE163" i="4"/>
  <c r="BQ163" i="4"/>
  <c r="DZ163" i="4"/>
  <c r="EM163" i="4"/>
  <c r="EY163" i="4"/>
  <c r="HU163" i="4"/>
  <c r="IG163" i="4"/>
  <c r="T164" i="4"/>
  <c r="AF164" i="4"/>
  <c r="BQ164" i="4"/>
  <c r="CC164" i="4"/>
  <c r="CP164" i="4"/>
  <c r="DZ164" i="4"/>
  <c r="EM164" i="4"/>
  <c r="CI171" i="4"/>
  <c r="CV171" i="4"/>
  <c r="DH171" i="4"/>
  <c r="DT171" i="4"/>
  <c r="HB171" i="4"/>
  <c r="N173" i="4"/>
  <c r="BW173" i="4"/>
  <c r="CV173" i="4"/>
  <c r="DT173" i="4"/>
  <c r="FE173" i="4"/>
  <c r="GD173" i="4"/>
  <c r="GP173" i="4"/>
  <c r="FQ175" i="4"/>
  <c r="GD175" i="4"/>
  <c r="GP175" i="4"/>
  <c r="IY175" i="4"/>
  <c r="BW176" i="4"/>
  <c r="CI176" i="4"/>
  <c r="FE176" i="4"/>
  <c r="FQ176" i="4"/>
  <c r="GP176" i="4"/>
  <c r="HO176" i="4"/>
  <c r="IM176" i="4"/>
  <c r="IY176" i="4"/>
  <c r="N177" i="4"/>
  <c r="Z177" i="4"/>
  <c r="AL177" i="4"/>
  <c r="CV177" i="4"/>
  <c r="DH177" i="4"/>
  <c r="DT177" i="4"/>
  <c r="EG177" i="4"/>
  <c r="GD177" i="4"/>
  <c r="FE181" i="4"/>
  <c r="GD181" i="4"/>
  <c r="GP181" i="4"/>
  <c r="HB181" i="4"/>
  <c r="N182" i="4"/>
  <c r="CI182" i="4"/>
  <c r="CV182" i="4"/>
  <c r="GD182" i="4"/>
  <c r="IY182" i="4"/>
  <c r="AL183" i="4"/>
  <c r="ES183" i="4"/>
  <c r="DH184" i="4"/>
  <c r="EG184" i="4"/>
  <c r="GP184" i="4"/>
  <c r="HO184" i="4"/>
  <c r="HO185" i="4"/>
  <c r="IA187" i="4"/>
  <c r="AY188" i="4"/>
  <c r="BK188" i="4"/>
  <c r="BW188" i="4"/>
  <c r="EG188" i="4"/>
  <c r="ES188" i="4"/>
  <c r="FE188" i="4"/>
  <c r="HO188" i="4"/>
  <c r="IA188" i="4"/>
  <c r="IM188" i="4"/>
  <c r="BE199" i="4"/>
  <c r="IG201" i="4"/>
  <c r="IG214" i="4"/>
  <c r="AF215" i="4"/>
  <c r="AR215" i="4"/>
  <c r="BE215" i="4"/>
  <c r="BQ215" i="4"/>
  <c r="EY216" i="4"/>
  <c r="DH281" i="4"/>
  <c r="Z282" i="4"/>
  <c r="BQ267" i="4"/>
  <c r="AF297" i="4"/>
  <c r="GV297" i="4"/>
  <c r="GJ216" i="4"/>
  <c r="AR220" i="4"/>
  <c r="BE220" i="4"/>
  <c r="BQ220" i="4"/>
  <c r="CC220" i="4"/>
  <c r="DZ220" i="4"/>
  <c r="EM220" i="4"/>
  <c r="EY220" i="4"/>
  <c r="FK220" i="4"/>
  <c r="AF221" i="4"/>
  <c r="BE221" i="4"/>
  <c r="T222" i="4"/>
  <c r="AF222" i="4"/>
  <c r="H224" i="4"/>
  <c r="BE224" i="4"/>
  <c r="BQ224" i="4"/>
  <c r="CC224" i="4"/>
  <c r="CP224" i="4"/>
  <c r="FK224" i="4"/>
  <c r="HU224" i="4"/>
  <c r="IG224" i="4"/>
  <c r="IS224" i="4"/>
  <c r="H225" i="4"/>
  <c r="T225" i="4"/>
  <c r="AF225" i="4"/>
  <c r="BE225" i="4"/>
  <c r="CC225" i="4"/>
  <c r="FK225" i="4"/>
  <c r="FX225" i="4"/>
  <c r="GJ225" i="4"/>
  <c r="GV225" i="4"/>
  <c r="HU225" i="4"/>
  <c r="EM226" i="4"/>
  <c r="DB229" i="4"/>
  <c r="IS229" i="4"/>
  <c r="GV231" i="4"/>
  <c r="HH233" i="4"/>
  <c r="CC234" i="4"/>
  <c r="DZ235" i="4"/>
  <c r="HH235" i="4"/>
  <c r="DZ241" i="4"/>
  <c r="HO250" i="4"/>
  <c r="AL252" i="4"/>
  <c r="AL260" i="4"/>
  <c r="CI260" i="4"/>
  <c r="DT260" i="4"/>
  <c r="DH266" i="4"/>
  <c r="HO267" i="4"/>
  <c r="IA267" i="4"/>
  <c r="IM267" i="4"/>
  <c r="N268" i="4"/>
  <c r="DT268" i="4"/>
  <c r="N269" i="4"/>
  <c r="AL269" i="4"/>
  <c r="AY269" i="4"/>
  <c r="BK269" i="4"/>
  <c r="CV269" i="4"/>
  <c r="DT269" i="4"/>
  <c r="EG269" i="4"/>
  <c r="ES269" i="4"/>
  <c r="GD269" i="4"/>
  <c r="HB269" i="4"/>
  <c r="HO269" i="4"/>
  <c r="IA269" i="4"/>
  <c r="ES270" i="4"/>
  <c r="FQ270" i="4"/>
  <c r="GD270" i="4"/>
  <c r="GP270" i="4"/>
  <c r="IA270" i="4"/>
  <c r="IY270" i="4"/>
  <c r="Z271" i="4"/>
  <c r="BK271" i="4"/>
  <c r="BW271" i="4"/>
  <c r="CI271" i="4"/>
  <c r="DH271" i="4"/>
  <c r="ES271" i="4"/>
  <c r="FE271" i="4"/>
  <c r="FQ271" i="4"/>
  <c r="GP271" i="4"/>
  <c r="IM271" i="4"/>
  <c r="HB273" i="4"/>
  <c r="HO273" i="4"/>
  <c r="IA273" i="4"/>
  <c r="N274" i="4"/>
  <c r="Z274" i="4"/>
  <c r="CI274" i="4"/>
  <c r="CV274" i="4"/>
  <c r="DH274" i="4"/>
  <c r="DT274" i="4"/>
  <c r="AY275" i="4"/>
  <c r="BK275" i="4"/>
  <c r="BW275" i="4"/>
  <c r="ES275" i="4"/>
  <c r="FE275" i="4"/>
  <c r="GD276" i="4"/>
  <c r="HO276" i="4"/>
  <c r="DT277" i="4"/>
  <c r="EG277" i="4"/>
  <c r="ES277" i="4"/>
  <c r="FE277" i="4"/>
  <c r="FQ277" i="4"/>
  <c r="HO277" i="4"/>
  <c r="N278" i="4"/>
  <c r="Z278" i="4"/>
  <c r="AY278" i="4"/>
  <c r="BK278" i="4"/>
  <c r="CV278" i="4"/>
  <c r="DH278" i="4"/>
  <c r="GD278" i="4"/>
  <c r="GP278" i="4"/>
  <c r="HO278" i="4"/>
  <c r="DH279" i="4"/>
  <c r="GP279" i="4"/>
  <c r="AY280" i="4"/>
  <c r="BK280" i="4"/>
  <c r="CV280" i="4"/>
  <c r="DH280" i="4"/>
  <c r="DT280" i="4"/>
  <c r="EG280" i="4"/>
  <c r="ES280" i="4"/>
  <c r="FE280" i="4"/>
  <c r="HB280" i="4"/>
  <c r="IM280" i="4"/>
  <c r="HU291" i="4"/>
  <c r="HU292" i="4"/>
  <c r="IG292" i="4"/>
  <c r="IS292" i="4"/>
  <c r="H293" i="4"/>
  <c r="BW293" i="4"/>
  <c r="IA293" i="4"/>
  <c r="AL300" i="4"/>
  <c r="HO300" i="4"/>
  <c r="DH73" i="4"/>
  <c r="FQ73" i="4"/>
  <c r="GD73" i="4"/>
  <c r="N74" i="4"/>
  <c r="EY75" i="4"/>
  <c r="FX75" i="4"/>
  <c r="GJ75" i="4"/>
  <c r="GV75" i="4"/>
  <c r="HH75" i="4"/>
  <c r="IG75" i="4"/>
  <c r="BQ78" i="4"/>
  <c r="H79" i="4"/>
  <c r="CP83" i="4"/>
  <c r="GV83" i="4"/>
  <c r="CI84" i="4"/>
  <c r="CV84" i="4"/>
  <c r="DH84" i="4"/>
  <c r="FQ84" i="4"/>
  <c r="BQ86" i="4"/>
  <c r="DB86" i="4"/>
  <c r="DZ86" i="4"/>
  <c r="H87" i="4"/>
  <c r="BK88" i="4"/>
  <c r="CI88" i="4"/>
  <c r="CV88" i="4"/>
  <c r="DH88" i="4"/>
  <c r="DT88" i="4"/>
  <c r="EG88" i="4"/>
  <c r="GP88" i="4"/>
  <c r="IA88" i="4"/>
  <c r="IY88" i="4"/>
  <c r="Z89" i="4"/>
  <c r="AR95" i="4"/>
  <c r="BE95" i="4"/>
  <c r="CC95" i="4"/>
  <c r="EY95" i="4"/>
  <c r="FX95" i="4"/>
  <c r="GJ95" i="4"/>
  <c r="GV95" i="4"/>
  <c r="HH95" i="4"/>
  <c r="HU95" i="4"/>
  <c r="AY96" i="4"/>
  <c r="DH96" i="4"/>
  <c r="ES96" i="4"/>
  <c r="FQ96" i="4"/>
  <c r="GD96" i="4"/>
  <c r="GP96" i="4"/>
  <c r="HB96" i="4"/>
  <c r="HO96" i="4"/>
  <c r="IM96" i="4"/>
  <c r="IY96" i="4"/>
  <c r="N97" i="4"/>
  <c r="AR97" i="4"/>
  <c r="HU97" i="4"/>
  <c r="CI99" i="4"/>
  <c r="DH99" i="4"/>
  <c r="DT99" i="4"/>
  <c r="EG99" i="4"/>
  <c r="ES99" i="4"/>
  <c r="Z100" i="4"/>
  <c r="BK100" i="4"/>
  <c r="CI100" i="4"/>
  <c r="CV100" i="4"/>
  <c r="DH100" i="4"/>
  <c r="DT100" i="4"/>
  <c r="IA100" i="4"/>
  <c r="IY100" i="4"/>
  <c r="Z101" i="4"/>
  <c r="AY101" i="4"/>
  <c r="BK101" i="4"/>
  <c r="H103" i="4"/>
  <c r="BQ103" i="4"/>
  <c r="DZ103" i="4"/>
  <c r="DH109" i="4"/>
  <c r="DT109" i="4"/>
  <c r="DZ111" i="4"/>
  <c r="CP112" i="4"/>
  <c r="DB112" i="4"/>
  <c r="DZ112" i="4"/>
  <c r="EM112" i="4"/>
  <c r="EY112" i="4"/>
  <c r="FK112" i="4"/>
  <c r="FX112" i="4"/>
  <c r="GV112" i="4"/>
  <c r="IS112" i="4"/>
  <c r="HB119" i="4"/>
  <c r="IA119" i="4"/>
  <c r="FK129" i="4"/>
  <c r="GJ129" i="4"/>
  <c r="HH130" i="4"/>
  <c r="H131" i="4"/>
  <c r="CP131" i="4"/>
  <c r="DB131" i="4"/>
  <c r="DN131" i="4"/>
  <c r="DZ131" i="4"/>
  <c r="EM131" i="4"/>
  <c r="EY131" i="4"/>
  <c r="FK131" i="4"/>
  <c r="AF132" i="4"/>
  <c r="BE132" i="4"/>
  <c r="EG134" i="4"/>
  <c r="ES134" i="4"/>
  <c r="FQ134" i="4"/>
  <c r="GD134" i="4"/>
  <c r="GP134" i="4"/>
  <c r="HB134" i="4"/>
  <c r="AY135" i="4"/>
  <c r="HU136" i="4"/>
  <c r="IG136" i="4"/>
  <c r="IS136" i="4"/>
  <c r="AF137" i="4"/>
  <c r="AR137" i="4"/>
  <c r="BE137" i="4"/>
  <c r="DN137" i="4"/>
  <c r="DZ137" i="4"/>
  <c r="EM137" i="4"/>
  <c r="GV137" i="4"/>
  <c r="HH137" i="4"/>
  <c r="HU137" i="4"/>
  <c r="T138" i="4"/>
  <c r="DN140" i="4"/>
  <c r="EM140" i="4"/>
  <c r="FK140" i="4"/>
  <c r="FX140" i="4"/>
  <c r="IG140" i="4"/>
  <c r="IS140" i="4"/>
  <c r="T141" i="4"/>
  <c r="AF141" i="4"/>
  <c r="AR141" i="4"/>
  <c r="BE141" i="4"/>
  <c r="IA144" i="4"/>
  <c r="BW146" i="4"/>
  <c r="CV146" i="4"/>
  <c r="DT146" i="4"/>
  <c r="EG146" i="4"/>
  <c r="GP146" i="4"/>
  <c r="HB146" i="4"/>
  <c r="IM146" i="4"/>
  <c r="AL147" i="4"/>
  <c r="AY147" i="4"/>
  <c r="BK147" i="4"/>
  <c r="CI147" i="4"/>
  <c r="DT147" i="4"/>
  <c r="EG147" i="4"/>
  <c r="ES147" i="4"/>
  <c r="FQ147" i="4"/>
  <c r="HB147" i="4"/>
  <c r="HO147" i="4"/>
  <c r="IA147" i="4"/>
  <c r="IY147" i="4"/>
  <c r="N148" i="4"/>
  <c r="Z148" i="4"/>
  <c r="AY149" i="4"/>
  <c r="BK149" i="4"/>
  <c r="BW149" i="4"/>
  <c r="DH149" i="4"/>
  <c r="FE149" i="4"/>
  <c r="DN11" i="4"/>
  <c r="DZ21" i="4"/>
  <c r="EY21" i="4"/>
  <c r="GJ21" i="4"/>
  <c r="H22" i="4"/>
  <c r="BE24" i="4"/>
  <c r="EM24" i="4"/>
  <c r="GJ24" i="4"/>
  <c r="CP27" i="4"/>
  <c r="BW29" i="4"/>
  <c r="DT29" i="4"/>
  <c r="T31" i="4"/>
  <c r="DZ33" i="4"/>
  <c r="DT35" i="4"/>
  <c r="IY35" i="4"/>
  <c r="GD38" i="4"/>
  <c r="T45" i="4"/>
  <c r="CP47" i="4"/>
  <c r="IY48" i="4"/>
  <c r="HB50" i="4"/>
  <c r="DT51" i="4"/>
  <c r="Z52" i="4"/>
  <c r="CV55" i="4"/>
  <c r="HB55" i="4"/>
  <c r="BE57" i="4"/>
  <c r="GV57" i="4"/>
  <c r="HH57" i="4"/>
  <c r="GP61" i="4"/>
  <c r="DH65" i="4"/>
  <c r="T17" i="4"/>
  <c r="EG17" i="4"/>
  <c r="HB17" i="4"/>
  <c r="CP19" i="4"/>
  <c r="FK19" i="4"/>
  <c r="GV19" i="4"/>
  <c r="T20" i="4"/>
  <c r="CV26" i="4"/>
  <c r="DT26" i="4"/>
  <c r="ES26" i="4"/>
  <c r="EM28" i="4"/>
  <c r="DN31" i="4"/>
  <c r="IA32" i="4"/>
  <c r="Z33" i="4"/>
  <c r="GJ34" i="4"/>
  <c r="GV40" i="4"/>
  <c r="BW42" i="4"/>
  <c r="CV42" i="4"/>
  <c r="FE42" i="4"/>
  <c r="FQ44" i="4"/>
  <c r="DT46" i="4"/>
  <c r="IG47" i="4"/>
  <c r="BW54" i="4"/>
  <c r="IA59" i="4"/>
  <c r="BE64" i="4"/>
  <c r="CP64" i="4"/>
  <c r="FK64" i="4"/>
  <c r="BW66" i="4"/>
  <c r="BW70" i="4"/>
  <c r="CP72" i="4"/>
  <c r="T73" i="4"/>
  <c r="DN76" i="4"/>
  <c r="CP79" i="4"/>
  <c r="GV87" i="4"/>
  <c r="DH89" i="4"/>
  <c r="GJ98" i="4"/>
  <c r="N102" i="4"/>
  <c r="H104" i="4"/>
  <c r="DZ106" i="4"/>
  <c r="AY110" i="4"/>
  <c r="EM113" i="4"/>
  <c r="IM114" i="4"/>
  <c r="ES115" i="4"/>
  <c r="DZ118" i="4"/>
  <c r="BW121" i="4"/>
  <c r="EM125" i="4"/>
  <c r="GD127" i="4"/>
  <c r="GV132" i="4"/>
  <c r="CI135" i="4"/>
  <c r="FQ135" i="4"/>
  <c r="AF143" i="4"/>
  <c r="CC143" i="4"/>
  <c r="CP143" i="4"/>
  <c r="BK11" i="4"/>
  <c r="BW12" i="4"/>
  <c r="HB12" i="4"/>
  <c r="CI15" i="4"/>
  <c r="DH15" i="4"/>
  <c r="ES15" i="4"/>
  <c r="IY15" i="4"/>
  <c r="N17" i="4"/>
  <c r="BE21" i="4"/>
  <c r="BQ21" i="4"/>
  <c r="DN21" i="4"/>
  <c r="EG21" i="4"/>
  <c r="HB21" i="4"/>
  <c r="IM21" i="4"/>
  <c r="BW22" i="4"/>
  <c r="CI22" i="4"/>
  <c r="FE22" i="4"/>
  <c r="FQ22" i="4"/>
  <c r="GP22" i="4"/>
  <c r="IM22" i="4"/>
  <c r="IY22" i="4"/>
  <c r="IS23" i="4"/>
  <c r="ES27" i="4"/>
  <c r="IY27" i="4"/>
  <c r="AY28" i="4"/>
  <c r="IS29" i="4"/>
  <c r="BE30" i="4"/>
  <c r="BQ30" i="4"/>
  <c r="CC30" i="4"/>
  <c r="DZ30" i="4"/>
  <c r="EM30" i="4"/>
  <c r="EY30" i="4"/>
  <c r="FK30" i="4"/>
  <c r="HH30" i="4"/>
  <c r="HU30" i="4"/>
  <c r="IG30" i="4"/>
  <c r="N35" i="4"/>
  <c r="CP35" i="4"/>
  <c r="DN36" i="4"/>
  <c r="DZ36" i="4"/>
  <c r="EM36" i="4"/>
  <c r="EY36" i="4"/>
  <c r="FK36" i="4"/>
  <c r="FX36" i="4"/>
  <c r="CV38" i="4"/>
  <c r="ES40" i="4"/>
  <c r="FQ40" i="4"/>
  <c r="GD40" i="4"/>
  <c r="GP40" i="4"/>
  <c r="HU42" i="4"/>
  <c r="N43" i="4"/>
  <c r="H44" i="4"/>
  <c r="BE44" i="4"/>
  <c r="FX44" i="4"/>
  <c r="GJ44" i="4"/>
  <c r="Z45" i="4"/>
  <c r="EG45" i="4"/>
  <c r="ES45" i="4"/>
  <c r="FE45" i="4"/>
  <c r="FQ45" i="4"/>
  <c r="GD45" i="4"/>
  <c r="HB45" i="4"/>
  <c r="H47" i="4"/>
  <c r="DT47" i="4"/>
  <c r="EM48" i="4"/>
  <c r="BE49" i="4"/>
  <c r="CC49" i="4"/>
  <c r="IG50" i="4"/>
  <c r="AY51" i="4"/>
  <c r="BK51" i="4"/>
  <c r="BW51" i="4"/>
  <c r="CP51" i="4"/>
  <c r="IG51" i="4"/>
  <c r="BK52" i="4"/>
  <c r="CI52" i="4"/>
  <c r="GP52" i="4"/>
  <c r="IY52" i="4"/>
  <c r="Z53" i="4"/>
  <c r="DZ54" i="4"/>
  <c r="EM54" i="4"/>
  <c r="EY54" i="4"/>
  <c r="CV56" i="4"/>
  <c r="DT56" i="4"/>
  <c r="ES56" i="4"/>
  <c r="EG57" i="4"/>
  <c r="Z58" i="4"/>
  <c r="DB58" i="4"/>
  <c r="EM58" i="4"/>
  <c r="EY58" i="4"/>
  <c r="FK58" i="4"/>
  <c r="GJ58" i="4"/>
  <c r="GV58" i="4"/>
  <c r="IS58" i="4"/>
  <c r="H59" i="4"/>
  <c r="T59" i="4"/>
  <c r="EM61" i="4"/>
  <c r="FK61" i="4"/>
  <c r="EM65" i="4"/>
  <c r="DZ66" i="4"/>
  <c r="GJ66" i="4"/>
  <c r="HH66" i="4"/>
  <c r="HU66" i="4"/>
  <c r="T67" i="4"/>
  <c r="CV68" i="4"/>
  <c r="DH68" i="4"/>
  <c r="DT68" i="4"/>
  <c r="EG68" i="4"/>
  <c r="FE68" i="4"/>
  <c r="IA68" i="4"/>
  <c r="CC69" i="4"/>
  <c r="DZ69" i="4"/>
  <c r="GJ70" i="4"/>
  <c r="HH70" i="4"/>
  <c r="HU70" i="4"/>
  <c r="T71" i="4"/>
  <c r="Z72" i="4"/>
  <c r="BK72" i="4"/>
  <c r="BE74" i="4"/>
  <c r="BQ74" i="4"/>
  <c r="CC74" i="4"/>
  <c r="HU74" i="4"/>
  <c r="IG74" i="4"/>
  <c r="IS74" i="4"/>
  <c r="H75" i="4"/>
  <c r="T75" i="4"/>
  <c r="DH76" i="4"/>
  <c r="ES76" i="4"/>
  <c r="HB76" i="4"/>
  <c r="T77" i="4"/>
  <c r="BE77" i="4"/>
  <c r="CC77" i="4"/>
  <c r="DZ77" i="4"/>
  <c r="FK77" i="4"/>
  <c r="FX77" i="4"/>
  <c r="GJ77" i="4"/>
  <c r="GV77" i="4"/>
  <c r="HH77" i="4"/>
  <c r="CV79" i="4"/>
  <c r="DT79" i="4"/>
  <c r="ES79" i="4"/>
  <c r="HU84" i="4"/>
  <c r="T85" i="4"/>
  <c r="BE85" i="4"/>
  <c r="BQ85" i="4"/>
  <c r="CP85" i="4"/>
  <c r="DB85" i="4"/>
  <c r="DN85" i="4"/>
  <c r="DZ85" i="4"/>
  <c r="EM85" i="4"/>
  <c r="FK85" i="4"/>
  <c r="HH85" i="4"/>
  <c r="IG85" i="4"/>
  <c r="IM86" i="4"/>
  <c r="DZ89" i="4"/>
  <c r="EY89" i="4"/>
  <c r="FK89" i="4"/>
  <c r="FX89" i="4"/>
  <c r="BW90" i="4"/>
  <c r="CV90" i="4"/>
  <c r="DH90" i="4"/>
  <c r="DT90" i="4"/>
  <c r="EG90" i="4"/>
  <c r="FE90" i="4"/>
  <c r="GD90" i="4"/>
  <c r="N91" i="4"/>
  <c r="CP91" i="4"/>
  <c r="T94" i="4"/>
  <c r="AY94" i="4"/>
  <c r="BW94" i="4"/>
  <c r="DT94" i="4"/>
  <c r="ES94" i="4"/>
  <c r="EG98" i="4"/>
  <c r="GD98" i="4"/>
  <c r="GP98" i="4"/>
  <c r="HB98" i="4"/>
  <c r="HO98" i="4"/>
  <c r="H100" i="4"/>
  <c r="HU101" i="4"/>
  <c r="IG101" i="4"/>
  <c r="H102" i="4"/>
  <c r="AL103" i="4"/>
  <c r="Z104" i="4"/>
  <c r="BK104" i="4"/>
  <c r="CI104" i="4"/>
  <c r="CV104" i="4"/>
  <c r="DH104" i="4"/>
  <c r="FQ104" i="4"/>
  <c r="IY104" i="4"/>
  <c r="Z105" i="4"/>
  <c r="HO105" i="4"/>
  <c r="Z106" i="4"/>
  <c r="AL106" i="4"/>
  <c r="AY106" i="4"/>
  <c r="BW106" i="4"/>
  <c r="CV106" i="4"/>
  <c r="EG106" i="4"/>
  <c r="GD106" i="4"/>
  <c r="GP106" i="4"/>
  <c r="HB106" i="4"/>
  <c r="N107" i="4"/>
  <c r="AL107" i="4"/>
  <c r="CI107" i="4"/>
  <c r="DH107" i="4"/>
  <c r="FE107" i="4"/>
  <c r="FQ107" i="4"/>
  <c r="GD107" i="4"/>
  <c r="HB107" i="4"/>
  <c r="IA107" i="4"/>
  <c r="Z108" i="4"/>
  <c r="BK108" i="4"/>
  <c r="T110" i="4"/>
  <c r="AF110" i="4"/>
  <c r="DZ110" i="4"/>
  <c r="HH110" i="4"/>
  <c r="AL111" i="4"/>
  <c r="GD111" i="4"/>
  <c r="ES112" i="4"/>
  <c r="DH113" i="4"/>
  <c r="FE113" i="4"/>
  <c r="GP113" i="4"/>
  <c r="HH114" i="4"/>
  <c r="H115" i="4"/>
  <c r="CP115" i="4"/>
  <c r="DB115" i="4"/>
  <c r="DN115" i="4"/>
  <c r="DZ115" i="4"/>
  <c r="EM115" i="4"/>
  <c r="EY115" i="4"/>
  <c r="FK115" i="4"/>
  <c r="AF116" i="4"/>
  <c r="BE116" i="4"/>
  <c r="FE117" i="4"/>
  <c r="GP117" i="4"/>
  <c r="HO117" i="4"/>
  <c r="N118" i="4"/>
  <c r="EG118" i="4"/>
  <c r="ES118" i="4"/>
  <c r="FQ118" i="4"/>
  <c r="GD118" i="4"/>
  <c r="GP118" i="4"/>
  <c r="HB118" i="4"/>
  <c r="AR121" i="4"/>
  <c r="BQ121" i="4"/>
  <c r="CC121" i="4"/>
  <c r="CP121" i="4"/>
  <c r="DB121" i="4"/>
  <c r="FK121" i="4"/>
  <c r="GJ121" i="4"/>
  <c r="N122" i="4"/>
  <c r="IA124" i="4"/>
  <c r="IY124" i="4"/>
  <c r="Z125" i="4"/>
  <c r="BW125" i="4"/>
  <c r="FE125" i="4"/>
  <c r="GP125" i="4"/>
  <c r="HO125" i="4"/>
  <c r="EY127" i="4"/>
  <c r="FK127" i="4"/>
  <c r="H128" i="4"/>
  <c r="CP128" i="4"/>
  <c r="DB128" i="4"/>
  <c r="DZ128" i="4"/>
  <c r="EM128" i="4"/>
  <c r="EY128" i="4"/>
  <c r="FK128" i="4"/>
  <c r="FX128" i="4"/>
  <c r="GV128" i="4"/>
  <c r="IS128" i="4"/>
  <c r="BW129" i="4"/>
  <c r="N130" i="4"/>
  <c r="HB130" i="4"/>
  <c r="IA132" i="4"/>
  <c r="IY132" i="4"/>
  <c r="Z133" i="4"/>
  <c r="BW133" i="4"/>
  <c r="N134" i="4"/>
  <c r="BW134" i="4"/>
  <c r="CV134" i="4"/>
  <c r="GJ134" i="4"/>
  <c r="DZ135" i="4"/>
  <c r="EM135" i="4"/>
  <c r="HH135" i="4"/>
  <c r="HU135" i="4"/>
  <c r="FX136" i="4"/>
  <c r="HO136" i="4"/>
  <c r="FE140" i="4"/>
  <c r="HO140" i="4"/>
  <c r="GD149" i="4"/>
  <c r="DT150" i="4"/>
  <c r="BK151" i="4"/>
  <c r="IY151" i="4"/>
  <c r="AY152" i="4"/>
  <c r="DH152" i="4"/>
  <c r="FE152" i="4"/>
  <c r="GP152" i="4"/>
  <c r="HB177" i="4"/>
  <c r="Z178" i="4"/>
  <c r="BK178" i="4"/>
  <c r="DH178" i="4"/>
  <c r="ES178" i="4"/>
  <c r="GP178" i="4"/>
  <c r="IA178" i="4"/>
  <c r="AY179" i="4"/>
  <c r="BW179" i="4"/>
  <c r="FE179" i="4"/>
  <c r="GP179" i="4"/>
  <c r="AR191" i="4"/>
  <c r="T200" i="4"/>
  <c r="BE200" i="4"/>
  <c r="DB200" i="4"/>
  <c r="GJ200" i="4"/>
  <c r="HH200" i="4"/>
  <c r="HU203" i="4"/>
  <c r="H204" i="4"/>
  <c r="T204" i="4"/>
  <c r="AF204" i="4"/>
  <c r="AR204" i="4"/>
  <c r="CC204" i="4"/>
  <c r="CP204" i="4"/>
  <c r="DB204" i="4"/>
  <c r="DN204" i="4"/>
  <c r="DZ204" i="4"/>
  <c r="FK204" i="4"/>
  <c r="FX204" i="4"/>
  <c r="GJ204" i="4"/>
  <c r="GV204" i="4"/>
  <c r="HH204" i="4"/>
  <c r="IS204" i="4"/>
  <c r="HO207" i="4"/>
  <c r="BK208" i="4"/>
  <c r="CI208" i="4"/>
  <c r="CV208" i="4"/>
  <c r="FQ208" i="4"/>
  <c r="AY210" i="4"/>
  <c r="BW214" i="4"/>
  <c r="EG214" i="4"/>
  <c r="ES214" i="4"/>
  <c r="CP219" i="4"/>
  <c r="DN219" i="4"/>
  <c r="DZ219" i="4"/>
  <c r="EM219" i="4"/>
  <c r="HH219" i="4"/>
  <c r="HU219" i="4"/>
  <c r="AL220" i="4"/>
  <c r="DT220" i="4"/>
  <c r="HB220" i="4"/>
  <c r="IA224" i="4"/>
  <c r="AY225" i="4"/>
  <c r="FE226" i="4"/>
  <c r="HB226" i="4"/>
  <c r="AY227" i="4"/>
  <c r="BW227" i="4"/>
  <c r="ES227" i="4"/>
  <c r="GD227" i="4"/>
  <c r="HO227" i="4"/>
  <c r="CI228" i="4"/>
  <c r="CV228" i="4"/>
  <c r="DH228" i="4"/>
  <c r="BK229" i="4"/>
  <c r="H232" i="4"/>
  <c r="BQ232" i="4"/>
  <c r="T262" i="4"/>
  <c r="DZ262" i="4"/>
  <c r="FK262" i="4"/>
  <c r="DB263" i="4"/>
  <c r="N141" i="4"/>
  <c r="AL143" i="4"/>
  <c r="AY143" i="4"/>
  <c r="BK143" i="4"/>
  <c r="AR149" i="4"/>
  <c r="CP151" i="4"/>
  <c r="DZ151" i="4"/>
  <c r="HH151" i="4"/>
  <c r="BQ154" i="4"/>
  <c r="CC154" i="4"/>
  <c r="DZ154" i="4"/>
  <c r="EM154" i="4"/>
  <c r="EY154" i="4"/>
  <c r="GJ154" i="4"/>
  <c r="IS154" i="4"/>
  <c r="H155" i="4"/>
  <c r="AF155" i="4"/>
  <c r="AR155" i="4"/>
  <c r="CP155" i="4"/>
  <c r="DN155" i="4"/>
  <c r="DZ155" i="4"/>
  <c r="FX155" i="4"/>
  <c r="GV155" i="4"/>
  <c r="HH155" i="4"/>
  <c r="H156" i="4"/>
  <c r="AY156" i="4"/>
  <c r="CV157" i="4"/>
  <c r="IY160" i="4"/>
  <c r="N161" i="4"/>
  <c r="AL161" i="4"/>
  <c r="CI161" i="4"/>
  <c r="DH161" i="4"/>
  <c r="DT161" i="4"/>
  <c r="FQ161" i="4"/>
  <c r="GP161" i="4"/>
  <c r="HB161" i="4"/>
  <c r="HO161" i="4"/>
  <c r="N162" i="4"/>
  <c r="BK162" i="4"/>
  <c r="BW162" i="4"/>
  <c r="CV162" i="4"/>
  <c r="GD162" i="4"/>
  <c r="HH162" i="4"/>
  <c r="BQ166" i="4"/>
  <c r="IA166" i="4"/>
  <c r="BK171" i="4"/>
  <c r="DB171" i="4"/>
  <c r="DZ171" i="4"/>
  <c r="EM171" i="4"/>
  <c r="HH171" i="4"/>
  <c r="HU171" i="4"/>
  <c r="BW197" i="4"/>
  <c r="CV197" i="4"/>
  <c r="DT197" i="4"/>
  <c r="AL198" i="4"/>
  <c r="AY198" i="4"/>
  <c r="BK198" i="4"/>
  <c r="CI198" i="4"/>
  <c r="DT198" i="4"/>
  <c r="EG198" i="4"/>
  <c r="T205" i="4"/>
  <c r="BQ205" i="4"/>
  <c r="DZ205" i="4"/>
  <c r="EM205" i="4"/>
  <c r="EY205" i="4"/>
  <c r="HH205" i="4"/>
  <c r="HU205" i="4"/>
  <c r="IG205" i="4"/>
  <c r="IS205" i="4"/>
  <c r="H206" i="4"/>
  <c r="AF206" i="4"/>
  <c r="CP206" i="4"/>
  <c r="DN206" i="4"/>
  <c r="BE244" i="4"/>
  <c r="BQ244" i="4"/>
  <c r="CC244" i="4"/>
  <c r="HU244" i="4"/>
  <c r="IS244" i="4"/>
  <c r="H245" i="4"/>
  <c r="T245" i="4"/>
  <c r="AF245" i="4"/>
  <c r="AR245" i="4"/>
  <c r="CP245" i="4"/>
  <c r="DB245" i="4"/>
  <c r="GV245" i="4"/>
  <c r="HH245" i="4"/>
  <c r="AF269" i="4"/>
  <c r="DN272" i="4"/>
  <c r="EY272" i="4"/>
  <c r="IG275" i="4"/>
  <c r="H276" i="4"/>
  <c r="EM276" i="4"/>
  <c r="AY282" i="4"/>
  <c r="FK292" i="4"/>
  <c r="IM293" i="4"/>
  <c r="T298" i="4"/>
  <c r="AR298" i="4"/>
  <c r="FK298" i="4"/>
  <c r="AF299" i="4"/>
  <c r="GJ299" i="4"/>
  <c r="DB156" i="4"/>
  <c r="HH157" i="4"/>
  <c r="H158" i="4"/>
  <c r="BQ158" i="4"/>
  <c r="FX158" i="4"/>
  <c r="CP159" i="4"/>
  <c r="BW164" i="4"/>
  <c r="CV164" i="4"/>
  <c r="HU167" i="4"/>
  <c r="BE182" i="4"/>
  <c r="EM182" i="4"/>
  <c r="HU182" i="4"/>
  <c r="BE183" i="4"/>
  <c r="GJ184" i="4"/>
  <c r="H185" i="4"/>
  <c r="AF185" i="4"/>
  <c r="DN185" i="4"/>
  <c r="EY185" i="4"/>
  <c r="IG185" i="4"/>
  <c r="FQ198" i="4"/>
  <c r="AR230" i="4"/>
  <c r="BE230" i="4"/>
  <c r="GJ230" i="4"/>
  <c r="IS230" i="4"/>
  <c r="DN231" i="4"/>
  <c r="EY231" i="4"/>
  <c r="GD234" i="4"/>
  <c r="GP234" i="4"/>
  <c r="AL236" i="4"/>
  <c r="BK236" i="4"/>
  <c r="CI236" i="4"/>
  <c r="GP236" i="4"/>
  <c r="IA236" i="4"/>
  <c r="IY236" i="4"/>
  <c r="Z237" i="4"/>
  <c r="DH237" i="4"/>
  <c r="GP237" i="4"/>
  <c r="AL238" i="4"/>
  <c r="EG238" i="4"/>
  <c r="FE238" i="4"/>
  <c r="BK240" i="4"/>
  <c r="BQ247" i="4"/>
  <c r="EY247" i="4"/>
  <c r="IG247" i="4"/>
  <c r="CP248" i="4"/>
  <c r="DN248" i="4"/>
  <c r="FK248" i="4"/>
  <c r="H249" i="4"/>
  <c r="BE249" i="4"/>
  <c r="CC249" i="4"/>
  <c r="CP249" i="4"/>
  <c r="EM249" i="4"/>
  <c r="FK249" i="4"/>
  <c r="FX249" i="4"/>
  <c r="HU249" i="4"/>
  <c r="EG266" i="4"/>
  <c r="FE283" i="4"/>
  <c r="IY283" i="4"/>
  <c r="AR251" i="4"/>
  <c r="CP251" i="4"/>
  <c r="DB251" i="4"/>
  <c r="DN251" i="4"/>
  <c r="DZ251" i="4"/>
  <c r="GV251" i="4"/>
  <c r="HH251" i="4"/>
  <c r="CI252" i="4"/>
  <c r="ES252" i="4"/>
  <c r="IY252" i="4"/>
  <c r="BK257" i="4"/>
  <c r="BW257" i="4"/>
  <c r="CI257" i="4"/>
  <c r="CV257" i="4"/>
  <c r="FE257" i="4"/>
  <c r="FQ257" i="4"/>
  <c r="GD257" i="4"/>
  <c r="IM257" i="4"/>
  <c r="IY257" i="4"/>
  <c r="Z258" i="4"/>
  <c r="AL258" i="4"/>
  <c r="CI258" i="4"/>
  <c r="CV258" i="4"/>
  <c r="DH258" i="4"/>
  <c r="ES258" i="4"/>
  <c r="HB258" i="4"/>
  <c r="IY258" i="4"/>
  <c r="AY259" i="4"/>
  <c r="BW259" i="4"/>
  <c r="CI259" i="4"/>
  <c r="EG259" i="4"/>
  <c r="FE259" i="4"/>
  <c r="FQ259" i="4"/>
  <c r="HO259" i="4"/>
  <c r="IM259" i="4"/>
  <c r="IY259" i="4"/>
  <c r="N260" i="4"/>
  <c r="BK261" i="4"/>
  <c r="BW261" i="4"/>
  <c r="CI261" i="4"/>
  <c r="ES261" i="4"/>
  <c r="FE261" i="4"/>
  <c r="FQ261" i="4"/>
  <c r="IA261" i="4"/>
  <c r="IM261" i="4"/>
  <c r="IY261" i="4"/>
  <c r="N287" i="4"/>
  <c r="CI297" i="4"/>
  <c r="HB173" i="4"/>
  <c r="N174" i="4"/>
  <c r="ES175" i="4"/>
  <c r="GJ175" i="4"/>
  <c r="GJ176" i="4"/>
  <c r="GJ177" i="4"/>
  <c r="IG177" i="4"/>
  <c r="T178" i="4"/>
  <c r="AF178" i="4"/>
  <c r="AR178" i="4"/>
  <c r="DB178" i="4"/>
  <c r="DN178" i="4"/>
  <c r="DZ178" i="4"/>
  <c r="GJ178" i="4"/>
  <c r="GV178" i="4"/>
  <c r="HH178" i="4"/>
  <c r="AF179" i="4"/>
  <c r="BE179" i="4"/>
  <c r="BQ179" i="4"/>
  <c r="CC179" i="4"/>
  <c r="EY179" i="4"/>
  <c r="FK179" i="4"/>
  <c r="FX179" i="4"/>
  <c r="HU179" i="4"/>
  <c r="T181" i="4"/>
  <c r="BQ181" i="4"/>
  <c r="DZ181" i="4"/>
  <c r="EM181" i="4"/>
  <c r="EY181" i="4"/>
  <c r="HH181" i="4"/>
  <c r="HU181" i="4"/>
  <c r="IG181" i="4"/>
  <c r="IS181" i="4"/>
  <c r="H182" i="4"/>
  <c r="HO183" i="4"/>
  <c r="IM183" i="4"/>
  <c r="AY184" i="4"/>
  <c r="AL190" i="4"/>
  <c r="AY190" i="4"/>
  <c r="BK190" i="4"/>
  <c r="CI190" i="4"/>
  <c r="DT190" i="4"/>
  <c r="EG190" i="4"/>
  <c r="ES190" i="4"/>
  <c r="FQ190" i="4"/>
  <c r="HB190" i="4"/>
  <c r="HO190" i="4"/>
  <c r="IA190" i="4"/>
  <c r="IY190" i="4"/>
  <c r="BK191" i="4"/>
  <c r="DH191" i="4"/>
  <c r="FQ191" i="4"/>
  <c r="GD191" i="4"/>
  <c r="GP191" i="4"/>
  <c r="IY191" i="4"/>
  <c r="EG192" i="4"/>
  <c r="FQ192" i="4"/>
  <c r="IY192" i="4"/>
  <c r="N193" i="4"/>
  <c r="Z193" i="4"/>
  <c r="AL193" i="4"/>
  <c r="DH193" i="4"/>
  <c r="DT193" i="4"/>
  <c r="EG193" i="4"/>
  <c r="GD193" i="4"/>
  <c r="HO193" i="4"/>
  <c r="N197" i="4"/>
  <c r="AY197" i="4"/>
  <c r="CP197" i="4"/>
  <c r="FX198" i="4"/>
  <c r="FK199" i="4"/>
  <c r="HO199" i="4"/>
  <c r="IM199" i="4"/>
  <c r="BW205" i="4"/>
  <c r="CV205" i="4"/>
  <c r="DT205" i="4"/>
  <c r="FE205" i="4"/>
  <c r="GD205" i="4"/>
  <c r="GP205" i="4"/>
  <c r="HB205" i="4"/>
  <c r="N206" i="4"/>
  <c r="CV206" i="4"/>
  <c r="EM206" i="4"/>
  <c r="GV206" i="4"/>
  <c r="GJ209" i="4"/>
  <c r="HH209" i="4"/>
  <c r="T210" i="4"/>
  <c r="EM214" i="4"/>
  <c r="FE214" i="4"/>
  <c r="HO214" i="4"/>
  <c r="GP219" i="4"/>
  <c r="HO219" i="4"/>
  <c r="HH222" i="4"/>
  <c r="DB223" i="4"/>
  <c r="T226" i="4"/>
  <c r="GV228" i="4"/>
  <c r="IG228" i="4"/>
  <c r="HO231" i="4"/>
  <c r="IA231" i="4"/>
  <c r="IM231" i="4"/>
  <c r="DH232" i="4"/>
  <c r="DT232" i="4"/>
  <c r="GD232" i="4"/>
  <c r="IM232" i="4"/>
  <c r="AL233" i="4"/>
  <c r="DT233" i="4"/>
  <c r="ES233" i="4"/>
  <c r="IA233" i="4"/>
  <c r="N234" i="4"/>
  <c r="Z234" i="4"/>
  <c r="CI234" i="4"/>
  <c r="DB234" i="4"/>
  <c r="HH234" i="4"/>
  <c r="IS234" i="4"/>
  <c r="H235" i="4"/>
  <c r="IG235" i="4"/>
  <c r="AF236" i="4"/>
  <c r="CP236" i="4"/>
  <c r="BE237" i="4"/>
  <c r="EM237" i="4"/>
  <c r="HU237" i="4"/>
  <c r="T238" i="4"/>
  <c r="BQ238" i="4"/>
  <c r="DZ238" i="4"/>
  <c r="GJ238" i="4"/>
  <c r="HU238" i="4"/>
  <c r="AF240" i="4"/>
  <c r="BQ240" i="4"/>
  <c r="DZ243" i="4"/>
  <c r="Z245" i="4"/>
  <c r="AY245" i="4"/>
  <c r="GP245" i="4"/>
  <c r="HO245" i="4"/>
  <c r="HB248" i="4"/>
  <c r="HO248" i="4"/>
  <c r="IM248" i="4"/>
  <c r="AL250" i="4"/>
  <c r="BK250" i="4"/>
  <c r="CI250" i="4"/>
  <c r="CV250" i="4"/>
  <c r="DH250" i="4"/>
  <c r="HB250" i="4"/>
  <c r="CC254" i="4"/>
  <c r="IS254" i="4"/>
  <c r="T255" i="4"/>
  <c r="BQ255" i="4"/>
  <c r="EY255" i="4"/>
  <c r="IG255" i="4"/>
  <c r="AR260" i="4"/>
  <c r="BE260" i="4"/>
  <c r="BQ260" i="4"/>
  <c r="DB260" i="4"/>
  <c r="AF261" i="4"/>
  <c r="EY261" i="4"/>
  <c r="IG261" i="4"/>
  <c r="BW262" i="4"/>
  <c r="AL263" i="4"/>
  <c r="AY263" i="4"/>
  <c r="DT264" i="4"/>
  <c r="IA265" i="4"/>
  <c r="Z266" i="4"/>
  <c r="AL266" i="4"/>
  <c r="ES268" i="4"/>
  <c r="FQ268" i="4"/>
  <c r="HB268" i="4"/>
  <c r="Z273" i="4"/>
  <c r="BK273" i="4"/>
  <c r="GD275" i="4"/>
  <c r="CV276" i="4"/>
  <c r="FE281" i="4"/>
  <c r="BQ282" i="4"/>
  <c r="FK283" i="4"/>
  <c r="FX283" i="4"/>
  <c r="HH283" i="4"/>
  <c r="HU283" i="4"/>
  <c r="CP285" i="4"/>
  <c r="DB285" i="4"/>
  <c r="DN285" i="4"/>
  <c r="DZ285" i="4"/>
  <c r="GJ285" i="4"/>
  <c r="T287" i="4"/>
  <c r="AF287" i="4"/>
  <c r="AR287" i="4"/>
  <c r="DN287" i="4"/>
  <c r="FK287" i="4"/>
  <c r="DZ288" i="4"/>
  <c r="EM288" i="4"/>
  <c r="EY288" i="4"/>
  <c r="GV288" i="4"/>
  <c r="HH288" i="4"/>
  <c r="HU288" i="4"/>
  <c r="IG288" i="4"/>
  <c r="IS288" i="4"/>
  <c r="H289" i="4"/>
  <c r="AR289" i="4"/>
  <c r="CP289" i="4"/>
  <c r="GV289" i="4"/>
  <c r="HH289" i="4"/>
  <c r="BE290" i="4"/>
  <c r="BQ290" i="4"/>
  <c r="CC290" i="4"/>
  <c r="CV291" i="4"/>
  <c r="GD291" i="4"/>
  <c r="CI292" i="4"/>
  <c r="CV292" i="4"/>
  <c r="ES293" i="4"/>
  <c r="HH294" i="4"/>
  <c r="HU294" i="4"/>
  <c r="BQ296" i="4"/>
  <c r="CP297" i="4"/>
  <c r="DB297" i="4"/>
  <c r="DN297" i="4"/>
  <c r="N298" i="4"/>
  <c r="EG298" i="4"/>
  <c r="N299" i="4"/>
  <c r="AY299" i="4"/>
  <c r="BK299" i="4"/>
  <c r="EG299" i="4"/>
  <c r="GD299" i="4"/>
  <c r="HO299" i="4"/>
  <c r="Z11" i="4"/>
  <c r="DH11" i="4"/>
  <c r="FE11" i="4"/>
  <c r="FX11" i="4"/>
  <c r="Z13" i="4"/>
  <c r="BE14" i="4"/>
  <c r="CP14" i="4"/>
  <c r="DN14" i="4"/>
  <c r="DZ14" i="4"/>
  <c r="EM14" i="4"/>
  <c r="FX14" i="4"/>
  <c r="GV14" i="4"/>
  <c r="HH14" i="4"/>
  <c r="HU14" i="4"/>
  <c r="T15" i="4"/>
  <c r="DT19" i="4"/>
  <c r="EG19" i="4"/>
  <c r="GD19" i="4"/>
  <c r="GP19" i="4"/>
  <c r="IM19" i="4"/>
  <c r="CC20" i="4"/>
  <c r="DB20" i="4"/>
  <c r="FK20" i="4"/>
  <c r="GJ20" i="4"/>
  <c r="HH20" i="4"/>
  <c r="BW21" i="4"/>
  <c r="CV21" i="4"/>
  <c r="CP22" i="4"/>
  <c r="FX22" i="4"/>
  <c r="GV22" i="4"/>
  <c r="CI23" i="4"/>
  <c r="ES23" i="4"/>
  <c r="GP24" i="4"/>
  <c r="HO24" i="4"/>
  <c r="DB25" i="4"/>
  <c r="GJ25" i="4"/>
  <c r="HH25" i="4"/>
  <c r="IG25" i="4"/>
  <c r="BE26" i="4"/>
  <c r="CP26" i="4"/>
  <c r="DB26" i="4"/>
  <c r="DN26" i="4"/>
  <c r="DZ26" i="4"/>
  <c r="EM26" i="4"/>
  <c r="BW27" i="4"/>
  <c r="DT27" i="4"/>
  <c r="EG27" i="4"/>
  <c r="CP28" i="4"/>
  <c r="DB28" i="4"/>
  <c r="H29" i="4"/>
  <c r="FE29" i="4"/>
  <c r="Z30" i="4"/>
  <c r="AY31" i="4"/>
  <c r="EG31" i="4"/>
  <c r="H33" i="4"/>
  <c r="T33" i="4"/>
  <c r="AY33" i="4"/>
  <c r="DH33" i="4"/>
  <c r="FQ33" i="4"/>
  <c r="GD33" i="4"/>
  <c r="HB33" i="4"/>
  <c r="CC34" i="4"/>
  <c r="DB34" i="4"/>
  <c r="FK34" i="4"/>
  <c r="HB34" i="4"/>
  <c r="GD35" i="4"/>
  <c r="HO35" i="4"/>
  <c r="IA35" i="4"/>
  <c r="IM35" i="4"/>
  <c r="IY36" i="4"/>
  <c r="Z37" i="4"/>
  <c r="BE37" i="4"/>
  <c r="IS37" i="4"/>
  <c r="CI39" i="4"/>
  <c r="Z40" i="4"/>
  <c r="FK40" i="4"/>
  <c r="IG40" i="4"/>
  <c r="IS40" i="4"/>
  <c r="EG41" i="4"/>
  <c r="HO41" i="4"/>
  <c r="DH42" i="4"/>
  <c r="DT42" i="4"/>
  <c r="EG42" i="4"/>
  <c r="HH42" i="4"/>
  <c r="DT43" i="4"/>
  <c r="FQ43" i="4"/>
  <c r="IG43" i="4"/>
  <c r="IS43" i="4"/>
  <c r="BK44" i="4"/>
  <c r="BW44" i="4"/>
  <c r="DH44" i="4"/>
  <c r="GV44" i="4"/>
  <c r="BW45" i="4"/>
  <c r="IM45" i="4"/>
  <c r="FK46" i="4"/>
  <c r="HO46" i="4"/>
  <c r="CV47" i="4"/>
  <c r="BK48" i="4"/>
  <c r="ES48" i="4"/>
  <c r="FQ48" i="4"/>
  <c r="GD48" i="4"/>
  <c r="GP48" i="4"/>
  <c r="HB48" i="4"/>
  <c r="IA48" i="4"/>
  <c r="DZ49" i="4"/>
  <c r="FX49" i="4"/>
  <c r="GJ49" i="4"/>
  <c r="GV49" i="4"/>
  <c r="HH49" i="4"/>
  <c r="IM49" i="4"/>
  <c r="BE50" i="4"/>
  <c r="BQ50" i="4"/>
  <c r="CC50" i="4"/>
  <c r="CP50" i="4"/>
  <c r="DN50" i="4"/>
  <c r="FE50" i="4"/>
  <c r="IY50" i="4"/>
  <c r="N51" i="4"/>
  <c r="AL51" i="4"/>
  <c r="GV51" i="4"/>
  <c r="CP52" i="4"/>
  <c r="FK52" i="4"/>
  <c r="AY53" i="4"/>
  <c r="BK53" i="4"/>
  <c r="BW53" i="4"/>
  <c r="CI53" i="4"/>
  <c r="HU53" i="4"/>
  <c r="AY54" i="4"/>
  <c r="IG54" i="4"/>
  <c r="GD55" i="4"/>
  <c r="DN56" i="4"/>
  <c r="AY57" i="4"/>
  <c r="DH57" i="4"/>
  <c r="ES57" i="4"/>
  <c r="FE57" i="4"/>
  <c r="FQ57" i="4"/>
  <c r="GP57" i="4"/>
  <c r="HB57" i="4"/>
  <c r="IY57" i="4"/>
  <c r="N58" i="4"/>
  <c r="AY58" i="4"/>
  <c r="GP58" i="4"/>
  <c r="HB58" i="4"/>
  <c r="DT59" i="4"/>
  <c r="FQ59" i="4"/>
  <c r="GD59" i="4"/>
  <c r="EM60" i="4"/>
  <c r="DT61" i="4"/>
  <c r="ES61" i="4"/>
  <c r="CC62" i="4"/>
  <c r="DB62" i="4"/>
  <c r="FK62" i="4"/>
  <c r="GJ62" i="4"/>
  <c r="IS62" i="4"/>
  <c r="FQ63" i="4"/>
  <c r="Z64" i="4"/>
  <c r="BK64" i="4"/>
  <c r="CI64" i="4"/>
  <c r="CV64" i="4"/>
  <c r="DH64" i="4"/>
  <c r="DT64" i="4"/>
  <c r="EG64" i="4"/>
  <c r="ES64" i="4"/>
  <c r="FE64" i="4"/>
  <c r="T65" i="4"/>
  <c r="BE65" i="4"/>
  <c r="CC65" i="4"/>
  <c r="DZ65" i="4"/>
  <c r="DH66" i="4"/>
  <c r="BE67" i="4"/>
  <c r="CC67" i="4"/>
  <c r="CI68" i="4"/>
  <c r="GP68" i="4"/>
  <c r="Z69" i="4"/>
  <c r="ES69" i="4"/>
  <c r="GP69" i="4"/>
  <c r="IY69" i="4"/>
  <c r="BE70" i="4"/>
  <c r="DB70" i="4"/>
  <c r="IM70" i="4"/>
  <c r="BK71" i="4"/>
  <c r="CV71" i="4"/>
  <c r="DT71" i="4"/>
  <c r="EG71" i="4"/>
  <c r="ES71" i="4"/>
  <c r="FE71" i="4"/>
  <c r="FQ71" i="4"/>
  <c r="GD71" i="4"/>
  <c r="HB71" i="4"/>
  <c r="DN72" i="4"/>
  <c r="DZ72" i="4"/>
  <c r="EM72" i="4"/>
  <c r="EY72" i="4"/>
  <c r="FK72" i="4"/>
  <c r="FX72" i="4"/>
  <c r="GV72" i="4"/>
  <c r="IS72" i="4"/>
  <c r="AY73" i="4"/>
  <c r="FE73" i="4"/>
  <c r="GP73" i="4"/>
  <c r="DB74" i="4"/>
  <c r="EY74" i="4"/>
  <c r="HH74" i="4"/>
  <c r="GD75" i="4"/>
  <c r="IY75" i="4"/>
  <c r="BK76" i="4"/>
  <c r="BW77" i="4"/>
  <c r="EG77" i="4"/>
  <c r="IM77" i="4"/>
  <c r="DB78" i="4"/>
  <c r="DZ78" i="4"/>
  <c r="EM78" i="4"/>
  <c r="EY78" i="4"/>
  <c r="HB82" i="4"/>
  <c r="IA92" i="4"/>
  <c r="Z93" i="4"/>
  <c r="AR93" i="4"/>
  <c r="BE93" i="4"/>
  <c r="CC93" i="4"/>
  <c r="DB93" i="4"/>
  <c r="EM93" i="4"/>
  <c r="FX93" i="4"/>
  <c r="GJ93" i="4"/>
  <c r="GV93" i="4"/>
  <c r="GJ94" i="4"/>
  <c r="GV94" i="4"/>
  <c r="N95" i="4"/>
  <c r="DN95" i="4"/>
  <c r="H96" i="4"/>
  <c r="CI96" i="4"/>
  <c r="CC97" i="4"/>
  <c r="CP97" i="4"/>
  <c r="DB97" i="4"/>
  <c r="DN97" i="4"/>
  <c r="DZ97" i="4"/>
  <c r="EM97" i="4"/>
  <c r="AY98" i="4"/>
  <c r="FE101" i="4"/>
  <c r="GP101" i="4"/>
  <c r="HO101" i="4"/>
  <c r="IA101" i="4"/>
  <c r="IM101" i="4"/>
  <c r="IY101" i="4"/>
  <c r="HH102" i="4"/>
  <c r="HB103" i="4"/>
  <c r="IA103" i="4"/>
  <c r="CC104" i="4"/>
  <c r="HU104" i="4"/>
  <c r="AR105" i="4"/>
  <c r="CC105" i="4"/>
  <c r="CP105" i="4"/>
  <c r="DB105" i="4"/>
  <c r="N106" i="4"/>
  <c r="IA108" i="4"/>
  <c r="IY108" i="4"/>
  <c r="Z109" i="4"/>
  <c r="HU109" i="4"/>
  <c r="IG109" i="4"/>
  <c r="H110" i="4"/>
  <c r="DN111" i="4"/>
  <c r="EY111" i="4"/>
  <c r="H112" i="4"/>
  <c r="BW113" i="4"/>
  <c r="DZ114" i="4"/>
  <c r="ES116" i="4"/>
  <c r="CI119" i="4"/>
  <c r="DH119" i="4"/>
  <c r="CP120" i="4"/>
  <c r="DB120" i="4"/>
  <c r="DZ120" i="4"/>
  <c r="EM120" i="4"/>
  <c r="EY120" i="4"/>
  <c r="FK120" i="4"/>
  <c r="FX120" i="4"/>
  <c r="GV120" i="4"/>
  <c r="IS120" i="4"/>
  <c r="Z122" i="4"/>
  <c r="AL122" i="4"/>
  <c r="AY122" i="4"/>
  <c r="BW122" i="4"/>
  <c r="CV122" i="4"/>
  <c r="EG122" i="4"/>
  <c r="ES122" i="4"/>
  <c r="FQ122" i="4"/>
  <c r="GD122" i="4"/>
  <c r="GP122" i="4"/>
  <c r="HB122" i="4"/>
  <c r="EG126" i="4"/>
  <c r="ES126" i="4"/>
  <c r="FQ126" i="4"/>
  <c r="GD126" i="4"/>
  <c r="GP126" i="4"/>
  <c r="HB126" i="4"/>
  <c r="DZ127" i="4"/>
  <c r="EM127" i="4"/>
  <c r="ES128" i="4"/>
  <c r="CI129" i="4"/>
  <c r="CV129" i="4"/>
  <c r="EM129" i="4"/>
  <c r="HU129" i="4"/>
  <c r="IG129" i="4"/>
  <c r="H130" i="4"/>
  <c r="T130" i="4"/>
  <c r="AF130" i="4"/>
  <c r="EM130" i="4"/>
  <c r="EY130" i="4"/>
  <c r="FK130" i="4"/>
  <c r="FX130" i="4"/>
  <c r="GV130" i="4"/>
  <c r="IM130" i="4"/>
  <c r="ES131" i="4"/>
  <c r="FQ132" i="4"/>
  <c r="HU132" i="4"/>
  <c r="T133" i="4"/>
  <c r="CC133" i="4"/>
  <c r="CP133" i="4"/>
  <c r="DB133" i="4"/>
  <c r="EM133" i="4"/>
  <c r="AY134" i="4"/>
  <c r="BQ135" i="4"/>
  <c r="CP135" i="4"/>
  <c r="EY135" i="4"/>
  <c r="IG135" i="4"/>
  <c r="AF136" i="4"/>
  <c r="BE136" i="4"/>
  <c r="CP136" i="4"/>
  <c r="EM136" i="4"/>
  <c r="CV141" i="4"/>
  <c r="GD141" i="4"/>
  <c r="FQ142" i="4"/>
  <c r="HB142" i="4"/>
  <c r="GV143" i="4"/>
  <c r="AY157" i="4"/>
  <c r="BK157" i="4"/>
  <c r="BW157" i="4"/>
  <c r="EG157" i="4"/>
  <c r="ES157" i="4"/>
  <c r="FE157" i="4"/>
  <c r="DN159" i="4"/>
  <c r="H11" i="4"/>
  <c r="DB11" i="4"/>
  <c r="Z12" i="4"/>
  <c r="AY14" i="4"/>
  <c r="BK14" i="4"/>
  <c r="CI14" i="4"/>
  <c r="EG14" i="4"/>
  <c r="ES14" i="4"/>
  <c r="FQ14" i="4"/>
  <c r="HO14" i="4"/>
  <c r="IA14" i="4"/>
  <c r="IY14" i="4"/>
  <c r="N15" i="4"/>
  <c r="BQ15" i="4"/>
  <c r="CC15" i="4"/>
  <c r="DZ15" i="4"/>
  <c r="EM15" i="4"/>
  <c r="GJ15" i="4"/>
  <c r="HU15" i="4"/>
  <c r="IG15" i="4"/>
  <c r="IS15" i="4"/>
  <c r="BW16" i="4"/>
  <c r="DH16" i="4"/>
  <c r="FE16" i="4"/>
  <c r="GP16" i="4"/>
  <c r="IM16" i="4"/>
  <c r="BQ17" i="4"/>
  <c r="FK17" i="4"/>
  <c r="FX17" i="4"/>
  <c r="HH17" i="4"/>
  <c r="HU17" i="4"/>
  <c r="IG17" i="4"/>
  <c r="T18" i="4"/>
  <c r="CI18" i="4"/>
  <c r="CV18" i="4"/>
  <c r="FQ18" i="4"/>
  <c r="GD18" i="4"/>
  <c r="IY18" i="4"/>
  <c r="BK24" i="4"/>
  <c r="BW24" i="4"/>
  <c r="CI24" i="4"/>
  <c r="CV24" i="4"/>
  <c r="EG24" i="4"/>
  <c r="ES24" i="4"/>
  <c r="FE24" i="4"/>
  <c r="FQ24" i="4"/>
  <c r="GD24" i="4"/>
  <c r="HU24" i="4"/>
  <c r="BW25" i="4"/>
  <c r="IM25" i="4"/>
  <c r="IG26" i="4"/>
  <c r="EM27" i="4"/>
  <c r="GJ27" i="4"/>
  <c r="IG27" i="4"/>
  <c r="IS27" i="4"/>
  <c r="T28" i="4"/>
  <c r="IY28" i="4"/>
  <c r="N29" i="4"/>
  <c r="FK29" i="4"/>
  <c r="FX29" i="4"/>
  <c r="CV30" i="4"/>
  <c r="GD30" i="4"/>
  <c r="EY31" i="4"/>
  <c r="HH31" i="4"/>
  <c r="IG31" i="4"/>
  <c r="FQ32" i="4"/>
  <c r="N34" i="4"/>
  <c r="EG34" i="4"/>
  <c r="HH34" i="4"/>
  <c r="IG34" i="4"/>
  <c r="EY35" i="4"/>
  <c r="HH35" i="4"/>
  <c r="HU35" i="4"/>
  <c r="IS35" i="4"/>
  <c r="BK36" i="4"/>
  <c r="CI36" i="4"/>
  <c r="CV36" i="4"/>
  <c r="HO37" i="4"/>
  <c r="GJ38" i="4"/>
  <c r="EY39" i="4"/>
  <c r="GV39" i="4"/>
  <c r="H40" i="4"/>
  <c r="BQ40" i="4"/>
  <c r="CC40" i="4"/>
  <c r="CP40" i="4"/>
  <c r="DN42" i="4"/>
  <c r="GD42" i="4"/>
  <c r="CC43" i="4"/>
  <c r="IY43" i="4"/>
  <c r="N44" i="4"/>
  <c r="Z44" i="4"/>
  <c r="GP44" i="4"/>
  <c r="IM44" i="4"/>
  <c r="IY44" i="4"/>
  <c r="N45" i="4"/>
  <c r="EM45" i="4"/>
  <c r="IS45" i="4"/>
  <c r="T46" i="4"/>
  <c r="BW46" i="4"/>
  <c r="GJ46" i="4"/>
  <c r="IM47" i="4"/>
  <c r="IY47" i="4"/>
  <c r="N48" i="4"/>
  <c r="Z48" i="4"/>
  <c r="HU48" i="4"/>
  <c r="IG48" i="4"/>
  <c r="IS48" i="4"/>
  <c r="T50" i="4"/>
  <c r="BK50" i="4"/>
  <c r="BW50" i="4"/>
  <c r="CI50" i="4"/>
  <c r="CV50" i="4"/>
  <c r="DH50" i="4"/>
  <c r="DZ50" i="4"/>
  <c r="IS50" i="4"/>
  <c r="H51" i="4"/>
  <c r="T51" i="4"/>
  <c r="AF51" i="4"/>
  <c r="FQ51" i="4"/>
  <c r="IA52" i="4"/>
  <c r="CP53" i="4"/>
  <c r="DH53" i="4"/>
  <c r="FE53" i="4"/>
  <c r="DT54" i="4"/>
  <c r="N55" i="4"/>
  <c r="BQ55" i="4"/>
  <c r="CP55" i="4"/>
  <c r="FQ56" i="4"/>
  <c r="Z57" i="4"/>
  <c r="CP57" i="4"/>
  <c r="DN57" i="4"/>
  <c r="DZ57" i="4"/>
  <c r="FX57" i="4"/>
  <c r="GJ57" i="4"/>
  <c r="HU57" i="4"/>
  <c r="T58" i="4"/>
  <c r="AF58" i="4"/>
  <c r="DZ58" i="4"/>
  <c r="DB59" i="4"/>
  <c r="H60" i="4"/>
  <c r="DT60" i="4"/>
  <c r="AY62" i="4"/>
  <c r="EG62" i="4"/>
  <c r="HO62" i="4"/>
  <c r="N63" i="4"/>
  <c r="BQ63" i="4"/>
  <c r="DN63" i="4"/>
  <c r="FX64" i="4"/>
  <c r="GV64" i="4"/>
  <c r="HU64" i="4"/>
  <c r="BK65" i="4"/>
  <c r="FK65" i="4"/>
  <c r="HH65" i="4"/>
  <c r="BE66" i="4"/>
  <c r="DB66" i="4"/>
  <c r="IM66" i="4"/>
  <c r="AY67" i="4"/>
  <c r="BK67" i="4"/>
  <c r="BW67" i="4"/>
  <c r="CI67" i="4"/>
  <c r="DT67" i="4"/>
  <c r="ES67" i="4"/>
  <c r="GD67" i="4"/>
  <c r="HB67" i="4"/>
  <c r="HO67" i="4"/>
  <c r="IA67" i="4"/>
  <c r="IM67" i="4"/>
  <c r="IY67" i="4"/>
  <c r="N68" i="4"/>
  <c r="Z68" i="4"/>
  <c r="CC68" i="4"/>
  <c r="GV68" i="4"/>
  <c r="T69" i="4"/>
  <c r="BE69" i="4"/>
  <c r="FK69" i="4"/>
  <c r="GJ69" i="4"/>
  <c r="HU69" i="4"/>
  <c r="IS69" i="4"/>
  <c r="DH70" i="4"/>
  <c r="BQ71" i="4"/>
  <c r="DZ71" i="4"/>
  <c r="EM71" i="4"/>
  <c r="H72" i="4"/>
  <c r="DT72" i="4"/>
  <c r="EG72" i="4"/>
  <c r="IA72" i="4"/>
  <c r="IY72" i="4"/>
  <c r="Z73" i="4"/>
  <c r="CC73" i="4"/>
  <c r="DZ73" i="4"/>
  <c r="HU73" i="4"/>
  <c r="HO74" i="4"/>
  <c r="AY75" i="4"/>
  <c r="BQ75" i="4"/>
  <c r="BE76" i="4"/>
  <c r="BQ76" i="4"/>
  <c r="FQ78" i="4"/>
  <c r="GD78" i="4"/>
  <c r="GP78" i="4"/>
  <c r="HB78" i="4"/>
  <c r="HO78" i="4"/>
  <c r="BE79" i="4"/>
  <c r="BQ79" i="4"/>
  <c r="CC79" i="4"/>
  <c r="AY80" i="4"/>
  <c r="GD80" i="4"/>
  <c r="GP80" i="4"/>
  <c r="HB80" i="4"/>
  <c r="HO80" i="4"/>
  <c r="IA80" i="4"/>
  <c r="IM80" i="4"/>
  <c r="CP81" i="4"/>
  <c r="DB81" i="4"/>
  <c r="DN81" i="4"/>
  <c r="DZ81" i="4"/>
  <c r="EM81" i="4"/>
  <c r="IS81" i="4"/>
  <c r="EG82" i="4"/>
  <c r="FE82" i="4"/>
  <c r="GD82" i="4"/>
  <c r="BQ83" i="4"/>
  <c r="DH85" i="4"/>
  <c r="CV87" i="4"/>
  <c r="EG87" i="4"/>
  <c r="ES87" i="4"/>
  <c r="FE87" i="4"/>
  <c r="FQ87" i="4"/>
  <c r="GD87" i="4"/>
  <c r="HB87" i="4"/>
  <c r="CP88" i="4"/>
  <c r="FE89" i="4"/>
  <c r="GP89" i="4"/>
  <c r="HB89" i="4"/>
  <c r="IM89" i="4"/>
  <c r="DZ90" i="4"/>
  <c r="DN91" i="4"/>
  <c r="EY91" i="4"/>
  <c r="FX91" i="4"/>
  <c r="GJ91" i="4"/>
  <c r="GV91" i="4"/>
  <c r="HH91" i="4"/>
  <c r="H92" i="4"/>
  <c r="DN92" i="4"/>
  <c r="FK92" i="4"/>
  <c r="GV92" i="4"/>
  <c r="HU92" i="4"/>
  <c r="IS93" i="4"/>
  <c r="FE97" i="4"/>
  <c r="GP97" i="4"/>
  <c r="HO97" i="4"/>
  <c r="IA97" i="4"/>
  <c r="IM97" i="4"/>
  <c r="IY97" i="4"/>
  <c r="HH98" i="4"/>
  <c r="HB99" i="4"/>
  <c r="IA99" i="4"/>
  <c r="CC100" i="4"/>
  <c r="T101" i="4"/>
  <c r="CC101" i="4"/>
  <c r="CP101" i="4"/>
  <c r="DB101" i="4"/>
  <c r="DN101" i="4"/>
  <c r="DZ101" i="4"/>
  <c r="EM101" i="4"/>
  <c r="AY102" i="4"/>
  <c r="DH105" i="4"/>
  <c r="FE105" i="4"/>
  <c r="GP105" i="4"/>
  <c r="BQ107" i="4"/>
  <c r="H108" i="4"/>
  <c r="CP108" i="4"/>
  <c r="EM108" i="4"/>
  <c r="EY108" i="4"/>
  <c r="FK108" i="4"/>
  <c r="FX108" i="4"/>
  <c r="GV108" i="4"/>
  <c r="Z112" i="4"/>
  <c r="BK112" i="4"/>
  <c r="CI112" i="4"/>
  <c r="FQ112" i="4"/>
  <c r="IY112" i="4"/>
  <c r="FK113" i="4"/>
  <c r="GJ113" i="4"/>
  <c r="N115" i="4"/>
  <c r="AL115" i="4"/>
  <c r="CI115" i="4"/>
  <c r="DH115" i="4"/>
  <c r="FE115" i="4"/>
  <c r="FQ115" i="4"/>
  <c r="GD115" i="4"/>
  <c r="HB115" i="4"/>
  <c r="IA115" i="4"/>
  <c r="Z116" i="4"/>
  <c r="BK116" i="4"/>
  <c r="AR117" i="4"/>
  <c r="BQ117" i="4"/>
  <c r="BW118" i="4"/>
  <c r="CV118" i="4"/>
  <c r="GJ118" i="4"/>
  <c r="H119" i="4"/>
  <c r="BQ119" i="4"/>
  <c r="GD119" i="4"/>
  <c r="HH122" i="4"/>
  <c r="H123" i="4"/>
  <c r="CP123" i="4"/>
  <c r="DB123" i="4"/>
  <c r="DN123" i="4"/>
  <c r="DZ123" i="4"/>
  <c r="EM123" i="4"/>
  <c r="EY123" i="4"/>
  <c r="FK123" i="4"/>
  <c r="AF124" i="4"/>
  <c r="BE124" i="4"/>
  <c r="DH125" i="4"/>
  <c r="DT125" i="4"/>
  <c r="HH125" i="4"/>
  <c r="T126" i="4"/>
  <c r="AF126" i="4"/>
  <c r="DZ126" i="4"/>
  <c r="AL127" i="4"/>
  <c r="FE133" i="4"/>
  <c r="GP133" i="4"/>
  <c r="HO133" i="4"/>
  <c r="IG134" i="4"/>
  <c r="IS134" i="4"/>
  <c r="H135" i="4"/>
  <c r="AR135" i="4"/>
  <c r="BE135" i="4"/>
  <c r="Z137" i="4"/>
  <c r="BK137" i="4"/>
  <c r="BW137" i="4"/>
  <c r="DH137" i="4"/>
  <c r="ES137" i="4"/>
  <c r="FE137" i="4"/>
  <c r="GP137" i="4"/>
  <c r="IA137" i="4"/>
  <c r="IM137" i="4"/>
  <c r="N138" i="4"/>
  <c r="Z138" i="4"/>
  <c r="AL138" i="4"/>
  <c r="BW138" i="4"/>
  <c r="CV138" i="4"/>
  <c r="DT138" i="4"/>
  <c r="EG138" i="4"/>
  <c r="GP138" i="4"/>
  <c r="HB138" i="4"/>
  <c r="IM138" i="4"/>
  <c r="AL139" i="4"/>
  <c r="AY139" i="4"/>
  <c r="BK139" i="4"/>
  <c r="CI139" i="4"/>
  <c r="DT139" i="4"/>
  <c r="EG139" i="4"/>
  <c r="ES139" i="4"/>
  <c r="FQ139" i="4"/>
  <c r="HB139" i="4"/>
  <c r="HO139" i="4"/>
  <c r="IA139" i="4"/>
  <c r="IY139" i="4"/>
  <c r="N140" i="4"/>
  <c r="Z140" i="4"/>
  <c r="BK140" i="4"/>
  <c r="AY141" i="4"/>
  <c r="BK141" i="4"/>
  <c r="DZ143" i="4"/>
  <c r="FE144" i="4"/>
  <c r="GP144" i="4"/>
  <c r="N145" i="4"/>
  <c r="AY145" i="4"/>
  <c r="CV145" i="4"/>
  <c r="EG145" i="4"/>
  <c r="GD145" i="4"/>
  <c r="HO145" i="4"/>
  <c r="DH148" i="4"/>
  <c r="DT148" i="4"/>
  <c r="FQ148" i="4"/>
  <c r="GD148" i="4"/>
  <c r="GP148" i="4"/>
  <c r="IA148" i="4"/>
  <c r="Z149" i="4"/>
  <c r="DZ149" i="4"/>
  <c r="GJ149" i="4"/>
  <c r="GV149" i="4"/>
  <c r="HH149" i="4"/>
  <c r="T150" i="4"/>
  <c r="CC150" i="4"/>
  <c r="GJ150" i="4"/>
  <c r="AR151" i="4"/>
  <c r="CI151" i="4"/>
  <c r="IA152" i="4"/>
  <c r="T153" i="4"/>
  <c r="DB153" i="4"/>
  <c r="GJ153" i="4"/>
  <c r="H154" i="4"/>
  <c r="BE156" i="4"/>
  <c r="BQ156" i="4"/>
  <c r="CC156" i="4"/>
  <c r="HH156" i="4"/>
  <c r="HU156" i="4"/>
  <c r="GD157" i="4"/>
  <c r="N158" i="4"/>
  <c r="BK158" i="4"/>
  <c r="CV158" i="4"/>
  <c r="FQ158" i="4"/>
  <c r="Z159" i="4"/>
  <c r="BK159" i="4"/>
  <c r="DZ160" i="4"/>
  <c r="EM160" i="4"/>
  <c r="HB164" i="4"/>
  <c r="FQ165" i="4"/>
  <c r="GD165" i="4"/>
  <c r="GV166" i="4"/>
  <c r="GP167" i="4"/>
  <c r="DN170" i="4"/>
  <c r="N172" i="4"/>
  <c r="AL172" i="4"/>
  <c r="CV172" i="4"/>
  <c r="DT172" i="4"/>
  <c r="GD172" i="4"/>
  <c r="HB172" i="4"/>
  <c r="BE174" i="4"/>
  <c r="EM174" i="4"/>
  <c r="AR175" i="4"/>
  <c r="BE175" i="4"/>
  <c r="HO175" i="4"/>
  <c r="IM175" i="4"/>
  <c r="EG176" i="4"/>
  <c r="IS179" i="4"/>
  <c r="BQ180" i="4"/>
  <c r="EY180" i="4"/>
  <c r="IG180" i="4"/>
  <c r="FQ182" i="4"/>
  <c r="GJ183" i="4"/>
  <c r="T184" i="4"/>
  <c r="FE184" i="4"/>
  <c r="IM184" i="4"/>
  <c r="BK185" i="4"/>
  <c r="CI185" i="4"/>
  <c r="CV185" i="4"/>
  <c r="FQ185" i="4"/>
  <c r="GD185" i="4"/>
  <c r="Z191" i="4"/>
  <c r="AR192" i="4"/>
  <c r="IY198" i="4"/>
  <c r="IS199" i="4"/>
  <c r="BK201" i="4"/>
  <c r="CI201" i="4"/>
  <c r="CV201" i="4"/>
  <c r="FQ201" i="4"/>
  <c r="GJ207" i="4"/>
  <c r="H208" i="4"/>
  <c r="DH209" i="4"/>
  <c r="GJ219" i="4"/>
  <c r="GV219" i="4"/>
  <c r="DH222" i="4"/>
  <c r="N223" i="4"/>
  <c r="DN224" i="4"/>
  <c r="EG241" i="4"/>
  <c r="ES241" i="4"/>
  <c r="EM244" i="4"/>
  <c r="EY244" i="4"/>
  <c r="EM76" i="4"/>
  <c r="GP76" i="4"/>
  <c r="IY76" i="4"/>
  <c r="T78" i="4"/>
  <c r="EG78" i="4"/>
  <c r="ES78" i="4"/>
  <c r="GJ78" i="4"/>
  <c r="CI79" i="4"/>
  <c r="HB79" i="4"/>
  <c r="HO79" i="4"/>
  <c r="IA79" i="4"/>
  <c r="IM79" i="4"/>
  <c r="IY79" i="4"/>
  <c r="N80" i="4"/>
  <c r="Z80" i="4"/>
  <c r="FX80" i="4"/>
  <c r="FE81" i="4"/>
  <c r="DZ82" i="4"/>
  <c r="IS82" i="4"/>
  <c r="H83" i="4"/>
  <c r="T83" i="4"/>
  <c r="DH83" i="4"/>
  <c r="DT83" i="4"/>
  <c r="EG83" i="4"/>
  <c r="ES83" i="4"/>
  <c r="FE83" i="4"/>
  <c r="FQ83" i="4"/>
  <c r="GD83" i="4"/>
  <c r="CC84" i="4"/>
  <c r="CP84" i="4"/>
  <c r="IA84" i="4"/>
  <c r="IY84" i="4"/>
  <c r="Z85" i="4"/>
  <c r="GJ85" i="4"/>
  <c r="IS85" i="4"/>
  <c r="H86" i="4"/>
  <c r="AY86" i="4"/>
  <c r="EG86" i="4"/>
  <c r="ES86" i="4"/>
  <c r="FQ86" i="4"/>
  <c r="GD86" i="4"/>
  <c r="GP86" i="4"/>
  <c r="HB86" i="4"/>
  <c r="HO86" i="4"/>
  <c r="BQ87" i="4"/>
  <c r="CP87" i="4"/>
  <c r="DB87" i="4"/>
  <c r="DN87" i="4"/>
  <c r="DZ87" i="4"/>
  <c r="H88" i="4"/>
  <c r="FQ88" i="4"/>
  <c r="AY89" i="4"/>
  <c r="IS89" i="4"/>
  <c r="T90" i="4"/>
  <c r="AY90" i="4"/>
  <c r="IM90" i="4"/>
  <c r="AY91" i="4"/>
  <c r="BK91" i="4"/>
  <c r="BW91" i="4"/>
  <c r="CI91" i="4"/>
  <c r="CV91" i="4"/>
  <c r="DT91" i="4"/>
  <c r="ES91" i="4"/>
  <c r="N92" i="4"/>
  <c r="Z92" i="4"/>
  <c r="BE92" i="4"/>
  <c r="BQ92" i="4"/>
  <c r="HB92" i="4"/>
  <c r="T93" i="4"/>
  <c r="EG93" i="4"/>
  <c r="HO93" i="4"/>
  <c r="N94" i="4"/>
  <c r="AR94" i="4"/>
  <c r="CV94" i="4"/>
  <c r="FE94" i="4"/>
  <c r="FQ94" i="4"/>
  <c r="GD94" i="4"/>
  <c r="GP94" i="4"/>
  <c r="HB94" i="4"/>
  <c r="GD95" i="4"/>
  <c r="GV96" i="4"/>
  <c r="IS96" i="4"/>
  <c r="DH97" i="4"/>
  <c r="HH97" i="4"/>
  <c r="T98" i="4"/>
  <c r="BQ98" i="4"/>
  <c r="DB98" i="4"/>
  <c r="DN99" i="4"/>
  <c r="EY99" i="4"/>
  <c r="FK99" i="4"/>
  <c r="GV99" i="4"/>
  <c r="IG99" i="4"/>
  <c r="GP100" i="4"/>
  <c r="DH101" i="4"/>
  <c r="DT101" i="4"/>
  <c r="HH101" i="4"/>
  <c r="T102" i="4"/>
  <c r="AF102" i="4"/>
  <c r="BQ102" i="4"/>
  <c r="DB102" i="4"/>
  <c r="DN103" i="4"/>
  <c r="EY103" i="4"/>
  <c r="GV103" i="4"/>
  <c r="IG103" i="4"/>
  <c r="ES104" i="4"/>
  <c r="CI105" i="4"/>
  <c r="EM105" i="4"/>
  <c r="HU105" i="4"/>
  <c r="T106" i="4"/>
  <c r="EM106" i="4"/>
  <c r="EY106" i="4"/>
  <c r="FK106" i="4"/>
  <c r="IM106" i="4"/>
  <c r="ES107" i="4"/>
  <c r="FQ108" i="4"/>
  <c r="HU108" i="4"/>
  <c r="T109" i="4"/>
  <c r="CC109" i="4"/>
  <c r="CP109" i="4"/>
  <c r="DB109" i="4"/>
  <c r="BW110" i="4"/>
  <c r="CV110" i="4"/>
  <c r="GJ110" i="4"/>
  <c r="H111" i="4"/>
  <c r="HB111" i="4"/>
  <c r="IA111" i="4"/>
  <c r="CC112" i="4"/>
  <c r="HU112" i="4"/>
  <c r="AR113" i="4"/>
  <c r="CC113" i="4"/>
  <c r="CP113" i="4"/>
  <c r="Z114" i="4"/>
  <c r="AL114" i="4"/>
  <c r="AY114" i="4"/>
  <c r="BW114" i="4"/>
  <c r="CV114" i="4"/>
  <c r="EG114" i="4"/>
  <c r="FQ114" i="4"/>
  <c r="GD114" i="4"/>
  <c r="GP114" i="4"/>
  <c r="BQ115" i="4"/>
  <c r="H116" i="4"/>
  <c r="CP116" i="4"/>
  <c r="DB116" i="4"/>
  <c r="DZ116" i="4"/>
  <c r="EM116" i="4"/>
  <c r="EY116" i="4"/>
  <c r="FK116" i="4"/>
  <c r="FX116" i="4"/>
  <c r="DH117" i="4"/>
  <c r="DT117" i="4"/>
  <c r="HH117" i="4"/>
  <c r="T118" i="4"/>
  <c r="AF118" i="4"/>
  <c r="DN119" i="4"/>
  <c r="EY119" i="4"/>
  <c r="FK119" i="4"/>
  <c r="ES120" i="4"/>
  <c r="CI121" i="4"/>
  <c r="CV121" i="4"/>
  <c r="EM121" i="4"/>
  <c r="HU121" i="4"/>
  <c r="IG121" i="4"/>
  <c r="H122" i="4"/>
  <c r="T122" i="4"/>
  <c r="AF122" i="4"/>
  <c r="EM122" i="4"/>
  <c r="EY122" i="4"/>
  <c r="FK122" i="4"/>
  <c r="FX122" i="4"/>
  <c r="GV122" i="4"/>
  <c r="IM122" i="4"/>
  <c r="ES123" i="4"/>
  <c r="FQ124" i="4"/>
  <c r="HU124" i="4"/>
  <c r="T125" i="4"/>
  <c r="CC125" i="4"/>
  <c r="CP125" i="4"/>
  <c r="DB125" i="4"/>
  <c r="BW126" i="4"/>
  <c r="CV126" i="4"/>
  <c r="GJ126" i="4"/>
  <c r="H127" i="4"/>
  <c r="HB127" i="4"/>
  <c r="IA127" i="4"/>
  <c r="CC128" i="4"/>
  <c r="HU128" i="4"/>
  <c r="AR129" i="4"/>
  <c r="BQ129" i="4"/>
  <c r="CC129" i="4"/>
  <c r="CP129" i="4"/>
  <c r="Z130" i="4"/>
  <c r="AL130" i="4"/>
  <c r="AY130" i="4"/>
  <c r="BW130" i="4"/>
  <c r="CV130" i="4"/>
  <c r="EG130" i="4"/>
  <c r="ES130" i="4"/>
  <c r="FQ130" i="4"/>
  <c r="GD130" i="4"/>
  <c r="GP130" i="4"/>
  <c r="BQ131" i="4"/>
  <c r="H132" i="4"/>
  <c r="CP132" i="4"/>
  <c r="DB132" i="4"/>
  <c r="DZ132" i="4"/>
  <c r="EM132" i="4"/>
  <c r="EY132" i="4"/>
  <c r="FK132" i="4"/>
  <c r="FX132" i="4"/>
  <c r="DH133" i="4"/>
  <c r="DT133" i="4"/>
  <c r="HH133" i="4"/>
  <c r="T134" i="4"/>
  <c r="AF134" i="4"/>
  <c r="HO134" i="4"/>
  <c r="EG135" i="4"/>
  <c r="ES135" i="4"/>
  <c r="HO135" i="4"/>
  <c r="IA135" i="4"/>
  <c r="N136" i="4"/>
  <c r="Z136" i="4"/>
  <c r="BW136" i="4"/>
  <c r="DT136" i="4"/>
  <c r="FQ136" i="4"/>
  <c r="GD136" i="4"/>
  <c r="DN138" i="4"/>
  <c r="FX138" i="4"/>
  <c r="IG138" i="4"/>
  <c r="CC139" i="4"/>
  <c r="FK139" i="4"/>
  <c r="IS139" i="4"/>
  <c r="AR140" i="4"/>
  <c r="CC140" i="4"/>
  <c r="EM141" i="4"/>
  <c r="HU141" i="4"/>
  <c r="DZ142" i="4"/>
  <c r="EM142" i="4"/>
  <c r="EY142" i="4"/>
  <c r="GJ142" i="4"/>
  <c r="IG142" i="4"/>
  <c r="IS142" i="4"/>
  <c r="DH143" i="4"/>
  <c r="HB143" i="4"/>
  <c r="HO143" i="4"/>
  <c r="IA143" i="4"/>
  <c r="N144" i="4"/>
  <c r="Z144" i="4"/>
  <c r="BK144" i="4"/>
  <c r="DT144" i="4"/>
  <c r="FK144" i="4"/>
  <c r="T145" i="4"/>
  <c r="DB145" i="4"/>
  <c r="GJ145" i="4"/>
  <c r="H146" i="4"/>
  <c r="BE148" i="4"/>
  <c r="BQ148" i="4"/>
  <c r="CC148" i="4"/>
  <c r="DN148" i="4"/>
  <c r="EM148" i="4"/>
  <c r="FK148" i="4"/>
  <c r="FX148" i="4"/>
  <c r="IG148" i="4"/>
  <c r="IS148" i="4"/>
  <c r="T149" i="4"/>
  <c r="AF149" i="4"/>
  <c r="HO149" i="4"/>
  <c r="IA149" i="4"/>
  <c r="IM149" i="4"/>
  <c r="Z150" i="4"/>
  <c r="AL150" i="4"/>
  <c r="BW150" i="4"/>
  <c r="CV150" i="4"/>
  <c r="GD150" i="4"/>
  <c r="GP150" i="4"/>
  <c r="HB150" i="4"/>
  <c r="IM150" i="4"/>
  <c r="AL151" i="4"/>
  <c r="AY151" i="4"/>
  <c r="FK151" i="4"/>
  <c r="FX151" i="4"/>
  <c r="H152" i="4"/>
  <c r="BQ152" i="4"/>
  <c r="CC152" i="4"/>
  <c r="DN152" i="4"/>
  <c r="EM152" i="4"/>
  <c r="FX152" i="4"/>
  <c r="BK154" i="4"/>
  <c r="FQ154" i="4"/>
  <c r="GD154" i="4"/>
  <c r="IA154" i="4"/>
  <c r="Z155" i="4"/>
  <c r="DH155" i="4"/>
  <c r="GP155" i="4"/>
  <c r="DH156" i="4"/>
  <c r="DT156" i="4"/>
  <c r="FQ156" i="4"/>
  <c r="GD156" i="4"/>
  <c r="GP156" i="4"/>
  <c r="IA156" i="4"/>
  <c r="Z157" i="4"/>
  <c r="HU157" i="4"/>
  <c r="DZ158" i="4"/>
  <c r="EM158" i="4"/>
  <c r="EY158" i="4"/>
  <c r="IG158" i="4"/>
  <c r="IS158" i="4"/>
  <c r="H159" i="4"/>
  <c r="AR159" i="4"/>
  <c r="IA159" i="4"/>
  <c r="DH160" i="4"/>
  <c r="DT160" i="4"/>
  <c r="ES160" i="4"/>
  <c r="GV161" i="4"/>
  <c r="HU161" i="4"/>
  <c r="AR163" i="4"/>
  <c r="EG163" i="4"/>
  <c r="DB164" i="4"/>
  <c r="H165" i="4"/>
  <c r="T165" i="4"/>
  <c r="AF165" i="4"/>
  <c r="CP165" i="4"/>
  <c r="DB165" i="4"/>
  <c r="DN165" i="4"/>
  <c r="FX165" i="4"/>
  <c r="DT166" i="4"/>
  <c r="ES166" i="4"/>
  <c r="FQ166" i="4"/>
  <c r="GD166" i="4"/>
  <c r="HB166" i="4"/>
  <c r="CC167" i="4"/>
  <c r="EM167" i="4"/>
  <c r="EY167" i="4"/>
  <c r="FK167" i="4"/>
  <c r="N168" i="4"/>
  <c r="DT168" i="4"/>
  <c r="HB168" i="4"/>
  <c r="N169" i="4"/>
  <c r="AL170" i="4"/>
  <c r="AY170" i="4"/>
  <c r="BK170" i="4"/>
  <c r="BW170" i="4"/>
  <c r="CI170" i="4"/>
  <c r="DT170" i="4"/>
  <c r="EG170" i="4"/>
  <c r="ES170" i="4"/>
  <c r="FE170" i="4"/>
  <c r="H172" i="4"/>
  <c r="T172" i="4"/>
  <c r="AF172" i="4"/>
  <c r="AR172" i="4"/>
  <c r="CC172" i="4"/>
  <c r="CP172" i="4"/>
  <c r="DB172" i="4"/>
  <c r="DN172" i="4"/>
  <c r="DZ172" i="4"/>
  <c r="FK172" i="4"/>
  <c r="FX172" i="4"/>
  <c r="GJ172" i="4"/>
  <c r="GV172" i="4"/>
  <c r="HH172" i="4"/>
  <c r="IS172" i="4"/>
  <c r="AL173" i="4"/>
  <c r="CV174" i="4"/>
  <c r="HB174" i="4"/>
  <c r="HO174" i="4"/>
  <c r="IA174" i="4"/>
  <c r="IY174" i="4"/>
  <c r="Z175" i="4"/>
  <c r="AL175" i="4"/>
  <c r="GV175" i="4"/>
  <c r="HU175" i="4"/>
  <c r="IG175" i="4"/>
  <c r="IS175" i="4"/>
  <c r="T176" i="4"/>
  <c r="BE176" i="4"/>
  <c r="DB176" i="4"/>
  <c r="DZ176" i="4"/>
  <c r="EM176" i="4"/>
  <c r="IA179" i="4"/>
  <c r="AY180" i="4"/>
  <c r="BK180" i="4"/>
  <c r="BW180" i="4"/>
  <c r="EG180" i="4"/>
  <c r="ES180" i="4"/>
  <c r="FE180" i="4"/>
  <c r="HO180" i="4"/>
  <c r="IA180" i="4"/>
  <c r="IM180" i="4"/>
  <c r="N181" i="4"/>
  <c r="AY181" i="4"/>
  <c r="CP181" i="4"/>
  <c r="CP182" i="4"/>
  <c r="DN182" i="4"/>
  <c r="FX182" i="4"/>
  <c r="GV182" i="4"/>
  <c r="H183" i="4"/>
  <c r="DH183" i="4"/>
  <c r="Z184" i="4"/>
  <c r="GJ185" i="4"/>
  <c r="Z186" i="4"/>
  <c r="BK186" i="4"/>
  <c r="DH186" i="4"/>
  <c r="ES186" i="4"/>
  <c r="GP186" i="4"/>
  <c r="IA186" i="4"/>
  <c r="AY187" i="4"/>
  <c r="BW187" i="4"/>
  <c r="FE187" i="4"/>
  <c r="GP187" i="4"/>
  <c r="BW189" i="4"/>
  <c r="CV189" i="4"/>
  <c r="FX189" i="4"/>
  <c r="GV189" i="4"/>
  <c r="AF190" i="4"/>
  <c r="GV190" i="4"/>
  <c r="BE191" i="4"/>
  <c r="CP191" i="4"/>
  <c r="EG191" i="4"/>
  <c r="CI192" i="4"/>
  <c r="DZ192" i="4"/>
  <c r="HH192" i="4"/>
  <c r="H194" i="4"/>
  <c r="CC194" i="4"/>
  <c r="CP194" i="4"/>
  <c r="FK194" i="4"/>
  <c r="FX194" i="4"/>
  <c r="IS194" i="4"/>
  <c r="T195" i="4"/>
  <c r="DB195" i="4"/>
  <c r="DZ195" i="4"/>
  <c r="EM195" i="4"/>
  <c r="HH195" i="4"/>
  <c r="ES197" i="4"/>
  <c r="IA197" i="4"/>
  <c r="IY197" i="4"/>
  <c r="GV198" i="4"/>
  <c r="H199" i="4"/>
  <c r="IY199" i="4"/>
  <c r="HU200" i="4"/>
  <c r="AR201" i="4"/>
  <c r="BE201" i="4"/>
  <c r="BQ201" i="4"/>
  <c r="CC201" i="4"/>
  <c r="FK201" i="4"/>
  <c r="N204" i="4"/>
  <c r="AL204" i="4"/>
  <c r="CV204" i="4"/>
  <c r="DT204" i="4"/>
  <c r="GD204" i="4"/>
  <c r="HB204" i="4"/>
  <c r="CP205" i="4"/>
  <c r="BE206" i="4"/>
  <c r="IG206" i="4"/>
  <c r="GD208" i="4"/>
  <c r="HB208" i="4"/>
  <c r="H209" i="4"/>
  <c r="AF209" i="4"/>
  <c r="AR209" i="4"/>
  <c r="DT213" i="4"/>
  <c r="EG213" i="4"/>
  <c r="ES213" i="4"/>
  <c r="FE213" i="4"/>
  <c r="FQ213" i="4"/>
  <c r="IS213" i="4"/>
  <c r="BQ214" i="4"/>
  <c r="DB214" i="4"/>
  <c r="N215" i="4"/>
  <c r="AY215" i="4"/>
  <c r="CV215" i="4"/>
  <c r="DT215" i="4"/>
  <c r="ES216" i="4"/>
  <c r="IA216" i="4"/>
  <c r="FQ217" i="4"/>
  <c r="GD217" i="4"/>
  <c r="AY218" i="4"/>
  <c r="DT218" i="4"/>
  <c r="BK219" i="4"/>
  <c r="HO224" i="4"/>
  <c r="EG225" i="4"/>
  <c r="ES225" i="4"/>
  <c r="FE225" i="4"/>
  <c r="FQ225" i="4"/>
  <c r="HH226" i="4"/>
  <c r="DB227" i="4"/>
  <c r="DN227" i="4"/>
  <c r="DZ227" i="4"/>
  <c r="EY227" i="4"/>
  <c r="BQ228" i="4"/>
  <c r="DH229" i="4"/>
  <c r="ES229" i="4"/>
  <c r="GP229" i="4"/>
  <c r="IA229" i="4"/>
  <c r="IM229" i="4"/>
  <c r="EM232" i="4"/>
  <c r="EY232" i="4"/>
  <c r="IG232" i="4"/>
  <c r="IS232" i="4"/>
  <c r="AR233" i="4"/>
  <c r="DZ233" i="4"/>
  <c r="IY234" i="4"/>
  <c r="BQ235" i="4"/>
  <c r="EY235" i="4"/>
  <c r="FX235" i="4"/>
  <c r="HU236" i="4"/>
  <c r="IG238" i="4"/>
  <c r="IS238" i="4"/>
  <c r="H239" i="4"/>
  <c r="T239" i="4"/>
  <c r="AR239" i="4"/>
  <c r="CP239" i="4"/>
  <c r="DB239" i="4"/>
  <c r="DZ239" i="4"/>
  <c r="FX239" i="4"/>
  <c r="GJ239" i="4"/>
  <c r="HH239" i="4"/>
  <c r="EM240" i="4"/>
  <c r="EY240" i="4"/>
  <c r="IG240" i="4"/>
  <c r="IS240" i="4"/>
  <c r="AR241" i="4"/>
  <c r="HO242" i="4"/>
  <c r="IM242" i="4"/>
  <c r="DT245" i="4"/>
  <c r="EG245" i="4"/>
  <c r="FQ245" i="4"/>
  <c r="GD245" i="4"/>
  <c r="HU248" i="4"/>
  <c r="IG248" i="4"/>
  <c r="IS248" i="4"/>
  <c r="AF250" i="4"/>
  <c r="BQ250" i="4"/>
  <c r="CC250" i="4"/>
  <c r="EM250" i="4"/>
  <c r="GV250" i="4"/>
  <c r="EG253" i="4"/>
  <c r="ES253" i="4"/>
  <c r="FE253" i="4"/>
  <c r="FQ253" i="4"/>
  <c r="IA253" i="4"/>
  <c r="IM253" i="4"/>
  <c r="IY253" i="4"/>
  <c r="Z254" i="4"/>
  <c r="AL254" i="4"/>
  <c r="BK254" i="4"/>
  <c r="H259" i="4"/>
  <c r="T259" i="4"/>
  <c r="AR259" i="4"/>
  <c r="CC259" i="4"/>
  <c r="CP259" i="4"/>
  <c r="DB259" i="4"/>
  <c r="DZ259" i="4"/>
  <c r="FK259" i="4"/>
  <c r="FX259" i="4"/>
  <c r="GJ259" i="4"/>
  <c r="HH259" i="4"/>
  <c r="IS259" i="4"/>
  <c r="ES262" i="4"/>
  <c r="GP262" i="4"/>
  <c r="HB262" i="4"/>
  <c r="IY262" i="4"/>
  <c r="BW263" i="4"/>
  <c r="CI263" i="4"/>
  <c r="EY263" i="4"/>
  <c r="AF264" i="4"/>
  <c r="BQ264" i="4"/>
  <c r="DB264" i="4"/>
  <c r="EY264" i="4"/>
  <c r="ES265" i="4"/>
  <c r="GV267" i="4"/>
  <c r="HH267" i="4"/>
  <c r="IM268" i="4"/>
  <c r="FX269" i="4"/>
  <c r="AR270" i="4"/>
  <c r="BE270" i="4"/>
  <c r="IS270" i="4"/>
  <c r="FX273" i="4"/>
  <c r="HH291" i="4"/>
  <c r="FQ162" i="4"/>
  <c r="GJ163" i="4"/>
  <c r="HH163" i="4"/>
  <c r="AF166" i="4"/>
  <c r="IY166" i="4"/>
  <c r="BQ169" i="4"/>
  <c r="GP170" i="4"/>
  <c r="Z171" i="4"/>
  <c r="CP173" i="4"/>
  <c r="EG175" i="4"/>
  <c r="DT181" i="4"/>
  <c r="CC183" i="4"/>
  <c r="BW184" i="4"/>
  <c r="H186" i="4"/>
  <c r="CC186" i="4"/>
  <c r="CP186" i="4"/>
  <c r="FK186" i="4"/>
  <c r="FX186" i="4"/>
  <c r="IS186" i="4"/>
  <c r="T187" i="4"/>
  <c r="DB187" i="4"/>
  <c r="DZ187" i="4"/>
  <c r="EM187" i="4"/>
  <c r="HH187" i="4"/>
  <c r="HU187" i="4"/>
  <c r="ES189" i="4"/>
  <c r="IA189" i="4"/>
  <c r="IY189" i="4"/>
  <c r="FK191" i="4"/>
  <c r="HO192" i="4"/>
  <c r="Z194" i="4"/>
  <c r="BK194" i="4"/>
  <c r="DH194" i="4"/>
  <c r="ES194" i="4"/>
  <c r="GP194" i="4"/>
  <c r="IA194" i="4"/>
  <c r="AY195" i="4"/>
  <c r="BW195" i="4"/>
  <c r="FE195" i="4"/>
  <c r="GP195" i="4"/>
  <c r="N196" i="4"/>
  <c r="AL196" i="4"/>
  <c r="CV196" i="4"/>
  <c r="DT196" i="4"/>
  <c r="GD196" i="4"/>
  <c r="HB196" i="4"/>
  <c r="DN198" i="4"/>
  <c r="EM199" i="4"/>
  <c r="AY200" i="4"/>
  <c r="H202" i="4"/>
  <c r="CC202" i="4"/>
  <c r="CP202" i="4"/>
  <c r="FK202" i="4"/>
  <c r="FX202" i="4"/>
  <c r="IS202" i="4"/>
  <c r="T203" i="4"/>
  <c r="DB203" i="4"/>
  <c r="DZ203" i="4"/>
  <c r="EM203" i="4"/>
  <c r="HH203" i="4"/>
  <c r="CI206" i="4"/>
  <c r="FK210" i="4"/>
  <c r="IY221" i="4"/>
  <c r="EY223" i="4"/>
  <c r="IM225" i="4"/>
  <c r="AY226" i="4"/>
  <c r="DH226" i="4"/>
  <c r="DN228" i="4"/>
  <c r="N230" i="4"/>
  <c r="AY230" i="4"/>
  <c r="CV230" i="4"/>
  <c r="FE230" i="4"/>
  <c r="N231" i="4"/>
  <c r="CV231" i="4"/>
  <c r="BQ243" i="4"/>
  <c r="EY243" i="4"/>
  <c r="FX243" i="4"/>
  <c r="AY246" i="4"/>
  <c r="FX251" i="4"/>
  <c r="BW254" i="4"/>
  <c r="CV254" i="4"/>
  <c r="IM254" i="4"/>
  <c r="DT255" i="4"/>
  <c r="CI256" i="4"/>
  <c r="ES256" i="4"/>
  <c r="GD256" i="4"/>
  <c r="GV260" i="4"/>
  <c r="FE264" i="4"/>
  <c r="GD264" i="4"/>
  <c r="HB264" i="4"/>
  <c r="BE266" i="4"/>
  <c r="CC266" i="4"/>
  <c r="CP266" i="4"/>
  <c r="AY267" i="4"/>
  <c r="BK267" i="4"/>
  <c r="BW267" i="4"/>
  <c r="ES267" i="4"/>
  <c r="FE267" i="4"/>
  <c r="BQ268" i="4"/>
  <c r="CI269" i="4"/>
  <c r="CP209" i="4"/>
  <c r="DZ209" i="4"/>
  <c r="DT210" i="4"/>
  <c r="EG210" i="4"/>
  <c r="AF211" i="4"/>
  <c r="DN211" i="4"/>
  <c r="GV211" i="4"/>
  <c r="CP212" i="4"/>
  <c r="EM212" i="4"/>
  <c r="T213" i="4"/>
  <c r="AF213" i="4"/>
  <c r="BE213" i="4"/>
  <c r="CP213" i="4"/>
  <c r="GJ213" i="4"/>
  <c r="GV213" i="4"/>
  <c r="AL214" i="4"/>
  <c r="DH214" i="4"/>
  <c r="EY215" i="4"/>
  <c r="IG215" i="4"/>
  <c r="H216" i="4"/>
  <c r="CP216" i="4"/>
  <c r="T217" i="4"/>
  <c r="AF217" i="4"/>
  <c r="FX217" i="4"/>
  <c r="GJ217" i="4"/>
  <c r="GV217" i="4"/>
  <c r="CP218" i="4"/>
  <c r="DB218" i="4"/>
  <c r="DZ218" i="4"/>
  <c r="H219" i="4"/>
  <c r="T219" i="4"/>
  <c r="AR219" i="4"/>
  <c r="IA220" i="4"/>
  <c r="AY221" i="4"/>
  <c r="CC221" i="4"/>
  <c r="DN221" i="4"/>
  <c r="FX221" i="4"/>
  <c r="HU221" i="4"/>
  <c r="DN222" i="4"/>
  <c r="DZ222" i="4"/>
  <c r="EM222" i="4"/>
  <c r="EY222" i="4"/>
  <c r="AF223" i="4"/>
  <c r="AR223" i="4"/>
  <c r="BE223" i="4"/>
  <c r="BQ223" i="4"/>
  <c r="CP223" i="4"/>
  <c r="DT223" i="4"/>
  <c r="IY223" i="4"/>
  <c r="BK224" i="4"/>
  <c r="EG224" i="4"/>
  <c r="ES224" i="4"/>
  <c r="GV224" i="4"/>
  <c r="BE226" i="4"/>
  <c r="DZ226" i="4"/>
  <c r="HO226" i="4"/>
  <c r="N227" i="4"/>
  <c r="FE227" i="4"/>
  <c r="FQ227" i="4"/>
  <c r="IY227" i="4"/>
  <c r="Z229" i="4"/>
  <c r="GJ229" i="4"/>
  <c r="EM230" i="4"/>
  <c r="HU230" i="4"/>
  <c r="IG230" i="4"/>
  <c r="T231" i="4"/>
  <c r="AF231" i="4"/>
  <c r="AR231" i="4"/>
  <c r="CP231" i="4"/>
  <c r="Z232" i="4"/>
  <c r="BK232" i="4"/>
  <c r="AY233" i="4"/>
  <c r="EG233" i="4"/>
  <c r="HB236" i="4"/>
  <c r="HO236" i="4"/>
  <c r="AY239" i="4"/>
  <c r="EG239" i="4"/>
  <c r="HO239" i="4"/>
  <c r="N240" i="4"/>
  <c r="DH240" i="4"/>
  <c r="DT240" i="4"/>
  <c r="GD240" i="4"/>
  <c r="IM240" i="4"/>
  <c r="AL241" i="4"/>
  <c r="AR243" i="4"/>
  <c r="CV243" i="4"/>
  <c r="DT243" i="4"/>
  <c r="BW244" i="4"/>
  <c r="CV244" i="4"/>
  <c r="DH244" i="4"/>
  <c r="DT244" i="4"/>
  <c r="HO244" i="4"/>
  <c r="IM244" i="4"/>
  <c r="N245" i="4"/>
  <c r="CI245" i="4"/>
  <c r="CV245" i="4"/>
  <c r="EM245" i="4"/>
  <c r="FK245" i="4"/>
  <c r="GJ245" i="4"/>
  <c r="BQ246" i="4"/>
  <c r="CC246" i="4"/>
  <c r="EM246" i="4"/>
  <c r="EY246" i="4"/>
  <c r="N247" i="4"/>
  <c r="CV247" i="4"/>
  <c r="GD247" i="4"/>
  <c r="CI248" i="4"/>
  <c r="CV248" i="4"/>
  <c r="ES248" i="4"/>
  <c r="GD248" i="4"/>
  <c r="IY248" i="4"/>
  <c r="BK249" i="4"/>
  <c r="ES249" i="4"/>
  <c r="IA249" i="4"/>
  <c r="Z251" i="4"/>
  <c r="AY251" i="4"/>
  <c r="BK251" i="4"/>
  <c r="BW251" i="4"/>
  <c r="DH251" i="4"/>
  <c r="EG251" i="4"/>
  <c r="ES251" i="4"/>
  <c r="FE251" i="4"/>
  <c r="GP251" i="4"/>
  <c r="HO251" i="4"/>
  <c r="IA251" i="4"/>
  <c r="IM251" i="4"/>
  <c r="IY251" i="4"/>
  <c r="N252" i="4"/>
  <c r="Z252" i="4"/>
  <c r="EY254" i="4"/>
  <c r="FK254" i="4"/>
  <c r="GV254" i="4"/>
  <c r="HU254" i="4"/>
  <c r="AR256" i="4"/>
  <c r="BE256" i="4"/>
  <c r="BQ256" i="4"/>
  <c r="DB256" i="4"/>
  <c r="FK256" i="4"/>
  <c r="HH256" i="4"/>
  <c r="HU256" i="4"/>
  <c r="IG256" i="4"/>
  <c r="T257" i="4"/>
  <c r="FE260" i="4"/>
  <c r="GD260" i="4"/>
  <c r="HB260" i="4"/>
  <c r="HO260" i="4"/>
  <c r="N261" i="4"/>
  <c r="BE261" i="4"/>
  <c r="GV261" i="4"/>
  <c r="CP262" i="4"/>
  <c r="GV262" i="4"/>
  <c r="HU262" i="4"/>
  <c r="IS262" i="4"/>
  <c r="H263" i="4"/>
  <c r="T263" i="4"/>
  <c r="CC263" i="4"/>
  <c r="CP263" i="4"/>
  <c r="IM263" i="4"/>
  <c r="FX264" i="4"/>
  <c r="GV264" i="4"/>
  <c r="H265" i="4"/>
  <c r="CP265" i="4"/>
  <c r="DN265" i="4"/>
  <c r="BW266" i="4"/>
  <c r="HH266" i="4"/>
  <c r="HU266" i="4"/>
  <c r="GD267" i="4"/>
  <c r="HB267" i="4"/>
  <c r="BQ269" i="4"/>
  <c r="CP269" i="4"/>
  <c r="DZ269" i="4"/>
  <c r="FQ269" i="4"/>
  <c r="IY269" i="4"/>
  <c r="DH270" i="4"/>
  <c r="HO271" i="4"/>
  <c r="BW272" i="4"/>
  <c r="CV272" i="4"/>
  <c r="DH272" i="4"/>
  <c r="DT272" i="4"/>
  <c r="EG272" i="4"/>
  <c r="GD272" i="4"/>
  <c r="HO272" i="4"/>
  <c r="FE273" i="4"/>
  <c r="FQ273" i="4"/>
  <c r="IS273" i="4"/>
  <c r="DB274" i="4"/>
  <c r="DZ274" i="4"/>
  <c r="EM274" i="4"/>
  <c r="T276" i="4"/>
  <c r="BE276" i="4"/>
  <c r="DB276" i="4"/>
  <c r="Z277" i="4"/>
  <c r="AY277" i="4"/>
  <c r="DT278" i="4"/>
  <c r="EG278" i="4"/>
  <c r="AL279" i="4"/>
  <c r="BK279" i="4"/>
  <c r="CI279" i="4"/>
  <c r="IA279" i="4"/>
  <c r="IY279" i="4"/>
  <c r="AY281" i="4"/>
  <c r="DT281" i="4"/>
  <c r="EG283" i="4"/>
  <c r="CP284" i="4"/>
  <c r="EM284" i="4"/>
  <c r="EY284" i="4"/>
  <c r="IY284" i="4"/>
  <c r="ES285" i="4"/>
  <c r="Z286" i="4"/>
  <c r="AL286" i="4"/>
  <c r="CI286" i="4"/>
  <c r="CV286" i="4"/>
  <c r="DH286" i="4"/>
  <c r="DT286" i="4"/>
  <c r="ES286" i="4"/>
  <c r="GP286" i="4"/>
  <c r="HB286" i="4"/>
  <c r="EY287" i="4"/>
  <c r="BQ288" i="4"/>
  <c r="EG290" i="4"/>
  <c r="FE290" i="4"/>
  <c r="IM290" i="4"/>
  <c r="N291" i="4"/>
  <c r="AY291" i="4"/>
  <c r="BK291" i="4"/>
  <c r="EG291" i="4"/>
  <c r="ES291" i="4"/>
  <c r="CC292" i="4"/>
  <c r="GP292" i="4"/>
  <c r="DZ293" i="4"/>
  <c r="HH293" i="4"/>
  <c r="BQ294" i="4"/>
  <c r="CC294" i="4"/>
  <c r="EM294" i="4"/>
  <c r="EY294" i="4"/>
  <c r="FK294" i="4"/>
  <c r="H295" i="4"/>
  <c r="T295" i="4"/>
  <c r="AF295" i="4"/>
  <c r="AR295" i="4"/>
  <c r="DN295" i="4"/>
  <c r="DZ295" i="4"/>
  <c r="FX295" i="4"/>
  <c r="GJ295" i="4"/>
  <c r="GV295" i="4"/>
  <c r="HH295" i="4"/>
  <c r="EM296" i="4"/>
  <c r="EY296" i="4"/>
  <c r="FK296" i="4"/>
  <c r="BK297" i="4"/>
  <c r="BW297" i="4"/>
  <c r="IS298" i="4"/>
  <c r="DN299" i="4"/>
  <c r="DZ299" i="4"/>
  <c r="T300" i="4"/>
  <c r="BK300" i="4"/>
  <c r="FQ300" i="4"/>
  <c r="GD300" i="4"/>
  <c r="IM300" i="4"/>
  <c r="T272" i="4"/>
  <c r="GJ272" i="4"/>
  <c r="IG272" i="4"/>
  <c r="T273" i="4"/>
  <c r="AF273" i="4"/>
  <c r="AR273" i="4"/>
  <c r="CP273" i="4"/>
  <c r="DB273" i="4"/>
  <c r="DN273" i="4"/>
  <c r="DZ273" i="4"/>
  <c r="FE274" i="4"/>
  <c r="HO274" i="4"/>
  <c r="N275" i="4"/>
  <c r="AL275" i="4"/>
  <c r="AY276" i="4"/>
  <c r="EG276" i="4"/>
  <c r="FX276" i="4"/>
  <c r="HU277" i="4"/>
  <c r="IS277" i="4"/>
  <c r="BQ278" i="4"/>
  <c r="IG278" i="4"/>
  <c r="BQ279" i="4"/>
  <c r="EY279" i="4"/>
  <c r="EM280" i="4"/>
  <c r="FK280" i="4"/>
  <c r="IS280" i="4"/>
  <c r="DN281" i="4"/>
  <c r="GP281" i="4"/>
  <c r="HO281" i="4"/>
  <c r="ES282" i="4"/>
  <c r="FE282" i="4"/>
  <c r="FQ282" i="4"/>
  <c r="GD282" i="4"/>
  <c r="GP282" i="4"/>
  <c r="HB282" i="4"/>
  <c r="FQ283" i="4"/>
  <c r="DT284" i="4"/>
  <c r="EG284" i="4"/>
  <c r="FK285" i="4"/>
  <c r="AL287" i="4"/>
  <c r="BW287" i="4"/>
  <c r="FQ288" i="4"/>
  <c r="IA288" i="4"/>
  <c r="IY288" i="4"/>
  <c r="BK289" i="4"/>
  <c r="HU289" i="4"/>
  <c r="IS289" i="4"/>
  <c r="DB290" i="4"/>
  <c r="DZ290" i="4"/>
  <c r="DZ291" i="4"/>
  <c r="EM291" i="4"/>
  <c r="DH292" i="4"/>
  <c r="FX292" i="4"/>
  <c r="AR293" i="4"/>
  <c r="FE293" i="4"/>
  <c r="AL294" i="4"/>
  <c r="BK294" i="4"/>
  <c r="CI294" i="4"/>
  <c r="CV294" i="4"/>
  <c r="DH294" i="4"/>
  <c r="DT294" i="4"/>
  <c r="GP294" i="4"/>
  <c r="IA294" i="4"/>
  <c r="IY294" i="4"/>
  <c r="BW295" i="4"/>
  <c r="DH295" i="4"/>
  <c r="EG295" i="4"/>
  <c r="ES295" i="4"/>
  <c r="FE295" i="4"/>
  <c r="FQ295" i="4"/>
  <c r="IM295" i="4"/>
  <c r="N296" i="4"/>
  <c r="Z296" i="4"/>
  <c r="AL296" i="4"/>
  <c r="BW296" i="4"/>
  <c r="CV296" i="4"/>
  <c r="DH296" i="4"/>
  <c r="DT296" i="4"/>
  <c r="EG296" i="4"/>
  <c r="DH297" i="4"/>
  <c r="FQ297" i="4"/>
  <c r="HB297" i="4"/>
  <c r="HO297" i="4"/>
  <c r="IY297" i="4"/>
  <c r="CV298" i="4"/>
  <c r="FQ298" i="4"/>
  <c r="GD298" i="4"/>
  <c r="DH299" i="4"/>
  <c r="Z300" i="4"/>
  <c r="BQ14" i="4"/>
  <c r="EY14" i="4"/>
  <c r="IG14" i="4"/>
  <c r="BE15" i="4"/>
  <c r="BQ18" i="4"/>
  <c r="DN18" i="4"/>
  <c r="EY18" i="4"/>
  <c r="GV18" i="4"/>
  <c r="IG18" i="4"/>
  <c r="CI19" i="4"/>
  <c r="DH19" i="4"/>
  <c r="ES19" i="4"/>
  <c r="IY19" i="4"/>
  <c r="EG20" i="4"/>
  <c r="DT22" i="4"/>
  <c r="ES22" i="4"/>
  <c r="GV27" i="4"/>
  <c r="HU27" i="4"/>
  <c r="N31" i="4"/>
  <c r="FX55" i="4"/>
  <c r="BK56" i="4"/>
  <c r="CC57" i="4"/>
  <c r="IS57" i="4"/>
  <c r="HO58" i="4"/>
  <c r="Z61" i="4"/>
  <c r="BW61" i="4"/>
  <c r="HU65" i="4"/>
  <c r="CV66" i="4"/>
  <c r="CV67" i="4"/>
  <c r="FQ67" i="4"/>
  <c r="CV70" i="4"/>
  <c r="DN75" i="4"/>
  <c r="FE78" i="4"/>
  <c r="HU81" i="4"/>
  <c r="IM82" i="4"/>
  <c r="BK83" i="4"/>
  <c r="GP84" i="4"/>
  <c r="HU85" i="4"/>
  <c r="DT87" i="4"/>
  <c r="DT12" i="4"/>
  <c r="FK12" i="4"/>
  <c r="IG12" i="4"/>
  <c r="N13" i="4"/>
  <c r="CV13" i="4"/>
  <c r="DH13" i="4"/>
  <c r="DT13" i="4"/>
  <c r="DT15" i="4"/>
  <c r="EG15" i="4"/>
  <c r="GD15" i="4"/>
  <c r="GP15" i="4"/>
  <c r="IM15" i="4"/>
  <c r="AY16" i="4"/>
  <c r="CI16" i="4"/>
  <c r="CV16" i="4"/>
  <c r="EG16" i="4"/>
  <c r="FQ16" i="4"/>
  <c r="GD16" i="4"/>
  <c r="HO16" i="4"/>
  <c r="IY16" i="4"/>
  <c r="DZ17" i="4"/>
  <c r="EY17" i="4"/>
  <c r="H18" i="4"/>
  <c r="DN20" i="4"/>
  <c r="DZ20" i="4"/>
  <c r="IS20" i="4"/>
  <c r="DH21" i="4"/>
  <c r="DB22" i="4"/>
  <c r="DN22" i="4"/>
  <c r="H23" i="4"/>
  <c r="DT23" i="4"/>
  <c r="EG23" i="4"/>
  <c r="GD23" i="4"/>
  <c r="CP24" i="4"/>
  <c r="DB24" i="4"/>
  <c r="FX24" i="4"/>
  <c r="BK25" i="4"/>
  <c r="IS25" i="4"/>
  <c r="H26" i="4"/>
  <c r="T26" i="4"/>
  <c r="BQ26" i="4"/>
  <c r="GD26" i="4"/>
  <c r="CI28" i="4"/>
  <c r="CV28" i="4"/>
  <c r="HU28" i="4"/>
  <c r="T29" i="4"/>
  <c r="DN29" i="4"/>
  <c r="ES29" i="4"/>
  <c r="HO29" i="4"/>
  <c r="IA29" i="4"/>
  <c r="IY29" i="4"/>
  <c r="HO31" i="4"/>
  <c r="Z32" i="4"/>
  <c r="BW32" i="4"/>
  <c r="CV32" i="4"/>
  <c r="DT32" i="4"/>
  <c r="FE32" i="4"/>
  <c r="GV32" i="4"/>
  <c r="IG32" i="4"/>
  <c r="IS32" i="4"/>
  <c r="FE33" i="4"/>
  <c r="T34" i="4"/>
  <c r="IS34" i="4"/>
  <c r="BE35" i="4"/>
  <c r="BQ35" i="4"/>
  <c r="CC35" i="4"/>
  <c r="DB35" i="4"/>
  <c r="ES35" i="4"/>
  <c r="HB35" i="4"/>
  <c r="N36" i="4"/>
  <c r="Z36" i="4"/>
  <c r="T37" i="4"/>
  <c r="CC37" i="4"/>
  <c r="DB37" i="4"/>
  <c r="FE37" i="4"/>
  <c r="HB37" i="4"/>
  <c r="IA37" i="4"/>
  <c r="IM37" i="4"/>
  <c r="DB38" i="4"/>
  <c r="EY38" i="4"/>
  <c r="HO38" i="4"/>
  <c r="IG39" i="4"/>
  <c r="BE40" i="4"/>
  <c r="GP41" i="4"/>
  <c r="IS41" i="4"/>
  <c r="BE42" i="4"/>
  <c r="BQ42" i="4"/>
  <c r="CC42" i="4"/>
  <c r="CP42" i="4"/>
  <c r="IS42" i="4"/>
  <c r="H43" i="4"/>
  <c r="T43" i="4"/>
  <c r="ES43" i="4"/>
  <c r="BQ44" i="4"/>
  <c r="CC44" i="4"/>
  <c r="CP44" i="4"/>
  <c r="GD44" i="4"/>
  <c r="IG44" i="4"/>
  <c r="IS44" i="4"/>
  <c r="H45" i="4"/>
  <c r="BE45" i="4"/>
  <c r="AY47" i="4"/>
  <c r="BK47" i="4"/>
  <c r="BW47" i="4"/>
  <c r="CI47" i="4"/>
  <c r="BE48" i="4"/>
  <c r="DH48" i="4"/>
  <c r="AY49" i="4"/>
  <c r="DH49" i="4"/>
  <c r="FK49" i="4"/>
  <c r="CC53" i="4"/>
  <c r="DN53" i="4"/>
  <c r="DZ53" i="4"/>
  <c r="EM53" i="4"/>
  <c r="GJ54" i="4"/>
  <c r="H55" i="4"/>
  <c r="BK55" i="4"/>
  <c r="DH55" i="4"/>
  <c r="DT55" i="4"/>
  <c r="EG55" i="4"/>
  <c r="ES55" i="4"/>
  <c r="FE55" i="4"/>
  <c r="FQ55" i="4"/>
  <c r="HB56" i="4"/>
  <c r="CP59" i="4"/>
  <c r="HO59" i="4"/>
  <c r="IM59" i="4"/>
  <c r="CI60" i="4"/>
  <c r="CV60" i="4"/>
  <c r="DH60" i="4"/>
  <c r="GV60" i="4"/>
  <c r="IG60" i="4"/>
  <c r="IS60" i="4"/>
  <c r="H61" i="4"/>
  <c r="T61" i="4"/>
  <c r="DH61" i="4"/>
  <c r="EG61" i="4"/>
  <c r="HH61" i="4"/>
  <c r="BK63" i="4"/>
  <c r="DZ63" i="4"/>
  <c r="EM63" i="4"/>
  <c r="EY63" i="4"/>
  <c r="FK63" i="4"/>
  <c r="IA63" i="4"/>
  <c r="DB64" i="4"/>
  <c r="DN64" i="4"/>
  <c r="DZ64" i="4"/>
  <c r="EM64" i="4"/>
  <c r="EY64" i="4"/>
  <c r="IY64" i="4"/>
  <c r="Z65" i="4"/>
  <c r="DB65" i="4"/>
  <c r="FE65" i="4"/>
  <c r="GP65" i="4"/>
  <c r="IG67" i="4"/>
  <c r="IS67" i="4"/>
  <c r="T68" i="4"/>
  <c r="BE68" i="4"/>
  <c r="ES68" i="4"/>
  <c r="FQ68" i="4"/>
  <c r="HU68" i="4"/>
  <c r="IS68" i="4"/>
  <c r="CI69" i="4"/>
  <c r="CV69" i="4"/>
  <c r="DT69" i="4"/>
  <c r="EM69" i="4"/>
  <c r="HH69" i="4"/>
  <c r="CI72" i="4"/>
  <c r="CV72" i="4"/>
  <c r="DH72" i="4"/>
  <c r="BW73" i="4"/>
  <c r="EM73" i="4"/>
  <c r="EY73" i="4"/>
  <c r="HB73" i="4"/>
  <c r="HO73" i="4"/>
  <c r="GJ74" i="4"/>
  <c r="N75" i="4"/>
  <c r="BW75" i="4"/>
  <c r="CI75" i="4"/>
  <c r="CV75" i="4"/>
  <c r="CI76" i="4"/>
  <c r="IA76" i="4"/>
  <c r="DB77" i="4"/>
  <c r="HO77" i="4"/>
  <c r="GV78" i="4"/>
  <c r="HH78" i="4"/>
  <c r="AY79" i="4"/>
  <c r="BK79" i="4"/>
  <c r="BW79" i="4"/>
  <c r="FX79" i="4"/>
  <c r="GJ79" i="4"/>
  <c r="GV79" i="4"/>
  <c r="ES80" i="4"/>
  <c r="H81" i="4"/>
  <c r="T81" i="4"/>
  <c r="BE81" i="4"/>
  <c r="DH81" i="4"/>
  <c r="GP81" i="4"/>
  <c r="HO81" i="4"/>
  <c r="T82" i="4"/>
  <c r="BW82" i="4"/>
  <c r="CV82" i="4"/>
  <c r="DH82" i="4"/>
  <c r="HH82" i="4"/>
  <c r="HU82" i="4"/>
  <c r="IG82" i="4"/>
  <c r="CV83" i="4"/>
  <c r="IY83" i="4"/>
  <c r="Z84" i="4"/>
  <c r="BK84" i="4"/>
  <c r="FE85" i="4"/>
  <c r="GP85" i="4"/>
  <c r="HH86" i="4"/>
  <c r="IG87" i="4"/>
  <c r="CV11" i="4"/>
  <c r="HH11" i="4"/>
  <c r="HU11" i="4"/>
  <c r="IS11" i="4"/>
  <c r="H12" i="4"/>
  <c r="BQ12" i="4"/>
  <c r="EG12" i="4"/>
  <c r="ES12" i="4"/>
  <c r="FE12" i="4"/>
  <c r="BW19" i="4"/>
  <c r="FQ21" i="4"/>
  <c r="GD21" i="4"/>
  <c r="IA21" i="4"/>
  <c r="Z22" i="4"/>
  <c r="IM23" i="4"/>
  <c r="H25" i="4"/>
  <c r="DH25" i="4"/>
  <c r="DT25" i="4"/>
  <c r="BE27" i="4"/>
  <c r="BQ27" i="4"/>
  <c r="CC27" i="4"/>
  <c r="DZ27" i="4"/>
  <c r="EG28" i="4"/>
  <c r="FQ28" i="4"/>
  <c r="GD28" i="4"/>
  <c r="HO28" i="4"/>
  <c r="ES30" i="4"/>
  <c r="GP30" i="4"/>
  <c r="IA30" i="4"/>
  <c r="BQ31" i="4"/>
  <c r="DB31" i="4"/>
  <c r="DZ31" i="4"/>
  <c r="GJ31" i="4"/>
  <c r="N33" i="4"/>
  <c r="BK33" i="4"/>
  <c r="HU33" i="4"/>
  <c r="BW34" i="4"/>
  <c r="DT34" i="4"/>
  <c r="FE34" i="4"/>
  <c r="HO34" i="4"/>
  <c r="CC36" i="4"/>
  <c r="DB36" i="4"/>
  <c r="FQ36" i="4"/>
  <c r="IA36" i="4"/>
  <c r="DZ37" i="4"/>
  <c r="T38" i="4"/>
  <c r="BE38" i="4"/>
  <c r="BQ38" i="4"/>
  <c r="CC38" i="4"/>
  <c r="IS38" i="4"/>
  <c r="H39" i="4"/>
  <c r="T39" i="4"/>
  <c r="DT39" i="4"/>
  <c r="FE39" i="4"/>
  <c r="FQ39" i="4"/>
  <c r="GD39" i="4"/>
  <c r="HB39" i="4"/>
  <c r="HU40" i="4"/>
  <c r="Z41" i="4"/>
  <c r="BE41" i="4"/>
  <c r="DN41" i="4"/>
  <c r="DZ41" i="4"/>
  <c r="EM41" i="4"/>
  <c r="FK41" i="4"/>
  <c r="BW43" i="4"/>
  <c r="CI43" i="4"/>
  <c r="CV43" i="4"/>
  <c r="GJ43" i="4"/>
  <c r="IM43" i="4"/>
  <c r="FK44" i="4"/>
  <c r="DH45" i="4"/>
  <c r="HU45" i="4"/>
  <c r="FQ47" i="4"/>
  <c r="HO47" i="4"/>
  <c r="IA47" i="4"/>
  <c r="FX48" i="4"/>
  <c r="H49" i="4"/>
  <c r="T49" i="4"/>
  <c r="GP49" i="4"/>
  <c r="DN51" i="4"/>
  <c r="GD51" i="4"/>
  <c r="GP51" i="4"/>
  <c r="H52" i="4"/>
  <c r="T52" i="4"/>
  <c r="CV52" i="4"/>
  <c r="DH52" i="4"/>
  <c r="DT52" i="4"/>
  <c r="EG52" i="4"/>
  <c r="ES52" i="4"/>
  <c r="HU52" i="4"/>
  <c r="GP53" i="4"/>
  <c r="T54" i="4"/>
  <c r="DB54" i="4"/>
  <c r="FE54" i="4"/>
  <c r="IY55" i="4"/>
  <c r="FX56" i="4"/>
  <c r="EY59" i="4"/>
  <c r="IM61" i="4"/>
  <c r="BW62" i="4"/>
  <c r="DT62" i="4"/>
  <c r="FE62" i="4"/>
  <c r="HB62" i="4"/>
  <c r="IM62" i="4"/>
  <c r="N67" i="4"/>
  <c r="N71" i="4"/>
  <c r="CI71" i="4"/>
  <c r="GP72" i="4"/>
  <c r="BW74" i="4"/>
  <c r="DT78" i="4"/>
  <c r="IG78" i="4"/>
  <c r="CC81" i="4"/>
  <c r="FX83" i="4"/>
  <c r="ES84" i="4"/>
  <c r="CC85" i="4"/>
  <c r="DT86" i="4"/>
  <c r="T86" i="4"/>
  <c r="FE86" i="4"/>
  <c r="BW89" i="4"/>
  <c r="EM89" i="4"/>
  <c r="HO89" i="4"/>
  <c r="IG91" i="4"/>
  <c r="DH92" i="4"/>
  <c r="FX92" i="4"/>
  <c r="IY92" i="4"/>
  <c r="DZ93" i="4"/>
  <c r="IM93" i="4"/>
  <c r="H95" i="4"/>
  <c r="IA96" i="4"/>
  <c r="AR98" i="4"/>
  <c r="FE98" i="4"/>
  <c r="AF99" i="4"/>
  <c r="CV99" i="4"/>
  <c r="FX99" i="4"/>
  <c r="AR102" i="4"/>
  <c r="FE102" i="4"/>
  <c r="AF103" i="4"/>
  <c r="CV103" i="4"/>
  <c r="FX103" i="4"/>
  <c r="T105" i="4"/>
  <c r="HH105" i="4"/>
  <c r="GJ106" i="4"/>
  <c r="CC108" i="4"/>
  <c r="T113" i="4"/>
  <c r="HH113" i="4"/>
  <c r="GJ114" i="4"/>
  <c r="CC116" i="4"/>
  <c r="T121" i="4"/>
  <c r="HH121" i="4"/>
  <c r="GJ122" i="4"/>
  <c r="CC124" i="4"/>
  <c r="T129" i="4"/>
  <c r="HH129" i="4"/>
  <c r="GJ130" i="4"/>
  <c r="CC132" i="4"/>
  <c r="GD135" i="4"/>
  <c r="FK136" i="4"/>
  <c r="BK138" i="4"/>
  <c r="FQ138" i="4"/>
  <c r="GD138" i="4"/>
  <c r="IA138" i="4"/>
  <c r="Z139" i="4"/>
  <c r="DH139" i="4"/>
  <c r="GP139" i="4"/>
  <c r="FX142" i="4"/>
  <c r="Z143" i="4"/>
  <c r="DN146" i="4"/>
  <c r="FX146" i="4"/>
  <c r="IG146" i="4"/>
  <c r="CC147" i="4"/>
  <c r="FK147" i="4"/>
  <c r="IS147" i="4"/>
  <c r="FQ150" i="4"/>
  <c r="AF151" i="4"/>
  <c r="FQ151" i="4"/>
  <c r="IS151" i="4"/>
  <c r="AR152" i="4"/>
  <c r="BE152" i="4"/>
  <c r="DB152" i="4"/>
  <c r="CI159" i="4"/>
  <c r="GV159" i="4"/>
  <c r="BW160" i="4"/>
  <c r="CV161" i="4"/>
  <c r="BE162" i="4"/>
  <c r="BQ165" i="4"/>
  <c r="BE166" i="4"/>
  <c r="CP169" i="4"/>
  <c r="DN169" i="4"/>
  <c r="DH170" i="4"/>
  <c r="AY11" i="4"/>
  <c r="CC11" i="4"/>
  <c r="EM11" i="4"/>
  <c r="EY11" i="4"/>
  <c r="FQ11" i="4"/>
  <c r="IA11" i="4"/>
  <c r="AY12" i="4"/>
  <c r="BK12" i="4"/>
  <c r="CC12" i="4"/>
  <c r="EY12" i="4"/>
  <c r="HO12" i="4"/>
  <c r="IA12" i="4"/>
  <c r="IS12" i="4"/>
  <c r="DB13" i="4"/>
  <c r="DN13" i="4"/>
  <c r="CV14" i="4"/>
  <c r="GD14" i="4"/>
  <c r="BW15" i="4"/>
  <c r="CP15" i="4"/>
  <c r="FK15" i="4"/>
  <c r="GV15" i="4"/>
  <c r="T16" i="4"/>
  <c r="BE16" i="4"/>
  <c r="DZ16" i="4"/>
  <c r="EM16" i="4"/>
  <c r="HH16" i="4"/>
  <c r="HU16" i="4"/>
  <c r="BE17" i="4"/>
  <c r="BW17" i="4"/>
  <c r="CV17" i="4"/>
  <c r="FE17" i="4"/>
  <c r="FQ17" i="4"/>
  <c r="GD17" i="4"/>
  <c r="HO17" i="4"/>
  <c r="IA17" i="4"/>
  <c r="N18" i="4"/>
  <c r="Z18" i="4"/>
  <c r="AY18" i="4"/>
  <c r="BK18" i="4"/>
  <c r="EG18" i="4"/>
  <c r="ES18" i="4"/>
  <c r="HO18" i="4"/>
  <c r="IA18" i="4"/>
  <c r="N19" i="4"/>
  <c r="BE19" i="4"/>
  <c r="DZ19" i="4"/>
  <c r="EM19" i="4"/>
  <c r="GJ19" i="4"/>
  <c r="HU19" i="4"/>
  <c r="IG19" i="4"/>
  <c r="IS19" i="4"/>
  <c r="AY20" i="4"/>
  <c r="DT20" i="4"/>
  <c r="GV20" i="4"/>
  <c r="HO20" i="4"/>
  <c r="N21" i="4"/>
  <c r="Z21" i="4"/>
  <c r="BK21" i="4"/>
  <c r="FK21" i="4"/>
  <c r="FX21" i="4"/>
  <c r="HU21" i="4"/>
  <c r="IG21" i="4"/>
  <c r="T22" i="4"/>
  <c r="BK22" i="4"/>
  <c r="DH22" i="4"/>
  <c r="GJ22" i="4"/>
  <c r="HB22" i="4"/>
  <c r="IA22" i="4"/>
  <c r="Z23" i="4"/>
  <c r="AY23" i="4"/>
  <c r="BW23" i="4"/>
  <c r="CP23" i="4"/>
  <c r="DN23" i="4"/>
  <c r="IG23" i="4"/>
  <c r="IY23" i="4"/>
  <c r="Z24" i="4"/>
  <c r="AY24" i="4"/>
  <c r="DH24" i="4"/>
  <c r="IA24" i="4"/>
  <c r="IM24" i="4"/>
  <c r="IY24" i="4"/>
  <c r="T25" i="4"/>
  <c r="EG25" i="4"/>
  <c r="IA25" i="4"/>
  <c r="Z26" i="4"/>
  <c r="AY26" i="4"/>
  <c r="BK26" i="4"/>
  <c r="EY26" i="4"/>
  <c r="HH26" i="4"/>
  <c r="HU26" i="4"/>
  <c r="T27" i="4"/>
  <c r="CI27" i="4"/>
  <c r="GD27" i="4"/>
  <c r="GP27" i="4"/>
  <c r="IM27" i="4"/>
  <c r="BE28" i="4"/>
  <c r="FX28" i="4"/>
  <c r="GJ28" i="4"/>
  <c r="HH28" i="4"/>
  <c r="DH29" i="4"/>
  <c r="DZ29" i="4"/>
  <c r="EM29" i="4"/>
  <c r="GV29" i="4"/>
  <c r="N30" i="4"/>
  <c r="DH30" i="4"/>
  <c r="CV31" i="4"/>
  <c r="GV31" i="4"/>
  <c r="H32" i="4"/>
  <c r="BE32" i="4"/>
  <c r="EM32" i="4"/>
  <c r="FX32" i="4"/>
  <c r="GJ32" i="4"/>
  <c r="IM32" i="4"/>
  <c r="BE33" i="4"/>
  <c r="DB33" i="4"/>
  <c r="EM33" i="4"/>
  <c r="FK33" i="4"/>
  <c r="FX33" i="4"/>
  <c r="GJ33" i="4"/>
  <c r="GV33" i="4"/>
  <c r="HO33" i="4"/>
  <c r="Z34" i="4"/>
  <c r="BQ34" i="4"/>
  <c r="DZ34" i="4"/>
  <c r="EY34" i="4"/>
  <c r="IM34" i="4"/>
  <c r="AY35" i="4"/>
  <c r="BK35" i="4"/>
  <c r="BW35" i="4"/>
  <c r="CI35" i="4"/>
  <c r="GV35" i="4"/>
  <c r="IG35" i="4"/>
  <c r="H36" i="4"/>
  <c r="T36" i="4"/>
  <c r="DT36" i="4"/>
  <c r="EG36" i="4"/>
  <c r="FE36" i="4"/>
  <c r="GV36" i="4"/>
  <c r="HU36" i="4"/>
  <c r="AY37" i="4"/>
  <c r="GV37" i="4"/>
  <c r="HH37" i="4"/>
  <c r="HU37" i="4"/>
  <c r="BW38" i="4"/>
  <c r="DH38" i="4"/>
  <c r="DT38" i="4"/>
  <c r="EG38" i="4"/>
  <c r="HU38" i="4"/>
  <c r="N39" i="4"/>
  <c r="FK39" i="4"/>
  <c r="FX39" i="4"/>
  <c r="IA39" i="4"/>
  <c r="EM40" i="4"/>
  <c r="HB40" i="4"/>
  <c r="H41" i="4"/>
  <c r="T41" i="4"/>
  <c r="DT41" i="4"/>
  <c r="HH41" i="4"/>
  <c r="HU41" i="4"/>
  <c r="IG41" i="4"/>
  <c r="BK42" i="4"/>
  <c r="CI42" i="4"/>
  <c r="DB42" i="4"/>
  <c r="EY42" i="4"/>
  <c r="GJ42" i="4"/>
  <c r="HO42" i="4"/>
  <c r="IY42" i="4"/>
  <c r="Z43" i="4"/>
  <c r="AY43" i="4"/>
  <c r="BQ43" i="4"/>
  <c r="DN43" i="4"/>
  <c r="EY43" i="4"/>
  <c r="GD43" i="4"/>
  <c r="HO43" i="4"/>
  <c r="T44" i="4"/>
  <c r="CI44" i="4"/>
  <c r="ES44" i="4"/>
  <c r="HH44" i="4"/>
  <c r="IA44" i="4"/>
  <c r="AY45" i="4"/>
  <c r="DB45" i="4"/>
  <c r="EY45" i="4"/>
  <c r="FK45" i="4"/>
  <c r="FX45" i="4"/>
  <c r="GJ45" i="4"/>
  <c r="GV45" i="4"/>
  <c r="HO45" i="4"/>
  <c r="AY46" i="4"/>
  <c r="DZ46" i="4"/>
  <c r="EM46" i="4"/>
  <c r="FE46" i="4"/>
  <c r="GP46" i="4"/>
  <c r="HB46" i="4"/>
  <c r="IG46" i="4"/>
  <c r="BQ47" i="4"/>
  <c r="ES47" i="4"/>
  <c r="HH47" i="4"/>
  <c r="DN48" i="4"/>
  <c r="FQ49" i="4"/>
  <c r="IS49" i="4"/>
  <c r="AY50" i="4"/>
  <c r="EG50" i="4"/>
  <c r="HH50" i="4"/>
  <c r="HU50" i="4"/>
  <c r="IM50" i="4"/>
  <c r="CV51" i="4"/>
  <c r="FX51" i="4"/>
  <c r="GJ51" i="4"/>
  <c r="HB51" i="4"/>
  <c r="IM51" i="4"/>
  <c r="IY51" i="4"/>
  <c r="N52" i="4"/>
  <c r="BE52" i="4"/>
  <c r="DB52" i="4"/>
  <c r="EM52" i="4"/>
  <c r="EY52" i="4"/>
  <c r="FQ52" i="4"/>
  <c r="IS52" i="4"/>
  <c r="GJ53" i="4"/>
  <c r="FK54" i="4"/>
  <c r="IM54" i="4"/>
  <c r="AF55" i="4"/>
  <c r="DB55" i="4"/>
  <c r="DN55" i="4"/>
  <c r="DZ55" i="4"/>
  <c r="EM55" i="4"/>
  <c r="FK55" i="4"/>
  <c r="BQ56" i="4"/>
  <c r="CC56" i="4"/>
  <c r="GD56" i="4"/>
  <c r="AF57" i="4"/>
  <c r="CI57" i="4"/>
  <c r="EM57" i="4"/>
  <c r="HO57" i="4"/>
  <c r="AL58" i="4"/>
  <c r="BQ58" i="4"/>
  <c r="EG58" i="4"/>
  <c r="HH58" i="4"/>
  <c r="IG58" i="4"/>
  <c r="EG59" i="4"/>
  <c r="ES59" i="4"/>
  <c r="HH59" i="4"/>
  <c r="BE60" i="4"/>
  <c r="EY60" i="4"/>
  <c r="FX60" i="4"/>
  <c r="GJ60" i="4"/>
  <c r="IM60" i="4"/>
  <c r="IY60" i="4"/>
  <c r="N61" i="4"/>
  <c r="CC61" i="4"/>
  <c r="DN61" i="4"/>
  <c r="DZ61" i="4"/>
  <c r="BQ62" i="4"/>
  <c r="DZ62" i="4"/>
  <c r="EY62" i="4"/>
  <c r="HH62" i="4"/>
  <c r="IG62" i="4"/>
  <c r="CI63" i="4"/>
  <c r="EG63" i="4"/>
  <c r="ES63" i="4"/>
  <c r="FE63" i="4"/>
  <c r="FX63" i="4"/>
  <c r="CC64" i="4"/>
  <c r="GP64" i="4"/>
  <c r="IS64" i="4"/>
  <c r="AY65" i="4"/>
  <c r="FX65" i="4"/>
  <c r="GJ65" i="4"/>
  <c r="GV65" i="4"/>
  <c r="HO65" i="4"/>
  <c r="N66" i="4"/>
  <c r="AY66" i="4"/>
  <c r="EM66" i="4"/>
  <c r="GD66" i="4"/>
  <c r="HO66" i="4"/>
  <c r="H67" i="4"/>
  <c r="BQ67" i="4"/>
  <c r="DB67" i="4"/>
  <c r="EY67" i="4"/>
  <c r="HH67" i="4"/>
  <c r="HU67" i="4"/>
  <c r="BK68" i="4"/>
  <c r="DN68" i="4"/>
  <c r="FX68" i="4"/>
  <c r="IY68" i="4"/>
  <c r="CP69" i="4"/>
  <c r="DB69" i="4"/>
  <c r="DN69" i="4"/>
  <c r="EG69" i="4"/>
  <c r="IM69" i="4"/>
  <c r="AY70" i="4"/>
  <c r="EM70" i="4"/>
  <c r="GD70" i="4"/>
  <c r="HO70" i="4"/>
  <c r="H71" i="4"/>
  <c r="DN71" i="4"/>
  <c r="EY71" i="4"/>
  <c r="FK71" i="4"/>
  <c r="GJ71" i="4"/>
  <c r="IA71" i="4"/>
  <c r="IY71" i="4"/>
  <c r="CC72" i="4"/>
  <c r="DB72" i="4"/>
  <c r="ES72" i="4"/>
  <c r="FE72" i="4"/>
  <c r="FQ72" i="4"/>
  <c r="HU72" i="4"/>
  <c r="BE73" i="4"/>
  <c r="EG73" i="4"/>
  <c r="ES73" i="4"/>
  <c r="FK73" i="4"/>
  <c r="GV73" i="4"/>
  <c r="HH73" i="4"/>
  <c r="IM73" i="4"/>
  <c r="AY74" i="4"/>
  <c r="DZ74" i="4"/>
  <c r="GD74" i="4"/>
  <c r="IM74" i="4"/>
  <c r="CP75" i="4"/>
  <c r="ES75" i="4"/>
  <c r="HB75" i="4"/>
  <c r="HO75" i="4"/>
  <c r="IA75" i="4"/>
  <c r="IM75" i="4"/>
  <c r="H76" i="4"/>
  <c r="CP76" i="4"/>
  <c r="FQ76" i="4"/>
  <c r="GD76" i="4"/>
  <c r="IG76" i="4"/>
  <c r="IS76" i="4"/>
  <c r="H77" i="4"/>
  <c r="Z77" i="4"/>
  <c r="DH77" i="4"/>
  <c r="EM77" i="4"/>
  <c r="HU77" i="4"/>
  <c r="N78" i="4"/>
  <c r="CV78" i="4"/>
  <c r="FK78" i="4"/>
  <c r="FX78" i="4"/>
  <c r="IM78" i="4"/>
  <c r="DN79" i="4"/>
  <c r="FQ79" i="4"/>
  <c r="GD79" i="4"/>
  <c r="GP79" i="4"/>
  <c r="IG79" i="4"/>
  <c r="IS79" i="4"/>
  <c r="H80" i="4"/>
  <c r="T80" i="4"/>
  <c r="BW80" i="4"/>
  <c r="CI80" i="4"/>
  <c r="EM80" i="4"/>
  <c r="GJ80" i="4"/>
  <c r="GV80" i="4"/>
  <c r="HH80" i="4"/>
  <c r="HU80" i="4"/>
  <c r="IG80" i="4"/>
  <c r="IY80" i="4"/>
  <c r="CI81" i="4"/>
  <c r="FK81" i="4"/>
  <c r="HH81" i="4"/>
  <c r="Z82" i="4"/>
  <c r="EY82" i="4"/>
  <c r="HO82" i="4"/>
  <c r="DB83" i="4"/>
  <c r="DN83" i="4"/>
  <c r="DZ83" i="4"/>
  <c r="EM83" i="4"/>
  <c r="EY83" i="4"/>
  <c r="FK83" i="4"/>
  <c r="IA83" i="4"/>
  <c r="BE84" i="4"/>
  <c r="DT84" i="4"/>
  <c r="GV84" i="4"/>
  <c r="IS84" i="4"/>
  <c r="BK85" i="4"/>
  <c r="BW85" i="4"/>
  <c r="CI85" i="4"/>
  <c r="CV85" i="4"/>
  <c r="DT85" i="4"/>
  <c r="IY85" i="4"/>
  <c r="N86" i="4"/>
  <c r="Z86" i="4"/>
  <c r="EM86" i="4"/>
  <c r="EY86" i="4"/>
  <c r="FK86" i="4"/>
  <c r="FX86" i="4"/>
  <c r="GV86" i="4"/>
  <c r="N87" i="4"/>
  <c r="BK87" i="4"/>
  <c r="EY87" i="4"/>
  <c r="FX87" i="4"/>
  <c r="IA87" i="4"/>
  <c r="IY87" i="4"/>
  <c r="BE88" i="4"/>
  <c r="CC88" i="4"/>
  <c r="DB88" i="4"/>
  <c r="ES88" i="4"/>
  <c r="FE88" i="4"/>
  <c r="IS88" i="4"/>
  <c r="T89" i="4"/>
  <c r="BE89" i="4"/>
  <c r="EG89" i="4"/>
  <c r="ES89" i="4"/>
  <c r="GV89" i="4"/>
  <c r="HH89" i="4"/>
  <c r="N90" i="4"/>
  <c r="DB90" i="4"/>
  <c r="HB90" i="4"/>
  <c r="HO90" i="4"/>
  <c r="BQ91" i="4"/>
  <c r="FQ91" i="4"/>
  <c r="GD91" i="4"/>
  <c r="HO91" i="4"/>
  <c r="IA91" i="4"/>
  <c r="IM91" i="4"/>
  <c r="CP92" i="4"/>
  <c r="FQ92" i="4"/>
  <c r="GD92" i="4"/>
  <c r="IG92" i="4"/>
  <c r="IS92" i="4"/>
  <c r="H93" i="4"/>
  <c r="AY93" i="4"/>
  <c r="BW93" i="4"/>
  <c r="DH93" i="4"/>
  <c r="FK93" i="4"/>
  <c r="HU93" i="4"/>
  <c r="FK94" i="4"/>
  <c r="FX94" i="4"/>
  <c r="IM94" i="4"/>
  <c r="BQ95" i="4"/>
  <c r="CP95" i="4"/>
  <c r="ES95" i="4"/>
  <c r="FQ95" i="4"/>
  <c r="GP95" i="4"/>
  <c r="IG95" i="4"/>
  <c r="IS95" i="4"/>
  <c r="T96" i="4"/>
  <c r="BK96" i="4"/>
  <c r="BW96" i="4"/>
  <c r="FK96" i="4"/>
  <c r="FX96" i="4"/>
  <c r="GJ96" i="4"/>
  <c r="HH96" i="4"/>
  <c r="HU96" i="4"/>
  <c r="IG96" i="4"/>
  <c r="Z97" i="4"/>
  <c r="CI97" i="4"/>
  <c r="FK97" i="4"/>
  <c r="GJ97" i="4"/>
  <c r="Z98" i="4"/>
  <c r="AL98" i="4"/>
  <c r="EM98" i="4"/>
  <c r="EY98" i="4"/>
  <c r="FK98" i="4"/>
  <c r="N99" i="4"/>
  <c r="CP99" i="4"/>
  <c r="DB99" i="4"/>
  <c r="FE99" i="4"/>
  <c r="FQ99" i="4"/>
  <c r="AF100" i="4"/>
  <c r="BE100" i="4"/>
  <c r="ES100" i="4"/>
  <c r="FQ100" i="4"/>
  <c r="HU100" i="4"/>
  <c r="IS100" i="4"/>
  <c r="CI101" i="4"/>
  <c r="CV101" i="4"/>
  <c r="FK101" i="4"/>
  <c r="GJ101" i="4"/>
  <c r="Z102" i="4"/>
  <c r="AL102" i="4"/>
  <c r="EM102" i="4"/>
  <c r="EY102" i="4"/>
  <c r="FK102" i="4"/>
  <c r="FX102" i="4"/>
  <c r="GV102" i="4"/>
  <c r="N103" i="4"/>
  <c r="CP103" i="4"/>
  <c r="DB103" i="4"/>
  <c r="FE103" i="4"/>
  <c r="FQ103" i="4"/>
  <c r="AF104" i="4"/>
  <c r="BE104" i="4"/>
  <c r="GP104" i="4"/>
  <c r="IA104" i="4"/>
  <c r="BE105" i="4"/>
  <c r="EG105" i="4"/>
  <c r="IS105" i="4"/>
  <c r="DT106" i="4"/>
  <c r="IG106" i="4"/>
  <c r="BK107" i="4"/>
  <c r="IY107" i="4"/>
  <c r="DN108" i="4"/>
  <c r="IS108" i="4"/>
  <c r="CI109" i="4"/>
  <c r="CV109" i="4"/>
  <c r="FK109" i="4"/>
  <c r="GJ109" i="4"/>
  <c r="Z110" i="4"/>
  <c r="AL110" i="4"/>
  <c r="EM110" i="4"/>
  <c r="EY110" i="4"/>
  <c r="FK110" i="4"/>
  <c r="FX110" i="4"/>
  <c r="GV110" i="4"/>
  <c r="N111" i="4"/>
  <c r="CP111" i="4"/>
  <c r="DB111" i="4"/>
  <c r="FE111" i="4"/>
  <c r="FQ111" i="4"/>
  <c r="AF112" i="4"/>
  <c r="BE112" i="4"/>
  <c r="GP112" i="4"/>
  <c r="IA112" i="4"/>
  <c r="BE113" i="4"/>
  <c r="EG113" i="4"/>
  <c r="IS113" i="4"/>
  <c r="DT114" i="4"/>
  <c r="IG114" i="4"/>
  <c r="BK115" i="4"/>
  <c r="IY115" i="4"/>
  <c r="DN116" i="4"/>
  <c r="IS116" i="4"/>
  <c r="CI117" i="4"/>
  <c r="CV117" i="4"/>
  <c r="FK117" i="4"/>
  <c r="GJ117" i="4"/>
  <c r="Z118" i="4"/>
  <c r="AL118" i="4"/>
  <c r="EM118" i="4"/>
  <c r="EY118" i="4"/>
  <c r="FK118" i="4"/>
  <c r="FX118" i="4"/>
  <c r="GV118" i="4"/>
  <c r="N119" i="4"/>
  <c r="CP119" i="4"/>
  <c r="DB119" i="4"/>
  <c r="FE119" i="4"/>
  <c r="FQ119" i="4"/>
  <c r="AF120" i="4"/>
  <c r="BE120" i="4"/>
  <c r="GP120" i="4"/>
  <c r="IA120" i="4"/>
  <c r="BE121" i="4"/>
  <c r="EG121" i="4"/>
  <c r="IS121" i="4"/>
  <c r="DT122" i="4"/>
  <c r="IG122" i="4"/>
  <c r="BK123" i="4"/>
  <c r="IY123" i="4"/>
  <c r="DN124" i="4"/>
  <c r="IS124" i="4"/>
  <c r="CI125" i="4"/>
  <c r="CV125" i="4"/>
  <c r="FK125" i="4"/>
  <c r="GJ125" i="4"/>
  <c r="Z126" i="4"/>
  <c r="AL126" i="4"/>
  <c r="EM126" i="4"/>
  <c r="EY126" i="4"/>
  <c r="FK126" i="4"/>
  <c r="FX126" i="4"/>
  <c r="GV126" i="4"/>
  <c r="N127" i="4"/>
  <c r="CP127" i="4"/>
  <c r="DB127" i="4"/>
  <c r="FE127" i="4"/>
  <c r="FQ127" i="4"/>
  <c r="AF128" i="4"/>
  <c r="BE128" i="4"/>
  <c r="GP128" i="4"/>
  <c r="IA128" i="4"/>
  <c r="BE129" i="4"/>
  <c r="EG129" i="4"/>
  <c r="IS129" i="4"/>
  <c r="DT130" i="4"/>
  <c r="IG130" i="4"/>
  <c r="BK131" i="4"/>
  <c r="IY131" i="4"/>
  <c r="DN132" i="4"/>
  <c r="IS132" i="4"/>
  <c r="CI133" i="4"/>
  <c r="CV133" i="4"/>
  <c r="FK133" i="4"/>
  <c r="GJ133" i="4"/>
  <c r="Z134" i="4"/>
  <c r="AL134" i="4"/>
  <c r="EM134" i="4"/>
  <c r="EY134" i="4"/>
  <c r="FK134" i="4"/>
  <c r="FX134" i="4"/>
  <c r="GV134" i="4"/>
  <c r="N135" i="4"/>
  <c r="DN135" i="4"/>
  <c r="FX135" i="4"/>
  <c r="IY135" i="4"/>
  <c r="CI136" i="4"/>
  <c r="DH136" i="4"/>
  <c r="HH136" i="4"/>
  <c r="BE140" i="4"/>
  <c r="BQ140" i="4"/>
  <c r="DH141" i="4"/>
  <c r="GJ141" i="4"/>
  <c r="GV141" i="4"/>
  <c r="HH141" i="4"/>
  <c r="N142" i="4"/>
  <c r="BK142" i="4"/>
  <c r="IS143" i="4"/>
  <c r="AR144" i="4"/>
  <c r="BE144" i="4"/>
  <c r="DB144" i="4"/>
  <c r="FX144" i="4"/>
  <c r="HO144" i="4"/>
  <c r="Z145" i="4"/>
  <c r="BK145" i="4"/>
  <c r="BW145" i="4"/>
  <c r="DH145" i="4"/>
  <c r="ES145" i="4"/>
  <c r="FE145" i="4"/>
  <c r="GP145" i="4"/>
  <c r="IA145" i="4"/>
  <c r="IM145" i="4"/>
  <c r="N146" i="4"/>
  <c r="Z146" i="4"/>
  <c r="AL146" i="4"/>
  <c r="AR148" i="4"/>
  <c r="DB149" i="4"/>
  <c r="DN149" i="4"/>
  <c r="GP149" i="4"/>
  <c r="H150" i="4"/>
  <c r="BQ150" i="4"/>
  <c r="DZ150" i="4"/>
  <c r="EM150" i="4"/>
  <c r="EY150" i="4"/>
  <c r="IA150" i="4"/>
  <c r="CC151" i="4"/>
  <c r="FQ152" i="4"/>
  <c r="GD152" i="4"/>
  <c r="AF153" i="4"/>
  <c r="AR153" i="4"/>
  <c r="BE153" i="4"/>
  <c r="DN153" i="4"/>
  <c r="DZ153" i="4"/>
  <c r="EM153" i="4"/>
  <c r="GV153" i="4"/>
  <c r="HH153" i="4"/>
  <c r="HU153" i="4"/>
  <c r="T154" i="4"/>
  <c r="BK156" i="4"/>
  <c r="BE157" i="4"/>
  <c r="GP157" i="4"/>
  <c r="T158" i="4"/>
  <c r="CC158" i="4"/>
  <c r="DT158" i="4"/>
  <c r="GD158" i="4"/>
  <c r="GP158" i="4"/>
  <c r="HB158" i="4"/>
  <c r="AF159" i="4"/>
  <c r="DH159" i="4"/>
  <c r="IA160" i="4"/>
  <c r="BE161" i="4"/>
  <c r="GD161" i="4"/>
  <c r="EM162" i="4"/>
  <c r="FK162" i="4"/>
  <c r="CV163" i="4"/>
  <c r="DH163" i="4"/>
  <c r="ES163" i="4"/>
  <c r="H164" i="4"/>
  <c r="GJ164" i="4"/>
  <c r="GV164" i="4"/>
  <c r="N165" i="4"/>
  <c r="EY165" i="4"/>
  <c r="IA165" i="4"/>
  <c r="IY165" i="4"/>
  <c r="FQ167" i="4"/>
  <c r="IS167" i="4"/>
  <c r="H168" i="4"/>
  <c r="Z168" i="4"/>
  <c r="AL168" i="4"/>
  <c r="AY168" i="4"/>
  <c r="EY168" i="4"/>
  <c r="IG168" i="4"/>
  <c r="H169" i="4"/>
  <c r="BK169" i="4"/>
  <c r="GV169" i="4"/>
  <c r="HB170" i="4"/>
  <c r="HO170" i="4"/>
  <c r="IA170" i="4"/>
  <c r="IM170" i="4"/>
  <c r="IY170" i="4"/>
  <c r="N171" i="4"/>
  <c r="EY171" i="4"/>
  <c r="FK171" i="4"/>
  <c r="FX171" i="4"/>
  <c r="AY173" i="4"/>
  <c r="FX173" i="4"/>
  <c r="GV173" i="4"/>
  <c r="BQ174" i="4"/>
  <c r="DT174" i="4"/>
  <c r="EG174" i="4"/>
  <c r="ES174" i="4"/>
  <c r="FQ174" i="4"/>
  <c r="H175" i="4"/>
  <c r="Z176" i="4"/>
  <c r="AY176" i="4"/>
  <c r="IM177" i="4"/>
  <c r="BW178" i="4"/>
  <c r="CI178" i="4"/>
  <c r="FE178" i="4"/>
  <c r="FQ178" i="4"/>
  <c r="IM178" i="4"/>
  <c r="IY178" i="4"/>
  <c r="N179" i="4"/>
  <c r="Z179" i="4"/>
  <c r="CI179" i="4"/>
  <c r="CV179" i="4"/>
  <c r="DH179" i="4"/>
  <c r="DT179" i="4"/>
  <c r="HB179" i="4"/>
  <c r="DN190" i="4"/>
  <c r="DB89" i="4"/>
  <c r="BK92" i="4"/>
  <c r="EM92" i="4"/>
  <c r="GP93" i="4"/>
  <c r="BQ94" i="4"/>
  <c r="EG94" i="4"/>
  <c r="HH94" i="4"/>
  <c r="BE97" i="4"/>
  <c r="EG97" i="4"/>
  <c r="IS97" i="4"/>
  <c r="DT98" i="4"/>
  <c r="IG98" i="4"/>
  <c r="BK99" i="4"/>
  <c r="IY99" i="4"/>
  <c r="DN100" i="4"/>
  <c r="BE101" i="4"/>
  <c r="EG101" i="4"/>
  <c r="IS101" i="4"/>
  <c r="DT102" i="4"/>
  <c r="IG102" i="4"/>
  <c r="BK103" i="4"/>
  <c r="IY103" i="4"/>
  <c r="DN104" i="4"/>
  <c r="GP108" i="4"/>
  <c r="BE109" i="4"/>
  <c r="EG109" i="4"/>
  <c r="IS109" i="4"/>
  <c r="DT110" i="4"/>
  <c r="IG110" i="4"/>
  <c r="BK111" i="4"/>
  <c r="IY111" i="4"/>
  <c r="DN112" i="4"/>
  <c r="GP116" i="4"/>
  <c r="BE117" i="4"/>
  <c r="EG117" i="4"/>
  <c r="IS117" i="4"/>
  <c r="DT118" i="4"/>
  <c r="IG118" i="4"/>
  <c r="BK119" i="4"/>
  <c r="IY119" i="4"/>
  <c r="DN120" i="4"/>
  <c r="GP124" i="4"/>
  <c r="BE125" i="4"/>
  <c r="EG125" i="4"/>
  <c r="IS125" i="4"/>
  <c r="DT126" i="4"/>
  <c r="IG126" i="4"/>
  <c r="BK127" i="4"/>
  <c r="IY127" i="4"/>
  <c r="DN128" i="4"/>
  <c r="GP132" i="4"/>
  <c r="BE133" i="4"/>
  <c r="EG133" i="4"/>
  <c r="IS133" i="4"/>
  <c r="DT134" i="4"/>
  <c r="HH134" i="4"/>
  <c r="N137" i="4"/>
  <c r="AY137" i="4"/>
  <c r="CV137" i="4"/>
  <c r="EG137" i="4"/>
  <c r="GD137" i="4"/>
  <c r="HO137" i="4"/>
  <c r="DB140" i="4"/>
  <c r="HH140" i="4"/>
  <c r="HU140" i="4"/>
  <c r="DN142" i="4"/>
  <c r="IA142" i="4"/>
  <c r="DN143" i="4"/>
  <c r="GP143" i="4"/>
  <c r="FE148" i="4"/>
  <c r="HO148" i="4"/>
  <c r="N149" i="4"/>
  <c r="DH151" i="4"/>
  <c r="GV151" i="4"/>
  <c r="HO152" i="4"/>
  <c r="DN154" i="4"/>
  <c r="FX154" i="4"/>
  <c r="IG154" i="4"/>
  <c r="CC155" i="4"/>
  <c r="FK155" i="4"/>
  <c r="IS155" i="4"/>
  <c r="FE156" i="4"/>
  <c r="HO156" i="4"/>
  <c r="N157" i="4"/>
  <c r="IY159" i="4"/>
  <c r="T163" i="4"/>
  <c r="FE163" i="4"/>
  <c r="HU166" i="4"/>
  <c r="DB167" i="4"/>
  <c r="DZ167" i="4"/>
  <c r="EM170" i="4"/>
  <c r="FK170" i="4"/>
  <c r="AY171" i="4"/>
  <c r="IS171" i="4"/>
  <c r="BQ172" i="4"/>
  <c r="EY172" i="4"/>
  <c r="IG172" i="4"/>
  <c r="H177" i="4"/>
  <c r="AF177" i="4"/>
  <c r="DN177" i="4"/>
  <c r="EY177" i="4"/>
  <c r="N180" i="4"/>
  <c r="AL180" i="4"/>
  <c r="CV180" i="4"/>
  <c r="DT180" i="4"/>
  <c r="GD180" i="4"/>
  <c r="HB180" i="4"/>
  <c r="CI240" i="4"/>
  <c r="CV240" i="4"/>
  <c r="IA240" i="4"/>
  <c r="IY240" i="4"/>
  <c r="Z241" i="4"/>
  <c r="HO241" i="4"/>
  <c r="BK244" i="4"/>
  <c r="FX244" i="4"/>
  <c r="GV244" i="4"/>
  <c r="IG244" i="4"/>
  <c r="DT104" i="4"/>
  <c r="EG104" i="4"/>
  <c r="FE104" i="4"/>
  <c r="AY105" i="4"/>
  <c r="BK105" i="4"/>
  <c r="DN105" i="4"/>
  <c r="DZ105" i="4"/>
  <c r="IA105" i="4"/>
  <c r="IM105" i="4"/>
  <c r="IY105" i="4"/>
  <c r="AR106" i="4"/>
  <c r="BQ106" i="4"/>
  <c r="DB106" i="4"/>
  <c r="FE106" i="4"/>
  <c r="HO106" i="4"/>
  <c r="AF107" i="4"/>
  <c r="CV107" i="4"/>
  <c r="DT107" i="4"/>
  <c r="EG107" i="4"/>
  <c r="FX107" i="4"/>
  <c r="GV107" i="4"/>
  <c r="IG107" i="4"/>
  <c r="CV108" i="4"/>
  <c r="DH108" i="4"/>
  <c r="DT108" i="4"/>
  <c r="AY109" i="4"/>
  <c r="BK109" i="4"/>
  <c r="DN109" i="4"/>
  <c r="DZ109" i="4"/>
  <c r="IA109" i="4"/>
  <c r="IM109" i="4"/>
  <c r="IY109" i="4"/>
  <c r="AR110" i="4"/>
  <c r="BQ110" i="4"/>
  <c r="DB110" i="4"/>
  <c r="FE110" i="4"/>
  <c r="HO110" i="4"/>
  <c r="AF111" i="4"/>
  <c r="CV111" i="4"/>
  <c r="DT111" i="4"/>
  <c r="EG111" i="4"/>
  <c r="FX111" i="4"/>
  <c r="GV111" i="4"/>
  <c r="IG111" i="4"/>
  <c r="CV112" i="4"/>
  <c r="DH112" i="4"/>
  <c r="DT112" i="4"/>
  <c r="EG112" i="4"/>
  <c r="FE112" i="4"/>
  <c r="AY113" i="4"/>
  <c r="BK113" i="4"/>
  <c r="DN113" i="4"/>
  <c r="DZ113" i="4"/>
  <c r="IA113" i="4"/>
  <c r="IM113" i="4"/>
  <c r="IY113" i="4"/>
  <c r="AR114" i="4"/>
  <c r="BQ114" i="4"/>
  <c r="DB114" i="4"/>
  <c r="FE114" i="4"/>
  <c r="HO114" i="4"/>
  <c r="AF115" i="4"/>
  <c r="CV115" i="4"/>
  <c r="DT115" i="4"/>
  <c r="EG115" i="4"/>
  <c r="FX115" i="4"/>
  <c r="GV115" i="4"/>
  <c r="IG115" i="4"/>
  <c r="CV116" i="4"/>
  <c r="DH116" i="4"/>
  <c r="DT116" i="4"/>
  <c r="EG116" i="4"/>
  <c r="FE116" i="4"/>
  <c r="AY117" i="4"/>
  <c r="BK117" i="4"/>
  <c r="DN117" i="4"/>
  <c r="DZ117" i="4"/>
  <c r="IA117" i="4"/>
  <c r="IM117" i="4"/>
  <c r="IY117" i="4"/>
  <c r="AR118" i="4"/>
  <c r="BQ118" i="4"/>
  <c r="DB118" i="4"/>
  <c r="FE118" i="4"/>
  <c r="HO118" i="4"/>
  <c r="AF119" i="4"/>
  <c r="CV119" i="4"/>
  <c r="DT119" i="4"/>
  <c r="EG119" i="4"/>
  <c r="FX119" i="4"/>
  <c r="GV119" i="4"/>
  <c r="IG119" i="4"/>
  <c r="CV120" i="4"/>
  <c r="DH120" i="4"/>
  <c r="DT120" i="4"/>
  <c r="EG120" i="4"/>
  <c r="FE120" i="4"/>
  <c r="AY121" i="4"/>
  <c r="BK121" i="4"/>
  <c r="DN121" i="4"/>
  <c r="DZ121" i="4"/>
  <c r="IA121" i="4"/>
  <c r="IM121" i="4"/>
  <c r="IY121" i="4"/>
  <c r="AR122" i="4"/>
  <c r="BQ122" i="4"/>
  <c r="DB122" i="4"/>
  <c r="FE122" i="4"/>
  <c r="HO122" i="4"/>
  <c r="AF123" i="4"/>
  <c r="CV123" i="4"/>
  <c r="DT123" i="4"/>
  <c r="EG123" i="4"/>
  <c r="FX123" i="4"/>
  <c r="GV123" i="4"/>
  <c r="IG123" i="4"/>
  <c r="CV124" i="4"/>
  <c r="DH124" i="4"/>
  <c r="DT124" i="4"/>
  <c r="EG124" i="4"/>
  <c r="FE124" i="4"/>
  <c r="AY125" i="4"/>
  <c r="BK125" i="4"/>
  <c r="DN125" i="4"/>
  <c r="DZ125" i="4"/>
  <c r="IA125" i="4"/>
  <c r="IM125" i="4"/>
  <c r="IY125" i="4"/>
  <c r="AR126" i="4"/>
  <c r="BQ126" i="4"/>
  <c r="DB126" i="4"/>
  <c r="FE126" i="4"/>
  <c r="HO126" i="4"/>
  <c r="AF127" i="4"/>
  <c r="CV127" i="4"/>
  <c r="DT127" i="4"/>
  <c r="EG127" i="4"/>
  <c r="FX127" i="4"/>
  <c r="GV127" i="4"/>
  <c r="IG127" i="4"/>
  <c r="CV128" i="4"/>
  <c r="DH128" i="4"/>
  <c r="DT128" i="4"/>
  <c r="EG128" i="4"/>
  <c r="FE128" i="4"/>
  <c r="AY129" i="4"/>
  <c r="BK129" i="4"/>
  <c r="DN129" i="4"/>
  <c r="DZ129" i="4"/>
  <c r="IA129" i="4"/>
  <c r="IM129" i="4"/>
  <c r="IY129" i="4"/>
  <c r="AR130" i="4"/>
  <c r="BQ130" i="4"/>
  <c r="DB130" i="4"/>
  <c r="FE130" i="4"/>
  <c r="HO130" i="4"/>
  <c r="AF131" i="4"/>
  <c r="CV131" i="4"/>
  <c r="DT131" i="4"/>
  <c r="EG131" i="4"/>
  <c r="FX131" i="4"/>
  <c r="GV131" i="4"/>
  <c r="IG131" i="4"/>
  <c r="CV132" i="4"/>
  <c r="DH132" i="4"/>
  <c r="DT132" i="4"/>
  <c r="EG132" i="4"/>
  <c r="FE132" i="4"/>
  <c r="AY133" i="4"/>
  <c r="BK133" i="4"/>
  <c r="DN133" i="4"/>
  <c r="DZ133" i="4"/>
  <c r="IA133" i="4"/>
  <c r="IM133" i="4"/>
  <c r="IY133" i="4"/>
  <c r="AR134" i="4"/>
  <c r="BQ134" i="4"/>
  <c r="DB134" i="4"/>
  <c r="FE134" i="4"/>
  <c r="IY134" i="4"/>
  <c r="AF135" i="4"/>
  <c r="CV135" i="4"/>
  <c r="GV135" i="4"/>
  <c r="T136" i="4"/>
  <c r="BQ136" i="4"/>
  <c r="CC136" i="4"/>
  <c r="DN136" i="4"/>
  <c r="FE136" i="4"/>
  <c r="IA136" i="4"/>
  <c r="T137" i="4"/>
  <c r="DB137" i="4"/>
  <c r="GJ137" i="4"/>
  <c r="H138" i="4"/>
  <c r="BQ138" i="4"/>
  <c r="CC138" i="4"/>
  <c r="DZ138" i="4"/>
  <c r="EM138" i="4"/>
  <c r="EY138" i="4"/>
  <c r="GJ138" i="4"/>
  <c r="IS138" i="4"/>
  <c r="H139" i="4"/>
  <c r="AF139" i="4"/>
  <c r="AR139" i="4"/>
  <c r="CP139" i="4"/>
  <c r="DN139" i="4"/>
  <c r="DZ139" i="4"/>
  <c r="FX139" i="4"/>
  <c r="GV139" i="4"/>
  <c r="HH139" i="4"/>
  <c r="H140" i="4"/>
  <c r="AY140" i="4"/>
  <c r="DH140" i="4"/>
  <c r="DT140" i="4"/>
  <c r="FQ140" i="4"/>
  <c r="GD140" i="4"/>
  <c r="GP140" i="4"/>
  <c r="IA140" i="4"/>
  <c r="Z141" i="4"/>
  <c r="DB141" i="4"/>
  <c r="DN141" i="4"/>
  <c r="GP141" i="4"/>
  <c r="T142" i="4"/>
  <c r="CC142" i="4"/>
  <c r="DT142" i="4"/>
  <c r="GD142" i="4"/>
  <c r="GP142" i="4"/>
  <c r="AR143" i="4"/>
  <c r="CI143" i="4"/>
  <c r="DT143" i="4"/>
  <c r="EG143" i="4"/>
  <c r="FK143" i="4"/>
  <c r="HH143" i="4"/>
  <c r="IY143" i="4"/>
  <c r="AY144" i="4"/>
  <c r="DH144" i="4"/>
  <c r="FQ144" i="4"/>
  <c r="GD144" i="4"/>
  <c r="HH144" i="4"/>
  <c r="AF145" i="4"/>
  <c r="AR145" i="4"/>
  <c r="BE145" i="4"/>
  <c r="DN145" i="4"/>
  <c r="DZ145" i="4"/>
  <c r="EM145" i="4"/>
  <c r="GV145" i="4"/>
  <c r="HH145" i="4"/>
  <c r="HU145" i="4"/>
  <c r="T146" i="4"/>
  <c r="BK146" i="4"/>
  <c r="FQ146" i="4"/>
  <c r="GD146" i="4"/>
  <c r="IA146" i="4"/>
  <c r="Z147" i="4"/>
  <c r="DH147" i="4"/>
  <c r="GP147" i="4"/>
  <c r="BK148" i="4"/>
  <c r="DB148" i="4"/>
  <c r="HH148" i="4"/>
  <c r="HU148" i="4"/>
  <c r="BE149" i="4"/>
  <c r="CV149" i="4"/>
  <c r="EG149" i="4"/>
  <c r="ES149" i="4"/>
  <c r="HU149" i="4"/>
  <c r="N150" i="4"/>
  <c r="BK150" i="4"/>
  <c r="EG150" i="4"/>
  <c r="FX150" i="4"/>
  <c r="IG150" i="4"/>
  <c r="IS150" i="4"/>
  <c r="Z151" i="4"/>
  <c r="DN151" i="4"/>
  <c r="GP151" i="4"/>
  <c r="N152" i="4"/>
  <c r="Z152" i="4"/>
  <c r="BK152" i="4"/>
  <c r="DT152" i="4"/>
  <c r="FK152" i="4"/>
  <c r="HU152" i="4"/>
  <c r="IG152" i="4"/>
  <c r="N153" i="4"/>
  <c r="AY153" i="4"/>
  <c r="CV153" i="4"/>
  <c r="EG153" i="4"/>
  <c r="GD153" i="4"/>
  <c r="HO153" i="4"/>
  <c r="BW154" i="4"/>
  <c r="CV154" i="4"/>
  <c r="DT154" i="4"/>
  <c r="EG154" i="4"/>
  <c r="GP154" i="4"/>
  <c r="HB154" i="4"/>
  <c r="IM154" i="4"/>
  <c r="AL155" i="4"/>
  <c r="AY155" i="4"/>
  <c r="BK155" i="4"/>
  <c r="CI155" i="4"/>
  <c r="DT155" i="4"/>
  <c r="EG155" i="4"/>
  <c r="ES155" i="4"/>
  <c r="FQ155" i="4"/>
  <c r="HB155" i="4"/>
  <c r="HO155" i="4"/>
  <c r="IA155" i="4"/>
  <c r="IY155" i="4"/>
  <c r="N156" i="4"/>
  <c r="AR156" i="4"/>
  <c r="DN156" i="4"/>
  <c r="EM156" i="4"/>
  <c r="FK156" i="4"/>
  <c r="FX156" i="4"/>
  <c r="IG156" i="4"/>
  <c r="IS156" i="4"/>
  <c r="T157" i="4"/>
  <c r="AF157" i="4"/>
  <c r="DH157" i="4"/>
  <c r="GJ157" i="4"/>
  <c r="GV157" i="4"/>
  <c r="Z158" i="4"/>
  <c r="AL158" i="4"/>
  <c r="BW158" i="4"/>
  <c r="DN158" i="4"/>
  <c r="GJ158" i="4"/>
  <c r="IA158" i="4"/>
  <c r="AL159" i="4"/>
  <c r="AY159" i="4"/>
  <c r="CC159" i="4"/>
  <c r="DZ159" i="4"/>
  <c r="FQ159" i="4"/>
  <c r="GD159" i="4"/>
  <c r="T160" i="4"/>
  <c r="CP160" i="4"/>
  <c r="EM161" i="4"/>
  <c r="IA161" i="4"/>
  <c r="IY161" i="4"/>
  <c r="ES162" i="4"/>
  <c r="FE162" i="4"/>
  <c r="IS162" i="4"/>
  <c r="DB163" i="4"/>
  <c r="EG164" i="4"/>
  <c r="FQ164" i="4"/>
  <c r="GD164" i="4"/>
  <c r="GP164" i="4"/>
  <c r="HH164" i="4"/>
  <c r="BK165" i="4"/>
  <c r="CV165" i="4"/>
  <c r="EG165" i="4"/>
  <c r="HH165" i="4"/>
  <c r="IG165" i="4"/>
  <c r="H166" i="4"/>
  <c r="CV166" i="4"/>
  <c r="EM166" i="4"/>
  <c r="FX166" i="4"/>
  <c r="AR167" i="4"/>
  <c r="FE167" i="4"/>
  <c r="GJ167" i="4"/>
  <c r="GV167" i="4"/>
  <c r="IA167" i="4"/>
  <c r="IM167" i="4"/>
  <c r="AR168" i="4"/>
  <c r="BW168" i="4"/>
  <c r="CI168" i="4"/>
  <c r="EG168" i="4"/>
  <c r="ES168" i="4"/>
  <c r="FE168" i="4"/>
  <c r="FQ168" i="4"/>
  <c r="HO168" i="4"/>
  <c r="IA168" i="4"/>
  <c r="IM168" i="4"/>
  <c r="IY168" i="4"/>
  <c r="AR169" i="4"/>
  <c r="BE169" i="4"/>
  <c r="GD169" i="4"/>
  <c r="GP169" i="4"/>
  <c r="HB169" i="4"/>
  <c r="HO169" i="4"/>
  <c r="BE170" i="4"/>
  <c r="CC170" i="4"/>
  <c r="CP170" i="4"/>
  <c r="DB170" i="4"/>
  <c r="IS170" i="4"/>
  <c r="AF171" i="4"/>
  <c r="BE171" i="4"/>
  <c r="BQ171" i="4"/>
  <c r="FE171" i="4"/>
  <c r="GP171" i="4"/>
  <c r="IA171" i="4"/>
  <c r="AY172" i="4"/>
  <c r="BK172" i="4"/>
  <c r="BW172" i="4"/>
  <c r="EG172" i="4"/>
  <c r="ES172" i="4"/>
  <c r="FE172" i="4"/>
  <c r="HO172" i="4"/>
  <c r="IA172" i="4"/>
  <c r="IM172" i="4"/>
  <c r="DB173" i="4"/>
  <c r="ES173" i="4"/>
  <c r="IA173" i="4"/>
  <c r="IY173" i="4"/>
  <c r="AL174" i="4"/>
  <c r="AY174" i="4"/>
  <c r="BK174" i="4"/>
  <c r="EY174" i="4"/>
  <c r="GD174" i="4"/>
  <c r="HU174" i="4"/>
  <c r="IG174" i="4"/>
  <c r="BK175" i="4"/>
  <c r="AR176" i="4"/>
  <c r="DH176" i="4"/>
  <c r="HH176" i="4"/>
  <c r="BK177" i="4"/>
  <c r="CI177" i="4"/>
  <c r="FQ177" i="4"/>
  <c r="HO177" i="4"/>
  <c r="H178" i="4"/>
  <c r="CC178" i="4"/>
  <c r="CP178" i="4"/>
  <c r="FK178" i="4"/>
  <c r="FX178" i="4"/>
  <c r="IS178" i="4"/>
  <c r="T179" i="4"/>
  <c r="DB179" i="4"/>
  <c r="DZ179" i="4"/>
  <c r="EM179" i="4"/>
  <c r="HH179" i="4"/>
  <c r="H180" i="4"/>
  <c r="T180" i="4"/>
  <c r="AF180" i="4"/>
  <c r="AR180" i="4"/>
  <c r="CC180" i="4"/>
  <c r="CP180" i="4"/>
  <c r="DB180" i="4"/>
  <c r="DN180" i="4"/>
  <c r="DZ180" i="4"/>
  <c r="FK180" i="4"/>
  <c r="FX180" i="4"/>
  <c r="GJ180" i="4"/>
  <c r="GV180" i="4"/>
  <c r="HH180" i="4"/>
  <c r="IS180" i="4"/>
  <c r="AL181" i="4"/>
  <c r="BW181" i="4"/>
  <c r="CV181" i="4"/>
  <c r="FX181" i="4"/>
  <c r="GV181" i="4"/>
  <c r="BQ182" i="4"/>
  <c r="DT182" i="4"/>
  <c r="EG182" i="4"/>
  <c r="ES182" i="4"/>
  <c r="IG182" i="4"/>
  <c r="Z183" i="4"/>
  <c r="BK183" i="4"/>
  <c r="GV183" i="4"/>
  <c r="HU183" i="4"/>
  <c r="IG183" i="4"/>
  <c r="IS183" i="4"/>
  <c r="CI184" i="4"/>
  <c r="DZ184" i="4"/>
  <c r="EM184" i="4"/>
  <c r="IY184" i="4"/>
  <c r="N185" i="4"/>
  <c r="Z185" i="4"/>
  <c r="AL185" i="4"/>
  <c r="DH185" i="4"/>
  <c r="DT185" i="4"/>
  <c r="EG185" i="4"/>
  <c r="T186" i="4"/>
  <c r="AF186" i="4"/>
  <c r="AR186" i="4"/>
  <c r="DB186" i="4"/>
  <c r="DN186" i="4"/>
  <c r="DZ186" i="4"/>
  <c r="GJ186" i="4"/>
  <c r="GV186" i="4"/>
  <c r="HH186" i="4"/>
  <c r="AF187" i="4"/>
  <c r="BE187" i="4"/>
  <c r="BQ187" i="4"/>
  <c r="CC187" i="4"/>
  <c r="EY187" i="4"/>
  <c r="FK187" i="4"/>
  <c r="FX187" i="4"/>
  <c r="N188" i="4"/>
  <c r="AL188" i="4"/>
  <c r="CV188" i="4"/>
  <c r="DT188" i="4"/>
  <c r="GD188" i="4"/>
  <c r="HB188" i="4"/>
  <c r="AY189" i="4"/>
  <c r="CP189" i="4"/>
  <c r="DZ189" i="4"/>
  <c r="EM189" i="4"/>
  <c r="EY189" i="4"/>
  <c r="HH189" i="4"/>
  <c r="HU189" i="4"/>
  <c r="IG189" i="4"/>
  <c r="IS189" i="4"/>
  <c r="H190" i="4"/>
  <c r="CV190" i="4"/>
  <c r="EM190" i="4"/>
  <c r="FX190" i="4"/>
  <c r="AL191" i="4"/>
  <c r="CC191" i="4"/>
  <c r="DN191" i="4"/>
  <c r="EM191" i="4"/>
  <c r="HO191" i="4"/>
  <c r="IM191" i="4"/>
  <c r="Z192" i="4"/>
  <c r="FE192" i="4"/>
  <c r="GP192" i="4"/>
  <c r="H193" i="4"/>
  <c r="AF193" i="4"/>
  <c r="DN193" i="4"/>
  <c r="EY193" i="4"/>
  <c r="T194" i="4"/>
  <c r="AF194" i="4"/>
  <c r="AR194" i="4"/>
  <c r="DB194" i="4"/>
  <c r="DN194" i="4"/>
  <c r="DZ194" i="4"/>
  <c r="GJ194" i="4"/>
  <c r="GV194" i="4"/>
  <c r="HH194" i="4"/>
  <c r="AF195" i="4"/>
  <c r="BE195" i="4"/>
  <c r="BQ195" i="4"/>
  <c r="CC195" i="4"/>
  <c r="EY195" i="4"/>
  <c r="FK195" i="4"/>
  <c r="FX195" i="4"/>
  <c r="HU195" i="4"/>
  <c r="AL197" i="4"/>
  <c r="FX197" i="4"/>
  <c r="GV197" i="4"/>
  <c r="DN199" i="4"/>
  <c r="AR200" i="4"/>
  <c r="DH200" i="4"/>
  <c r="EG200" i="4"/>
  <c r="HB201" i="4"/>
  <c r="IS203" i="4"/>
  <c r="BQ204" i="4"/>
  <c r="EY204" i="4"/>
  <c r="IG204" i="4"/>
  <c r="FX206" i="4"/>
  <c r="Z207" i="4"/>
  <c r="AL207" i="4"/>
  <c r="GV207" i="4"/>
  <c r="HU207" i="4"/>
  <c r="IG207" i="4"/>
  <c r="AF208" i="4"/>
  <c r="AR208" i="4"/>
  <c r="BE208" i="4"/>
  <c r="BQ208" i="4"/>
  <c r="CC208" i="4"/>
  <c r="DN208" i="4"/>
  <c r="GP208" i="4"/>
  <c r="BE209" i="4"/>
  <c r="CC209" i="4"/>
  <c r="DN214" i="4"/>
  <c r="DZ214" i="4"/>
  <c r="DH215" i="4"/>
  <c r="FX216" i="4"/>
  <c r="IS218" i="4"/>
  <c r="GJ221" i="4"/>
  <c r="GV221" i="4"/>
  <c r="HH221" i="4"/>
  <c r="BW222" i="4"/>
  <c r="EG222" i="4"/>
  <c r="T223" i="4"/>
  <c r="GJ223" i="4"/>
  <c r="GV223" i="4"/>
  <c r="HH223" i="4"/>
  <c r="HU223" i="4"/>
  <c r="IG223" i="4"/>
  <c r="DT224" i="4"/>
  <c r="IY228" i="4"/>
  <c r="T230" i="4"/>
  <c r="CC230" i="4"/>
  <c r="GD230" i="4"/>
  <c r="HH230" i="4"/>
  <c r="H231" i="4"/>
  <c r="FE231" i="4"/>
  <c r="CC233" i="4"/>
  <c r="DN233" i="4"/>
  <c r="CP235" i="4"/>
  <c r="EM242" i="4"/>
  <c r="EY242" i="4"/>
  <c r="FK242" i="4"/>
  <c r="EG243" i="4"/>
  <c r="ES243" i="4"/>
  <c r="IG243" i="4"/>
  <c r="DH245" i="4"/>
  <c r="N251" i="4"/>
  <c r="CV251" i="4"/>
  <c r="DB181" i="4"/>
  <c r="ES181" i="4"/>
  <c r="IA181" i="4"/>
  <c r="IY181" i="4"/>
  <c r="AL182" i="4"/>
  <c r="AY182" i="4"/>
  <c r="BK182" i="4"/>
  <c r="EY182" i="4"/>
  <c r="HB182" i="4"/>
  <c r="HO182" i="4"/>
  <c r="IA182" i="4"/>
  <c r="AR183" i="4"/>
  <c r="CP183" i="4"/>
  <c r="EG183" i="4"/>
  <c r="FQ183" i="4"/>
  <c r="GD183" i="4"/>
  <c r="GP183" i="4"/>
  <c r="IY183" i="4"/>
  <c r="AR184" i="4"/>
  <c r="BE184" i="4"/>
  <c r="FQ184" i="4"/>
  <c r="HH184" i="4"/>
  <c r="HU184" i="4"/>
  <c r="AR185" i="4"/>
  <c r="BE185" i="4"/>
  <c r="BQ185" i="4"/>
  <c r="CC185" i="4"/>
  <c r="FK185" i="4"/>
  <c r="HB185" i="4"/>
  <c r="IM185" i="4"/>
  <c r="BW186" i="4"/>
  <c r="CI186" i="4"/>
  <c r="FE186" i="4"/>
  <c r="FQ186" i="4"/>
  <c r="IM186" i="4"/>
  <c r="IY186" i="4"/>
  <c r="N187" i="4"/>
  <c r="Z187" i="4"/>
  <c r="CI187" i="4"/>
  <c r="CV187" i="4"/>
  <c r="DH187" i="4"/>
  <c r="DT187" i="4"/>
  <c r="HB187" i="4"/>
  <c r="IS187" i="4"/>
  <c r="BQ188" i="4"/>
  <c r="EY188" i="4"/>
  <c r="IG188" i="4"/>
  <c r="T189" i="4"/>
  <c r="FE189" i="4"/>
  <c r="GD189" i="4"/>
  <c r="GP189" i="4"/>
  <c r="HB189" i="4"/>
  <c r="N190" i="4"/>
  <c r="BE190" i="4"/>
  <c r="CP190" i="4"/>
  <c r="GD190" i="4"/>
  <c r="HU190" i="4"/>
  <c r="H191" i="4"/>
  <c r="ES191" i="4"/>
  <c r="GJ191" i="4"/>
  <c r="BW192" i="4"/>
  <c r="DH192" i="4"/>
  <c r="IM192" i="4"/>
  <c r="BK193" i="4"/>
  <c r="CI193" i="4"/>
  <c r="CV193" i="4"/>
  <c r="FQ193" i="4"/>
  <c r="IA195" i="4"/>
  <c r="AY196" i="4"/>
  <c r="BK196" i="4"/>
  <c r="BW196" i="4"/>
  <c r="EG196" i="4"/>
  <c r="ES196" i="4"/>
  <c r="FE196" i="4"/>
  <c r="HO196" i="4"/>
  <c r="IA196" i="4"/>
  <c r="IM196" i="4"/>
  <c r="DB197" i="4"/>
  <c r="CV198" i="4"/>
  <c r="EM198" i="4"/>
  <c r="EY198" i="4"/>
  <c r="GD198" i="4"/>
  <c r="HU198" i="4"/>
  <c r="IG198" i="4"/>
  <c r="BK199" i="4"/>
  <c r="DH199" i="4"/>
  <c r="EM200" i="4"/>
  <c r="IM200" i="4"/>
  <c r="IY200" i="4"/>
  <c r="N201" i="4"/>
  <c r="Z201" i="4"/>
  <c r="AL201" i="4"/>
  <c r="DH201" i="4"/>
  <c r="DT201" i="4"/>
  <c r="EG201" i="4"/>
  <c r="T202" i="4"/>
  <c r="AF202" i="4"/>
  <c r="AR202" i="4"/>
  <c r="DB202" i="4"/>
  <c r="DN202" i="4"/>
  <c r="DZ202" i="4"/>
  <c r="GJ202" i="4"/>
  <c r="GV202" i="4"/>
  <c r="HH202" i="4"/>
  <c r="AF203" i="4"/>
  <c r="BE203" i="4"/>
  <c r="BQ203" i="4"/>
  <c r="CC203" i="4"/>
  <c r="EY203" i="4"/>
  <c r="FK203" i="4"/>
  <c r="FX203" i="4"/>
  <c r="AY205" i="4"/>
  <c r="FX205" i="4"/>
  <c r="GV205" i="4"/>
  <c r="BQ206" i="4"/>
  <c r="DT206" i="4"/>
  <c r="EG206" i="4"/>
  <c r="ES206" i="4"/>
  <c r="FQ206" i="4"/>
  <c r="HU206" i="4"/>
  <c r="DT208" i="4"/>
  <c r="GD209" i="4"/>
  <c r="GP209" i="4"/>
  <c r="HB209" i="4"/>
  <c r="IA209" i="4"/>
  <c r="HU210" i="4"/>
  <c r="IG210" i="4"/>
  <c r="IS210" i="4"/>
  <c r="H211" i="4"/>
  <c r="T211" i="4"/>
  <c r="BQ211" i="4"/>
  <c r="CP211" i="4"/>
  <c r="DB211" i="4"/>
  <c r="EY211" i="4"/>
  <c r="FX211" i="4"/>
  <c r="GJ211" i="4"/>
  <c r="IG211" i="4"/>
  <c r="CI213" i="4"/>
  <c r="DH213" i="4"/>
  <c r="HO213" i="4"/>
  <c r="IY213" i="4"/>
  <c r="N214" i="4"/>
  <c r="Z214" i="4"/>
  <c r="AY214" i="4"/>
  <c r="HH214" i="4"/>
  <c r="GD215" i="4"/>
  <c r="BK216" i="4"/>
  <c r="BW219" i="4"/>
  <c r="CI219" i="4"/>
  <c r="CV219" i="4"/>
  <c r="DH219" i="4"/>
  <c r="DT219" i="4"/>
  <c r="EG219" i="4"/>
  <c r="ES219" i="4"/>
  <c r="FE219" i="4"/>
  <c r="FQ219" i="4"/>
  <c r="GD219" i="4"/>
  <c r="IY220" i="4"/>
  <c r="IS221" i="4"/>
  <c r="FE222" i="4"/>
  <c r="CI224" i="4"/>
  <c r="FX224" i="4"/>
  <c r="DH225" i="4"/>
  <c r="BW226" i="4"/>
  <c r="GJ226" i="4"/>
  <c r="HU226" i="4"/>
  <c r="H227" i="4"/>
  <c r="AL227" i="4"/>
  <c r="CI227" i="4"/>
  <c r="FK227" i="4"/>
  <c r="HB227" i="4"/>
  <c r="IM227" i="4"/>
  <c r="Z228" i="4"/>
  <c r="CC228" i="4"/>
  <c r="EM228" i="4"/>
  <c r="EY228" i="4"/>
  <c r="FK228" i="4"/>
  <c r="FX228" i="4"/>
  <c r="AF232" i="4"/>
  <c r="CC232" i="4"/>
  <c r="HB233" i="4"/>
  <c r="IS233" i="4"/>
  <c r="AR234" i="4"/>
  <c r="EM234" i="4"/>
  <c r="EY234" i="4"/>
  <c r="FK234" i="4"/>
  <c r="HO234" i="4"/>
  <c r="IM234" i="4"/>
  <c r="CC241" i="4"/>
  <c r="DN241" i="4"/>
  <c r="GP241" i="4"/>
  <c r="FE246" i="4"/>
  <c r="IS249" i="4"/>
  <c r="T250" i="4"/>
  <c r="AR250" i="4"/>
  <c r="GJ250" i="4"/>
  <c r="CP252" i="4"/>
  <c r="DN252" i="4"/>
  <c r="HB255" i="4"/>
  <c r="CP256" i="4"/>
  <c r="BW258" i="4"/>
  <c r="EG258" i="4"/>
  <c r="GP258" i="4"/>
  <c r="AF260" i="4"/>
  <c r="IG263" i="4"/>
  <c r="DH273" i="4"/>
  <c r="ES273" i="4"/>
  <c r="HH274" i="4"/>
  <c r="HU274" i="4"/>
  <c r="DT276" i="4"/>
  <c r="H277" i="4"/>
  <c r="DT287" i="4"/>
  <c r="CP288" i="4"/>
  <c r="CP296" i="4"/>
  <c r="DN296" i="4"/>
  <c r="IY296" i="4"/>
  <c r="HB193" i="4"/>
  <c r="IM193" i="4"/>
  <c r="BW194" i="4"/>
  <c r="CI194" i="4"/>
  <c r="FE194" i="4"/>
  <c r="FQ194" i="4"/>
  <c r="IM194" i="4"/>
  <c r="IY194" i="4"/>
  <c r="N195" i="4"/>
  <c r="Z195" i="4"/>
  <c r="CI195" i="4"/>
  <c r="CV195" i="4"/>
  <c r="DH195" i="4"/>
  <c r="DT195" i="4"/>
  <c r="HB195" i="4"/>
  <c r="IS195" i="4"/>
  <c r="BQ196" i="4"/>
  <c r="EY196" i="4"/>
  <c r="IG196" i="4"/>
  <c r="T197" i="4"/>
  <c r="FE197" i="4"/>
  <c r="GD197" i="4"/>
  <c r="GP197" i="4"/>
  <c r="HB197" i="4"/>
  <c r="N198" i="4"/>
  <c r="BE198" i="4"/>
  <c r="CP198" i="4"/>
  <c r="AR199" i="4"/>
  <c r="CC199" i="4"/>
  <c r="CP199" i="4"/>
  <c r="EG199" i="4"/>
  <c r="ES199" i="4"/>
  <c r="GJ199" i="4"/>
  <c r="GV199" i="4"/>
  <c r="HU199" i="4"/>
  <c r="IG199" i="4"/>
  <c r="Z200" i="4"/>
  <c r="DZ200" i="4"/>
  <c r="GP200" i="4"/>
  <c r="H201" i="4"/>
  <c r="AF201" i="4"/>
  <c r="DN201" i="4"/>
  <c r="EY201" i="4"/>
  <c r="GJ201" i="4"/>
  <c r="Z202" i="4"/>
  <c r="BK202" i="4"/>
  <c r="DH202" i="4"/>
  <c r="ES202" i="4"/>
  <c r="GP202" i="4"/>
  <c r="IA202" i="4"/>
  <c r="AY203" i="4"/>
  <c r="BW203" i="4"/>
  <c r="FE203" i="4"/>
  <c r="GP203" i="4"/>
  <c r="IA203" i="4"/>
  <c r="AY204" i="4"/>
  <c r="BK204" i="4"/>
  <c r="BW204" i="4"/>
  <c r="EG204" i="4"/>
  <c r="ES204" i="4"/>
  <c r="FE204" i="4"/>
  <c r="HO204" i="4"/>
  <c r="IA204" i="4"/>
  <c r="IM204" i="4"/>
  <c r="DB205" i="4"/>
  <c r="ES205" i="4"/>
  <c r="IA205" i="4"/>
  <c r="IY205" i="4"/>
  <c r="AL206" i="4"/>
  <c r="AY206" i="4"/>
  <c r="BK206" i="4"/>
  <c r="EY206" i="4"/>
  <c r="HB206" i="4"/>
  <c r="HO206" i="4"/>
  <c r="IA206" i="4"/>
  <c r="AR207" i="4"/>
  <c r="CC207" i="4"/>
  <c r="CP207" i="4"/>
  <c r="EG207" i="4"/>
  <c r="FQ207" i="4"/>
  <c r="GD207" i="4"/>
  <c r="GP207" i="4"/>
  <c r="IM207" i="4"/>
  <c r="IY207" i="4"/>
  <c r="N208" i="4"/>
  <c r="EY208" i="4"/>
  <c r="GJ208" i="4"/>
  <c r="GV208" i="4"/>
  <c r="AY209" i="4"/>
  <c r="BK209" i="4"/>
  <c r="BW209" i="4"/>
  <c r="CI209" i="4"/>
  <c r="EG209" i="4"/>
  <c r="ES209" i="4"/>
  <c r="AR210" i="4"/>
  <c r="CC210" i="4"/>
  <c r="GD210" i="4"/>
  <c r="HB210" i="4"/>
  <c r="FX212" i="4"/>
  <c r="HU212" i="4"/>
  <c r="GD214" i="4"/>
  <c r="GP214" i="4"/>
  <c r="T215" i="4"/>
  <c r="DB216" i="4"/>
  <c r="N217" i="4"/>
  <c r="BK217" i="4"/>
  <c r="BW217" i="4"/>
  <c r="CI217" i="4"/>
  <c r="CV217" i="4"/>
  <c r="DH217" i="4"/>
  <c r="EG217" i="4"/>
  <c r="AF218" i="4"/>
  <c r="BW218" i="4"/>
  <c r="GP218" i="4"/>
  <c r="HB218" i="4"/>
  <c r="HO218" i="4"/>
  <c r="AF219" i="4"/>
  <c r="IG219" i="4"/>
  <c r="AF220" i="4"/>
  <c r="DN220" i="4"/>
  <c r="CI221" i="4"/>
  <c r="DH221" i="4"/>
  <c r="IG222" i="4"/>
  <c r="AY223" i="4"/>
  <c r="EG223" i="4"/>
  <c r="AF224" i="4"/>
  <c r="BW225" i="4"/>
  <c r="EM225" i="4"/>
  <c r="IS225" i="4"/>
  <c r="AR226" i="4"/>
  <c r="T229" i="4"/>
  <c r="CC229" i="4"/>
  <c r="FE229" i="4"/>
  <c r="AL231" i="4"/>
  <c r="AY231" i="4"/>
  <c r="BK231" i="4"/>
  <c r="BW231" i="4"/>
  <c r="HH231" i="4"/>
  <c r="CI232" i="4"/>
  <c r="CV232" i="4"/>
  <c r="IA232" i="4"/>
  <c r="IY232" i="4"/>
  <c r="Z233" i="4"/>
  <c r="BK233" i="4"/>
  <c r="HO233" i="4"/>
  <c r="AR235" i="4"/>
  <c r="CV235" i="4"/>
  <c r="DT235" i="4"/>
  <c r="FE235" i="4"/>
  <c r="FQ235" i="4"/>
  <c r="BE236" i="4"/>
  <c r="EM236" i="4"/>
  <c r="EY236" i="4"/>
  <c r="FK236" i="4"/>
  <c r="N237" i="4"/>
  <c r="BW237" i="4"/>
  <c r="CI237" i="4"/>
  <c r="CV237" i="4"/>
  <c r="FE237" i="4"/>
  <c r="FQ237" i="4"/>
  <c r="GD237" i="4"/>
  <c r="IM237" i="4"/>
  <c r="IY237" i="4"/>
  <c r="CV238" i="4"/>
  <c r="DH238" i="4"/>
  <c r="DT238" i="4"/>
  <c r="ES238" i="4"/>
  <c r="HB238" i="4"/>
  <c r="AF239" i="4"/>
  <c r="BQ239" i="4"/>
  <c r="DN239" i="4"/>
  <c r="EY239" i="4"/>
  <c r="GV239" i="4"/>
  <c r="IG239" i="4"/>
  <c r="CC240" i="4"/>
  <c r="AY241" i="4"/>
  <c r="CC242" i="4"/>
  <c r="GD242" i="4"/>
  <c r="IY242" i="4"/>
  <c r="CP243" i="4"/>
  <c r="H244" i="4"/>
  <c r="AF244" i="4"/>
  <c r="FX245" i="4"/>
  <c r="IY245" i="4"/>
  <c r="N246" i="4"/>
  <c r="CV246" i="4"/>
  <c r="DH246" i="4"/>
  <c r="DT246" i="4"/>
  <c r="ES246" i="4"/>
  <c r="GJ246" i="4"/>
  <c r="HH246" i="4"/>
  <c r="IG246" i="4"/>
  <c r="AF247" i="4"/>
  <c r="AR247" i="4"/>
  <c r="DN247" i="4"/>
  <c r="DZ247" i="4"/>
  <c r="GV247" i="4"/>
  <c r="HH247" i="4"/>
  <c r="BE248" i="4"/>
  <c r="BQ248" i="4"/>
  <c r="CC248" i="4"/>
  <c r="GP248" i="4"/>
  <c r="N249" i="4"/>
  <c r="AL249" i="4"/>
  <c r="BW249" i="4"/>
  <c r="CV249" i="4"/>
  <c r="DT249" i="4"/>
  <c r="FE249" i="4"/>
  <c r="GD249" i="4"/>
  <c r="HB249" i="4"/>
  <c r="IM249" i="4"/>
  <c r="HH250" i="4"/>
  <c r="HU250" i="4"/>
  <c r="GD252" i="4"/>
  <c r="GP252" i="4"/>
  <c r="HB252" i="4"/>
  <c r="BK253" i="4"/>
  <c r="BW253" i="4"/>
  <c r="CI253" i="4"/>
  <c r="CP254" i="4"/>
  <c r="EG254" i="4"/>
  <c r="IY254" i="4"/>
  <c r="CC255" i="4"/>
  <c r="CP255" i="4"/>
  <c r="DB255" i="4"/>
  <c r="FK255" i="4"/>
  <c r="FX255" i="4"/>
  <c r="GJ255" i="4"/>
  <c r="CP261" i="4"/>
  <c r="DB261" i="4"/>
  <c r="DN261" i="4"/>
  <c r="CI262" i="4"/>
  <c r="CV262" i="4"/>
  <c r="DH262" i="4"/>
  <c r="GJ262" i="4"/>
  <c r="GV265" i="4"/>
  <c r="DN267" i="4"/>
  <c r="DZ267" i="4"/>
  <c r="EM267" i="4"/>
  <c r="AL268" i="4"/>
  <c r="CP268" i="4"/>
  <c r="DN268" i="4"/>
  <c r="IA268" i="4"/>
  <c r="Z272" i="4"/>
  <c r="AL272" i="4"/>
  <c r="H273" i="4"/>
  <c r="GP273" i="4"/>
  <c r="DN278" i="4"/>
  <c r="DZ278" i="4"/>
  <c r="EY278" i="4"/>
  <c r="HH280" i="4"/>
  <c r="CI282" i="4"/>
  <c r="CV282" i="4"/>
  <c r="DH282" i="4"/>
  <c r="EM283" i="4"/>
  <c r="N284" i="4"/>
  <c r="Z284" i="4"/>
  <c r="AL284" i="4"/>
  <c r="AY284" i="4"/>
  <c r="CC284" i="4"/>
  <c r="HU284" i="4"/>
  <c r="IG284" i="4"/>
  <c r="H285" i="4"/>
  <c r="T285" i="4"/>
  <c r="FE285" i="4"/>
  <c r="IS286" i="4"/>
  <c r="FX289" i="4"/>
  <c r="CP291" i="4"/>
  <c r="DB291" i="4"/>
  <c r="DN291" i="4"/>
  <c r="AF292" i="4"/>
  <c r="CV295" i="4"/>
  <c r="GD295" i="4"/>
  <c r="HB295" i="4"/>
  <c r="H298" i="4"/>
  <c r="BQ298" i="4"/>
  <c r="H300" i="4"/>
  <c r="HB300" i="4"/>
  <c r="AF256" i="4"/>
  <c r="IY256" i="4"/>
  <c r="IS258" i="4"/>
  <c r="BQ259" i="4"/>
  <c r="EY259" i="4"/>
  <c r="IG259" i="4"/>
  <c r="ES260" i="4"/>
  <c r="IY260" i="4"/>
  <c r="CP264" i="4"/>
  <c r="ES264" i="4"/>
  <c r="T266" i="4"/>
  <c r="AR266" i="4"/>
  <c r="T271" i="4"/>
  <c r="DB271" i="4"/>
  <c r="GJ271" i="4"/>
  <c r="DH277" i="4"/>
  <c r="GP277" i="4"/>
  <c r="AF281" i="4"/>
  <c r="DT209" i="4"/>
  <c r="EM209" i="4"/>
  <c r="FX209" i="4"/>
  <c r="IY209" i="4"/>
  <c r="Z210" i="4"/>
  <c r="AL210" i="4"/>
  <c r="DB210" i="4"/>
  <c r="DZ210" i="4"/>
  <c r="FX210" i="4"/>
  <c r="GJ210" i="4"/>
  <c r="GV210" i="4"/>
  <c r="IM210" i="4"/>
  <c r="N211" i="4"/>
  <c r="CV211" i="4"/>
  <c r="GD211" i="4"/>
  <c r="CI212" i="4"/>
  <c r="CV212" i="4"/>
  <c r="GP212" i="4"/>
  <c r="HB212" i="4"/>
  <c r="IA212" i="4"/>
  <c r="AR213" i="4"/>
  <c r="CC213" i="4"/>
  <c r="DN213" i="4"/>
  <c r="FX213" i="4"/>
  <c r="HH213" i="4"/>
  <c r="FK214" i="4"/>
  <c r="HB214" i="4"/>
  <c r="IM214" i="4"/>
  <c r="DB215" i="4"/>
  <c r="GJ215" i="4"/>
  <c r="T216" i="4"/>
  <c r="FQ216" i="4"/>
  <c r="GD216" i="4"/>
  <c r="GP216" i="4"/>
  <c r="HB216" i="4"/>
  <c r="H217" i="4"/>
  <c r="AR217" i="4"/>
  <c r="CP217" i="4"/>
  <c r="HO217" i="4"/>
  <c r="IA217" i="4"/>
  <c r="IM217" i="4"/>
  <c r="IY217" i="4"/>
  <c r="Z218" i="4"/>
  <c r="AR218" i="4"/>
  <c r="EM218" i="4"/>
  <c r="EY218" i="4"/>
  <c r="FK218" i="4"/>
  <c r="GV218" i="4"/>
  <c r="HH218" i="4"/>
  <c r="IM218" i="4"/>
  <c r="AY219" i="4"/>
  <c r="BQ219" i="4"/>
  <c r="HB219" i="4"/>
  <c r="IM219" i="4"/>
  <c r="IY219" i="4"/>
  <c r="N220" i="4"/>
  <c r="BK220" i="4"/>
  <c r="CV220" i="4"/>
  <c r="EG220" i="4"/>
  <c r="ES220" i="4"/>
  <c r="GD220" i="4"/>
  <c r="HU220" i="4"/>
  <c r="AR221" i="4"/>
  <c r="CP221" i="4"/>
  <c r="EM221" i="4"/>
  <c r="N222" i="4"/>
  <c r="Z222" i="4"/>
  <c r="AL222" i="4"/>
  <c r="BQ222" i="4"/>
  <c r="DB222" i="4"/>
  <c r="FK222" i="4"/>
  <c r="HB222" i="4"/>
  <c r="DZ223" i="4"/>
  <c r="ES223" i="4"/>
  <c r="GD223" i="4"/>
  <c r="AL224" i="4"/>
  <c r="AY224" i="4"/>
  <c r="EM224" i="4"/>
  <c r="EY224" i="4"/>
  <c r="FQ224" i="4"/>
  <c r="IY224" i="4"/>
  <c r="DN225" i="4"/>
  <c r="DZ225" i="4"/>
  <c r="Z226" i="4"/>
  <c r="AL226" i="4"/>
  <c r="BQ226" i="4"/>
  <c r="DB226" i="4"/>
  <c r="EY226" i="4"/>
  <c r="IM226" i="4"/>
  <c r="AR227" i="4"/>
  <c r="CV227" i="4"/>
  <c r="FX227" i="4"/>
  <c r="H228" i="4"/>
  <c r="BK228" i="4"/>
  <c r="DT228" i="4"/>
  <c r="ES228" i="4"/>
  <c r="FE228" i="4"/>
  <c r="FQ228" i="4"/>
  <c r="IS228" i="4"/>
  <c r="BW229" i="4"/>
  <c r="EM229" i="4"/>
  <c r="FK229" i="4"/>
  <c r="HU229" i="4"/>
  <c r="BW230" i="4"/>
  <c r="CI230" i="4"/>
  <c r="DB230" i="4"/>
  <c r="FK230" i="4"/>
  <c r="HO230" i="4"/>
  <c r="IY230" i="4"/>
  <c r="FX231" i="4"/>
  <c r="GJ231" i="4"/>
  <c r="HB231" i="4"/>
  <c r="N232" i="4"/>
  <c r="BW232" i="4"/>
  <c r="CP232" i="4"/>
  <c r="FK232" i="4"/>
  <c r="GV232" i="4"/>
  <c r="AF233" i="4"/>
  <c r="DH233" i="4"/>
  <c r="FK233" i="4"/>
  <c r="GV233" i="4"/>
  <c r="AY234" i="4"/>
  <c r="BW234" i="4"/>
  <c r="DH234" i="4"/>
  <c r="DT234" i="4"/>
  <c r="N235" i="4"/>
  <c r="AL235" i="4"/>
  <c r="BW235" i="4"/>
  <c r="CI235" i="4"/>
  <c r="GD235" i="4"/>
  <c r="HB235" i="4"/>
  <c r="IM235" i="4"/>
  <c r="IY235" i="4"/>
  <c r="N236" i="4"/>
  <c r="Z236" i="4"/>
  <c r="AY236" i="4"/>
  <c r="DH236" i="4"/>
  <c r="DT236" i="4"/>
  <c r="GD236" i="4"/>
  <c r="GV236" i="4"/>
  <c r="H237" i="4"/>
  <c r="T237" i="4"/>
  <c r="CP237" i="4"/>
  <c r="DB237" i="4"/>
  <c r="FX237" i="4"/>
  <c r="GJ237" i="4"/>
  <c r="BE238" i="4"/>
  <c r="CC238" i="4"/>
  <c r="EM238" i="4"/>
  <c r="EY238" i="4"/>
  <c r="CI239" i="4"/>
  <c r="FQ239" i="4"/>
  <c r="IY239" i="4"/>
  <c r="BW240" i="4"/>
  <c r="CP240" i="4"/>
  <c r="FK240" i="4"/>
  <c r="GV240" i="4"/>
  <c r="AF241" i="4"/>
  <c r="DH241" i="4"/>
  <c r="FK241" i="4"/>
  <c r="GV241" i="4"/>
  <c r="AY242" i="4"/>
  <c r="BW242" i="4"/>
  <c r="DH242" i="4"/>
  <c r="DT242" i="4"/>
  <c r="N243" i="4"/>
  <c r="AL243" i="4"/>
  <c r="BW243" i="4"/>
  <c r="CI243" i="4"/>
  <c r="GD243" i="4"/>
  <c r="HB243" i="4"/>
  <c r="IM243" i="4"/>
  <c r="AL244" i="4"/>
  <c r="AY244" i="4"/>
  <c r="FQ244" i="4"/>
  <c r="HB244" i="4"/>
  <c r="IA244" i="4"/>
  <c r="AL245" i="4"/>
  <c r="BE245" i="4"/>
  <c r="CC245" i="4"/>
  <c r="DN245" i="4"/>
  <c r="DZ245" i="4"/>
  <c r="HB245" i="4"/>
  <c r="HU245" i="4"/>
  <c r="IS245" i="4"/>
  <c r="T246" i="4"/>
  <c r="AR246" i="4"/>
  <c r="FK246" i="4"/>
  <c r="HO246" i="4"/>
  <c r="AY247" i="4"/>
  <c r="BK247" i="4"/>
  <c r="EG247" i="4"/>
  <c r="ES247" i="4"/>
  <c r="HO247" i="4"/>
  <c r="IA247" i="4"/>
  <c r="N248" i="4"/>
  <c r="Z248" i="4"/>
  <c r="AL248" i="4"/>
  <c r="AY248" i="4"/>
  <c r="BW248" i="4"/>
  <c r="DH248" i="4"/>
  <c r="T249" i="4"/>
  <c r="AF249" i="4"/>
  <c r="AR249" i="4"/>
  <c r="BQ249" i="4"/>
  <c r="DB249" i="4"/>
  <c r="DN249" i="4"/>
  <c r="DZ249" i="4"/>
  <c r="EY249" i="4"/>
  <c r="GJ249" i="4"/>
  <c r="GV249" i="4"/>
  <c r="HH249" i="4"/>
  <c r="IG249" i="4"/>
  <c r="AY250" i="4"/>
  <c r="FE250" i="4"/>
  <c r="GP250" i="4"/>
  <c r="IA250" i="4"/>
  <c r="IY250" i="4"/>
  <c r="GD251" i="4"/>
  <c r="EG252" i="4"/>
  <c r="HU252" i="4"/>
  <c r="N254" i="4"/>
  <c r="CI254" i="4"/>
  <c r="DB254" i="4"/>
  <c r="DZ254" i="4"/>
  <c r="GJ254" i="4"/>
  <c r="H255" i="4"/>
  <c r="AL255" i="4"/>
  <c r="CI255" i="4"/>
  <c r="EG255" i="4"/>
  <c r="FE255" i="4"/>
  <c r="FQ255" i="4"/>
  <c r="IS255" i="4"/>
  <c r="AL256" i="4"/>
  <c r="CV256" i="4"/>
  <c r="CV260" i="4"/>
  <c r="DH260" i="4"/>
  <c r="BQ261" i="4"/>
  <c r="GD261" i="4"/>
  <c r="HU261" i="4"/>
  <c r="AF262" i="4"/>
  <c r="BE262" i="4"/>
  <c r="EG262" i="4"/>
  <c r="DT263" i="4"/>
  <c r="HH264" i="4"/>
  <c r="HU264" i="4"/>
  <c r="IG264" i="4"/>
  <c r="CI265" i="4"/>
  <c r="IY265" i="4"/>
  <c r="HO266" i="4"/>
  <c r="N267" i="4"/>
  <c r="AL267" i="4"/>
  <c r="GP268" i="4"/>
  <c r="AR269" i="4"/>
  <c r="GV269" i="4"/>
  <c r="IG269" i="4"/>
  <c r="H270" i="4"/>
  <c r="BQ270" i="4"/>
  <c r="CC270" i="4"/>
  <c r="CP270" i="4"/>
  <c r="DN270" i="4"/>
  <c r="EM270" i="4"/>
  <c r="HO270" i="4"/>
  <c r="BK272" i="4"/>
  <c r="FQ272" i="4"/>
  <c r="AF274" i="4"/>
  <c r="BE274" i="4"/>
  <c r="BQ274" i="4"/>
  <c r="CC274" i="4"/>
  <c r="CV275" i="4"/>
  <c r="DT275" i="4"/>
  <c r="GP275" i="4"/>
  <c r="HB275" i="4"/>
  <c r="HO275" i="4"/>
  <c r="IA275" i="4"/>
  <c r="IM275" i="4"/>
  <c r="IY275" i="4"/>
  <c r="N276" i="4"/>
  <c r="CP276" i="4"/>
  <c r="CC278" i="4"/>
  <c r="CP278" i="4"/>
  <c r="HB278" i="4"/>
  <c r="CC279" i="4"/>
  <c r="CV279" i="4"/>
  <c r="EG279" i="4"/>
  <c r="FQ279" i="4"/>
  <c r="FQ280" i="4"/>
  <c r="IA281" i="4"/>
  <c r="IM281" i="4"/>
  <c r="DZ282" i="4"/>
  <c r="GJ282" i="4"/>
  <c r="HH282" i="4"/>
  <c r="HU282" i="4"/>
  <c r="IS282" i="4"/>
  <c r="H283" i="4"/>
  <c r="AR283" i="4"/>
  <c r="CI283" i="4"/>
  <c r="AY285" i="4"/>
  <c r="BK285" i="4"/>
  <c r="EG285" i="4"/>
  <c r="IG285" i="4"/>
  <c r="IS285" i="4"/>
  <c r="BE286" i="4"/>
  <c r="BQ286" i="4"/>
  <c r="CC286" i="4"/>
  <c r="CP286" i="4"/>
  <c r="EY286" i="4"/>
  <c r="FK286" i="4"/>
  <c r="FX286" i="4"/>
  <c r="CI287" i="4"/>
  <c r="CV287" i="4"/>
  <c r="DH287" i="4"/>
  <c r="GV287" i="4"/>
  <c r="Z288" i="4"/>
  <c r="BK288" i="4"/>
  <c r="FX288" i="4"/>
  <c r="T289" i="4"/>
  <c r="FK290" i="4"/>
  <c r="HU290" i="4"/>
  <c r="IG290" i="4"/>
  <c r="H291" i="4"/>
  <c r="T291" i="4"/>
  <c r="AF291" i="4"/>
  <c r="FX291" i="4"/>
  <c r="GJ291" i="4"/>
  <c r="GV291" i="4"/>
  <c r="DN292" i="4"/>
  <c r="IA292" i="4"/>
  <c r="IY292" i="4"/>
  <c r="N293" i="4"/>
  <c r="AL293" i="4"/>
  <c r="BE293" i="4"/>
  <c r="BQ293" i="4"/>
  <c r="CV293" i="4"/>
  <c r="DT293" i="4"/>
  <c r="EM293" i="4"/>
  <c r="GD293" i="4"/>
  <c r="HB293" i="4"/>
  <c r="HU293" i="4"/>
  <c r="AY294" i="4"/>
  <c r="FE294" i="4"/>
  <c r="HB294" i="4"/>
  <c r="CP295" i="4"/>
  <c r="DT297" i="4"/>
  <c r="EG297" i="4"/>
  <c r="ES297" i="4"/>
  <c r="GJ298" i="4"/>
  <c r="HH298" i="4"/>
  <c r="AR299" i="4"/>
  <c r="CV299" i="4"/>
  <c r="ES299" i="4"/>
  <c r="FE299" i="4"/>
  <c r="GP299" i="4"/>
  <c r="IA299" i="4"/>
  <c r="IM299" i="4"/>
  <c r="DN300" i="4"/>
  <c r="EY300" i="4"/>
  <c r="DH256" i="4"/>
  <c r="DT256" i="4"/>
  <c r="FE256" i="4"/>
  <c r="GV256" i="4"/>
  <c r="BQ257" i="4"/>
  <c r="DB257" i="4"/>
  <c r="DN257" i="4"/>
  <c r="EY257" i="4"/>
  <c r="FX257" i="4"/>
  <c r="GJ257" i="4"/>
  <c r="GV257" i="4"/>
  <c r="IG257" i="4"/>
  <c r="AF258" i="4"/>
  <c r="BE258" i="4"/>
  <c r="CC258" i="4"/>
  <c r="CP258" i="4"/>
  <c r="EM258" i="4"/>
  <c r="EY258" i="4"/>
  <c r="FK258" i="4"/>
  <c r="GV258" i="4"/>
  <c r="IM258" i="4"/>
  <c r="AL259" i="4"/>
  <c r="DT259" i="4"/>
  <c r="HB259" i="4"/>
  <c r="AY260" i="4"/>
  <c r="CP260" i="4"/>
  <c r="EY260" i="4"/>
  <c r="FK260" i="4"/>
  <c r="HH260" i="4"/>
  <c r="HU260" i="4"/>
  <c r="IG260" i="4"/>
  <c r="H261" i="4"/>
  <c r="T261" i="4"/>
  <c r="CV261" i="4"/>
  <c r="EM261" i="4"/>
  <c r="FX261" i="4"/>
  <c r="GJ261" i="4"/>
  <c r="Z262" i="4"/>
  <c r="AL262" i="4"/>
  <c r="EM262" i="4"/>
  <c r="EY262" i="4"/>
  <c r="IM262" i="4"/>
  <c r="BQ263" i="4"/>
  <c r="DZ263" i="4"/>
  <c r="GD263" i="4"/>
  <c r="HB263" i="4"/>
  <c r="HO263" i="4"/>
  <c r="CI264" i="4"/>
  <c r="IA264" i="4"/>
  <c r="IY264" i="4"/>
  <c r="N265" i="4"/>
  <c r="BE265" i="4"/>
  <c r="BQ265" i="4"/>
  <c r="CV265" i="4"/>
  <c r="EM265" i="4"/>
  <c r="EY265" i="4"/>
  <c r="GD265" i="4"/>
  <c r="HU265" i="4"/>
  <c r="IG265" i="4"/>
  <c r="DZ266" i="4"/>
  <c r="FX266" i="4"/>
  <c r="IG266" i="4"/>
  <c r="IS266" i="4"/>
  <c r="AF267" i="4"/>
  <c r="CV267" i="4"/>
  <c r="DT267" i="4"/>
  <c r="IG267" i="4"/>
  <c r="H268" i="4"/>
  <c r="T268" i="4"/>
  <c r="BK268" i="4"/>
  <c r="BW268" i="4"/>
  <c r="CV268" i="4"/>
  <c r="FX268" i="4"/>
  <c r="IS268" i="4"/>
  <c r="DN269" i="4"/>
  <c r="EY269" i="4"/>
  <c r="N270" i="4"/>
  <c r="Z270" i="4"/>
  <c r="AL270" i="4"/>
  <c r="BK270" i="4"/>
  <c r="DT270" i="4"/>
  <c r="FK270" i="4"/>
  <c r="GV270" i="4"/>
  <c r="HU270" i="4"/>
  <c r="IG270" i="4"/>
  <c r="AY271" i="4"/>
  <c r="EG271" i="4"/>
  <c r="IA271" i="4"/>
  <c r="H272" i="4"/>
  <c r="AR272" i="4"/>
  <c r="BE272" i="4"/>
  <c r="BQ272" i="4"/>
  <c r="CC272" i="4"/>
  <c r="FK272" i="4"/>
  <c r="HB272" i="4"/>
  <c r="IM272" i="4"/>
  <c r="AL273" i="4"/>
  <c r="AY273" i="4"/>
  <c r="CC273" i="4"/>
  <c r="FK273" i="4"/>
  <c r="HH273" i="4"/>
  <c r="H274" i="4"/>
  <c r="AY274" i="4"/>
  <c r="BW274" i="4"/>
  <c r="FQ274" i="4"/>
  <c r="GD274" i="4"/>
  <c r="GP274" i="4"/>
  <c r="IA274" i="4"/>
  <c r="BQ275" i="4"/>
  <c r="AL276" i="4"/>
  <c r="HB276" i="4"/>
  <c r="BE277" i="4"/>
  <c r="CC277" i="4"/>
  <c r="EM277" i="4"/>
  <c r="FK277" i="4"/>
  <c r="FX277" i="4"/>
  <c r="H278" i="4"/>
  <c r="AL278" i="4"/>
  <c r="ES278" i="4"/>
  <c r="GJ278" i="4"/>
  <c r="AY279" i="4"/>
  <c r="BW279" i="4"/>
  <c r="FK279" i="4"/>
  <c r="GD279" i="4"/>
  <c r="HO279" i="4"/>
  <c r="H280" i="4"/>
  <c r="AF280" i="4"/>
  <c r="IA280" i="4"/>
  <c r="CC281" i="4"/>
  <c r="IS281" i="4"/>
  <c r="T282" i="4"/>
  <c r="AF282" i="4"/>
  <c r="BE282" i="4"/>
  <c r="CC282" i="4"/>
  <c r="EG282" i="4"/>
  <c r="CC283" i="4"/>
  <c r="CP283" i="4"/>
  <c r="IS283" i="4"/>
  <c r="H284" i="4"/>
  <c r="BE284" i="4"/>
  <c r="CI284" i="4"/>
  <c r="FQ284" i="4"/>
  <c r="GD284" i="4"/>
  <c r="GP284" i="4"/>
  <c r="HB284" i="4"/>
  <c r="HO284" i="4"/>
  <c r="N285" i="4"/>
  <c r="BE285" i="4"/>
  <c r="CC285" i="4"/>
  <c r="FX285" i="4"/>
  <c r="GP285" i="4"/>
  <c r="IA285" i="4"/>
  <c r="BW286" i="4"/>
  <c r="GD286" i="4"/>
  <c r="IA286" i="4"/>
  <c r="IY286" i="4"/>
  <c r="CP287" i="4"/>
  <c r="IG287" i="4"/>
  <c r="H288" i="4"/>
  <c r="T288" i="4"/>
  <c r="AF288" i="4"/>
  <c r="DH288" i="4"/>
  <c r="AL289" i="4"/>
  <c r="BE289" i="4"/>
  <c r="BQ289" i="4"/>
  <c r="CV289" i="4"/>
  <c r="DH289" i="4"/>
  <c r="EG289" i="4"/>
  <c r="ES289" i="4"/>
  <c r="AY290" i="4"/>
  <c r="BW290" i="4"/>
  <c r="CI290" i="4"/>
  <c r="CV290" i="4"/>
  <c r="GP290" i="4"/>
  <c r="HB290" i="4"/>
  <c r="IA290" i="4"/>
  <c r="N292" i="4"/>
  <c r="Z292" i="4"/>
  <c r="AL292" i="4"/>
  <c r="AY292" i="4"/>
  <c r="BW292" i="4"/>
  <c r="CP292" i="4"/>
  <c r="DB292" i="4"/>
  <c r="ES292" i="4"/>
  <c r="GD292" i="4"/>
  <c r="CC293" i="4"/>
  <c r="FK293" i="4"/>
  <c r="IS293" i="4"/>
  <c r="T294" i="4"/>
  <c r="AR294" i="4"/>
  <c r="DZ294" i="4"/>
  <c r="N295" i="4"/>
  <c r="AL295" i="4"/>
  <c r="ES296" i="4"/>
  <c r="FQ296" i="4"/>
  <c r="EM297" i="4"/>
  <c r="FK297" i="4"/>
  <c r="FX297" i="4"/>
  <c r="GJ297" i="4"/>
  <c r="Z298" i="4"/>
  <c r="AL298" i="4"/>
  <c r="BK298" i="4"/>
  <c r="CC298" i="4"/>
  <c r="EM298" i="4"/>
  <c r="EY298" i="4"/>
  <c r="HO298" i="4"/>
  <c r="BQ299" i="4"/>
  <c r="DB299" i="4"/>
  <c r="EM299" i="4"/>
  <c r="GV299" i="4"/>
  <c r="HH299" i="4"/>
  <c r="HU299" i="4"/>
  <c r="BW300" i="4"/>
  <c r="CV300" i="4"/>
  <c r="DH300" i="4"/>
  <c r="DT300" i="4"/>
  <c r="EG300" i="4"/>
  <c r="EG26" i="4"/>
  <c r="GJ26" i="4"/>
  <c r="GV26" i="4"/>
  <c r="FK27" i="4"/>
  <c r="DZ28" i="4"/>
  <c r="GJ29" i="4"/>
  <c r="T42" i="4"/>
  <c r="DZ42" i="4"/>
  <c r="CP43" i="4"/>
  <c r="EM44" i="4"/>
  <c r="CV46" i="4"/>
  <c r="DN47" i="4"/>
  <c r="GD47" i="4"/>
  <c r="H48" i="4"/>
  <c r="CI48" i="4"/>
  <c r="GV48" i="4"/>
  <c r="BW49" i="4"/>
  <c r="EM49" i="4"/>
  <c r="HO49" i="4"/>
  <c r="DB50" i="4"/>
  <c r="GD50" i="4"/>
  <c r="BQ51" i="4"/>
  <c r="ES51" i="4"/>
  <c r="BQ54" i="4"/>
  <c r="EG54" i="4"/>
  <c r="HH54" i="4"/>
  <c r="CI55" i="4"/>
  <c r="GV55" i="4"/>
  <c r="Z56" i="4"/>
  <c r="EM56" i="4"/>
  <c r="IA56" i="4"/>
  <c r="IM58" i="4"/>
  <c r="GJ61" i="4"/>
  <c r="GD63" i="4"/>
  <c r="IY63" i="4"/>
  <c r="N11" i="4"/>
  <c r="BQ11" i="4"/>
  <c r="CI11" i="4"/>
  <c r="DT11" i="4"/>
  <c r="EG11" i="4"/>
  <c r="GJ11" i="4"/>
  <c r="IM11" i="4"/>
  <c r="CI12" i="4"/>
  <c r="CV12" i="4"/>
  <c r="FQ12" i="4"/>
  <c r="GD12" i="4"/>
  <c r="IY12" i="4"/>
  <c r="T13" i="4"/>
  <c r="CC13" i="4"/>
  <c r="CP13" i="4"/>
  <c r="EG13" i="4"/>
  <c r="ES13" i="4"/>
  <c r="GJ13" i="4"/>
  <c r="GV13" i="4"/>
  <c r="IM13" i="4"/>
  <c r="IY13" i="4"/>
  <c r="CC14" i="4"/>
  <c r="DH14" i="4"/>
  <c r="FK14" i="4"/>
  <c r="GP14" i="4"/>
  <c r="IS14" i="4"/>
  <c r="AY15" i="4"/>
  <c r="DB15" i="4"/>
  <c r="FE15" i="4"/>
  <c r="FX15" i="4"/>
  <c r="HH15" i="4"/>
  <c r="IA15" i="4"/>
  <c r="N16" i="4"/>
  <c r="BQ16" i="4"/>
  <c r="DT16" i="4"/>
  <c r="EY16" i="4"/>
  <c r="HB16" i="4"/>
  <c r="IG16" i="4"/>
  <c r="Z17" i="4"/>
  <c r="CC17" i="4"/>
  <c r="CP17" i="4"/>
  <c r="ES17" i="4"/>
  <c r="GJ17" i="4"/>
  <c r="GV17" i="4"/>
  <c r="IM17" i="4"/>
  <c r="IY17" i="4"/>
  <c r="CC18" i="4"/>
  <c r="DH18" i="4"/>
  <c r="FK18" i="4"/>
  <c r="GP18" i="4"/>
  <c r="IS18" i="4"/>
  <c r="AY19" i="4"/>
  <c r="DB19" i="4"/>
  <c r="FE19" i="4"/>
  <c r="FX19" i="4"/>
  <c r="HH19" i="4"/>
  <c r="IA19" i="4"/>
  <c r="N20" i="4"/>
  <c r="CI20" i="4"/>
  <c r="CV20" i="4"/>
  <c r="FQ20" i="4"/>
  <c r="GD20" i="4"/>
  <c r="IY20" i="4"/>
  <c r="T21" i="4"/>
  <c r="CC21" i="4"/>
  <c r="CP21" i="4"/>
  <c r="ES21" i="4"/>
  <c r="GV21" i="4"/>
  <c r="HO21" i="4"/>
  <c r="IY21" i="4"/>
  <c r="BE22" i="4"/>
  <c r="DZ22" i="4"/>
  <c r="EM22" i="4"/>
  <c r="HH22" i="4"/>
  <c r="HU22" i="4"/>
  <c r="N23" i="4"/>
  <c r="DZ23" i="4"/>
  <c r="FQ23" i="4"/>
  <c r="HB23" i="4"/>
  <c r="HO23" i="4"/>
  <c r="H24" i="4"/>
  <c r="T24" i="4"/>
  <c r="FK24" i="4"/>
  <c r="GV24" i="4"/>
  <c r="HH24" i="4"/>
  <c r="DN25" i="4"/>
  <c r="FE25" i="4"/>
  <c r="GP25" i="4"/>
  <c r="HB25" i="4"/>
  <c r="FE26" i="4"/>
  <c r="FQ26" i="4"/>
  <c r="DH27" i="4"/>
  <c r="BW28" i="4"/>
  <c r="IM28" i="4"/>
  <c r="FQ29" i="4"/>
  <c r="AY30" i="4"/>
  <c r="HO30" i="4"/>
  <c r="BK32" i="4"/>
  <c r="GP33" i="4"/>
  <c r="FQ35" i="4"/>
  <c r="ES36" i="4"/>
  <c r="HB38" i="4"/>
  <c r="BK39" i="4"/>
  <c r="IY39" i="4"/>
  <c r="DH40" i="4"/>
  <c r="FE41" i="4"/>
  <c r="HB42" i="4"/>
  <c r="GP45" i="4"/>
  <c r="BQ46" i="4"/>
  <c r="EG46" i="4"/>
  <c r="HH46" i="4"/>
  <c r="N50" i="4"/>
  <c r="EY50" i="4"/>
  <c r="HO50" i="4"/>
  <c r="DT58" i="4"/>
  <c r="GJ59" i="4"/>
  <c r="T11" i="4"/>
  <c r="BW11" i="4"/>
  <c r="CP11" i="4"/>
  <c r="DZ11" i="4"/>
  <c r="ES11" i="4"/>
  <c r="GD11" i="4"/>
  <c r="GV11" i="4"/>
  <c r="IG11" i="4"/>
  <c r="IY11" i="4"/>
  <c r="BE12" i="4"/>
  <c r="CP12" i="4"/>
  <c r="DH12" i="4"/>
  <c r="EM12" i="4"/>
  <c r="FX12" i="4"/>
  <c r="GP12" i="4"/>
  <c r="HU12" i="4"/>
  <c r="H13" i="4"/>
  <c r="AY13" i="4"/>
  <c r="BW13" i="4"/>
  <c r="CI13" i="4"/>
  <c r="DZ13" i="4"/>
  <c r="EM13" i="4"/>
  <c r="GP13" i="4"/>
  <c r="IS13" i="4"/>
  <c r="BW14" i="4"/>
  <c r="DB14" i="4"/>
  <c r="DT14" i="4"/>
  <c r="FE14" i="4"/>
  <c r="GJ14" i="4"/>
  <c r="HB14" i="4"/>
  <c r="IM14" i="4"/>
  <c r="H15" i="4"/>
  <c r="BK15" i="4"/>
  <c r="CV15" i="4"/>
  <c r="DN15" i="4"/>
  <c r="EY15" i="4"/>
  <c r="FQ15" i="4"/>
  <c r="HB15" i="4"/>
  <c r="HO15" i="4"/>
  <c r="H16" i="4"/>
  <c r="Z16" i="4"/>
  <c r="BK16" i="4"/>
  <c r="CC16" i="4"/>
  <c r="DN16" i="4"/>
  <c r="ES16" i="4"/>
  <c r="FK16" i="4"/>
  <c r="GV16" i="4"/>
  <c r="IA16" i="4"/>
  <c r="IS16" i="4"/>
  <c r="AY17" i="4"/>
  <c r="CI17" i="4"/>
  <c r="DB17" i="4"/>
  <c r="EM17" i="4"/>
  <c r="GP17" i="4"/>
  <c r="IS17" i="4"/>
  <c r="BW18" i="4"/>
  <c r="DB18" i="4"/>
  <c r="DT18" i="4"/>
  <c r="FE18" i="4"/>
  <c r="GJ18" i="4"/>
  <c r="HB18" i="4"/>
  <c r="IM18" i="4"/>
  <c r="H19" i="4"/>
  <c r="BK19" i="4"/>
  <c r="CV19" i="4"/>
  <c r="DN19" i="4"/>
  <c r="EY19" i="4"/>
  <c r="FQ19" i="4"/>
  <c r="HB19" i="4"/>
  <c r="HO19" i="4"/>
  <c r="H20" i="4"/>
  <c r="Z20" i="4"/>
  <c r="BE20" i="4"/>
  <c r="CP20" i="4"/>
  <c r="DH20" i="4"/>
  <c r="EM20" i="4"/>
  <c r="FX20" i="4"/>
  <c r="GP20" i="4"/>
  <c r="HU20" i="4"/>
  <c r="H21" i="4"/>
  <c r="AY21" i="4"/>
  <c r="CI21" i="4"/>
  <c r="DB21" i="4"/>
  <c r="EM21" i="4"/>
  <c r="FE21" i="4"/>
  <c r="GP21" i="4"/>
  <c r="HH21" i="4"/>
  <c r="IS21" i="4"/>
  <c r="N22" i="4"/>
  <c r="AY22" i="4"/>
  <c r="BQ22" i="4"/>
  <c r="CV22" i="4"/>
  <c r="EG22" i="4"/>
  <c r="EY22" i="4"/>
  <c r="GD22" i="4"/>
  <c r="HO22" i="4"/>
  <c r="IG22" i="4"/>
  <c r="T23" i="4"/>
  <c r="BK23" i="4"/>
  <c r="CV23" i="4"/>
  <c r="DH23" i="4"/>
  <c r="CC24" i="4"/>
  <c r="DN24" i="4"/>
  <c r="DZ24" i="4"/>
  <c r="IS24" i="4"/>
  <c r="AY25" i="4"/>
  <c r="CI25" i="4"/>
  <c r="CV25" i="4"/>
  <c r="DZ25" i="4"/>
  <c r="HU25" i="4"/>
  <c r="N26" i="4"/>
  <c r="BW26" i="4"/>
  <c r="CI26" i="4"/>
  <c r="HB26" i="4"/>
  <c r="IY26" i="4"/>
  <c r="FE28" i="4"/>
  <c r="CV29" i="4"/>
  <c r="EG30" i="4"/>
  <c r="ES32" i="4"/>
  <c r="IY32" i="4"/>
  <c r="CV35" i="4"/>
  <c r="GP36" i="4"/>
  <c r="GP37" i="4"/>
  <c r="AY38" i="4"/>
  <c r="IM38" i="4"/>
  <c r="CV39" i="4"/>
  <c r="BK40" i="4"/>
  <c r="IY40" i="4"/>
  <c r="DH41" i="4"/>
  <c r="AY42" i="4"/>
  <c r="IM42" i="4"/>
  <c r="HB43" i="4"/>
  <c r="FK48" i="4"/>
  <c r="Z49" i="4"/>
  <c r="DB49" i="4"/>
  <c r="DN52" i="4"/>
  <c r="BE53" i="4"/>
  <c r="EG53" i="4"/>
  <c r="IS53" i="4"/>
  <c r="CV54" i="4"/>
  <c r="EY55" i="4"/>
  <c r="IA55" i="4"/>
  <c r="DT63" i="4"/>
  <c r="DB23" i="4"/>
  <c r="FE23" i="4"/>
  <c r="FX23" i="4"/>
  <c r="HH23" i="4"/>
  <c r="IA23" i="4"/>
  <c r="N24" i="4"/>
  <c r="BQ24" i="4"/>
  <c r="DT24" i="4"/>
  <c r="EY24" i="4"/>
  <c r="HB24" i="4"/>
  <c r="IG24" i="4"/>
  <c r="Z25" i="4"/>
  <c r="CC25" i="4"/>
  <c r="CP25" i="4"/>
  <c r="ES25" i="4"/>
  <c r="GV25" i="4"/>
  <c r="HO25" i="4"/>
  <c r="IY25" i="4"/>
  <c r="CC26" i="4"/>
  <c r="DH26" i="4"/>
  <c r="FK26" i="4"/>
  <c r="GP26" i="4"/>
  <c r="IS26" i="4"/>
  <c r="AY27" i="4"/>
  <c r="DB27" i="4"/>
  <c r="FE27" i="4"/>
  <c r="FX27" i="4"/>
  <c r="HH27" i="4"/>
  <c r="IA27" i="4"/>
  <c r="N28" i="4"/>
  <c r="BQ28" i="4"/>
  <c r="DT28" i="4"/>
  <c r="EY28" i="4"/>
  <c r="HB28" i="4"/>
  <c r="IG28" i="4"/>
  <c r="Z29" i="4"/>
  <c r="CC29" i="4"/>
  <c r="CP29" i="4"/>
  <c r="EG29" i="4"/>
  <c r="GD29" i="4"/>
  <c r="HH29" i="4"/>
  <c r="HU29" i="4"/>
  <c r="T30" i="4"/>
  <c r="BW30" i="4"/>
  <c r="DB30" i="4"/>
  <c r="FE30" i="4"/>
  <c r="GJ30" i="4"/>
  <c r="IM30" i="4"/>
  <c r="BK31" i="4"/>
  <c r="BW31" i="4"/>
  <c r="CI31" i="4"/>
  <c r="DT31" i="4"/>
  <c r="ES31" i="4"/>
  <c r="FE31" i="4"/>
  <c r="FQ31" i="4"/>
  <c r="HB31" i="4"/>
  <c r="IA31" i="4"/>
  <c r="IM31" i="4"/>
  <c r="IY31" i="4"/>
  <c r="CI32" i="4"/>
  <c r="DH32" i="4"/>
  <c r="DZ32" i="4"/>
  <c r="BW33" i="4"/>
  <c r="CI33" i="4"/>
  <c r="CV33" i="4"/>
  <c r="DN33" i="4"/>
  <c r="EG33" i="4"/>
  <c r="ES33" i="4"/>
  <c r="H35" i="4"/>
  <c r="T35" i="4"/>
  <c r="EG35" i="4"/>
  <c r="FK35" i="4"/>
  <c r="BW36" i="4"/>
  <c r="GJ36" i="4"/>
  <c r="HB36" i="4"/>
  <c r="HO36" i="4"/>
  <c r="IG36" i="4"/>
  <c r="N37" i="4"/>
  <c r="BW37" i="4"/>
  <c r="CI37" i="4"/>
  <c r="CV37" i="4"/>
  <c r="DN37" i="4"/>
  <c r="EG37" i="4"/>
  <c r="ES37" i="4"/>
  <c r="EM38" i="4"/>
  <c r="BW39" i="4"/>
  <c r="GJ39" i="4"/>
  <c r="HO39" i="4"/>
  <c r="N40" i="4"/>
  <c r="DT40" i="4"/>
  <c r="EY40" i="4"/>
  <c r="FQ41" i="4"/>
  <c r="GV41" i="4"/>
  <c r="EM42" i="4"/>
  <c r="FQ42" i="4"/>
  <c r="GV42" i="4"/>
  <c r="DB43" i="4"/>
  <c r="EG43" i="4"/>
  <c r="DB44" i="4"/>
  <c r="DT44" i="4"/>
  <c r="EG44" i="4"/>
  <c r="EY44" i="4"/>
  <c r="BK45" i="4"/>
  <c r="CP45" i="4"/>
  <c r="IY45" i="4"/>
  <c r="CC46" i="4"/>
  <c r="DH46" i="4"/>
  <c r="HU46" i="4"/>
  <c r="T47" i="4"/>
  <c r="DH47" i="4"/>
  <c r="DZ47" i="4"/>
  <c r="EM47" i="4"/>
  <c r="FE47" i="4"/>
  <c r="CV48" i="4"/>
  <c r="BQ49" i="4"/>
  <c r="CI49" i="4"/>
  <c r="CV49" i="4"/>
  <c r="DN49" i="4"/>
  <c r="IA49" i="4"/>
  <c r="H50" i="4"/>
  <c r="Z50" i="4"/>
  <c r="AL50" i="4"/>
  <c r="ES50" i="4"/>
  <c r="FK50" i="4"/>
  <c r="FX50" i="4"/>
  <c r="GP50" i="4"/>
  <c r="DZ51" i="4"/>
  <c r="FE51" i="4"/>
  <c r="AF52" i="4"/>
  <c r="GJ52" i="4"/>
  <c r="HB52" i="4"/>
  <c r="HO52" i="4"/>
  <c r="IG52" i="4"/>
  <c r="N53" i="4"/>
  <c r="AF53" i="4"/>
  <c r="ES53" i="4"/>
  <c r="FX53" i="4"/>
  <c r="HB53" i="4"/>
  <c r="CC54" i="4"/>
  <c r="DH54" i="4"/>
  <c r="HU54" i="4"/>
  <c r="T55" i="4"/>
  <c r="AY55" i="4"/>
  <c r="HH55" i="4"/>
  <c r="IM55" i="4"/>
  <c r="CP56" i="4"/>
  <c r="EY56" i="4"/>
  <c r="FK56" i="4"/>
  <c r="IY56" i="4"/>
  <c r="BK57" i="4"/>
  <c r="BW57" i="4"/>
  <c r="DT57" i="4"/>
  <c r="BE58" i="4"/>
  <c r="DN58" i="4"/>
  <c r="HU58" i="4"/>
  <c r="N59" i="4"/>
  <c r="AL59" i="4"/>
  <c r="BE59" i="4"/>
  <c r="CI59" i="4"/>
  <c r="CV59" i="4"/>
  <c r="FE59" i="4"/>
  <c r="IG59" i="4"/>
  <c r="T60" i="4"/>
  <c r="BK60" i="4"/>
  <c r="DN60" i="4"/>
  <c r="ES60" i="4"/>
  <c r="FE61" i="4"/>
  <c r="FQ61" i="4"/>
  <c r="GD61" i="4"/>
  <c r="GV61" i="4"/>
  <c r="HO61" i="4"/>
  <c r="IA61" i="4"/>
  <c r="H63" i="4"/>
  <c r="T63" i="4"/>
  <c r="BE63" i="4"/>
  <c r="BW63" i="4"/>
  <c r="CP63" i="4"/>
  <c r="DB63" i="4"/>
  <c r="HO63" i="4"/>
  <c r="IS63" i="4"/>
  <c r="N64" i="4"/>
  <c r="BW64" i="4"/>
  <c r="GJ64" i="4"/>
  <c r="HB64" i="4"/>
  <c r="HO64" i="4"/>
  <c r="IG64" i="4"/>
  <c r="N65" i="4"/>
  <c r="BW65" i="4"/>
  <c r="CI65" i="4"/>
  <c r="CV65" i="4"/>
  <c r="DN65" i="4"/>
  <c r="EG65" i="4"/>
  <c r="ES65" i="4"/>
  <c r="BQ66" i="4"/>
  <c r="CC66" i="4"/>
  <c r="DT66" i="4"/>
  <c r="EY66" i="4"/>
  <c r="FK66" i="4"/>
  <c r="HB66" i="4"/>
  <c r="IG66" i="4"/>
  <c r="IS66" i="4"/>
  <c r="EG67" i="4"/>
  <c r="FK67" i="4"/>
  <c r="BW68" i="4"/>
  <c r="GJ68" i="4"/>
  <c r="HB68" i="4"/>
  <c r="HO68" i="4"/>
  <c r="IG68" i="4"/>
  <c r="N69" i="4"/>
  <c r="AY69" i="4"/>
  <c r="BK69" i="4"/>
  <c r="FX69" i="4"/>
  <c r="HB69" i="4"/>
  <c r="N70" i="4"/>
  <c r="Z70" i="4"/>
  <c r="BQ70" i="4"/>
  <c r="CC70" i="4"/>
  <c r="DT70" i="4"/>
  <c r="EY70" i="4"/>
  <c r="FK70" i="4"/>
  <c r="HB70" i="4"/>
  <c r="IG70" i="4"/>
  <c r="IS70" i="4"/>
  <c r="AY71" i="4"/>
  <c r="CC71" i="4"/>
  <c r="GV71" i="4"/>
  <c r="HH71" i="4"/>
  <c r="HU71" i="4"/>
  <c r="IM71" i="4"/>
  <c r="T72" i="4"/>
  <c r="AY72" i="4"/>
  <c r="BQ72" i="4"/>
  <c r="GD72" i="4"/>
  <c r="HH72" i="4"/>
  <c r="IM72" i="4"/>
  <c r="H73" i="4"/>
  <c r="CI73" i="4"/>
  <c r="DN73" i="4"/>
  <c r="IA73" i="4"/>
  <c r="Z74" i="4"/>
  <c r="EM74" i="4"/>
  <c r="DB75" i="4"/>
  <c r="EG75" i="4"/>
  <c r="FK75" i="4"/>
  <c r="DT76" i="4"/>
  <c r="EY76" i="4"/>
  <c r="BK77" i="4"/>
  <c r="CP77" i="4"/>
  <c r="DT77" i="4"/>
  <c r="IG77" i="4"/>
  <c r="IY77" i="4"/>
  <c r="BK78" i="4"/>
  <c r="CC78" i="4"/>
  <c r="CP78" i="4"/>
  <c r="DH78" i="4"/>
  <c r="HU78" i="4"/>
  <c r="IY78" i="4"/>
  <c r="T79" i="4"/>
  <c r="DZ79" i="4"/>
  <c r="FE79" i="4"/>
  <c r="CV80" i="4"/>
  <c r="DZ80" i="4"/>
  <c r="FE80" i="4"/>
  <c r="ES81" i="4"/>
  <c r="FX81" i="4"/>
  <c r="HB81" i="4"/>
  <c r="FK82" i="4"/>
  <c r="GP82" i="4"/>
  <c r="AY83" i="4"/>
  <c r="HH83" i="4"/>
  <c r="IM83" i="4"/>
  <c r="BQ84" i="4"/>
  <c r="GD84" i="4"/>
  <c r="H85" i="4"/>
  <c r="FQ85" i="4"/>
  <c r="GV85" i="4"/>
  <c r="BE86" i="4"/>
  <c r="CI86" i="4"/>
  <c r="DN86" i="4"/>
  <c r="IA86" i="4"/>
  <c r="IS86" i="4"/>
  <c r="Z87" i="4"/>
  <c r="AY87" i="4"/>
  <c r="CC87" i="4"/>
  <c r="GP87" i="4"/>
  <c r="HH87" i="4"/>
  <c r="HU87" i="4"/>
  <c r="IM87" i="4"/>
  <c r="T88" i="4"/>
  <c r="AY88" i="4"/>
  <c r="BQ88" i="4"/>
  <c r="GD88" i="4"/>
  <c r="HH88" i="4"/>
  <c r="IM88" i="4"/>
  <c r="H89" i="4"/>
  <c r="CI89" i="4"/>
  <c r="DN89" i="4"/>
  <c r="IA89" i="4"/>
  <c r="Z90" i="4"/>
  <c r="EM90" i="4"/>
  <c r="DB91" i="4"/>
  <c r="EG91" i="4"/>
  <c r="FK91" i="4"/>
  <c r="DT92" i="4"/>
  <c r="EY92" i="4"/>
  <c r="BK93" i="4"/>
  <c r="CP93" i="4"/>
  <c r="DT93" i="4"/>
  <c r="IG93" i="4"/>
  <c r="IY93" i="4"/>
  <c r="BK94" i="4"/>
  <c r="CC94" i="4"/>
  <c r="CP94" i="4"/>
  <c r="DH94" i="4"/>
  <c r="HU94" i="4"/>
  <c r="IY94" i="4"/>
  <c r="T95" i="4"/>
  <c r="DZ95" i="4"/>
  <c r="FE95" i="4"/>
  <c r="CV96" i="4"/>
  <c r="DZ96" i="4"/>
  <c r="FE96" i="4"/>
  <c r="ES97" i="4"/>
  <c r="FX97" i="4"/>
  <c r="HB97" i="4"/>
  <c r="BE98" i="4"/>
  <c r="IS98" i="4"/>
  <c r="AR99" i="4"/>
  <c r="BW99" i="4"/>
  <c r="GJ99" i="4"/>
  <c r="HO99" i="4"/>
  <c r="N100" i="4"/>
  <c r="HB100" i="4"/>
  <c r="IG100" i="4"/>
  <c r="AF101" i="4"/>
  <c r="ES101" i="4"/>
  <c r="FX101" i="4"/>
  <c r="BE102" i="4"/>
  <c r="CI102" i="4"/>
  <c r="DN102" i="4"/>
  <c r="IA102" i="4"/>
  <c r="IS102" i="4"/>
  <c r="Z103" i="4"/>
  <c r="AR103" i="4"/>
  <c r="BE103" i="4"/>
  <c r="BW103" i="4"/>
  <c r="GJ103" i="4"/>
  <c r="HO103" i="4"/>
  <c r="IS103" i="4"/>
  <c r="N104" i="4"/>
  <c r="AR104" i="4"/>
  <c r="BW104" i="4"/>
  <c r="GJ104" i="4"/>
  <c r="HB104" i="4"/>
  <c r="HO104" i="4"/>
  <c r="IG104" i="4"/>
  <c r="N105" i="4"/>
  <c r="AF105" i="4"/>
  <c r="ES105" i="4"/>
  <c r="FX105" i="4"/>
  <c r="HB105" i="4"/>
  <c r="BE106" i="4"/>
  <c r="IS106" i="4"/>
  <c r="AR107" i="4"/>
  <c r="BW107" i="4"/>
  <c r="GJ107" i="4"/>
  <c r="HO107" i="4"/>
  <c r="N108" i="4"/>
  <c r="HB108" i="4"/>
  <c r="IG108" i="4"/>
  <c r="AF109" i="4"/>
  <c r="ES109" i="4"/>
  <c r="FX109" i="4"/>
  <c r="BE110" i="4"/>
  <c r="CI110" i="4"/>
  <c r="DN110" i="4"/>
  <c r="IA110" i="4"/>
  <c r="IS110" i="4"/>
  <c r="Z111" i="4"/>
  <c r="AR111" i="4"/>
  <c r="BE111" i="4"/>
  <c r="BW111" i="4"/>
  <c r="GJ111" i="4"/>
  <c r="HO111" i="4"/>
  <c r="IS111" i="4"/>
  <c r="N112" i="4"/>
  <c r="AR112" i="4"/>
  <c r="BW112" i="4"/>
  <c r="GJ112" i="4"/>
  <c r="HB112" i="4"/>
  <c r="HO112" i="4"/>
  <c r="IG112" i="4"/>
  <c r="N113" i="4"/>
  <c r="AF113" i="4"/>
  <c r="ES113" i="4"/>
  <c r="FX113" i="4"/>
  <c r="HB113" i="4"/>
  <c r="BE114" i="4"/>
  <c r="IA114" i="4"/>
  <c r="IS114" i="4"/>
  <c r="Z115" i="4"/>
  <c r="AR115" i="4"/>
  <c r="BE115" i="4"/>
  <c r="BW115" i="4"/>
  <c r="GJ115" i="4"/>
  <c r="HO115" i="4"/>
  <c r="IS115" i="4"/>
  <c r="N116" i="4"/>
  <c r="AR116" i="4"/>
  <c r="BW116" i="4"/>
  <c r="GJ116" i="4"/>
  <c r="HB116" i="4"/>
  <c r="HO116" i="4"/>
  <c r="IG116" i="4"/>
  <c r="N117" i="4"/>
  <c r="AF117" i="4"/>
  <c r="ES117" i="4"/>
  <c r="FX117" i="4"/>
  <c r="HB117" i="4"/>
  <c r="BE118" i="4"/>
  <c r="CI118" i="4"/>
  <c r="DN118" i="4"/>
  <c r="IA118" i="4"/>
  <c r="IS118" i="4"/>
  <c r="Z119" i="4"/>
  <c r="AR119" i="4"/>
  <c r="BE119" i="4"/>
  <c r="BW119" i="4"/>
  <c r="GJ119" i="4"/>
  <c r="HO119" i="4"/>
  <c r="IS119" i="4"/>
  <c r="N120" i="4"/>
  <c r="AR120" i="4"/>
  <c r="BW120" i="4"/>
  <c r="GJ120" i="4"/>
  <c r="HB120" i="4"/>
  <c r="HO120" i="4"/>
  <c r="IG120" i="4"/>
  <c r="N121" i="4"/>
  <c r="AF121" i="4"/>
  <c r="ES121" i="4"/>
  <c r="FX121" i="4"/>
  <c r="HB121" i="4"/>
  <c r="BE122" i="4"/>
  <c r="CI122" i="4"/>
  <c r="DN122" i="4"/>
  <c r="IA122" i="4"/>
  <c r="IS122" i="4"/>
  <c r="Z123" i="4"/>
  <c r="AR123" i="4"/>
  <c r="BE123" i="4"/>
  <c r="BW123" i="4"/>
  <c r="GJ123" i="4"/>
  <c r="HO123" i="4"/>
  <c r="IS123" i="4"/>
  <c r="N124" i="4"/>
  <c r="AR124" i="4"/>
  <c r="BW124" i="4"/>
  <c r="GJ124" i="4"/>
  <c r="HB124" i="4"/>
  <c r="HO124" i="4"/>
  <c r="IG124" i="4"/>
  <c r="N125" i="4"/>
  <c r="AF125" i="4"/>
  <c r="ES125" i="4"/>
  <c r="FX125" i="4"/>
  <c r="HB125" i="4"/>
  <c r="BE126" i="4"/>
  <c r="CI126" i="4"/>
  <c r="DN126" i="4"/>
  <c r="IA126" i="4"/>
  <c r="IS126" i="4"/>
  <c r="Z127" i="4"/>
  <c r="AR127" i="4"/>
  <c r="BE127" i="4"/>
  <c r="BW127" i="4"/>
  <c r="GJ127" i="4"/>
  <c r="HO127" i="4"/>
  <c r="IS127" i="4"/>
  <c r="N128" i="4"/>
  <c r="AR128" i="4"/>
  <c r="BW128" i="4"/>
  <c r="GJ128" i="4"/>
  <c r="HB128" i="4"/>
  <c r="HO128" i="4"/>
  <c r="IG128" i="4"/>
  <c r="N129" i="4"/>
  <c r="AF129" i="4"/>
  <c r="ES129" i="4"/>
  <c r="FX129" i="4"/>
  <c r="HB129" i="4"/>
  <c r="BE130" i="4"/>
  <c r="CI130" i="4"/>
  <c r="DN130" i="4"/>
  <c r="IA130" i="4"/>
  <c r="IS130" i="4"/>
  <c r="Z131" i="4"/>
  <c r="AR131" i="4"/>
  <c r="BE131" i="4"/>
  <c r="BW131" i="4"/>
  <c r="GJ131" i="4"/>
  <c r="HO131" i="4"/>
  <c r="IS131" i="4"/>
  <c r="N132" i="4"/>
  <c r="AR132" i="4"/>
  <c r="BW132" i="4"/>
  <c r="GJ132" i="4"/>
  <c r="HB132" i="4"/>
  <c r="HO132" i="4"/>
  <c r="IG132" i="4"/>
  <c r="N133" i="4"/>
  <c r="AF133" i="4"/>
  <c r="ES133" i="4"/>
  <c r="FX133" i="4"/>
  <c r="HB133" i="4"/>
  <c r="BE134" i="4"/>
  <c r="CI134" i="4"/>
  <c r="DN134" i="4"/>
  <c r="HU134" i="4"/>
  <c r="IM134" i="4"/>
  <c r="Z135" i="4"/>
  <c r="CC135" i="4"/>
  <c r="DH135" i="4"/>
  <c r="FK135" i="4"/>
  <c r="GP135" i="4"/>
  <c r="IS135" i="4"/>
  <c r="AL136" i="4"/>
  <c r="AY136" i="4"/>
  <c r="DB136" i="4"/>
  <c r="EG136" i="4"/>
  <c r="ES136" i="4"/>
  <c r="GJ136" i="4"/>
  <c r="GV136" i="4"/>
  <c r="IM136" i="4"/>
  <c r="IY136" i="4"/>
  <c r="CI137" i="4"/>
  <c r="FQ137" i="4"/>
  <c r="IY137" i="4"/>
  <c r="AF138" i="4"/>
  <c r="AR138" i="4"/>
  <c r="BE138" i="4"/>
  <c r="CI138" i="4"/>
  <c r="DH138" i="4"/>
  <c r="FK138" i="4"/>
  <c r="HO138" i="4"/>
  <c r="T139" i="4"/>
  <c r="BW139" i="4"/>
  <c r="DB139" i="4"/>
  <c r="FE139" i="4"/>
  <c r="GJ139" i="4"/>
  <c r="IM139" i="4"/>
  <c r="T140" i="4"/>
  <c r="AF140" i="4"/>
  <c r="BW140" i="4"/>
  <c r="CI140" i="4"/>
  <c r="CV140" i="4"/>
  <c r="DZ140" i="4"/>
  <c r="EY140" i="4"/>
  <c r="HB140" i="4"/>
  <c r="H141" i="4"/>
  <c r="AL141" i="4"/>
  <c r="BQ141" i="4"/>
  <c r="CC141" i="4"/>
  <c r="CP141" i="4"/>
  <c r="DT141" i="4"/>
  <c r="EY141" i="4"/>
  <c r="FK141" i="4"/>
  <c r="FX141" i="4"/>
  <c r="HB141" i="4"/>
  <c r="IG141" i="4"/>
  <c r="IS141" i="4"/>
  <c r="AY142" i="4"/>
  <c r="CP142" i="4"/>
  <c r="DB142" i="4"/>
  <c r="ES142" i="4"/>
  <c r="FE142" i="4"/>
  <c r="GV142" i="4"/>
  <c r="HH142" i="4"/>
  <c r="HU142" i="4"/>
  <c r="IY142" i="4"/>
  <c r="N143" i="4"/>
  <c r="BE143" i="4"/>
  <c r="BQ143" i="4"/>
  <c r="CV143" i="4"/>
  <c r="EM143" i="4"/>
  <c r="EY143" i="4"/>
  <c r="GD143" i="4"/>
  <c r="HU143" i="4"/>
  <c r="IG143" i="4"/>
  <c r="AL144" i="4"/>
  <c r="CP144" i="4"/>
  <c r="EG144" i="4"/>
  <c r="ES144" i="4"/>
  <c r="GJ144" i="4"/>
  <c r="GV144" i="4"/>
  <c r="IM144" i="4"/>
  <c r="IY144" i="4"/>
  <c r="CI145" i="4"/>
  <c r="FQ145" i="4"/>
  <c r="IY145" i="4"/>
  <c r="AF146" i="4"/>
  <c r="AR146" i="4"/>
  <c r="BE146" i="4"/>
  <c r="CI146" i="4"/>
  <c r="DH146" i="4"/>
  <c r="FK146" i="4"/>
  <c r="HO146" i="4"/>
  <c r="T147" i="4"/>
  <c r="BW147" i="4"/>
  <c r="DB147" i="4"/>
  <c r="FE147" i="4"/>
  <c r="GJ147" i="4"/>
  <c r="IM147" i="4"/>
  <c r="T148" i="4"/>
  <c r="AF148" i="4"/>
  <c r="BW148" i="4"/>
  <c r="CI148" i="4"/>
  <c r="CV148" i="4"/>
  <c r="DZ148" i="4"/>
  <c r="EY148" i="4"/>
  <c r="HB148" i="4"/>
  <c r="H149" i="4"/>
  <c r="AL149" i="4"/>
  <c r="BQ149" i="4"/>
  <c r="CC149" i="4"/>
  <c r="CP149" i="4"/>
  <c r="DT149" i="4"/>
  <c r="EY149" i="4"/>
  <c r="FK149" i="4"/>
  <c r="FX149" i="4"/>
  <c r="HB149" i="4"/>
  <c r="IG149" i="4"/>
  <c r="IS149" i="4"/>
  <c r="AY150" i="4"/>
  <c r="CP150" i="4"/>
  <c r="DB150" i="4"/>
  <c r="ES150" i="4"/>
  <c r="FE150" i="4"/>
  <c r="GV150" i="4"/>
  <c r="HH150" i="4"/>
  <c r="HU150" i="4"/>
  <c r="IY150" i="4"/>
  <c r="N151" i="4"/>
  <c r="BE151" i="4"/>
  <c r="BQ151" i="4"/>
  <c r="CV151" i="4"/>
  <c r="EM151" i="4"/>
  <c r="EY151" i="4"/>
  <c r="GD151" i="4"/>
  <c r="HU151" i="4"/>
  <c r="IG151" i="4"/>
  <c r="AL152" i="4"/>
  <c r="CP152" i="4"/>
  <c r="EG152" i="4"/>
  <c r="ES152" i="4"/>
  <c r="GJ152" i="4"/>
  <c r="GV152" i="4"/>
  <c r="IM152" i="4"/>
  <c r="IY152" i="4"/>
  <c r="CI153" i="4"/>
  <c r="FQ153" i="4"/>
  <c r="IY153" i="4"/>
  <c r="AF154" i="4"/>
  <c r="AR154" i="4"/>
  <c r="BE154" i="4"/>
  <c r="CI154" i="4"/>
  <c r="DH154" i="4"/>
  <c r="FK154" i="4"/>
  <c r="HO154" i="4"/>
  <c r="T155" i="4"/>
  <c r="BW155" i="4"/>
  <c r="DB155" i="4"/>
  <c r="FE155" i="4"/>
  <c r="GJ155" i="4"/>
  <c r="IM155" i="4"/>
  <c r="T156" i="4"/>
  <c r="AF156" i="4"/>
  <c r="BW156" i="4"/>
  <c r="CI156" i="4"/>
  <c r="CV156" i="4"/>
  <c r="DZ156" i="4"/>
  <c r="EY156" i="4"/>
  <c r="HB156" i="4"/>
  <c r="H157" i="4"/>
  <c r="AL157" i="4"/>
  <c r="BQ157" i="4"/>
  <c r="CC157" i="4"/>
  <c r="CP157" i="4"/>
  <c r="DT157" i="4"/>
  <c r="EY157" i="4"/>
  <c r="FK157" i="4"/>
  <c r="FX157" i="4"/>
  <c r="HB157" i="4"/>
  <c r="IG157" i="4"/>
  <c r="IS157" i="4"/>
  <c r="AY158" i="4"/>
  <c r="CP158" i="4"/>
  <c r="DB158" i="4"/>
  <c r="ES158" i="4"/>
  <c r="FE158" i="4"/>
  <c r="GV158" i="4"/>
  <c r="HH158" i="4"/>
  <c r="HU158" i="4"/>
  <c r="IY158" i="4"/>
  <c r="N159" i="4"/>
  <c r="BE159" i="4"/>
  <c r="BQ159" i="4"/>
  <c r="CV159" i="4"/>
  <c r="EM159" i="4"/>
  <c r="HU159" i="4"/>
  <c r="CI160" i="4"/>
  <c r="CV160" i="4"/>
  <c r="EY160" i="4"/>
  <c r="HB160" i="4"/>
  <c r="H161" i="4"/>
  <c r="AY161" i="4"/>
  <c r="EG161" i="4"/>
  <c r="FX161" i="4"/>
  <c r="DH162" i="4"/>
  <c r="EG162" i="4"/>
  <c r="GP162" i="4"/>
  <c r="HU162" i="4"/>
  <c r="BK163" i="4"/>
  <c r="GD163" i="4"/>
  <c r="GP163" i="4"/>
  <c r="IM163" i="4"/>
  <c r="FE164" i="4"/>
  <c r="AY165" i="4"/>
  <c r="DT165" i="4"/>
  <c r="BE167" i="4"/>
  <c r="IM26" i="4"/>
  <c r="H27" i="4"/>
  <c r="BK27" i="4"/>
  <c r="CV27" i="4"/>
  <c r="DN27" i="4"/>
  <c r="EY27" i="4"/>
  <c r="FQ27" i="4"/>
  <c r="HB27" i="4"/>
  <c r="HO27" i="4"/>
  <c r="H28" i="4"/>
  <c r="Z28" i="4"/>
  <c r="BK28" i="4"/>
  <c r="CC28" i="4"/>
  <c r="DN28" i="4"/>
  <c r="ES28" i="4"/>
  <c r="FK28" i="4"/>
  <c r="GV28" i="4"/>
  <c r="IA28" i="4"/>
  <c r="IS28" i="4"/>
  <c r="AY29" i="4"/>
  <c r="CI29" i="4"/>
  <c r="DB29" i="4"/>
  <c r="GP29" i="4"/>
  <c r="IM29" i="4"/>
  <c r="H30" i="4"/>
  <c r="CP30" i="4"/>
  <c r="DT30" i="4"/>
  <c r="FX30" i="4"/>
  <c r="HB30" i="4"/>
  <c r="H31" i="4"/>
  <c r="Z31" i="4"/>
  <c r="CC31" i="4"/>
  <c r="CP31" i="4"/>
  <c r="DH31" i="4"/>
  <c r="FK31" i="4"/>
  <c r="FX31" i="4"/>
  <c r="GP31" i="4"/>
  <c r="IS31" i="4"/>
  <c r="CP32" i="4"/>
  <c r="CP33" i="4"/>
  <c r="DT33" i="4"/>
  <c r="IM33" i="4"/>
  <c r="IY33" i="4"/>
  <c r="BE34" i="4"/>
  <c r="CV34" i="4"/>
  <c r="DH34" i="4"/>
  <c r="EM34" i="4"/>
  <c r="GD34" i="4"/>
  <c r="GP34" i="4"/>
  <c r="HU34" i="4"/>
  <c r="DN35" i="4"/>
  <c r="DZ35" i="4"/>
  <c r="EM35" i="4"/>
  <c r="FE35" i="4"/>
  <c r="FX35" i="4"/>
  <c r="GJ35" i="4"/>
  <c r="AY36" i="4"/>
  <c r="BQ36" i="4"/>
  <c r="GD36" i="4"/>
  <c r="HH36" i="4"/>
  <c r="IM36" i="4"/>
  <c r="H37" i="4"/>
  <c r="CP37" i="4"/>
  <c r="DT37" i="4"/>
  <c r="FK38" i="4"/>
  <c r="GP38" i="4"/>
  <c r="AY39" i="4"/>
  <c r="HH39" i="4"/>
  <c r="IM39" i="4"/>
  <c r="CV40" i="4"/>
  <c r="ES41" i="4"/>
  <c r="FX41" i="4"/>
  <c r="ES42" i="4"/>
  <c r="FK42" i="4"/>
  <c r="FX42" i="4"/>
  <c r="GP42" i="4"/>
  <c r="DZ43" i="4"/>
  <c r="FE43" i="4"/>
  <c r="CV44" i="4"/>
  <c r="DZ44" i="4"/>
  <c r="FE44" i="4"/>
  <c r="CI45" i="4"/>
  <c r="DN45" i="4"/>
  <c r="IA45" i="4"/>
  <c r="Z46" i="4"/>
  <c r="BE46" i="4"/>
  <c r="IS46" i="4"/>
  <c r="DB47" i="4"/>
  <c r="EG47" i="4"/>
  <c r="FK47" i="4"/>
  <c r="DT48" i="4"/>
  <c r="EY48" i="4"/>
  <c r="BK49" i="4"/>
  <c r="CP49" i="4"/>
  <c r="DT49" i="4"/>
  <c r="IG49" i="4"/>
  <c r="IY49" i="4"/>
  <c r="AF50" i="4"/>
  <c r="EM50" i="4"/>
  <c r="FQ50" i="4"/>
  <c r="GV50" i="4"/>
  <c r="DB51" i="4"/>
  <c r="EG51" i="4"/>
  <c r="AL52" i="4"/>
  <c r="AY52" i="4"/>
  <c r="BQ52" i="4"/>
  <c r="GD52" i="4"/>
  <c r="H53" i="4"/>
  <c r="FQ53" i="4"/>
  <c r="GV53" i="4"/>
  <c r="BE54" i="4"/>
  <c r="IS54" i="4"/>
  <c r="BW55" i="4"/>
  <c r="GJ55" i="4"/>
  <c r="HO55" i="4"/>
  <c r="N56" i="4"/>
  <c r="CI56" i="4"/>
  <c r="DH56" i="4"/>
  <c r="DZ56" i="4"/>
  <c r="T57" i="4"/>
  <c r="AL57" i="4"/>
  <c r="FK57" i="4"/>
  <c r="IA57" i="4"/>
  <c r="IM57" i="4"/>
  <c r="CC58" i="4"/>
  <c r="AF59" i="4"/>
  <c r="BQ59" i="4"/>
  <c r="DN59" i="4"/>
  <c r="FX59" i="4"/>
  <c r="HU59" i="4"/>
  <c r="IY59" i="4"/>
  <c r="N60" i="4"/>
  <c r="Z60" i="4"/>
  <c r="AY60" i="4"/>
  <c r="CC60" i="4"/>
  <c r="EG60" i="4"/>
  <c r="FK60" i="4"/>
  <c r="AY61" i="4"/>
  <c r="BK61" i="4"/>
  <c r="FX61" i="4"/>
  <c r="HB61" i="4"/>
  <c r="N62" i="4"/>
  <c r="Z62" i="4"/>
  <c r="BE62" i="4"/>
  <c r="CV62" i="4"/>
  <c r="DH62" i="4"/>
  <c r="EM62" i="4"/>
  <c r="GD62" i="4"/>
  <c r="GP62" i="4"/>
  <c r="HU62" i="4"/>
  <c r="AY63" i="4"/>
  <c r="CC63" i="4"/>
  <c r="GV63" i="4"/>
  <c r="HH63" i="4"/>
  <c r="HU63" i="4"/>
  <c r="IM63" i="4"/>
  <c r="T64" i="4"/>
  <c r="AY64" i="4"/>
  <c r="BQ64" i="4"/>
  <c r="GD64" i="4"/>
  <c r="HH64" i="4"/>
  <c r="IM64" i="4"/>
  <c r="H65" i="4"/>
  <c r="CP65" i="4"/>
  <c r="DT65" i="4"/>
  <c r="IM65" i="4"/>
  <c r="IY65" i="4"/>
  <c r="DN67" i="4"/>
  <c r="DZ67" i="4"/>
  <c r="EM67" i="4"/>
  <c r="FE67" i="4"/>
  <c r="FX67" i="4"/>
  <c r="GJ67" i="4"/>
  <c r="AY68" i="4"/>
  <c r="BQ68" i="4"/>
  <c r="GD68" i="4"/>
  <c r="HH68" i="4"/>
  <c r="IM68" i="4"/>
  <c r="H69" i="4"/>
  <c r="FE69" i="4"/>
  <c r="FQ69" i="4"/>
  <c r="GD69" i="4"/>
  <c r="GV69" i="4"/>
  <c r="HO69" i="4"/>
  <c r="IA69" i="4"/>
  <c r="BE71" i="4"/>
  <c r="BW71" i="4"/>
  <c r="CP71" i="4"/>
  <c r="DB71" i="4"/>
  <c r="HO71" i="4"/>
  <c r="IS71" i="4"/>
  <c r="N72" i="4"/>
  <c r="BW72" i="4"/>
  <c r="GJ72" i="4"/>
  <c r="HB72" i="4"/>
  <c r="HO72" i="4"/>
  <c r="IG72" i="4"/>
  <c r="N73" i="4"/>
  <c r="BK73" i="4"/>
  <c r="CP73" i="4"/>
  <c r="IY73" i="4"/>
  <c r="FK74" i="4"/>
  <c r="GP74" i="4"/>
  <c r="DH75" i="4"/>
  <c r="DZ75" i="4"/>
  <c r="EM75" i="4"/>
  <c r="FE75" i="4"/>
  <c r="CV76" i="4"/>
  <c r="BQ77" i="4"/>
  <c r="CI77" i="4"/>
  <c r="CV77" i="4"/>
  <c r="DN77" i="4"/>
  <c r="IA77" i="4"/>
  <c r="H78" i="4"/>
  <c r="Z78" i="4"/>
  <c r="BE78" i="4"/>
  <c r="CI78" i="4"/>
  <c r="DN78" i="4"/>
  <c r="IA78" i="4"/>
  <c r="IS78" i="4"/>
  <c r="Z79" i="4"/>
  <c r="DB79" i="4"/>
  <c r="EG79" i="4"/>
  <c r="DB80" i="4"/>
  <c r="DT80" i="4"/>
  <c r="EG80" i="4"/>
  <c r="EY80" i="4"/>
  <c r="EY81" i="4"/>
  <c r="FQ81" i="4"/>
  <c r="GD81" i="4"/>
  <c r="GV81" i="4"/>
  <c r="EM82" i="4"/>
  <c r="BW83" i="4"/>
  <c r="GJ83" i="4"/>
  <c r="HO83" i="4"/>
  <c r="N84" i="4"/>
  <c r="HB84" i="4"/>
  <c r="IG84" i="4"/>
  <c r="ES85" i="4"/>
  <c r="FX85" i="4"/>
  <c r="BK86" i="4"/>
  <c r="CC86" i="4"/>
  <c r="CP86" i="4"/>
  <c r="DH86" i="4"/>
  <c r="HU86" i="4"/>
  <c r="IY86" i="4"/>
  <c r="T87" i="4"/>
  <c r="BE87" i="4"/>
  <c r="BW87" i="4"/>
  <c r="GJ87" i="4"/>
  <c r="HO87" i="4"/>
  <c r="IS87" i="4"/>
  <c r="N88" i="4"/>
  <c r="BW88" i="4"/>
  <c r="GJ88" i="4"/>
  <c r="HB88" i="4"/>
  <c r="HO88" i="4"/>
  <c r="IG88" i="4"/>
  <c r="N89" i="4"/>
  <c r="BK89" i="4"/>
  <c r="CP89" i="4"/>
  <c r="IY89" i="4"/>
  <c r="FK90" i="4"/>
  <c r="GP90" i="4"/>
  <c r="DH91" i="4"/>
  <c r="DZ91" i="4"/>
  <c r="EM91" i="4"/>
  <c r="FE91" i="4"/>
  <c r="CV92" i="4"/>
  <c r="BQ93" i="4"/>
  <c r="CI93" i="4"/>
  <c r="CV93" i="4"/>
  <c r="DN93" i="4"/>
  <c r="IA93" i="4"/>
  <c r="H94" i="4"/>
  <c r="Z94" i="4"/>
  <c r="BE94" i="4"/>
  <c r="CI94" i="4"/>
  <c r="DN94" i="4"/>
  <c r="IA94" i="4"/>
  <c r="IS94" i="4"/>
  <c r="Z95" i="4"/>
  <c r="DB95" i="4"/>
  <c r="EG95" i="4"/>
  <c r="DB96" i="4"/>
  <c r="DT96" i="4"/>
  <c r="EG96" i="4"/>
  <c r="EY96" i="4"/>
  <c r="EY97" i="4"/>
  <c r="FQ97" i="4"/>
  <c r="GD97" i="4"/>
  <c r="GV97" i="4"/>
  <c r="CC98" i="4"/>
  <c r="DH98" i="4"/>
  <c r="HU98" i="4"/>
  <c r="T99" i="4"/>
  <c r="AY99" i="4"/>
  <c r="HH99" i="4"/>
  <c r="IM99" i="4"/>
  <c r="AL100" i="4"/>
  <c r="BQ100" i="4"/>
  <c r="GD100" i="4"/>
  <c r="H101" i="4"/>
  <c r="FQ101" i="4"/>
  <c r="GV101" i="4"/>
  <c r="BK102" i="4"/>
  <c r="CC102" i="4"/>
  <c r="CP102" i="4"/>
  <c r="DH102" i="4"/>
  <c r="HU102" i="4"/>
  <c r="IY102" i="4"/>
  <c r="T103" i="4"/>
  <c r="AY103" i="4"/>
  <c r="CC103" i="4"/>
  <c r="GP103" i="4"/>
  <c r="HH103" i="4"/>
  <c r="HU103" i="4"/>
  <c r="IM103" i="4"/>
  <c r="T104" i="4"/>
  <c r="AL104" i="4"/>
  <c r="AY104" i="4"/>
  <c r="BQ104" i="4"/>
  <c r="GD104" i="4"/>
  <c r="HH104" i="4"/>
  <c r="IM104" i="4"/>
  <c r="H105" i="4"/>
  <c r="AL105" i="4"/>
  <c r="EY105" i="4"/>
  <c r="FQ105" i="4"/>
  <c r="GD105" i="4"/>
  <c r="GV105" i="4"/>
  <c r="CC106" i="4"/>
  <c r="DH106" i="4"/>
  <c r="HU106" i="4"/>
  <c r="T107" i="4"/>
  <c r="AY107" i="4"/>
  <c r="HH107" i="4"/>
  <c r="IM107" i="4"/>
  <c r="AL108" i="4"/>
  <c r="BQ108" i="4"/>
  <c r="GD108" i="4"/>
  <c r="H109" i="4"/>
  <c r="FQ109" i="4"/>
  <c r="GV109" i="4"/>
  <c r="BK110" i="4"/>
  <c r="CC110" i="4"/>
  <c r="CP110" i="4"/>
  <c r="DH110" i="4"/>
  <c r="HU110" i="4"/>
  <c r="IY110" i="4"/>
  <c r="T111" i="4"/>
  <c r="AY111" i="4"/>
  <c r="CC111" i="4"/>
  <c r="GP111" i="4"/>
  <c r="HH111" i="4"/>
  <c r="HU111" i="4"/>
  <c r="IM111" i="4"/>
  <c r="T112" i="4"/>
  <c r="AL112" i="4"/>
  <c r="AY112" i="4"/>
  <c r="BQ112" i="4"/>
  <c r="GD112" i="4"/>
  <c r="HH112" i="4"/>
  <c r="IM112" i="4"/>
  <c r="H113" i="4"/>
  <c r="AL113" i="4"/>
  <c r="EY113" i="4"/>
  <c r="FQ113" i="4"/>
  <c r="GD113" i="4"/>
  <c r="GV113" i="4"/>
  <c r="CC114" i="4"/>
  <c r="DH114" i="4"/>
  <c r="HU114" i="4"/>
  <c r="IY114" i="4"/>
  <c r="T115" i="4"/>
  <c r="AY115" i="4"/>
  <c r="CC115" i="4"/>
  <c r="GP115" i="4"/>
  <c r="HH115" i="4"/>
  <c r="HU115" i="4"/>
  <c r="IM115" i="4"/>
  <c r="T116" i="4"/>
  <c r="AL116" i="4"/>
  <c r="AY116" i="4"/>
  <c r="BQ116" i="4"/>
  <c r="GD116" i="4"/>
  <c r="HH116" i="4"/>
  <c r="IM116" i="4"/>
  <c r="H117" i="4"/>
  <c r="AL117" i="4"/>
  <c r="EY117" i="4"/>
  <c r="FQ117" i="4"/>
  <c r="GD117" i="4"/>
  <c r="GV117" i="4"/>
  <c r="BK118" i="4"/>
  <c r="CC118" i="4"/>
  <c r="CP118" i="4"/>
  <c r="DH118" i="4"/>
  <c r="HU118" i="4"/>
  <c r="IY118" i="4"/>
  <c r="T119" i="4"/>
  <c r="AY119" i="4"/>
  <c r="CC119" i="4"/>
  <c r="GP119" i="4"/>
  <c r="HH119" i="4"/>
  <c r="HU119" i="4"/>
  <c r="IM119" i="4"/>
  <c r="T120" i="4"/>
  <c r="AL120" i="4"/>
  <c r="AY120" i="4"/>
  <c r="BQ120" i="4"/>
  <c r="GD120" i="4"/>
  <c r="HH120" i="4"/>
  <c r="IM120" i="4"/>
  <c r="H121" i="4"/>
  <c r="AL121" i="4"/>
  <c r="EY121" i="4"/>
  <c r="FQ121" i="4"/>
  <c r="GD121" i="4"/>
  <c r="GV121" i="4"/>
  <c r="BK122" i="4"/>
  <c r="CC122" i="4"/>
  <c r="CP122" i="4"/>
  <c r="DH122" i="4"/>
  <c r="HU122" i="4"/>
  <c r="IY122" i="4"/>
  <c r="T123" i="4"/>
  <c r="AY123" i="4"/>
  <c r="CC123" i="4"/>
  <c r="GP123" i="4"/>
  <c r="HH123" i="4"/>
  <c r="HU123" i="4"/>
  <c r="IM123" i="4"/>
  <c r="T124" i="4"/>
  <c r="AL124" i="4"/>
  <c r="AY124" i="4"/>
  <c r="BQ124" i="4"/>
  <c r="GD124" i="4"/>
  <c r="HH124" i="4"/>
  <c r="IM124" i="4"/>
  <c r="H125" i="4"/>
  <c r="AL125" i="4"/>
  <c r="EY125" i="4"/>
  <c r="FQ125" i="4"/>
  <c r="GD125" i="4"/>
  <c r="GV125" i="4"/>
  <c r="BK126" i="4"/>
  <c r="CC126" i="4"/>
  <c r="CP126" i="4"/>
  <c r="DH126" i="4"/>
  <c r="HU126" i="4"/>
  <c r="IY126" i="4"/>
  <c r="T127" i="4"/>
  <c r="AY127" i="4"/>
  <c r="CC127" i="4"/>
  <c r="GP127" i="4"/>
  <c r="HH127" i="4"/>
  <c r="HU127" i="4"/>
  <c r="IM127" i="4"/>
  <c r="T128" i="4"/>
  <c r="AL128" i="4"/>
  <c r="AY128" i="4"/>
  <c r="BQ128" i="4"/>
  <c r="GD128" i="4"/>
  <c r="HH128" i="4"/>
  <c r="IM128" i="4"/>
  <c r="H129" i="4"/>
  <c r="AL129" i="4"/>
  <c r="EY129" i="4"/>
  <c r="FQ129" i="4"/>
  <c r="GD129" i="4"/>
  <c r="GV129" i="4"/>
  <c r="BK130" i="4"/>
  <c r="CC130" i="4"/>
  <c r="CP130" i="4"/>
  <c r="DH130" i="4"/>
  <c r="HU130" i="4"/>
  <c r="IY130" i="4"/>
  <c r="T131" i="4"/>
  <c r="AY131" i="4"/>
  <c r="CC131" i="4"/>
  <c r="GP131" i="4"/>
  <c r="HH131" i="4"/>
  <c r="HU131" i="4"/>
  <c r="IM131" i="4"/>
  <c r="T132" i="4"/>
  <c r="AL132" i="4"/>
  <c r="AY132" i="4"/>
  <c r="BQ132" i="4"/>
  <c r="GD132" i="4"/>
  <c r="HH132" i="4"/>
  <c r="IM132" i="4"/>
  <c r="H133" i="4"/>
  <c r="AL133" i="4"/>
  <c r="EY133" i="4"/>
  <c r="FQ133" i="4"/>
  <c r="GD133" i="4"/>
  <c r="GV133" i="4"/>
  <c r="BK134" i="4"/>
  <c r="CC134" i="4"/>
  <c r="CP134" i="4"/>
  <c r="DH134" i="4"/>
  <c r="IA134" i="4"/>
  <c r="T135" i="4"/>
  <c r="AL135" i="4"/>
  <c r="BW135" i="4"/>
  <c r="DB135" i="4"/>
  <c r="DT135" i="4"/>
  <c r="FE135" i="4"/>
  <c r="GJ135" i="4"/>
  <c r="HB135" i="4"/>
  <c r="IM135" i="4"/>
  <c r="H136" i="4"/>
  <c r="AR136" i="4"/>
  <c r="BK136" i="4"/>
  <c r="CV136" i="4"/>
  <c r="DZ136" i="4"/>
  <c r="EY136" i="4"/>
  <c r="HB136" i="4"/>
  <c r="H137" i="4"/>
  <c r="AL137" i="4"/>
  <c r="BQ137" i="4"/>
  <c r="CC137" i="4"/>
  <c r="CP137" i="4"/>
  <c r="DT137" i="4"/>
  <c r="EY137" i="4"/>
  <c r="FK137" i="4"/>
  <c r="FX137" i="4"/>
  <c r="HB137" i="4"/>
  <c r="IG137" i="4"/>
  <c r="IS137" i="4"/>
  <c r="AY138" i="4"/>
  <c r="CP138" i="4"/>
  <c r="DB138" i="4"/>
  <c r="ES138" i="4"/>
  <c r="FE138" i="4"/>
  <c r="GV138" i="4"/>
  <c r="HH138" i="4"/>
  <c r="HU138" i="4"/>
  <c r="IY138" i="4"/>
  <c r="N139" i="4"/>
  <c r="BE139" i="4"/>
  <c r="BQ139" i="4"/>
  <c r="CV139" i="4"/>
  <c r="EM139" i="4"/>
  <c r="EY139" i="4"/>
  <c r="GD139" i="4"/>
  <c r="HU139" i="4"/>
  <c r="IG139" i="4"/>
  <c r="AL140" i="4"/>
  <c r="CP140" i="4"/>
  <c r="EG140" i="4"/>
  <c r="ES140" i="4"/>
  <c r="GJ140" i="4"/>
  <c r="GV140" i="4"/>
  <c r="IM140" i="4"/>
  <c r="IY140" i="4"/>
  <c r="CI141" i="4"/>
  <c r="FQ141" i="4"/>
  <c r="IY141" i="4"/>
  <c r="AF142" i="4"/>
  <c r="AR142" i="4"/>
  <c r="BE142" i="4"/>
  <c r="CI142" i="4"/>
  <c r="DH142" i="4"/>
  <c r="FK142" i="4"/>
  <c r="HO142" i="4"/>
  <c r="T143" i="4"/>
  <c r="BW143" i="4"/>
  <c r="DB143" i="4"/>
  <c r="FE143" i="4"/>
  <c r="GJ143" i="4"/>
  <c r="IM143" i="4"/>
  <c r="T144" i="4"/>
  <c r="AF144" i="4"/>
  <c r="BW144" i="4"/>
  <c r="CI144" i="4"/>
  <c r="CV144" i="4"/>
  <c r="DZ144" i="4"/>
  <c r="EY144" i="4"/>
  <c r="HB144" i="4"/>
  <c r="H145" i="4"/>
  <c r="AL145" i="4"/>
  <c r="BQ145" i="4"/>
  <c r="CC145" i="4"/>
  <c r="CP145" i="4"/>
  <c r="DT145" i="4"/>
  <c r="EY145" i="4"/>
  <c r="FK145" i="4"/>
  <c r="FX145" i="4"/>
  <c r="HB145" i="4"/>
  <c r="IG145" i="4"/>
  <c r="IS145" i="4"/>
  <c r="AY146" i="4"/>
  <c r="CP146" i="4"/>
  <c r="DB146" i="4"/>
  <c r="ES146" i="4"/>
  <c r="FE146" i="4"/>
  <c r="GV146" i="4"/>
  <c r="HH146" i="4"/>
  <c r="HU146" i="4"/>
  <c r="IY146" i="4"/>
  <c r="N147" i="4"/>
  <c r="BE147" i="4"/>
  <c r="BQ147" i="4"/>
  <c r="CV147" i="4"/>
  <c r="EM147" i="4"/>
  <c r="EY147" i="4"/>
  <c r="GD147" i="4"/>
  <c r="HU147" i="4"/>
  <c r="IG147" i="4"/>
  <c r="AL148" i="4"/>
  <c r="CP148" i="4"/>
  <c r="EG148" i="4"/>
  <c r="ES148" i="4"/>
  <c r="GJ148" i="4"/>
  <c r="GV148" i="4"/>
  <c r="IM148" i="4"/>
  <c r="IY148" i="4"/>
  <c r="CI149" i="4"/>
  <c r="FQ149" i="4"/>
  <c r="IY149" i="4"/>
  <c r="AF150" i="4"/>
  <c r="AR150" i="4"/>
  <c r="BE150" i="4"/>
  <c r="CI150" i="4"/>
  <c r="DH150" i="4"/>
  <c r="FK150" i="4"/>
  <c r="HO150" i="4"/>
  <c r="T151" i="4"/>
  <c r="BW151" i="4"/>
  <c r="DB151" i="4"/>
  <c r="FE151" i="4"/>
  <c r="GJ151" i="4"/>
  <c r="IM151" i="4"/>
  <c r="T152" i="4"/>
  <c r="AF152" i="4"/>
  <c r="BW152" i="4"/>
  <c r="CI152" i="4"/>
  <c r="CV152" i="4"/>
  <c r="DZ152" i="4"/>
  <c r="EY152" i="4"/>
  <c r="HB152" i="4"/>
  <c r="H153" i="4"/>
  <c r="AL153" i="4"/>
  <c r="BQ153" i="4"/>
  <c r="CC153" i="4"/>
  <c r="CP153" i="4"/>
  <c r="DT153" i="4"/>
  <c r="EY153" i="4"/>
  <c r="FK153" i="4"/>
  <c r="FX153" i="4"/>
  <c r="HB153" i="4"/>
  <c r="IG153" i="4"/>
  <c r="IS153" i="4"/>
  <c r="AY154" i="4"/>
  <c r="CP154" i="4"/>
  <c r="DB154" i="4"/>
  <c r="ES154" i="4"/>
  <c r="FE154" i="4"/>
  <c r="GV154" i="4"/>
  <c r="HH154" i="4"/>
  <c r="HU154" i="4"/>
  <c r="IY154" i="4"/>
  <c r="N155" i="4"/>
  <c r="BE155" i="4"/>
  <c r="BQ155" i="4"/>
  <c r="CV155" i="4"/>
  <c r="EM155" i="4"/>
  <c r="EY155" i="4"/>
  <c r="GD155" i="4"/>
  <c r="HU155" i="4"/>
  <c r="IG155" i="4"/>
  <c r="AL156" i="4"/>
  <c r="CP156" i="4"/>
  <c r="EG156" i="4"/>
  <c r="ES156" i="4"/>
  <c r="GJ156" i="4"/>
  <c r="GV156" i="4"/>
  <c r="IM156" i="4"/>
  <c r="IY156" i="4"/>
  <c r="CI157" i="4"/>
  <c r="FQ157" i="4"/>
  <c r="IY157" i="4"/>
  <c r="AF158" i="4"/>
  <c r="AR158" i="4"/>
  <c r="BE158" i="4"/>
  <c r="CI158" i="4"/>
  <c r="DH158" i="4"/>
  <c r="FK158" i="4"/>
  <c r="HO158" i="4"/>
  <c r="T159" i="4"/>
  <c r="BW159" i="4"/>
  <c r="DB159" i="4"/>
  <c r="FE159" i="4"/>
  <c r="GJ159" i="4"/>
  <c r="IM159" i="4"/>
  <c r="AR160" i="4"/>
  <c r="BQ160" i="4"/>
  <c r="CC160" i="4"/>
  <c r="EG160" i="4"/>
  <c r="GJ160" i="4"/>
  <c r="IM160" i="4"/>
  <c r="AF161" i="4"/>
  <c r="BK161" i="4"/>
  <c r="IG161" i="4"/>
  <c r="IS161" i="4"/>
  <c r="Z162" i="4"/>
  <c r="AY162" i="4"/>
  <c r="N163" i="4"/>
  <c r="Z163" i="4"/>
  <c r="BW163" i="4"/>
  <c r="IA163" i="4"/>
  <c r="AR164" i="4"/>
  <c r="FK164" i="4"/>
  <c r="FX164" i="4"/>
  <c r="HU164" i="4"/>
  <c r="IG164" i="4"/>
  <c r="DZ165" i="4"/>
  <c r="GP165" i="4"/>
  <c r="Z167" i="4"/>
  <c r="DN171" i="4"/>
  <c r="FQ171" i="4"/>
  <c r="GD171" i="4"/>
  <c r="IG171" i="4"/>
  <c r="Z172" i="4"/>
  <c r="BE172" i="4"/>
  <c r="DH172" i="4"/>
  <c r="EM172" i="4"/>
  <c r="GP172" i="4"/>
  <c r="HU172" i="4"/>
  <c r="Z173" i="4"/>
  <c r="CC173" i="4"/>
  <c r="EG173" i="4"/>
  <c r="GJ173" i="4"/>
  <c r="IM173" i="4"/>
  <c r="AR174" i="4"/>
  <c r="DZ174" i="4"/>
  <c r="HH174" i="4"/>
  <c r="N175" i="4"/>
  <c r="BQ175" i="4"/>
  <c r="DT175" i="4"/>
  <c r="FX175" i="4"/>
  <c r="IA175" i="4"/>
  <c r="AF176" i="4"/>
  <c r="BK176" i="4"/>
  <c r="DN176" i="4"/>
  <c r="ES176" i="4"/>
  <c r="GV176" i="4"/>
  <c r="IA176" i="4"/>
  <c r="T177" i="4"/>
  <c r="BW177" i="4"/>
  <c r="DZ177" i="4"/>
  <c r="EM177" i="4"/>
  <c r="GP177" i="4"/>
  <c r="IS177" i="4"/>
  <c r="AL178" i="4"/>
  <c r="AY178" i="4"/>
  <c r="DT178" i="4"/>
  <c r="EG178" i="4"/>
  <c r="HB178" i="4"/>
  <c r="HO178" i="4"/>
  <c r="H179" i="4"/>
  <c r="BK179" i="4"/>
  <c r="DN179" i="4"/>
  <c r="FQ179" i="4"/>
  <c r="GD179" i="4"/>
  <c r="IG179" i="4"/>
  <c r="Z180" i="4"/>
  <c r="BE180" i="4"/>
  <c r="DH180" i="4"/>
  <c r="EM180" i="4"/>
  <c r="GP180" i="4"/>
  <c r="HU180" i="4"/>
  <c r="Z181" i="4"/>
  <c r="CC181" i="4"/>
  <c r="EG181" i="4"/>
  <c r="GJ181" i="4"/>
  <c r="IM181" i="4"/>
  <c r="AR182" i="4"/>
  <c r="DZ182" i="4"/>
  <c r="HH182" i="4"/>
  <c r="N183" i="4"/>
  <c r="BQ183" i="4"/>
  <c r="DT183" i="4"/>
  <c r="FX183" i="4"/>
  <c r="IA183" i="4"/>
  <c r="AF184" i="4"/>
  <c r="BK184" i="4"/>
  <c r="DN184" i="4"/>
  <c r="ES184" i="4"/>
  <c r="GV184" i="4"/>
  <c r="IA184" i="4"/>
  <c r="T185" i="4"/>
  <c r="BW185" i="4"/>
  <c r="DZ185" i="4"/>
  <c r="EM185" i="4"/>
  <c r="GP185" i="4"/>
  <c r="IS185" i="4"/>
  <c r="AL186" i="4"/>
  <c r="AY186" i="4"/>
  <c r="DT186" i="4"/>
  <c r="EG186" i="4"/>
  <c r="HB186" i="4"/>
  <c r="HO186" i="4"/>
  <c r="H187" i="4"/>
  <c r="BK187" i="4"/>
  <c r="DN187" i="4"/>
  <c r="FQ187" i="4"/>
  <c r="GD187" i="4"/>
  <c r="IG187" i="4"/>
  <c r="Z188" i="4"/>
  <c r="BE188" i="4"/>
  <c r="DH188" i="4"/>
  <c r="EM188" i="4"/>
  <c r="GP188" i="4"/>
  <c r="HU188" i="4"/>
  <c r="Z189" i="4"/>
  <c r="CC189" i="4"/>
  <c r="EG189" i="4"/>
  <c r="GJ189" i="4"/>
  <c r="IM189" i="4"/>
  <c r="AR190" i="4"/>
  <c r="DZ190" i="4"/>
  <c r="HH190" i="4"/>
  <c r="N191" i="4"/>
  <c r="BQ191" i="4"/>
  <c r="DT191" i="4"/>
  <c r="FX191" i="4"/>
  <c r="IA191" i="4"/>
  <c r="AF192" i="4"/>
  <c r="BK192" i="4"/>
  <c r="DN192" i="4"/>
  <c r="ES192" i="4"/>
  <c r="GV192" i="4"/>
  <c r="IA192" i="4"/>
  <c r="T193" i="4"/>
  <c r="BW193" i="4"/>
  <c r="DZ193" i="4"/>
  <c r="EM193" i="4"/>
  <c r="GP193" i="4"/>
  <c r="IS193" i="4"/>
  <c r="AL194" i="4"/>
  <c r="AY194" i="4"/>
  <c r="DT194" i="4"/>
  <c r="EG194" i="4"/>
  <c r="HB194" i="4"/>
  <c r="HO194" i="4"/>
  <c r="H195" i="4"/>
  <c r="BK195" i="4"/>
  <c r="DN195" i="4"/>
  <c r="FQ195" i="4"/>
  <c r="GD195" i="4"/>
  <c r="IG195" i="4"/>
  <c r="Z196" i="4"/>
  <c r="BE196" i="4"/>
  <c r="DH196" i="4"/>
  <c r="EM196" i="4"/>
  <c r="GP196" i="4"/>
  <c r="HU196" i="4"/>
  <c r="Z197" i="4"/>
  <c r="CC197" i="4"/>
  <c r="EG197" i="4"/>
  <c r="GJ197" i="4"/>
  <c r="IM197" i="4"/>
  <c r="AR198" i="4"/>
  <c r="DZ198" i="4"/>
  <c r="HH198" i="4"/>
  <c r="N199" i="4"/>
  <c r="BQ199" i="4"/>
  <c r="DT199" i="4"/>
  <c r="FX199" i="4"/>
  <c r="IA199" i="4"/>
  <c r="AF200" i="4"/>
  <c r="BK200" i="4"/>
  <c r="DN200" i="4"/>
  <c r="ES200" i="4"/>
  <c r="GV200" i="4"/>
  <c r="IA200" i="4"/>
  <c r="T201" i="4"/>
  <c r="BW201" i="4"/>
  <c r="DZ201" i="4"/>
  <c r="EM201" i="4"/>
  <c r="GP201" i="4"/>
  <c r="IS201" i="4"/>
  <c r="AL202" i="4"/>
  <c r="AY202" i="4"/>
  <c r="DT202" i="4"/>
  <c r="EG202" i="4"/>
  <c r="HB202" i="4"/>
  <c r="HO202" i="4"/>
  <c r="H203" i="4"/>
  <c r="BK203" i="4"/>
  <c r="DN203" i="4"/>
  <c r="FQ203" i="4"/>
  <c r="GD203" i="4"/>
  <c r="IG203" i="4"/>
  <c r="Z204" i="4"/>
  <c r="BE204" i="4"/>
  <c r="DH204" i="4"/>
  <c r="EM204" i="4"/>
  <c r="GP204" i="4"/>
  <c r="HU204" i="4"/>
  <c r="Z205" i="4"/>
  <c r="CC205" i="4"/>
  <c r="EG205" i="4"/>
  <c r="GJ205" i="4"/>
  <c r="IM205" i="4"/>
  <c r="AR206" i="4"/>
  <c r="DZ206" i="4"/>
  <c r="HH206" i="4"/>
  <c r="N207" i="4"/>
  <c r="BQ207" i="4"/>
  <c r="DT207" i="4"/>
  <c r="FX207" i="4"/>
  <c r="IA207" i="4"/>
  <c r="T208" i="4"/>
  <c r="DZ208" i="4"/>
  <c r="EM208" i="4"/>
  <c r="IS208" i="4"/>
  <c r="AL209" i="4"/>
  <c r="CV209" i="4"/>
  <c r="GV209" i="4"/>
  <c r="IM209" i="4"/>
  <c r="AF210" i="4"/>
  <c r="CP210" i="4"/>
  <c r="EM210" i="4"/>
  <c r="EY210" i="4"/>
  <c r="GP210" i="4"/>
  <c r="AR211" i="4"/>
  <c r="BE211" i="4"/>
  <c r="BW211" i="4"/>
  <c r="CI211" i="4"/>
  <c r="DZ211" i="4"/>
  <c r="EM211" i="4"/>
  <c r="FE211" i="4"/>
  <c r="FQ211" i="4"/>
  <c r="HH211" i="4"/>
  <c r="HU211" i="4"/>
  <c r="IM211" i="4"/>
  <c r="IY211" i="4"/>
  <c r="N212" i="4"/>
  <c r="H213" i="4"/>
  <c r="EM213" i="4"/>
  <c r="AR214" i="4"/>
  <c r="BQ216" i="4"/>
  <c r="IG216" i="4"/>
  <c r="DZ217" i="4"/>
  <c r="CC218" i="4"/>
  <c r="DB219" i="4"/>
  <c r="EY219" i="4"/>
  <c r="H221" i="4"/>
  <c r="HO221" i="4"/>
  <c r="HO223" i="4"/>
  <c r="HB224" i="4"/>
  <c r="HO225" i="4"/>
  <c r="GP226" i="4"/>
  <c r="BQ227" i="4"/>
  <c r="EG227" i="4"/>
  <c r="HH227" i="4"/>
  <c r="Z166" i="4"/>
  <c r="CC166" i="4"/>
  <c r="DH166" i="4"/>
  <c r="FK166" i="4"/>
  <c r="GP166" i="4"/>
  <c r="IS166" i="4"/>
  <c r="HH167" i="4"/>
  <c r="AF169" i="4"/>
  <c r="CI169" i="4"/>
  <c r="T171" i="4"/>
  <c r="BW171" i="4"/>
  <c r="EG159" i="4"/>
  <c r="FK159" i="4"/>
  <c r="GP159" i="4"/>
  <c r="HB159" i="4"/>
  <c r="HO159" i="4"/>
  <c r="IS159" i="4"/>
  <c r="H160" i="4"/>
  <c r="AY160" i="4"/>
  <c r="BK160" i="4"/>
  <c r="DB160" i="4"/>
  <c r="DN160" i="4"/>
  <c r="FE160" i="4"/>
  <c r="FQ160" i="4"/>
  <c r="GD160" i="4"/>
  <c r="HH160" i="4"/>
  <c r="IG160" i="4"/>
  <c r="Z161" i="4"/>
  <c r="BQ161" i="4"/>
  <c r="CC161" i="4"/>
  <c r="DN161" i="4"/>
  <c r="ES161" i="4"/>
  <c r="GJ161" i="4"/>
  <c r="AR162" i="4"/>
  <c r="CI162" i="4"/>
  <c r="DZ162" i="4"/>
  <c r="GJ162" i="4"/>
  <c r="IA162" i="4"/>
  <c r="IM162" i="4"/>
  <c r="H163" i="4"/>
  <c r="AL163" i="4"/>
  <c r="CC163" i="4"/>
  <c r="CP163" i="4"/>
  <c r="DT163" i="4"/>
  <c r="FK163" i="4"/>
  <c r="FX163" i="4"/>
  <c r="HB163" i="4"/>
  <c r="IS163" i="4"/>
  <c r="BE164" i="4"/>
  <c r="CI164" i="4"/>
  <c r="DN164" i="4"/>
  <c r="IA164" i="4"/>
  <c r="IS164" i="4"/>
  <c r="Z165" i="4"/>
  <c r="AR165" i="4"/>
  <c r="CI165" i="4"/>
  <c r="ES165" i="4"/>
  <c r="FE165" i="4"/>
  <c r="GJ165" i="4"/>
  <c r="HO165" i="4"/>
  <c r="T167" i="4"/>
  <c r="AF167" i="4"/>
  <c r="BK167" i="4"/>
  <c r="CP167" i="4"/>
  <c r="IG167" i="4"/>
  <c r="IY167" i="4"/>
  <c r="AF168" i="4"/>
  <c r="CV168" i="4"/>
  <c r="DH168" i="4"/>
  <c r="EM168" i="4"/>
  <c r="GD168" i="4"/>
  <c r="GP168" i="4"/>
  <c r="HU168" i="4"/>
  <c r="Z169" i="4"/>
  <c r="CC169" i="4"/>
  <c r="EG169" i="4"/>
  <c r="FX169" i="4"/>
  <c r="GJ169" i="4"/>
  <c r="IA169" i="4"/>
  <c r="IM169" i="4"/>
  <c r="AR170" i="4"/>
  <c r="DZ170" i="4"/>
  <c r="HH170" i="4"/>
  <c r="AR171" i="4"/>
  <c r="HO171" i="4"/>
  <c r="H173" i="4"/>
  <c r="BK173" i="4"/>
  <c r="DN173" i="4"/>
  <c r="FQ173" i="4"/>
  <c r="Z174" i="4"/>
  <c r="CC174" i="4"/>
  <c r="DH174" i="4"/>
  <c r="FK174" i="4"/>
  <c r="GP174" i="4"/>
  <c r="IS174" i="4"/>
  <c r="AY175" i="4"/>
  <c r="DB175" i="4"/>
  <c r="FE175" i="4"/>
  <c r="HH175" i="4"/>
  <c r="N176" i="4"/>
  <c r="CV176" i="4"/>
  <c r="GD176" i="4"/>
  <c r="FX177" i="4"/>
  <c r="IA177" i="4"/>
  <c r="AR179" i="4"/>
  <c r="HO179" i="4"/>
  <c r="H181" i="4"/>
  <c r="BK181" i="4"/>
  <c r="DN181" i="4"/>
  <c r="FQ181" i="4"/>
  <c r="Z182" i="4"/>
  <c r="CC182" i="4"/>
  <c r="DH182" i="4"/>
  <c r="FK182" i="4"/>
  <c r="GP182" i="4"/>
  <c r="IS182" i="4"/>
  <c r="AY183" i="4"/>
  <c r="DB183" i="4"/>
  <c r="FE183" i="4"/>
  <c r="HH183" i="4"/>
  <c r="N184" i="4"/>
  <c r="CV184" i="4"/>
  <c r="GD184" i="4"/>
  <c r="FX185" i="4"/>
  <c r="IA185" i="4"/>
  <c r="AR187" i="4"/>
  <c r="HO187" i="4"/>
  <c r="H189" i="4"/>
  <c r="BK189" i="4"/>
  <c r="DN189" i="4"/>
  <c r="FQ189" i="4"/>
  <c r="Z190" i="4"/>
  <c r="CC190" i="4"/>
  <c r="DH190" i="4"/>
  <c r="FK190" i="4"/>
  <c r="GP190" i="4"/>
  <c r="IS190" i="4"/>
  <c r="AY191" i="4"/>
  <c r="DB191" i="4"/>
  <c r="FE191" i="4"/>
  <c r="HH191" i="4"/>
  <c r="N192" i="4"/>
  <c r="CV192" i="4"/>
  <c r="GD192" i="4"/>
  <c r="FX193" i="4"/>
  <c r="IA193" i="4"/>
  <c r="AR195" i="4"/>
  <c r="HO195" i="4"/>
  <c r="H197" i="4"/>
  <c r="BK197" i="4"/>
  <c r="DN197" i="4"/>
  <c r="FQ197" i="4"/>
  <c r="Z198" i="4"/>
  <c r="CC198" i="4"/>
  <c r="DH198" i="4"/>
  <c r="FK198" i="4"/>
  <c r="GP198" i="4"/>
  <c r="IS198" i="4"/>
  <c r="AY199" i="4"/>
  <c r="DB199" i="4"/>
  <c r="FE199" i="4"/>
  <c r="HH199" i="4"/>
  <c r="N200" i="4"/>
  <c r="CV200" i="4"/>
  <c r="GD200" i="4"/>
  <c r="FX201" i="4"/>
  <c r="IA201" i="4"/>
  <c r="AR203" i="4"/>
  <c r="HO203" i="4"/>
  <c r="H205" i="4"/>
  <c r="BK205" i="4"/>
  <c r="DN205" i="4"/>
  <c r="FQ205" i="4"/>
  <c r="Z206" i="4"/>
  <c r="CC206" i="4"/>
  <c r="DH206" i="4"/>
  <c r="FK206" i="4"/>
  <c r="GP206" i="4"/>
  <c r="IS206" i="4"/>
  <c r="AY207" i="4"/>
  <c r="DB207" i="4"/>
  <c r="FE207" i="4"/>
  <c r="HH207" i="4"/>
  <c r="DH208" i="4"/>
  <c r="FX208" i="4"/>
  <c r="IA208" i="4"/>
  <c r="T209" i="4"/>
  <c r="FK209" i="4"/>
  <c r="HU209" i="4"/>
  <c r="N210" i="4"/>
  <c r="BW210" i="4"/>
  <c r="EG226" i="4"/>
  <c r="CP228" i="4"/>
  <c r="IA228" i="4"/>
  <c r="BE229" i="4"/>
  <c r="IM165" i="4"/>
  <c r="DN167" i="4"/>
  <c r="ES167" i="4"/>
  <c r="FX167" i="4"/>
  <c r="BK168" i="4"/>
  <c r="CC168" i="4"/>
  <c r="CP168" i="4"/>
  <c r="FK168" i="4"/>
  <c r="FX168" i="4"/>
  <c r="IS168" i="4"/>
  <c r="AY169" i="4"/>
  <c r="DB169" i="4"/>
  <c r="FE169" i="4"/>
  <c r="HH169" i="4"/>
  <c r="HU169" i="4"/>
  <c r="N170" i="4"/>
  <c r="BQ170" i="4"/>
  <c r="CV170" i="4"/>
  <c r="EY170" i="4"/>
  <c r="GD170" i="4"/>
  <c r="HU170" i="4"/>
  <c r="IG170" i="4"/>
  <c r="AL171" i="4"/>
  <c r="CP171" i="4"/>
  <c r="EG171" i="4"/>
  <c r="ES171" i="4"/>
  <c r="GJ171" i="4"/>
  <c r="GV171" i="4"/>
  <c r="IM171" i="4"/>
  <c r="IY171" i="4"/>
  <c r="CI172" i="4"/>
  <c r="FQ172" i="4"/>
  <c r="IY172" i="4"/>
  <c r="AF173" i="4"/>
  <c r="AR173" i="4"/>
  <c r="BE173" i="4"/>
  <c r="CI173" i="4"/>
  <c r="DH173" i="4"/>
  <c r="FK173" i="4"/>
  <c r="HO173" i="4"/>
  <c r="T174" i="4"/>
  <c r="BW174" i="4"/>
  <c r="DB174" i="4"/>
  <c r="FE174" i="4"/>
  <c r="GJ174" i="4"/>
  <c r="IM174" i="4"/>
  <c r="T175" i="4"/>
  <c r="AF175" i="4"/>
  <c r="BW175" i="4"/>
  <c r="CI175" i="4"/>
  <c r="CV175" i="4"/>
  <c r="DZ175" i="4"/>
  <c r="EY175" i="4"/>
  <c r="HB175" i="4"/>
  <c r="H176" i="4"/>
  <c r="AL176" i="4"/>
  <c r="BQ176" i="4"/>
  <c r="CC176" i="4"/>
  <c r="CP176" i="4"/>
  <c r="DT176" i="4"/>
  <c r="EY176" i="4"/>
  <c r="FK176" i="4"/>
  <c r="FX176" i="4"/>
  <c r="HB176" i="4"/>
  <c r="IG176" i="4"/>
  <c r="IS176" i="4"/>
  <c r="AY177" i="4"/>
  <c r="CP177" i="4"/>
  <c r="DB177" i="4"/>
  <c r="ES177" i="4"/>
  <c r="FE177" i="4"/>
  <c r="GV177" i="4"/>
  <c r="HH177" i="4"/>
  <c r="HU177" i="4"/>
  <c r="IY177" i="4"/>
  <c r="N178" i="4"/>
  <c r="BE178" i="4"/>
  <c r="BQ178" i="4"/>
  <c r="CV178" i="4"/>
  <c r="EM178" i="4"/>
  <c r="EY178" i="4"/>
  <c r="GD178" i="4"/>
  <c r="HU178" i="4"/>
  <c r="IG178" i="4"/>
  <c r="AL179" i="4"/>
  <c r="CP179" i="4"/>
  <c r="EG179" i="4"/>
  <c r="ES179" i="4"/>
  <c r="GJ179" i="4"/>
  <c r="GV179" i="4"/>
  <c r="IM179" i="4"/>
  <c r="IY179" i="4"/>
  <c r="CI180" i="4"/>
  <c r="FQ180" i="4"/>
  <c r="IY180" i="4"/>
  <c r="AF181" i="4"/>
  <c r="AR181" i="4"/>
  <c r="BE181" i="4"/>
  <c r="CI181" i="4"/>
  <c r="DH181" i="4"/>
  <c r="FK181" i="4"/>
  <c r="HO181" i="4"/>
  <c r="T182" i="4"/>
  <c r="BW182" i="4"/>
  <c r="DB182" i="4"/>
  <c r="FE182" i="4"/>
  <c r="GJ182" i="4"/>
  <c r="IM182" i="4"/>
  <c r="T183" i="4"/>
  <c r="AF183" i="4"/>
  <c r="BW183" i="4"/>
  <c r="CI183" i="4"/>
  <c r="CV183" i="4"/>
  <c r="DZ183" i="4"/>
  <c r="EY183" i="4"/>
  <c r="HB183" i="4"/>
  <c r="H184" i="4"/>
  <c r="AL184" i="4"/>
  <c r="BQ184" i="4"/>
  <c r="CC184" i="4"/>
  <c r="CP184" i="4"/>
  <c r="DT184" i="4"/>
  <c r="EY184" i="4"/>
  <c r="FK184" i="4"/>
  <c r="FX184" i="4"/>
  <c r="HB184" i="4"/>
  <c r="IG184" i="4"/>
  <c r="IS184" i="4"/>
  <c r="AY185" i="4"/>
  <c r="CP185" i="4"/>
  <c r="DB185" i="4"/>
  <c r="ES185" i="4"/>
  <c r="FE185" i="4"/>
  <c r="GV185" i="4"/>
  <c r="HH185" i="4"/>
  <c r="HU185" i="4"/>
  <c r="IY185" i="4"/>
  <c r="N186" i="4"/>
  <c r="BE186" i="4"/>
  <c r="BQ186" i="4"/>
  <c r="CV186" i="4"/>
  <c r="EM186" i="4"/>
  <c r="EY186" i="4"/>
  <c r="GD186" i="4"/>
  <c r="HU186" i="4"/>
  <c r="IG186" i="4"/>
  <c r="AL187" i="4"/>
  <c r="CP187" i="4"/>
  <c r="EG187" i="4"/>
  <c r="ES187" i="4"/>
  <c r="GJ187" i="4"/>
  <c r="GV187" i="4"/>
  <c r="IM187" i="4"/>
  <c r="IY187" i="4"/>
  <c r="CI188" i="4"/>
  <c r="FQ188" i="4"/>
  <c r="IY188" i="4"/>
  <c r="AF189" i="4"/>
  <c r="AR189" i="4"/>
  <c r="BE189" i="4"/>
  <c r="CI189" i="4"/>
  <c r="DH189" i="4"/>
  <c r="FK189" i="4"/>
  <c r="HO189" i="4"/>
  <c r="T190" i="4"/>
  <c r="BW190" i="4"/>
  <c r="DB190" i="4"/>
  <c r="FE190" i="4"/>
  <c r="GJ190" i="4"/>
  <c r="IM190" i="4"/>
  <c r="T191" i="4"/>
  <c r="AF191" i="4"/>
  <c r="BW191" i="4"/>
  <c r="CI191" i="4"/>
  <c r="CV191" i="4"/>
  <c r="DZ191" i="4"/>
  <c r="EY191" i="4"/>
  <c r="HB191" i="4"/>
  <c r="H192" i="4"/>
  <c r="AL192" i="4"/>
  <c r="BQ192" i="4"/>
  <c r="CC192" i="4"/>
  <c r="CP192" i="4"/>
  <c r="DT192" i="4"/>
  <c r="EY192" i="4"/>
  <c r="FK192" i="4"/>
  <c r="FX192" i="4"/>
  <c r="HB192" i="4"/>
  <c r="IG192" i="4"/>
  <c r="IS192" i="4"/>
  <c r="AY193" i="4"/>
  <c r="CP193" i="4"/>
  <c r="DB193" i="4"/>
  <c r="ES193" i="4"/>
  <c r="FE193" i="4"/>
  <c r="GV193" i="4"/>
  <c r="HH193" i="4"/>
  <c r="HU193" i="4"/>
  <c r="IY193" i="4"/>
  <c r="N194" i="4"/>
  <c r="BE194" i="4"/>
  <c r="BQ194" i="4"/>
  <c r="CV194" i="4"/>
  <c r="EM194" i="4"/>
  <c r="EY194" i="4"/>
  <c r="GD194" i="4"/>
  <c r="HU194" i="4"/>
  <c r="IG194" i="4"/>
  <c r="AL195" i="4"/>
  <c r="CP195" i="4"/>
  <c r="EG195" i="4"/>
  <c r="ES195" i="4"/>
  <c r="GJ195" i="4"/>
  <c r="GV195" i="4"/>
  <c r="IM195" i="4"/>
  <c r="IY195" i="4"/>
  <c r="CI196" i="4"/>
  <c r="FQ196" i="4"/>
  <c r="IY196" i="4"/>
  <c r="AF197" i="4"/>
  <c r="AR197" i="4"/>
  <c r="BE197" i="4"/>
  <c r="CI197" i="4"/>
  <c r="DH197" i="4"/>
  <c r="FK197" i="4"/>
  <c r="HO197" i="4"/>
  <c r="T198" i="4"/>
  <c r="BW198" i="4"/>
  <c r="DB198" i="4"/>
  <c r="FE198" i="4"/>
  <c r="GJ198" i="4"/>
  <c r="IM198" i="4"/>
  <c r="T199" i="4"/>
  <c r="AF199" i="4"/>
  <c r="BW199" i="4"/>
  <c r="CI199" i="4"/>
  <c r="CV199" i="4"/>
  <c r="DZ199" i="4"/>
  <c r="EY199" i="4"/>
  <c r="HB199" i="4"/>
  <c r="H200" i="4"/>
  <c r="AL200" i="4"/>
  <c r="BQ200" i="4"/>
  <c r="CC200" i="4"/>
  <c r="CP200" i="4"/>
  <c r="DT200" i="4"/>
  <c r="EY200" i="4"/>
  <c r="FK200" i="4"/>
  <c r="FX200" i="4"/>
  <c r="HB200" i="4"/>
  <c r="IG200" i="4"/>
  <c r="IS200" i="4"/>
  <c r="AY201" i="4"/>
  <c r="CP201" i="4"/>
  <c r="DB201" i="4"/>
  <c r="ES201" i="4"/>
  <c r="FE201" i="4"/>
  <c r="GV201" i="4"/>
  <c r="HH201" i="4"/>
  <c r="HU201" i="4"/>
  <c r="IY201" i="4"/>
  <c r="N202" i="4"/>
  <c r="BE202" i="4"/>
  <c r="BQ202" i="4"/>
  <c r="CV202" i="4"/>
  <c r="EM202" i="4"/>
  <c r="EY202" i="4"/>
  <c r="GD202" i="4"/>
  <c r="HU202" i="4"/>
  <c r="IG202" i="4"/>
  <c r="AL203" i="4"/>
  <c r="CP203" i="4"/>
  <c r="EG203" i="4"/>
  <c r="ES203" i="4"/>
  <c r="GJ203" i="4"/>
  <c r="GV203" i="4"/>
  <c r="IM203" i="4"/>
  <c r="IY203" i="4"/>
  <c r="CI204" i="4"/>
  <c r="FQ204" i="4"/>
  <c r="IY204" i="4"/>
  <c r="AF205" i="4"/>
  <c r="AR205" i="4"/>
  <c r="BE205" i="4"/>
  <c r="CI205" i="4"/>
  <c r="DH205" i="4"/>
  <c r="FK205" i="4"/>
  <c r="HO205" i="4"/>
  <c r="T206" i="4"/>
  <c r="BW206" i="4"/>
  <c r="DB206" i="4"/>
  <c r="FE206" i="4"/>
  <c r="GJ206" i="4"/>
  <c r="IM206" i="4"/>
  <c r="T207" i="4"/>
  <c r="AF207" i="4"/>
  <c r="BW207" i="4"/>
  <c r="CI207" i="4"/>
  <c r="CV207" i="4"/>
  <c r="DZ207" i="4"/>
  <c r="EY207" i="4"/>
  <c r="HB207" i="4"/>
  <c r="Z208" i="4"/>
  <c r="AL208" i="4"/>
  <c r="CP208" i="4"/>
  <c r="DB208" i="4"/>
  <c r="ES208" i="4"/>
  <c r="HH208" i="4"/>
  <c r="HU208" i="4"/>
  <c r="IY208" i="4"/>
  <c r="N209" i="4"/>
  <c r="DB209" i="4"/>
  <c r="DN209" i="4"/>
  <c r="FE209" i="4"/>
  <c r="HO209" i="4"/>
  <c r="IS209" i="4"/>
  <c r="H210" i="4"/>
  <c r="BE210" i="4"/>
  <c r="BQ210" i="4"/>
  <c r="CV210" i="4"/>
  <c r="DH210" i="4"/>
  <c r="FE210" i="4"/>
  <c r="H212" i="4"/>
  <c r="BE212" i="4"/>
  <c r="AY213" i="4"/>
  <c r="CV216" i="4"/>
  <c r="T218" i="4"/>
  <c r="GV220" i="4"/>
  <c r="AR222" i="4"/>
  <c r="AY212" i="4"/>
  <c r="BQ212" i="4"/>
  <c r="CC212" i="4"/>
  <c r="EG212" i="4"/>
  <c r="EY212" i="4"/>
  <c r="FK212" i="4"/>
  <c r="HO212" i="4"/>
  <c r="IG212" i="4"/>
  <c r="IS212" i="4"/>
  <c r="Z213" i="4"/>
  <c r="AL213" i="4"/>
  <c r="DZ213" i="4"/>
  <c r="IA213" i="4"/>
  <c r="IM213" i="4"/>
  <c r="T214" i="4"/>
  <c r="AF214" i="4"/>
  <c r="BK214" i="4"/>
  <c r="CC214" i="4"/>
  <c r="DT214" i="4"/>
  <c r="HU214" i="4"/>
  <c r="BK215" i="4"/>
  <c r="BW215" i="4"/>
  <c r="DN215" i="4"/>
  <c r="DZ215" i="4"/>
  <c r="FX215" i="4"/>
  <c r="HO215" i="4"/>
  <c r="IA215" i="4"/>
  <c r="IM215" i="4"/>
  <c r="AF216" i="4"/>
  <c r="AR216" i="4"/>
  <c r="BE216" i="4"/>
  <c r="DN216" i="4"/>
  <c r="DZ216" i="4"/>
  <c r="EM216" i="4"/>
  <c r="GV216" i="4"/>
  <c r="HH216" i="4"/>
  <c r="HU216" i="4"/>
  <c r="DB217" i="4"/>
  <c r="DN217" i="4"/>
  <c r="GP217" i="4"/>
  <c r="HU217" i="4"/>
  <c r="IS217" i="4"/>
  <c r="H218" i="4"/>
  <c r="BE218" i="4"/>
  <c r="BQ218" i="4"/>
  <c r="CV218" i="4"/>
  <c r="DH218" i="4"/>
  <c r="FE218" i="4"/>
  <c r="H220" i="4"/>
  <c r="CP220" i="4"/>
  <c r="FX220" i="4"/>
  <c r="HO220" i="4"/>
  <c r="IG220" i="4"/>
  <c r="IS220" i="4"/>
  <c r="Z221" i="4"/>
  <c r="AL221" i="4"/>
  <c r="DZ221" i="4"/>
  <c r="CC222" i="4"/>
  <c r="DT222" i="4"/>
  <c r="HU222" i="4"/>
  <c r="BK223" i="4"/>
  <c r="BW223" i="4"/>
  <c r="DN223" i="4"/>
  <c r="FX223" i="4"/>
  <c r="HB223" i="4"/>
  <c r="N224" i="4"/>
  <c r="Z224" i="4"/>
  <c r="GD224" i="4"/>
  <c r="GP224" i="4"/>
  <c r="BK225" i="4"/>
  <c r="CP225" i="4"/>
  <c r="DB225" i="4"/>
  <c r="GP225" i="4"/>
  <c r="IY225" i="4"/>
  <c r="N226" i="4"/>
  <c r="BK226" i="4"/>
  <c r="CC226" i="4"/>
  <c r="GD226" i="4"/>
  <c r="IA226" i="4"/>
  <c r="IS226" i="4"/>
  <c r="DT227" i="4"/>
  <c r="GJ227" i="4"/>
  <c r="GV227" i="4"/>
  <c r="IS227" i="4"/>
  <c r="N228" i="4"/>
  <c r="BE228" i="4"/>
  <c r="BW228" i="4"/>
  <c r="HB228" i="4"/>
  <c r="AF229" i="4"/>
  <c r="AR229" i="4"/>
  <c r="CP229" i="4"/>
  <c r="EG229" i="4"/>
  <c r="EY229" i="4"/>
  <c r="FQ229" i="4"/>
  <c r="GV229" i="4"/>
  <c r="HH229" i="4"/>
  <c r="Z230" i="4"/>
  <c r="AL230" i="4"/>
  <c r="DZ230" i="4"/>
  <c r="EY230" i="4"/>
  <c r="FQ230" i="4"/>
  <c r="BQ231" i="4"/>
  <c r="DZ231" i="4"/>
  <c r="IY231" i="4"/>
  <c r="T232" i="4"/>
  <c r="AL232" i="4"/>
  <c r="ES232" i="4"/>
  <c r="FE232" i="4"/>
  <c r="FX232" i="4"/>
  <c r="HU232" i="4"/>
  <c r="BW233" i="4"/>
  <c r="CI233" i="4"/>
  <c r="FE233" i="4"/>
  <c r="FQ233" i="4"/>
  <c r="IM233" i="4"/>
  <c r="IY233" i="4"/>
  <c r="T234" i="4"/>
  <c r="BE234" i="4"/>
  <c r="BQ234" i="4"/>
  <c r="DZ234" i="4"/>
  <c r="HB234" i="4"/>
  <c r="T235" i="4"/>
  <c r="AF235" i="4"/>
  <c r="DB235" i="4"/>
  <c r="DN235" i="4"/>
  <c r="GJ235" i="4"/>
  <c r="GV235" i="4"/>
  <c r="H236" i="4"/>
  <c r="CV236" i="4"/>
  <c r="DN236" i="4"/>
  <c r="ES236" i="4"/>
  <c r="FQ236" i="4"/>
  <c r="IG236" i="4"/>
  <c r="IS236" i="4"/>
  <c r="AY237" i="4"/>
  <c r="BK237" i="4"/>
  <c r="CC237" i="4"/>
  <c r="EG237" i="4"/>
  <c r="ES237" i="4"/>
  <c r="FK237" i="4"/>
  <c r="HO237" i="4"/>
  <c r="IA237" i="4"/>
  <c r="IS237" i="4"/>
  <c r="AY238" i="4"/>
  <c r="BK238" i="4"/>
  <c r="DB238" i="4"/>
  <c r="GD238" i="4"/>
  <c r="GP238" i="4"/>
  <c r="HH238" i="4"/>
  <c r="IM238" i="4"/>
  <c r="N239" i="4"/>
  <c r="Z239" i="4"/>
  <c r="CV239" i="4"/>
  <c r="DH239" i="4"/>
  <c r="GD239" i="4"/>
  <c r="GP239" i="4"/>
  <c r="Z240" i="4"/>
  <c r="AL240" i="4"/>
  <c r="ES240" i="4"/>
  <c r="FE240" i="4"/>
  <c r="FX240" i="4"/>
  <c r="HU240" i="4"/>
  <c r="BW241" i="4"/>
  <c r="CI241" i="4"/>
  <c r="FE241" i="4"/>
  <c r="FQ241" i="4"/>
  <c r="IM241" i="4"/>
  <c r="IY241" i="4"/>
  <c r="T242" i="4"/>
  <c r="BE242" i="4"/>
  <c r="BQ242" i="4"/>
  <c r="DZ242" i="4"/>
  <c r="HB242" i="4"/>
  <c r="T243" i="4"/>
  <c r="AF243" i="4"/>
  <c r="DB243" i="4"/>
  <c r="DN243" i="4"/>
  <c r="GJ243" i="4"/>
  <c r="GV243" i="4"/>
  <c r="HH243" i="4"/>
  <c r="N244" i="4"/>
  <c r="Z244" i="4"/>
  <c r="CI244" i="4"/>
  <c r="EG244" i="4"/>
  <c r="FK244" i="4"/>
  <c r="BK245" i="4"/>
  <c r="BW245" i="4"/>
  <c r="ES245" i="4"/>
  <c r="FE245" i="4"/>
  <c r="IA245" i="4"/>
  <c r="IM245" i="4"/>
  <c r="BE246" i="4"/>
  <c r="BW246" i="4"/>
  <c r="CI246" i="4"/>
  <c r="DB246" i="4"/>
  <c r="DZ246" i="4"/>
  <c r="GP246" i="4"/>
  <c r="HB246" i="4"/>
  <c r="IA246" i="4"/>
  <c r="H247" i="4"/>
  <c r="T247" i="4"/>
  <c r="AL247" i="4"/>
  <c r="CP247" i="4"/>
  <c r="DB247" i="4"/>
  <c r="DT247" i="4"/>
  <c r="FX247" i="4"/>
  <c r="GJ247" i="4"/>
  <c r="HB247" i="4"/>
  <c r="Z250" i="4"/>
  <c r="FQ251" i="4"/>
  <c r="DT252" i="4"/>
  <c r="AY253" i="4"/>
  <c r="HO253" i="4"/>
  <c r="GP254" i="4"/>
  <c r="AR255" i="4"/>
  <c r="HH255" i="4"/>
  <c r="EY256" i="4"/>
  <c r="CP257" i="4"/>
  <c r="CC262" i="4"/>
  <c r="AF212" i="4"/>
  <c r="AR212" i="4"/>
  <c r="DN212" i="4"/>
  <c r="DZ212" i="4"/>
  <c r="GV212" i="4"/>
  <c r="HH212" i="4"/>
  <c r="BK213" i="4"/>
  <c r="BW213" i="4"/>
  <c r="DB213" i="4"/>
  <c r="FK213" i="4"/>
  <c r="GP213" i="4"/>
  <c r="HB213" i="4"/>
  <c r="BE214" i="4"/>
  <c r="CV214" i="4"/>
  <c r="GJ214" i="4"/>
  <c r="GV214" i="4"/>
  <c r="IA214" i="4"/>
  <c r="IS214" i="4"/>
  <c r="H215" i="4"/>
  <c r="AL215" i="4"/>
  <c r="CC215" i="4"/>
  <c r="CP215" i="4"/>
  <c r="EG215" i="4"/>
  <c r="ES215" i="4"/>
  <c r="FE215" i="4"/>
  <c r="GV215" i="4"/>
  <c r="HH215" i="4"/>
  <c r="Z217" i="4"/>
  <c r="BE217" i="4"/>
  <c r="CC217" i="4"/>
  <c r="DT217" i="4"/>
  <c r="EM217" i="4"/>
  <c r="DN218" i="4"/>
  <c r="FX218" i="4"/>
  <c r="HU218" i="4"/>
  <c r="IG218" i="4"/>
  <c r="N219" i="4"/>
  <c r="Z219" i="4"/>
  <c r="Z220" i="4"/>
  <c r="CI220" i="4"/>
  <c r="FQ220" i="4"/>
  <c r="HH220" i="4"/>
  <c r="BK221" i="4"/>
  <c r="BW221" i="4"/>
  <c r="DB221" i="4"/>
  <c r="FK221" i="4"/>
  <c r="IA221" i="4"/>
  <c r="IM221" i="4"/>
  <c r="BE222" i="4"/>
  <c r="CV222" i="4"/>
  <c r="GJ222" i="4"/>
  <c r="GV222" i="4"/>
  <c r="IA222" i="4"/>
  <c r="IS222" i="4"/>
  <c r="H223" i="4"/>
  <c r="AL223" i="4"/>
  <c r="CV223" i="4"/>
  <c r="EM223" i="4"/>
  <c r="IA223" i="4"/>
  <c r="IM223" i="4"/>
  <c r="CV224" i="4"/>
  <c r="DH224" i="4"/>
  <c r="Z225" i="4"/>
  <c r="CI225" i="4"/>
  <c r="HH225" i="4"/>
  <c r="IA225" i="4"/>
  <c r="CV226" i="4"/>
  <c r="ES226" i="4"/>
  <c r="FK226" i="4"/>
  <c r="T227" i="4"/>
  <c r="AF227" i="4"/>
  <c r="BK227" i="4"/>
  <c r="CC227" i="4"/>
  <c r="AL228" i="4"/>
  <c r="GD228" i="4"/>
  <c r="IM228" i="4"/>
  <c r="H229" i="4"/>
  <c r="BQ229" i="4"/>
  <c r="CI229" i="4"/>
  <c r="DN229" i="4"/>
  <c r="DZ229" i="4"/>
  <c r="FX229" i="4"/>
  <c r="IG229" i="4"/>
  <c r="IY229" i="4"/>
  <c r="EG230" i="4"/>
  <c r="GP230" i="4"/>
  <c r="HB230" i="4"/>
  <c r="DB231" i="4"/>
  <c r="EG231" i="4"/>
  <c r="ES231" i="4"/>
  <c r="IG231" i="4"/>
  <c r="BE232" i="4"/>
  <c r="DN232" i="4"/>
  <c r="FQ232" i="4"/>
  <c r="GP232" i="4"/>
  <c r="HB232" i="4"/>
  <c r="H233" i="4"/>
  <c r="T233" i="4"/>
  <c r="BE233" i="4"/>
  <c r="CP233" i="4"/>
  <c r="DB233" i="4"/>
  <c r="EM233" i="4"/>
  <c r="FX233" i="4"/>
  <c r="GJ233" i="4"/>
  <c r="HU233" i="4"/>
  <c r="AL234" i="4"/>
  <c r="EG234" i="4"/>
  <c r="FE234" i="4"/>
  <c r="FQ234" i="4"/>
  <c r="GJ234" i="4"/>
  <c r="HU234" i="4"/>
  <c r="IG234" i="4"/>
  <c r="BQ236" i="4"/>
  <c r="CC236" i="4"/>
  <c r="EG236" i="4"/>
  <c r="FX236" i="4"/>
  <c r="AF237" i="4"/>
  <c r="AR237" i="4"/>
  <c r="DN237" i="4"/>
  <c r="DZ237" i="4"/>
  <c r="GV237" i="4"/>
  <c r="HH237" i="4"/>
  <c r="N238" i="4"/>
  <c r="Z238" i="4"/>
  <c r="AR238" i="4"/>
  <c r="BW238" i="4"/>
  <c r="FK238" i="4"/>
  <c r="HO238" i="4"/>
  <c r="IA238" i="4"/>
  <c r="AL239" i="4"/>
  <c r="BK239" i="4"/>
  <c r="BW239" i="4"/>
  <c r="DT239" i="4"/>
  <c r="ES239" i="4"/>
  <c r="FE239" i="4"/>
  <c r="HB239" i="4"/>
  <c r="IA239" i="4"/>
  <c r="IM239" i="4"/>
  <c r="H240" i="4"/>
  <c r="BE240" i="4"/>
  <c r="DN240" i="4"/>
  <c r="FQ240" i="4"/>
  <c r="GP240" i="4"/>
  <c r="HB240" i="4"/>
  <c r="H241" i="4"/>
  <c r="T241" i="4"/>
  <c r="BE241" i="4"/>
  <c r="CP241" i="4"/>
  <c r="DB241" i="4"/>
  <c r="EM241" i="4"/>
  <c r="FX241" i="4"/>
  <c r="GJ241" i="4"/>
  <c r="HU241" i="4"/>
  <c r="AL242" i="4"/>
  <c r="EG242" i="4"/>
  <c r="FE242" i="4"/>
  <c r="FQ242" i="4"/>
  <c r="GJ242" i="4"/>
  <c r="HU242" i="4"/>
  <c r="IG242" i="4"/>
  <c r="HO243" i="4"/>
  <c r="IA243" i="4"/>
  <c r="CP244" i="4"/>
  <c r="DN244" i="4"/>
  <c r="ES244" i="4"/>
  <c r="FE244" i="4"/>
  <c r="GD244" i="4"/>
  <c r="GP244" i="4"/>
  <c r="IY244" i="4"/>
  <c r="Z246" i="4"/>
  <c r="AL246" i="4"/>
  <c r="BK246" i="4"/>
  <c r="EG246" i="4"/>
  <c r="HU246" i="4"/>
  <c r="IM246" i="4"/>
  <c r="IY246" i="4"/>
  <c r="Z247" i="4"/>
  <c r="BW247" i="4"/>
  <c r="CI247" i="4"/>
  <c r="DH247" i="4"/>
  <c r="FE247" i="4"/>
  <c r="FQ247" i="4"/>
  <c r="GP247" i="4"/>
  <c r="IM247" i="4"/>
  <c r="IY247" i="4"/>
  <c r="AF248" i="4"/>
  <c r="DT248" i="4"/>
  <c r="EG248" i="4"/>
  <c r="FE248" i="4"/>
  <c r="FX248" i="4"/>
  <c r="IA248" i="4"/>
  <c r="CI249" i="4"/>
  <c r="DT250" i="4"/>
  <c r="CI251" i="4"/>
  <c r="DZ255" i="4"/>
  <c r="H257" i="4"/>
  <c r="BE250" i="4"/>
  <c r="T251" i="4"/>
  <c r="GJ251" i="4"/>
  <c r="EY252" i="4"/>
  <c r="DB253" i="4"/>
  <c r="BW255" i="4"/>
  <c r="IM255" i="4"/>
  <c r="HB256" i="4"/>
  <c r="ES257" i="4"/>
  <c r="IA257" i="4"/>
  <c r="AR263" i="4"/>
  <c r="FQ249" i="4"/>
  <c r="IY249" i="4"/>
  <c r="N250" i="4"/>
  <c r="BW250" i="4"/>
  <c r="DZ250" i="4"/>
  <c r="EY250" i="4"/>
  <c r="FK250" i="4"/>
  <c r="AL251" i="4"/>
  <c r="DT251" i="4"/>
  <c r="HB251" i="4"/>
  <c r="H252" i="4"/>
  <c r="AF252" i="4"/>
  <c r="AR252" i="4"/>
  <c r="BK252" i="4"/>
  <c r="CV252" i="4"/>
  <c r="DH252" i="4"/>
  <c r="FQ252" i="4"/>
  <c r="HO252" i="4"/>
  <c r="IS252" i="4"/>
  <c r="H253" i="4"/>
  <c r="Z253" i="4"/>
  <c r="BE253" i="4"/>
  <c r="CC253" i="4"/>
  <c r="CP253" i="4"/>
  <c r="DH253" i="4"/>
  <c r="EM253" i="4"/>
  <c r="FK253" i="4"/>
  <c r="FX253" i="4"/>
  <c r="GP253" i="4"/>
  <c r="HU253" i="4"/>
  <c r="IS253" i="4"/>
  <c r="H254" i="4"/>
  <c r="AY254" i="4"/>
  <c r="EM254" i="4"/>
  <c r="FE254" i="4"/>
  <c r="FQ254" i="4"/>
  <c r="GD254" i="4"/>
  <c r="HH254" i="4"/>
  <c r="IG254" i="4"/>
  <c r="N255" i="4"/>
  <c r="Z255" i="4"/>
  <c r="BE255" i="4"/>
  <c r="CV255" i="4"/>
  <c r="DH255" i="4"/>
  <c r="EM255" i="4"/>
  <c r="GD255" i="4"/>
  <c r="GP255" i="4"/>
  <c r="HU255" i="4"/>
  <c r="Z256" i="4"/>
  <c r="CC256" i="4"/>
  <c r="EG256" i="4"/>
  <c r="FX256" i="4"/>
  <c r="GJ256" i="4"/>
  <c r="IA256" i="4"/>
  <c r="IM256" i="4"/>
  <c r="AR257" i="4"/>
  <c r="DZ257" i="4"/>
  <c r="HH257" i="4"/>
  <c r="N258" i="4"/>
  <c r="AR258" i="4"/>
  <c r="BQ258" i="4"/>
  <c r="DT258" i="4"/>
  <c r="FX258" i="4"/>
  <c r="HO258" i="4"/>
  <c r="IA258" i="4"/>
  <c r="AF259" i="4"/>
  <c r="BK259" i="4"/>
  <c r="DN259" i="4"/>
  <c r="ES259" i="4"/>
  <c r="GV259" i="4"/>
  <c r="IA259" i="4"/>
  <c r="H260" i="4"/>
  <c r="T260" i="4"/>
  <c r="BK260" i="4"/>
  <c r="BW260" i="4"/>
  <c r="DN260" i="4"/>
  <c r="DZ260" i="4"/>
  <c r="EM260" i="4"/>
  <c r="FQ260" i="4"/>
  <c r="GP260" i="4"/>
  <c r="IS260" i="4"/>
  <c r="Z261" i="4"/>
  <c r="AL261" i="4"/>
  <c r="AY261" i="4"/>
  <c r="CC261" i="4"/>
  <c r="DH261" i="4"/>
  <c r="DT261" i="4"/>
  <c r="EG261" i="4"/>
  <c r="FK261" i="4"/>
  <c r="GP261" i="4"/>
  <c r="HB261" i="4"/>
  <c r="HO261" i="4"/>
  <c r="IS261" i="4"/>
  <c r="H262" i="4"/>
  <c r="AY262" i="4"/>
  <c r="BK262" i="4"/>
  <c r="DB262" i="4"/>
  <c r="DN262" i="4"/>
  <c r="FE262" i="4"/>
  <c r="FQ262" i="4"/>
  <c r="GD262" i="4"/>
  <c r="HH262" i="4"/>
  <c r="IG262" i="4"/>
  <c r="N263" i="4"/>
  <c r="Z263" i="4"/>
  <c r="BE263" i="4"/>
  <c r="CV263" i="4"/>
  <c r="DH263" i="4"/>
  <c r="EM263" i="4"/>
  <c r="GP263" i="4"/>
  <c r="HU263" i="4"/>
  <c r="Z264" i="4"/>
  <c r="CC264" i="4"/>
  <c r="EG264" i="4"/>
  <c r="GJ264" i="4"/>
  <c r="IM264" i="4"/>
  <c r="AR265" i="4"/>
  <c r="DZ265" i="4"/>
  <c r="HH265" i="4"/>
  <c r="N266" i="4"/>
  <c r="BQ266" i="4"/>
  <c r="DT266" i="4"/>
  <c r="Z267" i="4"/>
  <c r="CC267" i="4"/>
  <c r="CP267" i="4"/>
  <c r="DB267" i="4"/>
  <c r="GP267" i="4"/>
  <c r="IS267" i="4"/>
  <c r="AY268" i="4"/>
  <c r="DB268" i="4"/>
  <c r="FE268" i="4"/>
  <c r="GD268" i="4"/>
  <c r="IM270" i="4"/>
  <c r="CI272" i="4"/>
  <c r="FX272" i="4"/>
  <c r="IA272" i="4"/>
  <c r="T274" i="4"/>
  <c r="Z275" i="4"/>
  <c r="H248" i="4"/>
  <c r="BK248" i="4"/>
  <c r="EM248" i="4"/>
  <c r="EY248" i="4"/>
  <c r="FQ248" i="4"/>
  <c r="GV248" i="4"/>
  <c r="Z249" i="4"/>
  <c r="AY249" i="4"/>
  <c r="DH249" i="4"/>
  <c r="EG249" i="4"/>
  <c r="GP249" i="4"/>
  <c r="HO249" i="4"/>
  <c r="DB250" i="4"/>
  <c r="DN250" i="4"/>
  <c r="EG250" i="4"/>
  <c r="ES250" i="4"/>
  <c r="FQ250" i="4"/>
  <c r="GD250" i="4"/>
  <c r="IM250" i="4"/>
  <c r="BQ251" i="4"/>
  <c r="CC251" i="4"/>
  <c r="EY251" i="4"/>
  <c r="FK251" i="4"/>
  <c r="IG251" i="4"/>
  <c r="IS251" i="4"/>
  <c r="AY252" i="4"/>
  <c r="CC252" i="4"/>
  <c r="FX252" i="4"/>
  <c r="GV252" i="4"/>
  <c r="HH252" i="4"/>
  <c r="IA252" i="4"/>
  <c r="N253" i="4"/>
  <c r="AR253" i="4"/>
  <c r="CV253" i="4"/>
  <c r="DZ253" i="4"/>
  <c r="GD253" i="4"/>
  <c r="HH253" i="4"/>
  <c r="T254" i="4"/>
  <c r="AR254" i="4"/>
  <c r="DH254" i="4"/>
  <c r="DT254" i="4"/>
  <c r="ES254" i="4"/>
  <c r="FX254" i="4"/>
  <c r="HO254" i="4"/>
  <c r="IA254" i="4"/>
  <c r="AF255" i="4"/>
  <c r="BK255" i="4"/>
  <c r="DN255" i="4"/>
  <c r="ES255" i="4"/>
  <c r="GV255" i="4"/>
  <c r="IA255" i="4"/>
  <c r="H256" i="4"/>
  <c r="T256" i="4"/>
  <c r="BK256" i="4"/>
  <c r="BW256" i="4"/>
  <c r="DN256" i="4"/>
  <c r="DZ256" i="4"/>
  <c r="EM256" i="4"/>
  <c r="FQ256" i="4"/>
  <c r="GP256" i="4"/>
  <c r="IS256" i="4"/>
  <c r="Z257" i="4"/>
  <c r="AL257" i="4"/>
  <c r="AY257" i="4"/>
  <c r="CC257" i="4"/>
  <c r="DH257" i="4"/>
  <c r="DT257" i="4"/>
  <c r="EG257" i="4"/>
  <c r="FK257" i="4"/>
  <c r="GP257" i="4"/>
  <c r="HB257" i="4"/>
  <c r="HO257" i="4"/>
  <c r="IS257" i="4"/>
  <c r="H258" i="4"/>
  <c r="AY258" i="4"/>
  <c r="BK258" i="4"/>
  <c r="DB258" i="4"/>
  <c r="DN258" i="4"/>
  <c r="FE258" i="4"/>
  <c r="FQ258" i="4"/>
  <c r="GD258" i="4"/>
  <c r="HH258" i="4"/>
  <c r="IG258" i="4"/>
  <c r="N259" i="4"/>
  <c r="Z259" i="4"/>
  <c r="BE259" i="4"/>
  <c r="CV259" i="4"/>
  <c r="DH259" i="4"/>
  <c r="EM259" i="4"/>
  <c r="GD259" i="4"/>
  <c r="GP259" i="4"/>
  <c r="HU259" i="4"/>
  <c r="Z260" i="4"/>
  <c r="CC260" i="4"/>
  <c r="EG260" i="4"/>
  <c r="FX260" i="4"/>
  <c r="GJ260" i="4"/>
  <c r="IA260" i="4"/>
  <c r="IM260" i="4"/>
  <c r="AR261" i="4"/>
  <c r="DZ261" i="4"/>
  <c r="HH261" i="4"/>
  <c r="N262" i="4"/>
  <c r="AR262" i="4"/>
  <c r="BQ262" i="4"/>
  <c r="DT262" i="4"/>
  <c r="FX262" i="4"/>
  <c r="HO262" i="4"/>
  <c r="IA262" i="4"/>
  <c r="AF263" i="4"/>
  <c r="BK263" i="4"/>
  <c r="DN263" i="4"/>
  <c r="GV263" i="4"/>
  <c r="IA263" i="4"/>
  <c r="H264" i="4"/>
  <c r="T264" i="4"/>
  <c r="BK264" i="4"/>
  <c r="BW264" i="4"/>
  <c r="DN264" i="4"/>
  <c r="DZ264" i="4"/>
  <c r="EM264" i="4"/>
  <c r="FQ264" i="4"/>
  <c r="GP264" i="4"/>
  <c r="IS264" i="4"/>
  <c r="Z265" i="4"/>
  <c r="AL265" i="4"/>
  <c r="AY265" i="4"/>
  <c r="CC265" i="4"/>
  <c r="DH265" i="4"/>
  <c r="DT265" i="4"/>
  <c r="EG265" i="4"/>
  <c r="FK265" i="4"/>
  <c r="GP265" i="4"/>
  <c r="HB265" i="4"/>
  <c r="HO265" i="4"/>
  <c r="IS265" i="4"/>
  <c r="H266" i="4"/>
  <c r="AY266" i="4"/>
  <c r="BK266" i="4"/>
  <c r="DB266" i="4"/>
  <c r="DN266" i="4"/>
  <c r="FE266" i="4"/>
  <c r="HB266" i="4"/>
  <c r="H267" i="4"/>
  <c r="T267" i="4"/>
  <c r="DH267" i="4"/>
  <c r="EY267" i="4"/>
  <c r="FK267" i="4"/>
  <c r="FX267" i="4"/>
  <c r="GJ267" i="4"/>
  <c r="IY268" i="4"/>
  <c r="BE269" i="4"/>
  <c r="EM269" i="4"/>
  <c r="HU269" i="4"/>
  <c r="EG270" i="4"/>
  <c r="GJ270" i="4"/>
  <c r="N271" i="4"/>
  <c r="CV271" i="4"/>
  <c r="GD271" i="4"/>
  <c r="AF272" i="4"/>
  <c r="FQ263" i="4"/>
  <c r="IY263" i="4"/>
  <c r="AR264" i="4"/>
  <c r="BE264" i="4"/>
  <c r="DH264" i="4"/>
  <c r="FK264" i="4"/>
  <c r="HO264" i="4"/>
  <c r="T265" i="4"/>
  <c r="BW265" i="4"/>
  <c r="DB265" i="4"/>
  <c r="FE265" i="4"/>
  <c r="GJ265" i="4"/>
  <c r="IM265" i="4"/>
  <c r="AF266" i="4"/>
  <c r="CI266" i="4"/>
  <c r="CV266" i="4"/>
  <c r="EY266" i="4"/>
  <c r="FK266" i="4"/>
  <c r="BE267" i="4"/>
  <c r="EG267" i="4"/>
  <c r="HU267" i="4"/>
  <c r="Z268" i="4"/>
  <c r="CC268" i="4"/>
  <c r="EG268" i="4"/>
  <c r="GV268" i="4"/>
  <c r="HH268" i="4"/>
  <c r="HU268" i="4"/>
  <c r="IG268" i="4"/>
  <c r="Z269" i="4"/>
  <c r="CC269" i="4"/>
  <c r="DH269" i="4"/>
  <c r="FK269" i="4"/>
  <c r="GP269" i="4"/>
  <c r="IS269" i="4"/>
  <c r="AY270" i="4"/>
  <c r="DB270" i="4"/>
  <c r="FE270" i="4"/>
  <c r="HH270" i="4"/>
  <c r="DT273" i="4"/>
  <c r="EG273" i="4"/>
  <c r="GJ273" i="4"/>
  <c r="GV273" i="4"/>
  <c r="BK274" i="4"/>
  <c r="EY274" i="4"/>
  <c r="FK274" i="4"/>
  <c r="GJ288" i="4"/>
  <c r="N289" i="4"/>
  <c r="Z289" i="4"/>
  <c r="HB289" i="4"/>
  <c r="H290" i="4"/>
  <c r="EM290" i="4"/>
  <c r="EY290" i="4"/>
  <c r="IY290" i="4"/>
  <c r="Z291" i="4"/>
  <c r="BW291" i="4"/>
  <c r="CI291" i="4"/>
  <c r="DH291" i="4"/>
  <c r="FE291" i="4"/>
  <c r="FQ291" i="4"/>
  <c r="GP291" i="4"/>
  <c r="IM291" i="4"/>
  <c r="IY291" i="4"/>
  <c r="DT292" i="4"/>
  <c r="EG292" i="4"/>
  <c r="FE292" i="4"/>
  <c r="GJ292" i="4"/>
  <c r="CI293" i="4"/>
  <c r="FQ293" i="4"/>
  <c r="IY293" i="4"/>
  <c r="N294" i="4"/>
  <c r="Z294" i="4"/>
  <c r="IG294" i="4"/>
  <c r="IS294" i="4"/>
  <c r="CI295" i="4"/>
  <c r="IY295" i="4"/>
  <c r="DZ296" i="4"/>
  <c r="HO296" i="4"/>
  <c r="IS296" i="4"/>
  <c r="H297" i="4"/>
  <c r="T297" i="4"/>
  <c r="DB278" i="4"/>
  <c r="DT279" i="4"/>
  <c r="HB279" i="4"/>
  <c r="CI280" i="4"/>
  <c r="FX280" i="4"/>
  <c r="GV280" i="4"/>
  <c r="IG282" i="4"/>
  <c r="N283" i="4"/>
  <c r="AL283" i="4"/>
  <c r="BQ283" i="4"/>
  <c r="CV283" i="4"/>
  <c r="DT283" i="4"/>
  <c r="EY283" i="4"/>
  <c r="GD283" i="4"/>
  <c r="HB283" i="4"/>
  <c r="IG283" i="4"/>
  <c r="GV284" i="4"/>
  <c r="HO286" i="4"/>
  <c r="H287" i="4"/>
  <c r="FE298" i="4"/>
  <c r="IY271" i="4"/>
  <c r="N272" i="4"/>
  <c r="DZ272" i="4"/>
  <c r="EM272" i="4"/>
  <c r="GP272" i="4"/>
  <c r="IS272" i="4"/>
  <c r="BW273" i="4"/>
  <c r="CI273" i="4"/>
  <c r="IM273" i="4"/>
  <c r="IY273" i="4"/>
  <c r="AR274" i="4"/>
  <c r="DN274" i="4"/>
  <c r="HB274" i="4"/>
  <c r="H275" i="4"/>
  <c r="T275" i="4"/>
  <c r="DH275" i="4"/>
  <c r="EY275" i="4"/>
  <c r="FK275" i="4"/>
  <c r="FX275" i="4"/>
  <c r="GJ275" i="4"/>
  <c r="AL277" i="4"/>
  <c r="DB277" i="4"/>
  <c r="DN277" i="4"/>
  <c r="HB277" i="4"/>
  <c r="T278" i="4"/>
  <c r="AF278" i="4"/>
  <c r="AR278" i="4"/>
  <c r="IS278" i="4"/>
  <c r="H279" i="4"/>
  <c r="CP279" i="4"/>
  <c r="DB279" i="4"/>
  <c r="IM279" i="4"/>
  <c r="BE280" i="4"/>
  <c r="BQ280" i="4"/>
  <c r="CC280" i="4"/>
  <c r="BK281" i="4"/>
  <c r="DZ281" i="4"/>
  <c r="FQ281" i="4"/>
  <c r="IG281" i="4"/>
  <c r="AL282" i="4"/>
  <c r="DB282" i="4"/>
  <c r="DN282" i="4"/>
  <c r="EM282" i="4"/>
  <c r="DN284" i="4"/>
  <c r="IS284" i="4"/>
  <c r="Z285" i="4"/>
  <c r="T286" i="4"/>
  <c r="AR286" i="4"/>
  <c r="EG286" i="4"/>
  <c r="IM286" i="4"/>
  <c r="DB287" i="4"/>
  <c r="FQ287" i="4"/>
  <c r="HH287" i="4"/>
  <c r="CC288" i="4"/>
  <c r="ES288" i="4"/>
  <c r="FE288" i="4"/>
  <c r="GD288" i="4"/>
  <c r="AF289" i="4"/>
  <c r="BW289" i="4"/>
  <c r="FE289" i="4"/>
  <c r="FQ289" i="4"/>
  <c r="GJ289" i="4"/>
  <c r="GJ290" i="4"/>
  <c r="HH290" i="4"/>
  <c r="IS290" i="4"/>
  <c r="AL291" i="4"/>
  <c r="DT291" i="4"/>
  <c r="HB291" i="4"/>
  <c r="BW294" i="4"/>
  <c r="GJ294" i="4"/>
  <c r="HO294" i="4"/>
  <c r="DT295" i="4"/>
  <c r="BK296" i="4"/>
  <c r="BE297" i="4"/>
  <c r="CC297" i="4"/>
  <c r="HU297" i="4"/>
  <c r="IS297" i="4"/>
  <c r="AY298" i="4"/>
  <c r="CI300" i="4"/>
  <c r="FX300" i="4"/>
  <c r="IA300" i="4"/>
  <c r="BE275" i="4"/>
  <c r="EG275" i="4"/>
  <c r="Z276" i="4"/>
  <c r="BQ276" i="4"/>
  <c r="CC276" i="4"/>
  <c r="DH276" i="4"/>
  <c r="EY276" i="4"/>
  <c r="FK276" i="4"/>
  <c r="GP276" i="4"/>
  <c r="IG276" i="4"/>
  <c r="IS276" i="4"/>
  <c r="BK277" i="4"/>
  <c r="BW277" i="4"/>
  <c r="CI277" i="4"/>
  <c r="IA277" i="4"/>
  <c r="IM277" i="4"/>
  <c r="IY277" i="4"/>
  <c r="FK278" i="4"/>
  <c r="FX278" i="4"/>
  <c r="IA278" i="4"/>
  <c r="AF279" i="4"/>
  <c r="AR279" i="4"/>
  <c r="EM279" i="4"/>
  <c r="N280" i="4"/>
  <c r="Z280" i="4"/>
  <c r="AL280" i="4"/>
  <c r="EY280" i="4"/>
  <c r="HO280" i="4"/>
  <c r="H281" i="4"/>
  <c r="T281" i="4"/>
  <c r="CI281" i="4"/>
  <c r="EY281" i="4"/>
  <c r="HB281" i="4"/>
  <c r="BK282" i="4"/>
  <c r="BW282" i="4"/>
  <c r="GV282" i="4"/>
  <c r="IY282" i="4"/>
  <c r="AF284" i="4"/>
  <c r="CV284" i="4"/>
  <c r="DH284" i="4"/>
  <c r="FK284" i="4"/>
  <c r="BQ285" i="4"/>
  <c r="DH285" i="4"/>
  <c r="GV285" i="4"/>
  <c r="HH285" i="4"/>
  <c r="IM285" i="4"/>
  <c r="IY285" i="4"/>
  <c r="N286" i="4"/>
  <c r="AY287" i="4"/>
  <c r="BK287" i="4"/>
  <c r="DZ287" i="4"/>
  <c r="GP287" i="4"/>
  <c r="IS287" i="4"/>
  <c r="AL288" i="4"/>
  <c r="DB288" i="4"/>
  <c r="DN288" i="4"/>
  <c r="IM288" i="4"/>
  <c r="DN289" i="4"/>
  <c r="DZ289" i="4"/>
  <c r="IG289" i="4"/>
  <c r="Z290" i="4"/>
  <c r="AL290" i="4"/>
  <c r="BK290" i="4"/>
  <c r="FQ290" i="4"/>
  <c r="GD290" i="4"/>
  <c r="BE292" i="4"/>
  <c r="BQ292" i="4"/>
  <c r="HB292" i="4"/>
  <c r="HO292" i="4"/>
  <c r="IM292" i="4"/>
  <c r="T293" i="4"/>
  <c r="AF293" i="4"/>
  <c r="DB293" i="4"/>
  <c r="DN293" i="4"/>
  <c r="GJ293" i="4"/>
  <c r="GV293" i="4"/>
  <c r="BE294" i="4"/>
  <c r="Z295" i="4"/>
  <c r="AY295" i="4"/>
  <c r="BK295" i="4"/>
  <c r="DB295" i="4"/>
  <c r="GP295" i="4"/>
  <c r="HO295" i="4"/>
  <c r="IA295" i="4"/>
  <c r="H296" i="4"/>
  <c r="AF296" i="4"/>
  <c r="BE296" i="4"/>
  <c r="CI296" i="4"/>
  <c r="FE296" i="4"/>
  <c r="GD296" i="4"/>
  <c r="GP296" i="4"/>
  <c r="Z297" i="4"/>
  <c r="AL297" i="4"/>
  <c r="AY297" i="4"/>
  <c r="GP297" i="4"/>
  <c r="HU298" i="4"/>
  <c r="IG298" i="4"/>
  <c r="AF300" i="4"/>
  <c r="GJ266" i="4"/>
  <c r="GV266" i="4"/>
  <c r="IM266" i="4"/>
  <c r="IY266" i="4"/>
  <c r="CI267" i="4"/>
  <c r="FQ267" i="4"/>
  <c r="IY267" i="4"/>
  <c r="AF268" i="4"/>
  <c r="AR268" i="4"/>
  <c r="BE268" i="4"/>
  <c r="CI268" i="4"/>
  <c r="DH268" i="4"/>
  <c r="FK268" i="4"/>
  <c r="HO268" i="4"/>
  <c r="T269" i="4"/>
  <c r="BW269" i="4"/>
  <c r="DB269" i="4"/>
  <c r="FE269" i="4"/>
  <c r="GJ269" i="4"/>
  <c r="IM269" i="4"/>
  <c r="T270" i="4"/>
  <c r="AF270" i="4"/>
  <c r="BW270" i="4"/>
  <c r="CI270" i="4"/>
  <c r="CV270" i="4"/>
  <c r="DZ270" i="4"/>
  <c r="EY270" i="4"/>
  <c r="HB270" i="4"/>
  <c r="H271" i="4"/>
  <c r="AL271" i="4"/>
  <c r="BQ271" i="4"/>
  <c r="CC271" i="4"/>
  <c r="CP271" i="4"/>
  <c r="DT271" i="4"/>
  <c r="EY271" i="4"/>
  <c r="FK271" i="4"/>
  <c r="FX271" i="4"/>
  <c r="HB271" i="4"/>
  <c r="IG271" i="4"/>
  <c r="IS271" i="4"/>
  <c r="AY272" i="4"/>
  <c r="CP272" i="4"/>
  <c r="DB272" i="4"/>
  <c r="ES272" i="4"/>
  <c r="FE272" i="4"/>
  <c r="GV272" i="4"/>
  <c r="HH272" i="4"/>
  <c r="HU272" i="4"/>
  <c r="IY272" i="4"/>
  <c r="N273" i="4"/>
  <c r="BE273" i="4"/>
  <c r="BQ273" i="4"/>
  <c r="CV273" i="4"/>
  <c r="EM273" i="4"/>
  <c r="EY273" i="4"/>
  <c r="GD273" i="4"/>
  <c r="HU273" i="4"/>
  <c r="IG273" i="4"/>
  <c r="AL274" i="4"/>
  <c r="CP274" i="4"/>
  <c r="EG274" i="4"/>
  <c r="ES274" i="4"/>
  <c r="GJ274" i="4"/>
  <c r="GV274" i="4"/>
  <c r="IM274" i="4"/>
  <c r="IY274" i="4"/>
  <c r="CI275" i="4"/>
  <c r="FQ275" i="4"/>
  <c r="GV275" i="4"/>
  <c r="HH275" i="4"/>
  <c r="HU275" i="4"/>
  <c r="AF276" i="4"/>
  <c r="BK276" i="4"/>
  <c r="CI276" i="4"/>
  <c r="DN276" i="4"/>
  <c r="ES276" i="4"/>
  <c r="FQ276" i="4"/>
  <c r="GV276" i="4"/>
  <c r="HH276" i="4"/>
  <c r="IA276" i="4"/>
  <c r="IY276" i="4"/>
  <c r="N277" i="4"/>
  <c r="AR277" i="4"/>
  <c r="CV277" i="4"/>
  <c r="DZ277" i="4"/>
  <c r="GD277" i="4"/>
  <c r="HH277" i="4"/>
  <c r="BE278" i="4"/>
  <c r="BW278" i="4"/>
  <c r="EM278" i="4"/>
  <c r="FE278" i="4"/>
  <c r="HU278" i="4"/>
  <c r="IM278" i="4"/>
  <c r="N279" i="4"/>
  <c r="Z279" i="4"/>
  <c r="BE279" i="4"/>
  <c r="ES279" i="4"/>
  <c r="FE279" i="4"/>
  <c r="GV279" i="4"/>
  <c r="BW280" i="4"/>
  <c r="CP280" i="4"/>
  <c r="DN280" i="4"/>
  <c r="DZ280" i="4"/>
  <c r="GD280" i="4"/>
  <c r="GP280" i="4"/>
  <c r="HU280" i="4"/>
  <c r="IG280" i="4"/>
  <c r="IY280" i="4"/>
  <c r="Z281" i="4"/>
  <c r="AL281" i="4"/>
  <c r="CP281" i="4"/>
  <c r="DB281" i="4"/>
  <c r="EG281" i="4"/>
  <c r="ES281" i="4"/>
  <c r="FK281" i="4"/>
  <c r="HH281" i="4"/>
  <c r="IY281" i="4"/>
  <c r="N282" i="4"/>
  <c r="AR282" i="4"/>
  <c r="DT282" i="4"/>
  <c r="EY282" i="4"/>
  <c r="FK282" i="4"/>
  <c r="HO282" i="4"/>
  <c r="IA282" i="4"/>
  <c r="T283" i="4"/>
  <c r="AF283" i="4"/>
  <c r="BK283" i="4"/>
  <c r="DB283" i="4"/>
  <c r="DN283" i="4"/>
  <c r="ES283" i="4"/>
  <c r="GJ283" i="4"/>
  <c r="GV283" i="4"/>
  <c r="IA283" i="4"/>
  <c r="T284" i="4"/>
  <c r="BK284" i="4"/>
  <c r="BW284" i="4"/>
  <c r="DB284" i="4"/>
  <c r="ES284" i="4"/>
  <c r="FE284" i="4"/>
  <c r="GJ284" i="4"/>
  <c r="IA284" i="4"/>
  <c r="IM284" i="4"/>
  <c r="AF285" i="4"/>
  <c r="AR285" i="4"/>
  <c r="BW285" i="4"/>
  <c r="CI285" i="4"/>
  <c r="CV285" i="4"/>
  <c r="EM285" i="4"/>
  <c r="EY285" i="4"/>
  <c r="HO285" i="4"/>
  <c r="H286" i="4"/>
  <c r="AY286" i="4"/>
  <c r="BK286" i="4"/>
  <c r="FE286" i="4"/>
  <c r="FQ286" i="4"/>
  <c r="GJ286" i="4"/>
  <c r="HH286" i="4"/>
  <c r="IG286" i="4"/>
  <c r="Z287" i="4"/>
  <c r="BQ287" i="4"/>
  <c r="CC287" i="4"/>
  <c r="EG287" i="4"/>
  <c r="ES287" i="4"/>
  <c r="FX287" i="4"/>
  <c r="GJ287" i="4"/>
  <c r="HB287" i="4"/>
  <c r="IY287" i="4"/>
  <c r="AR288" i="4"/>
  <c r="BE288" i="4"/>
  <c r="CI288" i="4"/>
  <c r="FK288" i="4"/>
  <c r="GP288" i="4"/>
  <c r="HB288" i="4"/>
  <c r="AY289" i="4"/>
  <c r="CC289" i="4"/>
  <c r="DT289" i="4"/>
  <c r="EM289" i="4"/>
  <c r="EY289" i="4"/>
  <c r="GD289" i="4"/>
  <c r="T290" i="4"/>
  <c r="AR290" i="4"/>
  <c r="DH290" i="4"/>
  <c r="DT290" i="4"/>
  <c r="ES290" i="4"/>
  <c r="HO290" i="4"/>
  <c r="BQ291" i="4"/>
  <c r="EY291" i="4"/>
  <c r="IG291" i="4"/>
  <c r="H292" i="4"/>
  <c r="T292" i="4"/>
  <c r="BK292" i="4"/>
  <c r="EM292" i="4"/>
  <c r="EY292" i="4"/>
  <c r="FQ292" i="4"/>
  <c r="GV292" i="4"/>
  <c r="Z293" i="4"/>
  <c r="AY293" i="4"/>
  <c r="DH293" i="4"/>
  <c r="EG293" i="4"/>
  <c r="GP293" i="4"/>
  <c r="HO293" i="4"/>
  <c r="DB294" i="4"/>
  <c r="EG294" i="4"/>
  <c r="ES294" i="4"/>
  <c r="FQ294" i="4"/>
  <c r="GD294" i="4"/>
  <c r="IM294" i="4"/>
  <c r="BQ295" i="4"/>
  <c r="EY295" i="4"/>
  <c r="IG295" i="4"/>
  <c r="AY296" i="4"/>
  <c r="CC296" i="4"/>
  <c r="FX296" i="4"/>
  <c r="GV296" i="4"/>
  <c r="HH296" i="4"/>
  <c r="IA296" i="4"/>
  <c r="IM296" i="4"/>
  <c r="N297" i="4"/>
  <c r="AR297" i="4"/>
  <c r="CV297" i="4"/>
  <c r="DZ297" i="4"/>
  <c r="GD297" i="4"/>
  <c r="HH297" i="4"/>
  <c r="DH298" i="4"/>
  <c r="DT298" i="4"/>
  <c r="ES298" i="4"/>
  <c r="IM298" i="4"/>
  <c r="IY298" i="4"/>
  <c r="Z299" i="4"/>
  <c r="BW299" i="4"/>
  <c r="CI299" i="4"/>
  <c r="FQ299" i="4"/>
  <c r="IY299" i="4"/>
  <c r="N300" i="4"/>
  <c r="DZ300" i="4"/>
  <c r="EM300" i="4"/>
  <c r="GP300" i="4"/>
  <c r="IS300" i="4"/>
  <c r="FE297" i="4"/>
  <c r="IA297" i="4"/>
  <c r="IM297" i="4"/>
  <c r="BE298" i="4"/>
  <c r="BW298" i="4"/>
  <c r="CI298" i="4"/>
  <c r="DB298" i="4"/>
  <c r="DZ298" i="4"/>
  <c r="GP298" i="4"/>
  <c r="HB298" i="4"/>
  <c r="IA298" i="4"/>
  <c r="H299" i="4"/>
  <c r="T299" i="4"/>
  <c r="AL299" i="4"/>
  <c r="CP299" i="4"/>
  <c r="DT299" i="4"/>
  <c r="EY299" i="4"/>
  <c r="FK299" i="4"/>
  <c r="FX299" i="4"/>
  <c r="HB299" i="4"/>
  <c r="IG299" i="4"/>
  <c r="IS299" i="4"/>
  <c r="AY300" i="4"/>
  <c r="CP300" i="4"/>
  <c r="DB300" i="4"/>
  <c r="ES300" i="4"/>
  <c r="FE300" i="4"/>
  <c r="GV300" i="4"/>
  <c r="HH300" i="4"/>
  <c r="HU300" i="4"/>
  <c r="IY300" i="4"/>
  <c r="N14" i="4"/>
  <c r="EY29" i="4"/>
  <c r="IG29" i="4"/>
  <c r="CI30" i="4"/>
  <c r="FQ30" i="4"/>
  <c r="IY30" i="4"/>
  <c r="T32" i="4"/>
  <c r="DB32" i="4"/>
  <c r="H34" i="4"/>
  <c r="BK34" i="4"/>
  <c r="CP34" i="4"/>
  <c r="ES34" i="4"/>
  <c r="FX34" i="4"/>
  <c r="IA34" i="4"/>
  <c r="Z35" i="4"/>
  <c r="DH35" i="4"/>
  <c r="GP35" i="4"/>
  <c r="BQ37" i="4"/>
  <c r="EY37" i="4"/>
  <c r="IG37" i="4"/>
  <c r="CI38" i="4"/>
  <c r="DN38" i="4"/>
  <c r="FQ38" i="4"/>
  <c r="GV38" i="4"/>
  <c r="IY38" i="4"/>
  <c r="CC39" i="4"/>
  <c r="GP39" i="4"/>
  <c r="HU39" i="4"/>
  <c r="T40" i="4"/>
  <c r="AY40" i="4"/>
  <c r="DB40" i="4"/>
  <c r="EG40" i="4"/>
  <c r="GJ40" i="4"/>
  <c r="HO40" i="4"/>
  <c r="N41" i="4"/>
  <c r="HB41" i="4"/>
  <c r="FK43" i="4"/>
  <c r="BQ45" i="4"/>
  <c r="CV45" i="4"/>
  <c r="H46" i="4"/>
  <c r="BK46" i="4"/>
  <c r="CP46" i="4"/>
  <c r="ES46" i="4"/>
  <c r="FX46" i="4"/>
  <c r="IA46" i="4"/>
  <c r="Z47" i="4"/>
  <c r="BE47" i="4"/>
  <c r="IS47" i="4"/>
  <c r="BW48" i="4"/>
  <c r="DZ48" i="4"/>
  <c r="FE48" i="4"/>
  <c r="HH48" i="4"/>
  <c r="IM48" i="4"/>
  <c r="EY49" i="4"/>
  <c r="GD49" i="4"/>
  <c r="DH51" i="4"/>
  <c r="EM51" i="4"/>
  <c r="DT53" i="4"/>
  <c r="IG53" i="4"/>
  <c r="AF54" i="4"/>
  <c r="CI54" i="4"/>
  <c r="DN54" i="4"/>
  <c r="FQ54" i="4"/>
  <c r="GV54" i="4"/>
  <c r="IY54" i="4"/>
  <c r="CC55" i="4"/>
  <c r="GP55" i="4"/>
  <c r="HU55" i="4"/>
  <c r="T56" i="4"/>
  <c r="GP56" i="4"/>
  <c r="IA50" i="4"/>
  <c r="Z51" i="4"/>
  <c r="BE51" i="4"/>
  <c r="IS51" i="4"/>
  <c r="BW52" i="4"/>
  <c r="DZ52" i="4"/>
  <c r="FE52" i="4"/>
  <c r="HH52" i="4"/>
  <c r="IM52" i="4"/>
  <c r="AL53" i="4"/>
  <c r="EY53" i="4"/>
  <c r="GD53" i="4"/>
  <c r="HB29" i="4"/>
  <c r="DN30" i="4"/>
  <c r="GV30" i="4"/>
  <c r="BE31" i="4"/>
  <c r="EM31" i="4"/>
  <c r="HU31" i="4"/>
  <c r="AY32" i="4"/>
  <c r="EG32" i="4"/>
  <c r="BQ33" i="4"/>
  <c r="EY33" i="4"/>
  <c r="IG33" i="4"/>
  <c r="CI34" i="4"/>
  <c r="DN34" i="4"/>
  <c r="FQ34" i="4"/>
  <c r="GV34" i="4"/>
  <c r="IY34" i="4"/>
  <c r="H38" i="4"/>
  <c r="BK38" i="4"/>
  <c r="CP38" i="4"/>
  <c r="ES38" i="4"/>
  <c r="FX38" i="4"/>
  <c r="IA38" i="4"/>
  <c r="Z39" i="4"/>
  <c r="BE39" i="4"/>
  <c r="IS39" i="4"/>
  <c r="BW40" i="4"/>
  <c r="DZ40" i="4"/>
  <c r="FE40" i="4"/>
  <c r="HH40" i="4"/>
  <c r="IM40" i="4"/>
  <c r="EY41" i="4"/>
  <c r="GD41" i="4"/>
  <c r="DH43" i="4"/>
  <c r="EM43" i="4"/>
  <c r="DT45" i="4"/>
  <c r="IG45" i="4"/>
  <c r="CI46" i="4"/>
  <c r="DN46" i="4"/>
  <c r="FQ46" i="4"/>
  <c r="GV46" i="4"/>
  <c r="IY46" i="4"/>
  <c r="CC47" i="4"/>
  <c r="GP47" i="4"/>
  <c r="HU47" i="4"/>
  <c r="T48" i="4"/>
  <c r="AY48" i="4"/>
  <c r="DB48" i="4"/>
  <c r="EG48" i="4"/>
  <c r="GJ48" i="4"/>
  <c r="HO48" i="4"/>
  <c r="N49" i="4"/>
  <c r="HB49" i="4"/>
  <c r="FK51" i="4"/>
  <c r="BQ53" i="4"/>
  <c r="CV53" i="4"/>
  <c r="H54" i="4"/>
  <c r="BK54" i="4"/>
  <c r="CP54" i="4"/>
  <c r="ES54" i="4"/>
  <c r="FX54" i="4"/>
  <c r="IA54" i="4"/>
  <c r="Z55" i="4"/>
  <c r="BE55" i="4"/>
  <c r="IS55" i="4"/>
  <c r="DB57" i="4"/>
  <c r="CV58" i="4"/>
  <c r="DB56" i="4"/>
  <c r="GJ56" i="4"/>
  <c r="N57" i="4"/>
  <c r="CV57" i="4"/>
  <c r="GD57" i="4"/>
  <c r="H58" i="4"/>
  <c r="CP58" i="4"/>
  <c r="FX58" i="4"/>
  <c r="Z59" i="4"/>
  <c r="DH59" i="4"/>
  <c r="GP59" i="4"/>
  <c r="DZ60" i="4"/>
  <c r="BQ61" i="4"/>
  <c r="EY61" i="4"/>
  <c r="IG61" i="4"/>
  <c r="CI62" i="4"/>
  <c r="DN62" i="4"/>
  <c r="FQ62" i="4"/>
  <c r="GV62" i="4"/>
  <c r="IY62" i="4"/>
  <c r="H66" i="4"/>
  <c r="BK66" i="4"/>
  <c r="CP66" i="4"/>
  <c r="ES66" i="4"/>
  <c r="FX66" i="4"/>
  <c r="IA66" i="4"/>
  <c r="Z67" i="4"/>
  <c r="DH67" i="4"/>
  <c r="GP67" i="4"/>
  <c r="BQ69" i="4"/>
  <c r="EY69" i="4"/>
  <c r="IG69" i="4"/>
  <c r="CI70" i="4"/>
  <c r="DN70" i="4"/>
  <c r="FQ70" i="4"/>
  <c r="GV70" i="4"/>
  <c r="IY70" i="4"/>
  <c r="DT73" i="4"/>
  <c r="IG73" i="4"/>
  <c r="CI74" i="4"/>
  <c r="DN74" i="4"/>
  <c r="FQ74" i="4"/>
  <c r="GV74" i="4"/>
  <c r="IY74" i="4"/>
  <c r="CC75" i="4"/>
  <c r="GP75" i="4"/>
  <c r="HU75" i="4"/>
  <c r="T76" i="4"/>
  <c r="AY76" i="4"/>
  <c r="DB76" i="4"/>
  <c r="EG76" i="4"/>
  <c r="GJ76" i="4"/>
  <c r="HO76" i="4"/>
  <c r="N77" i="4"/>
  <c r="HB77" i="4"/>
  <c r="FK79" i="4"/>
  <c r="BQ81" i="4"/>
  <c r="CV81" i="4"/>
  <c r="H82" i="4"/>
  <c r="BK82" i="4"/>
  <c r="CP82" i="4"/>
  <c r="ES82" i="4"/>
  <c r="FX82" i="4"/>
  <c r="IA82" i="4"/>
  <c r="Z83" i="4"/>
  <c r="BE83" i="4"/>
  <c r="IS83" i="4"/>
  <c r="BW84" i="4"/>
  <c r="DZ84" i="4"/>
  <c r="FE84" i="4"/>
  <c r="HH84" i="4"/>
  <c r="IM84" i="4"/>
  <c r="EY85" i="4"/>
  <c r="GD85" i="4"/>
  <c r="DH87" i="4"/>
  <c r="EM87" i="4"/>
  <c r="DT89" i="4"/>
  <c r="IG89" i="4"/>
  <c r="CI90" i="4"/>
  <c r="DN90" i="4"/>
  <c r="FQ90" i="4"/>
  <c r="GV90" i="4"/>
  <c r="IY90" i="4"/>
  <c r="CC91" i="4"/>
  <c r="GP91" i="4"/>
  <c r="HU91" i="4"/>
  <c r="T92" i="4"/>
  <c r="AY92" i="4"/>
  <c r="DB92" i="4"/>
  <c r="EG92" i="4"/>
  <c r="GJ92" i="4"/>
  <c r="HO92" i="4"/>
  <c r="N93" i="4"/>
  <c r="HB93" i="4"/>
  <c r="FK95" i="4"/>
  <c r="BQ97" i="4"/>
  <c r="CV97" i="4"/>
  <c r="H98" i="4"/>
  <c r="BK98" i="4"/>
  <c r="CP98" i="4"/>
  <c r="ES98" i="4"/>
  <c r="FX98" i="4"/>
  <c r="IA98" i="4"/>
  <c r="Z99" i="4"/>
  <c r="BE99" i="4"/>
  <c r="IS99" i="4"/>
  <c r="AR100" i="4"/>
  <c r="BW100" i="4"/>
  <c r="DZ100" i="4"/>
  <c r="FE100" i="4"/>
  <c r="HH100" i="4"/>
  <c r="IM100" i="4"/>
  <c r="AL101" i="4"/>
  <c r="EY101" i="4"/>
  <c r="GD101" i="4"/>
  <c r="DH103" i="4"/>
  <c r="EM103" i="4"/>
  <c r="DT105" i="4"/>
  <c r="IG105" i="4"/>
  <c r="AF106" i="4"/>
  <c r="CI106" i="4"/>
  <c r="DN106" i="4"/>
  <c r="FQ106" i="4"/>
  <c r="GV106" i="4"/>
  <c r="IY106" i="4"/>
  <c r="CC107" i="4"/>
  <c r="GP107" i="4"/>
  <c r="HU107" i="4"/>
  <c r="T108" i="4"/>
  <c r="AY108" i="4"/>
  <c r="DB108" i="4"/>
  <c r="EG108" i="4"/>
  <c r="GJ108" i="4"/>
  <c r="HO108" i="4"/>
  <c r="N109" i="4"/>
  <c r="HB109" i="4"/>
  <c r="FK111" i="4"/>
  <c r="BQ113" i="4"/>
  <c r="CV113" i="4"/>
  <c r="H114" i="4"/>
  <c r="BK114" i="4"/>
  <c r="CP114" i="4"/>
  <c r="ES114" i="4"/>
  <c r="BW56" i="4"/>
  <c r="FE56" i="4"/>
  <c r="IM56" i="4"/>
  <c r="BQ57" i="4"/>
  <c r="EY57" i="4"/>
  <c r="IG57" i="4"/>
  <c r="CI58" i="4"/>
  <c r="FQ58" i="4"/>
  <c r="AY56" i="4"/>
  <c r="EG56" i="4"/>
  <c r="HO56" i="4"/>
  <c r="BK58" i="4"/>
  <c r="ES58" i="4"/>
  <c r="IA58" i="4"/>
  <c r="CC59" i="4"/>
  <c r="FK59" i="4"/>
  <c r="IS59" i="4"/>
  <c r="BW60" i="4"/>
  <c r="FE60" i="4"/>
  <c r="H62" i="4"/>
  <c r="BK62" i="4"/>
  <c r="CP62" i="4"/>
  <c r="ES62" i="4"/>
  <c r="FX62" i="4"/>
  <c r="IA62" i="4"/>
  <c r="Z63" i="4"/>
  <c r="DH63" i="4"/>
  <c r="GP63" i="4"/>
  <c r="BQ65" i="4"/>
  <c r="EY65" i="4"/>
  <c r="IG65" i="4"/>
  <c r="CI66" i="4"/>
  <c r="DN66" i="4"/>
  <c r="FQ66" i="4"/>
  <c r="GV66" i="4"/>
  <c r="IY66" i="4"/>
  <c r="H70" i="4"/>
  <c r="BK70" i="4"/>
  <c r="CP70" i="4"/>
  <c r="ES70" i="4"/>
  <c r="FX70" i="4"/>
  <c r="IA70" i="4"/>
  <c r="Z71" i="4"/>
  <c r="DH71" i="4"/>
  <c r="GP71" i="4"/>
  <c r="BQ73" i="4"/>
  <c r="CV73" i="4"/>
  <c r="H74" i="4"/>
  <c r="BK74" i="4"/>
  <c r="CP74" i="4"/>
  <c r="ES74" i="4"/>
  <c r="FX74" i="4"/>
  <c r="IA74" i="4"/>
  <c r="Z75" i="4"/>
  <c r="BE75" i="4"/>
  <c r="IS75" i="4"/>
  <c r="BW76" i="4"/>
  <c r="DZ76" i="4"/>
  <c r="FE76" i="4"/>
  <c r="HH76" i="4"/>
  <c r="IM76" i="4"/>
  <c r="EY77" i="4"/>
  <c r="GD77" i="4"/>
  <c r="DH79" i="4"/>
  <c r="EM79" i="4"/>
  <c r="DT81" i="4"/>
  <c r="IG81" i="4"/>
  <c r="CI82" i="4"/>
  <c r="DN82" i="4"/>
  <c r="FQ82" i="4"/>
  <c r="GV82" i="4"/>
  <c r="IY82" i="4"/>
  <c r="CC83" i="4"/>
  <c r="GP83" i="4"/>
  <c r="HU83" i="4"/>
  <c r="T84" i="4"/>
  <c r="AY84" i="4"/>
  <c r="DB84" i="4"/>
  <c r="EG84" i="4"/>
  <c r="GJ84" i="4"/>
  <c r="HO84" i="4"/>
  <c r="N85" i="4"/>
  <c r="HB85" i="4"/>
  <c r="FK87" i="4"/>
  <c r="BQ89" i="4"/>
  <c r="CV89" i="4"/>
  <c r="H90" i="4"/>
  <c r="BK90" i="4"/>
  <c r="CP90" i="4"/>
  <c r="ES90" i="4"/>
  <c r="FX90" i="4"/>
  <c r="IA90" i="4"/>
  <c r="Z91" i="4"/>
  <c r="BE91" i="4"/>
  <c r="IS91" i="4"/>
  <c r="AR92" i="4"/>
  <c r="BW92" i="4"/>
  <c r="DZ92" i="4"/>
  <c r="FE92" i="4"/>
  <c r="HH92" i="4"/>
  <c r="IM92" i="4"/>
  <c r="EY93" i="4"/>
  <c r="GD93" i="4"/>
  <c r="DH95" i="4"/>
  <c r="EM95" i="4"/>
  <c r="DT97" i="4"/>
  <c r="IG97" i="4"/>
  <c r="AF98" i="4"/>
  <c r="CI98" i="4"/>
  <c r="DN98" i="4"/>
  <c r="FQ98" i="4"/>
  <c r="GV98" i="4"/>
  <c r="IY98" i="4"/>
  <c r="CC99" i="4"/>
  <c r="GP99" i="4"/>
  <c r="HU99" i="4"/>
  <c r="T100" i="4"/>
  <c r="AY100" i="4"/>
  <c r="DB100" i="4"/>
  <c r="EG100" i="4"/>
  <c r="GJ100" i="4"/>
  <c r="HO100" i="4"/>
  <c r="N101" i="4"/>
  <c r="HB101" i="4"/>
  <c r="FK103" i="4"/>
  <c r="BQ105" i="4"/>
  <c r="CV105" i="4"/>
  <c r="H106" i="4"/>
  <c r="BK106" i="4"/>
  <c r="CP106" i="4"/>
  <c r="ES106" i="4"/>
  <c r="FX106" i="4"/>
  <c r="IA106" i="4"/>
  <c r="Z107" i="4"/>
  <c r="BE107" i="4"/>
  <c r="IS107" i="4"/>
  <c r="AR108" i="4"/>
  <c r="BW108" i="4"/>
  <c r="DZ108" i="4"/>
  <c r="FE108" i="4"/>
  <c r="HH108" i="4"/>
  <c r="IM108" i="4"/>
  <c r="AL109" i="4"/>
  <c r="EY109" i="4"/>
  <c r="GD109" i="4"/>
  <c r="DH111" i="4"/>
  <c r="EM111" i="4"/>
  <c r="DT113" i="4"/>
  <c r="IG113" i="4"/>
  <c r="AF114" i="4"/>
  <c r="CI114" i="4"/>
  <c r="DN114" i="4"/>
  <c r="AR161" i="4"/>
  <c r="DZ161" i="4"/>
  <c r="HH161" i="4"/>
  <c r="AL162" i="4"/>
  <c r="DT162" i="4"/>
  <c r="HB162" i="4"/>
  <c r="AF163" i="4"/>
  <c r="DN163" i="4"/>
  <c r="GV163" i="4"/>
  <c r="CC165" i="4"/>
  <c r="FK165" i="4"/>
  <c r="IS165" i="4"/>
  <c r="AR166" i="4"/>
  <c r="BW166" i="4"/>
  <c r="DZ166" i="4"/>
  <c r="FE166" i="4"/>
  <c r="HH166" i="4"/>
  <c r="IM166" i="4"/>
  <c r="AL167" i="4"/>
  <c r="DT167" i="4"/>
  <c r="HB167" i="4"/>
  <c r="BW161" i="4"/>
  <c r="FE161" i="4"/>
  <c r="IM161" i="4"/>
  <c r="BQ162" i="4"/>
  <c r="EY162" i="4"/>
  <c r="IG162" i="4"/>
  <c r="CI163" i="4"/>
  <c r="FQ163" i="4"/>
  <c r="IY163" i="4"/>
  <c r="BE165" i="4"/>
  <c r="EM165" i="4"/>
  <c r="HU165" i="4"/>
  <c r="T166" i="4"/>
  <c r="AY166" i="4"/>
  <c r="DB166" i="4"/>
  <c r="EG166" i="4"/>
  <c r="GJ166" i="4"/>
  <c r="HO166" i="4"/>
  <c r="N167" i="4"/>
  <c r="CV167" i="4"/>
  <c r="GD167" i="4"/>
  <c r="IS207" i="4"/>
  <c r="BW208" i="4"/>
  <c r="FE208" i="4"/>
  <c r="IM208" i="4"/>
  <c r="BQ209" i="4"/>
  <c r="EY209" i="4"/>
  <c r="IG209" i="4"/>
  <c r="CI210" i="4"/>
  <c r="FQ210" i="4"/>
  <c r="IY210" i="4"/>
  <c r="T212" i="4"/>
  <c r="DB212" i="4"/>
  <c r="GJ212" i="4"/>
  <c r="N213" i="4"/>
  <c r="CV213" i="4"/>
  <c r="GD213" i="4"/>
  <c r="H214" i="4"/>
  <c r="CP214" i="4"/>
  <c r="FX214" i="4"/>
  <c r="Z215" i="4"/>
  <c r="CI215" i="4"/>
  <c r="EM215" i="4"/>
  <c r="FQ215" i="4"/>
  <c r="HU215" i="4"/>
  <c r="IY215" i="4"/>
  <c r="AL217" i="4"/>
  <c r="HB217" i="4"/>
  <c r="BK218" i="4"/>
  <c r="BE219" i="4"/>
  <c r="DH220" i="4"/>
  <c r="T221" i="4"/>
  <c r="BK222" i="4"/>
  <c r="GD222" i="4"/>
  <c r="DT226" i="4"/>
  <c r="HU228" i="4"/>
  <c r="AY229" i="4"/>
  <c r="HO229" i="4"/>
  <c r="CI231" i="4"/>
  <c r="AY208" i="4"/>
  <c r="EG208" i="4"/>
  <c r="HO208" i="4"/>
  <c r="BK210" i="4"/>
  <c r="ES210" i="4"/>
  <c r="IA210" i="4"/>
  <c r="CC211" i="4"/>
  <c r="FK211" i="4"/>
  <c r="IS211" i="4"/>
  <c r="BW212" i="4"/>
  <c r="FE212" i="4"/>
  <c r="IM212" i="4"/>
  <c r="BQ213" i="4"/>
  <c r="EY213" i="4"/>
  <c r="IG213" i="4"/>
  <c r="CI214" i="4"/>
  <c r="FQ214" i="4"/>
  <c r="IY214" i="4"/>
  <c r="AY216" i="4"/>
  <c r="CC216" i="4"/>
  <c r="EG216" i="4"/>
  <c r="FK216" i="4"/>
  <c r="HO216" i="4"/>
  <c r="IS216" i="4"/>
  <c r="FE217" i="4"/>
  <c r="FX219" i="4"/>
  <c r="AY220" i="4"/>
  <c r="GP220" i="4"/>
  <c r="ES222" i="4"/>
  <c r="CC223" i="4"/>
  <c r="FK223" i="4"/>
  <c r="IS223" i="4"/>
  <c r="AR225" i="4"/>
  <c r="IA227" i="4"/>
  <c r="BQ230" i="4"/>
  <c r="FQ231" i="4"/>
  <c r="FK215" i="4"/>
  <c r="IS215" i="4"/>
  <c r="BW216" i="4"/>
  <c r="FE216" i="4"/>
  <c r="IM216" i="4"/>
  <c r="BQ217" i="4"/>
  <c r="EY217" i="4"/>
  <c r="IG217" i="4"/>
  <c r="CI218" i="4"/>
  <c r="FQ218" i="4"/>
  <c r="IY218" i="4"/>
  <c r="T220" i="4"/>
  <c r="DB220" i="4"/>
  <c r="GJ220" i="4"/>
  <c r="N221" i="4"/>
  <c r="CV221" i="4"/>
  <c r="GD221" i="4"/>
  <c r="H222" i="4"/>
  <c r="CP222" i="4"/>
  <c r="FX222" i="4"/>
  <c r="Z223" i="4"/>
  <c r="DH223" i="4"/>
  <c r="GP223" i="4"/>
  <c r="AR224" i="4"/>
  <c r="DZ224" i="4"/>
  <c r="HH224" i="4"/>
  <c r="AL225" i="4"/>
  <c r="DT225" i="4"/>
  <c r="HB225" i="4"/>
  <c r="AF226" i="4"/>
  <c r="DN226" i="4"/>
  <c r="GV226" i="4"/>
  <c r="BE227" i="4"/>
  <c r="EM227" i="4"/>
  <c r="HU227" i="4"/>
  <c r="AY228" i="4"/>
  <c r="EG228" i="4"/>
  <c r="HO228" i="4"/>
  <c r="BK230" i="4"/>
  <c r="ES230" i="4"/>
  <c r="IA230" i="4"/>
  <c r="CC231" i="4"/>
  <c r="FK231" i="4"/>
  <c r="IS231" i="4"/>
  <c r="DB232" i="4"/>
  <c r="GJ232" i="4"/>
  <c r="BQ233" i="4"/>
  <c r="EY233" i="4"/>
  <c r="IG233" i="4"/>
  <c r="AF234" i="4"/>
  <c r="DN234" i="4"/>
  <c r="GV234" i="4"/>
  <c r="CC235" i="4"/>
  <c r="FK235" i="4"/>
  <c r="IS235" i="4"/>
  <c r="AR236" i="4"/>
  <c r="DZ236" i="4"/>
  <c r="HH236" i="4"/>
  <c r="H238" i="4"/>
  <c r="CP238" i="4"/>
  <c r="FX238" i="4"/>
  <c r="BE239" i="4"/>
  <c r="EM239" i="4"/>
  <c r="HU239" i="4"/>
  <c r="T240" i="4"/>
  <c r="DB240" i="4"/>
  <c r="GJ240" i="4"/>
  <c r="BQ241" i="4"/>
  <c r="EY241" i="4"/>
  <c r="IG241" i="4"/>
  <c r="AF242" i="4"/>
  <c r="DN242" i="4"/>
  <c r="GV242" i="4"/>
  <c r="CC243" i="4"/>
  <c r="FK243" i="4"/>
  <c r="IS243" i="4"/>
  <c r="AR244" i="4"/>
  <c r="DZ244" i="4"/>
  <c r="HH244" i="4"/>
  <c r="H246" i="4"/>
  <c r="CP246" i="4"/>
  <c r="FX246" i="4"/>
  <c r="BE247" i="4"/>
  <c r="EM247" i="4"/>
  <c r="HU247" i="4"/>
  <c r="T248" i="4"/>
  <c r="DB248" i="4"/>
  <c r="GJ248" i="4"/>
  <c r="ES218" i="4"/>
  <c r="IA218" i="4"/>
  <c r="CC219" i="4"/>
  <c r="FK219" i="4"/>
  <c r="IS219" i="4"/>
  <c r="BW220" i="4"/>
  <c r="FE220" i="4"/>
  <c r="IM220" i="4"/>
  <c r="BQ221" i="4"/>
  <c r="EY221" i="4"/>
  <c r="IG221" i="4"/>
  <c r="CI222" i="4"/>
  <c r="FQ222" i="4"/>
  <c r="IY222" i="4"/>
  <c r="T224" i="4"/>
  <c r="DB224" i="4"/>
  <c r="GJ224" i="4"/>
  <c r="N225" i="4"/>
  <c r="CV225" i="4"/>
  <c r="GD225" i="4"/>
  <c r="H226" i="4"/>
  <c r="CP226" i="4"/>
  <c r="FX226" i="4"/>
  <c r="Z227" i="4"/>
  <c r="DH227" i="4"/>
  <c r="GP227" i="4"/>
  <c r="AR228" i="4"/>
  <c r="DZ228" i="4"/>
  <c r="HH228" i="4"/>
  <c r="AL229" i="4"/>
  <c r="DT229" i="4"/>
  <c r="HB229" i="4"/>
  <c r="AF230" i="4"/>
  <c r="DN230" i="4"/>
  <c r="GV230" i="4"/>
  <c r="BE231" i="4"/>
  <c r="EM231" i="4"/>
  <c r="HU231" i="4"/>
  <c r="AY232" i="4"/>
  <c r="EG232" i="4"/>
  <c r="HO232" i="4"/>
  <c r="N233" i="4"/>
  <c r="CV233" i="4"/>
  <c r="GD233" i="4"/>
  <c r="BK234" i="4"/>
  <c r="ES234" i="4"/>
  <c r="IA234" i="4"/>
  <c r="Z235" i="4"/>
  <c r="DH235" i="4"/>
  <c r="GP235" i="4"/>
  <c r="BW236" i="4"/>
  <c r="FE236" i="4"/>
  <c r="IM236" i="4"/>
  <c r="AL237" i="4"/>
  <c r="DT237" i="4"/>
  <c r="HB237" i="4"/>
  <c r="CI238" i="4"/>
  <c r="FQ238" i="4"/>
  <c r="IY238" i="4"/>
  <c r="AY240" i="4"/>
  <c r="EG240" i="4"/>
  <c r="HO240" i="4"/>
  <c r="N241" i="4"/>
  <c r="CV241" i="4"/>
  <c r="GD241" i="4"/>
  <c r="BK242" i="4"/>
  <c r="ES242" i="4"/>
  <c r="IA242" i="4"/>
  <c r="Z243" i="4"/>
  <c r="DH243" i="4"/>
  <c r="GP243" i="4"/>
  <c r="BW252" i="4"/>
  <c r="FE252" i="4"/>
  <c r="IM252" i="4"/>
  <c r="AL253" i="4"/>
  <c r="DT253" i="4"/>
  <c r="HB253" i="4"/>
  <c r="BW224" i="4"/>
  <c r="FE224" i="4"/>
  <c r="IM224" i="4"/>
  <c r="BQ225" i="4"/>
  <c r="EY225" i="4"/>
  <c r="IG225" i="4"/>
  <c r="CI226" i="4"/>
  <c r="FQ226" i="4"/>
  <c r="IY226" i="4"/>
  <c r="T228" i="4"/>
  <c r="DB228" i="4"/>
  <c r="GJ228" i="4"/>
  <c r="N229" i="4"/>
  <c r="CV229" i="4"/>
  <c r="GD229" i="4"/>
  <c r="H230" i="4"/>
  <c r="CP230" i="4"/>
  <c r="FX230" i="4"/>
  <c r="Z231" i="4"/>
  <c r="DH231" i="4"/>
  <c r="GP231" i="4"/>
  <c r="AR232" i="4"/>
  <c r="DZ232" i="4"/>
  <c r="HH232" i="4"/>
  <c r="H234" i="4"/>
  <c r="CP234" i="4"/>
  <c r="FX234" i="4"/>
  <c r="BE235" i="4"/>
  <c r="EM235" i="4"/>
  <c r="HU235" i="4"/>
  <c r="T236" i="4"/>
  <c r="DB236" i="4"/>
  <c r="GJ236" i="4"/>
  <c r="BQ237" i="4"/>
  <c r="EY237" i="4"/>
  <c r="IG237" i="4"/>
  <c r="AF238" i="4"/>
  <c r="DN238" i="4"/>
  <c r="GV238" i="4"/>
  <c r="CC239" i="4"/>
  <c r="FK239" i="4"/>
  <c r="IS239" i="4"/>
  <c r="AR240" i="4"/>
  <c r="DZ240" i="4"/>
  <c r="HH240" i="4"/>
  <c r="H242" i="4"/>
  <c r="CP242" i="4"/>
  <c r="FX242" i="4"/>
  <c r="BE243" i="4"/>
  <c r="EM243" i="4"/>
  <c r="HU243" i="4"/>
  <c r="T244" i="4"/>
  <c r="DB244" i="4"/>
  <c r="GJ244" i="4"/>
  <c r="BQ245" i="4"/>
  <c r="EY245" i="4"/>
  <c r="IG245" i="4"/>
  <c r="AF246" i="4"/>
  <c r="DN246" i="4"/>
  <c r="GV246" i="4"/>
  <c r="CC247" i="4"/>
  <c r="FK247" i="4"/>
  <c r="IS247" i="4"/>
  <c r="AR248" i="4"/>
  <c r="DZ248" i="4"/>
  <c r="HH248" i="4"/>
  <c r="H250" i="4"/>
  <c r="CP250" i="4"/>
  <c r="FX250" i="4"/>
  <c r="BE251" i="4"/>
  <c r="EM251" i="4"/>
  <c r="HU251" i="4"/>
  <c r="T252" i="4"/>
  <c r="DB252" i="4"/>
  <c r="GJ252" i="4"/>
  <c r="BQ253" i="4"/>
  <c r="EY253" i="4"/>
  <c r="IG253" i="4"/>
  <c r="AF254" i="4"/>
  <c r="DN254" i="4"/>
  <c r="IS275" i="4"/>
  <c r="BW276" i="4"/>
  <c r="FE276" i="4"/>
  <c r="IM276" i="4"/>
  <c r="BQ277" i="4"/>
  <c r="EY277" i="4"/>
  <c r="IG277" i="4"/>
  <c r="CI278" i="4"/>
  <c r="FQ278" i="4"/>
  <c r="IY278" i="4"/>
  <c r="T280" i="4"/>
  <c r="DB280" i="4"/>
  <c r="GJ280" i="4"/>
  <c r="N281" i="4"/>
  <c r="CV281" i="4"/>
  <c r="GD281" i="4"/>
  <c r="H282" i="4"/>
  <c r="CP282" i="4"/>
  <c r="FX282" i="4"/>
  <c r="Z283" i="4"/>
  <c r="DH283" i="4"/>
  <c r="GP283" i="4"/>
  <c r="AR284" i="4"/>
  <c r="DZ284" i="4"/>
  <c r="HH284" i="4"/>
  <c r="AL285" i="4"/>
  <c r="DT285" i="4"/>
  <c r="HB285" i="4"/>
  <c r="AF286" i="4"/>
  <c r="DN286" i="4"/>
  <c r="GV286" i="4"/>
  <c r="BE287" i="4"/>
  <c r="EM287" i="4"/>
  <c r="HU287" i="4"/>
  <c r="AY288" i="4"/>
  <c r="EG288" i="4"/>
  <c r="HO288" i="4"/>
  <c r="AF290" i="4"/>
  <c r="DN290" i="4"/>
  <c r="GV290" i="4"/>
  <c r="CC291" i="4"/>
  <c r="FK291" i="4"/>
  <c r="IS291" i="4"/>
  <c r="AR292" i="4"/>
  <c r="DZ292" i="4"/>
  <c r="HH292" i="4"/>
  <c r="H294" i="4"/>
  <c r="CP294" i="4"/>
  <c r="FX294" i="4"/>
  <c r="BE295" i="4"/>
  <c r="EM295" i="4"/>
  <c r="HU295" i="4"/>
  <c r="T296" i="4"/>
  <c r="DB296" i="4"/>
  <c r="GJ296" i="4"/>
  <c r="BQ297" i="4"/>
  <c r="EY297" i="4"/>
  <c r="IG297" i="4"/>
  <c r="AF298" i="4"/>
  <c r="DN298" i="4"/>
  <c r="GV298" i="4"/>
  <c r="CC299" i="4"/>
  <c r="AR276" i="4"/>
  <c r="DZ276" i="4"/>
  <c r="CP290" i="4"/>
  <c r="FX290" i="4"/>
  <c r="BE291" i="4"/>
  <c r="EY293" i="4"/>
  <c r="IG293" i="4"/>
  <c r="AF294" i="4"/>
  <c r="DN294" i="4"/>
  <c r="GV294" i="4"/>
  <c r="CC295" i="4"/>
  <c r="FK295" i="4"/>
  <c r="IS295" i="4"/>
  <c r="AR296" i="4"/>
  <c r="CP298" i="4"/>
  <c r="FX298" i="4"/>
  <c r="BE299" i="4"/>
  <c r="HJ234" i="4" l="1"/>
  <c r="HJ62" i="4"/>
  <c r="HJ278" i="4"/>
  <c r="HJ242" i="4"/>
  <c r="CK56" i="4"/>
  <c r="JA268" i="4"/>
  <c r="JA290" i="4"/>
  <c r="CK193" i="4"/>
  <c r="FS131" i="4"/>
  <c r="FS127" i="4"/>
  <c r="FS123" i="4"/>
  <c r="FS119" i="4"/>
  <c r="FS115" i="4"/>
  <c r="FS94" i="4"/>
  <c r="HJ126" i="4"/>
  <c r="FS89" i="4"/>
  <c r="HJ86" i="4"/>
  <c r="EB69" i="4"/>
  <c r="JA43" i="4"/>
  <c r="FS100" i="4"/>
  <c r="HJ90" i="4"/>
  <c r="FS84" i="4"/>
  <c r="JA288" i="4"/>
  <c r="EB74" i="4"/>
  <c r="CK201" i="4"/>
  <c r="EB294" i="4"/>
  <c r="FS288" i="4"/>
  <c r="EB250" i="4"/>
  <c r="FS240" i="4"/>
  <c r="JA232" i="4"/>
  <c r="FS228" i="4"/>
  <c r="CK208" i="4"/>
  <c r="HJ214" i="4"/>
  <c r="FS166" i="4"/>
  <c r="EB90" i="4"/>
  <c r="JA84" i="4"/>
  <c r="CK84" i="4"/>
  <c r="HJ70" i="4"/>
  <c r="HJ58" i="4"/>
  <c r="EB54" i="4"/>
  <c r="CK300" i="4"/>
  <c r="CK289" i="4"/>
  <c r="JA285" i="4"/>
  <c r="EB272" i="4"/>
  <c r="JA264" i="4"/>
  <c r="HJ262" i="4"/>
  <c r="FS260" i="4"/>
  <c r="HJ254" i="4"/>
  <c r="CK254" i="4"/>
  <c r="JA205" i="4"/>
  <c r="EB203" i="4"/>
  <c r="EB193" i="4"/>
  <c r="JA189" i="4"/>
  <c r="EB187" i="4"/>
  <c r="EB177" i="4"/>
  <c r="JA173" i="4"/>
  <c r="EB171" i="4"/>
  <c r="JA158" i="4"/>
  <c r="EB156" i="4"/>
  <c r="JA142" i="4"/>
  <c r="EB140" i="4"/>
  <c r="EB110" i="4"/>
  <c r="FS96" i="4"/>
  <c r="JA87" i="4"/>
  <c r="CK63" i="4"/>
  <c r="HJ42" i="4"/>
  <c r="HJ102" i="4"/>
  <c r="CK288" i="4"/>
  <c r="CK240" i="4"/>
  <c r="EB58" i="4"/>
  <c r="HJ38" i="4"/>
  <c r="CK293" i="4"/>
  <c r="HJ271" i="4"/>
  <c r="CK261" i="4"/>
  <c r="FS195" i="4"/>
  <c r="HJ192" i="4"/>
  <c r="EB176" i="4"/>
  <c r="CK169" i="4"/>
  <c r="HJ157" i="4"/>
  <c r="EB12" i="4"/>
  <c r="HJ282" i="4"/>
  <c r="EB242" i="4"/>
  <c r="FS232" i="4"/>
  <c r="CK228" i="4"/>
  <c r="HJ106" i="4"/>
  <c r="HJ74" i="4"/>
  <c r="FS274" i="4"/>
  <c r="EB271" i="4"/>
  <c r="CK266" i="4"/>
  <c r="FS261" i="4"/>
  <c r="EB192" i="4"/>
  <c r="CK177" i="4"/>
  <c r="EB157" i="4"/>
  <c r="HJ141" i="4"/>
  <c r="EB11" i="4"/>
  <c r="EB282" i="4"/>
  <c r="EB234" i="4"/>
  <c r="HJ230" i="4"/>
  <c r="CK232" i="4"/>
  <c r="HJ226" i="4"/>
  <c r="EB222" i="4"/>
  <c r="JA229" i="4"/>
  <c r="EB70" i="4"/>
  <c r="JA56" i="4"/>
  <c r="HJ54" i="4"/>
  <c r="FS48" i="4"/>
  <c r="FS32" i="4"/>
  <c r="EB274" i="4"/>
  <c r="HJ218" i="4"/>
  <c r="EB215" i="4"/>
  <c r="EB201" i="4"/>
  <c r="JA197" i="4"/>
  <c r="EB195" i="4"/>
  <c r="EB185" i="4"/>
  <c r="JA181" i="4"/>
  <c r="EB179" i="4"/>
  <c r="EB154" i="4"/>
  <c r="JA150" i="4"/>
  <c r="EB148" i="4"/>
  <c r="EB138" i="4"/>
  <c r="EB134" i="4"/>
  <c r="EB126" i="4"/>
  <c r="EB118" i="4"/>
  <c r="CK104" i="4"/>
  <c r="CK103" i="4"/>
  <c r="JA88" i="4"/>
  <c r="FS47" i="4"/>
  <c r="CK36" i="4"/>
  <c r="EB31" i="4"/>
  <c r="JA27" i="4"/>
  <c r="HJ23" i="4"/>
  <c r="CK42" i="4"/>
  <c r="CK25" i="4"/>
  <c r="CK22" i="4"/>
  <c r="EB20" i="4"/>
  <c r="JA19" i="4"/>
  <c r="CK17" i="4"/>
  <c r="CK13" i="4"/>
  <c r="HJ12" i="4"/>
  <c r="FS132" i="4"/>
  <c r="FS128" i="4"/>
  <c r="FS124" i="4"/>
  <c r="FS120" i="4"/>
  <c r="FS116" i="4"/>
  <c r="FS112" i="4"/>
  <c r="HJ118" i="4"/>
  <c r="HJ96" i="4"/>
  <c r="FS73" i="4"/>
  <c r="HJ60" i="4"/>
  <c r="CK50" i="4"/>
  <c r="CK43" i="4"/>
  <c r="CK79" i="4"/>
  <c r="HJ222" i="4"/>
  <c r="EB214" i="4"/>
  <c r="FS281" i="4"/>
  <c r="CK272" i="4"/>
  <c r="EB279" i="4"/>
  <c r="FS249" i="4"/>
  <c r="JA261" i="4"/>
  <c r="FS179" i="4"/>
  <c r="HJ176" i="4"/>
  <c r="CK146" i="4"/>
  <c r="JA15" i="4"/>
  <c r="EB298" i="4"/>
  <c r="EB290" i="4"/>
  <c r="HJ294" i="4"/>
  <c r="HJ250" i="4"/>
  <c r="EB230" i="4"/>
  <c r="JA240" i="4"/>
  <c r="EB226" i="4"/>
  <c r="JA228" i="4"/>
  <c r="HJ219" i="4"/>
  <c r="FS208" i="4"/>
  <c r="CK229" i="4"/>
  <c r="EB106" i="4"/>
  <c r="JA100" i="4"/>
  <c r="CK100" i="4"/>
  <c r="EB62" i="4"/>
  <c r="FS56" i="4"/>
  <c r="EB38" i="4"/>
  <c r="CK32" i="4"/>
  <c r="EB300" i="4"/>
  <c r="JA249" i="4"/>
  <c r="CK249" i="4"/>
  <c r="FS246" i="4"/>
  <c r="CK185" i="4"/>
  <c r="HJ168" i="4"/>
  <c r="HJ164" i="4"/>
  <c r="CK154" i="4"/>
  <c r="CK138" i="4"/>
  <c r="EB25" i="4"/>
  <c r="FS107" i="4"/>
  <c r="HJ110" i="4"/>
  <c r="HJ78" i="4"/>
  <c r="HJ32" i="4"/>
  <c r="EB238" i="4"/>
  <c r="HJ82" i="4"/>
  <c r="FS76" i="4"/>
  <c r="EB66" i="4"/>
  <c r="EB34" i="4"/>
  <c r="HJ296" i="4"/>
  <c r="JA293" i="4"/>
  <c r="EB280" i="4"/>
  <c r="JA295" i="4"/>
  <c r="CK295" i="4"/>
  <c r="CK298" i="4"/>
  <c r="CK252" i="4"/>
  <c r="JA258" i="4"/>
  <c r="HJ256" i="4"/>
  <c r="HJ253" i="4"/>
  <c r="EB253" i="4"/>
  <c r="EB244" i="4"/>
  <c r="FS242" i="4"/>
  <c r="HJ241" i="4"/>
  <c r="FS236" i="4"/>
  <c r="FS234" i="4"/>
  <c r="HJ233" i="4"/>
  <c r="FS215" i="4"/>
  <c r="EB257" i="4"/>
  <c r="HJ247" i="4"/>
  <c r="FS237" i="4"/>
  <c r="EB220" i="4"/>
  <c r="JA215" i="4"/>
  <c r="JA209" i="4"/>
  <c r="EB168" i="4"/>
  <c r="HJ201" i="4"/>
  <c r="CK191" i="4"/>
  <c r="JA179" i="4"/>
  <c r="HJ163" i="4"/>
  <c r="JA223" i="4"/>
  <c r="EB210" i="4"/>
  <c r="FS205" i="4"/>
  <c r="FS194" i="4"/>
  <c r="HJ183" i="4"/>
  <c r="JA178" i="4"/>
  <c r="CK178" i="4"/>
  <c r="FS173" i="4"/>
  <c r="FS148" i="4"/>
  <c r="HJ145" i="4"/>
  <c r="EB145" i="4"/>
  <c r="CK128" i="4"/>
  <c r="CK127" i="4"/>
  <c r="CK120" i="4"/>
  <c r="CK119" i="4"/>
  <c r="FS80" i="4"/>
  <c r="JA71" i="4"/>
  <c r="CK68" i="4"/>
  <c r="CK64" i="4"/>
  <c r="CK61" i="4"/>
  <c r="CK60" i="4"/>
  <c r="EB49" i="4"/>
  <c r="EB30" i="4"/>
  <c r="CK165" i="4"/>
  <c r="FS162" i="4"/>
  <c r="CK161" i="4"/>
  <c r="CK158" i="4"/>
  <c r="FS144" i="4"/>
  <c r="CK142" i="4"/>
  <c r="EB141" i="4"/>
  <c r="CK136" i="4"/>
  <c r="HJ113" i="4"/>
  <c r="JA111" i="4"/>
  <c r="HJ105" i="4"/>
  <c r="JA103" i="4"/>
  <c r="HJ97" i="4"/>
  <c r="EB77" i="4"/>
  <c r="CK71" i="4"/>
  <c r="HJ69" i="4"/>
  <c r="FS65" i="4"/>
  <c r="JA52" i="4"/>
  <c r="EB45" i="4"/>
  <c r="JA39" i="4"/>
  <c r="JA36" i="4"/>
  <c r="CK27" i="4"/>
  <c r="HJ298" i="4"/>
  <c r="HJ290" i="4"/>
  <c r="CK220" i="4"/>
  <c r="JA216" i="4"/>
  <c r="CK216" i="4"/>
  <c r="JA208" i="4"/>
  <c r="JA166" i="4"/>
  <c r="CK166" i="4"/>
  <c r="EB114" i="4"/>
  <c r="JA108" i="4"/>
  <c r="CK108" i="4"/>
  <c r="HJ98" i="4"/>
  <c r="FS92" i="4"/>
  <c r="EB46" i="4"/>
  <c r="JA40" i="4"/>
  <c r="CK40" i="4"/>
  <c r="HJ287" i="4"/>
  <c r="CK286" i="4"/>
  <c r="CK297" i="4"/>
  <c r="FS275" i="4"/>
  <c r="FS286" i="4"/>
  <c r="JA296" i="4"/>
  <c r="HJ267" i="4"/>
  <c r="HJ272" i="4"/>
  <c r="CK262" i="4"/>
  <c r="HJ258" i="4"/>
  <c r="FS256" i="4"/>
  <c r="HJ248" i="4"/>
  <c r="HJ229" i="4"/>
  <c r="JA253" i="4"/>
  <c r="HJ240" i="4"/>
  <c r="JA237" i="4"/>
  <c r="HJ232" i="4"/>
  <c r="HJ215" i="4"/>
  <c r="CK212" i="4"/>
  <c r="EB228" i="4"/>
  <c r="HJ208" i="4"/>
  <c r="JA203" i="4"/>
  <c r="HJ193" i="4"/>
  <c r="CK183" i="4"/>
  <c r="JA171" i="4"/>
  <c r="HJ169" i="4"/>
  <c r="JA221" i="4"/>
  <c r="FS202" i="4"/>
  <c r="HJ191" i="4"/>
  <c r="JA186" i="4"/>
  <c r="CK186" i="4"/>
  <c r="FS181" i="4"/>
  <c r="CK162" i="4"/>
  <c r="FS160" i="4"/>
  <c r="CK99" i="4"/>
  <c r="EB89" i="4"/>
  <c r="HJ59" i="4"/>
  <c r="CK52" i="4"/>
  <c r="EB150" i="4"/>
  <c r="JA146" i="4"/>
  <c r="EB144" i="4"/>
  <c r="JA112" i="4"/>
  <c r="JA107" i="4"/>
  <c r="JA104" i="4"/>
  <c r="JA99" i="4"/>
  <c r="EB93" i="4"/>
  <c r="CK87" i="4"/>
  <c r="FS75" i="4"/>
  <c r="CK72" i="4"/>
  <c r="JA68" i="4"/>
  <c r="JA63" i="4"/>
  <c r="JA61" i="4"/>
  <c r="CK55" i="4"/>
  <c r="FS37" i="4"/>
  <c r="FS35" i="4"/>
  <c r="FS33" i="4"/>
  <c r="FS29" i="4"/>
  <c r="HJ27" i="4"/>
  <c r="FS53" i="4"/>
  <c r="FS30" i="4"/>
  <c r="JA50" i="4"/>
  <c r="HJ246" i="4"/>
  <c r="EB82" i="4"/>
  <c r="JA76" i="4"/>
  <c r="CK76" i="4"/>
  <c r="HJ66" i="4"/>
  <c r="HJ34" i="4"/>
  <c r="CK296" i="4"/>
  <c r="FS294" i="4"/>
  <c r="FS293" i="4"/>
  <c r="JA282" i="4"/>
  <c r="EB281" i="4"/>
  <c r="JA292" i="4"/>
  <c r="CK287" i="4"/>
  <c r="HJ300" i="4"/>
  <c r="JA286" i="4"/>
  <c r="FS292" i="4"/>
  <c r="FS273" i="4"/>
  <c r="FS268" i="4"/>
  <c r="FS267" i="4"/>
  <c r="JA262" i="4"/>
  <c r="HJ260" i="4"/>
  <c r="JA257" i="4"/>
  <c r="FS257" i="4"/>
  <c r="CK257" i="4"/>
  <c r="JA254" i="4"/>
  <c r="HJ252" i="4"/>
  <c r="FS264" i="4"/>
  <c r="JA252" i="4"/>
  <c r="JA243" i="4"/>
  <c r="FS231" i="4"/>
  <c r="FS230" i="4"/>
  <c r="CK253" i="4"/>
  <c r="FS244" i="4"/>
  <c r="CK238" i="4"/>
  <c r="FS229" i="4"/>
  <c r="HJ223" i="4"/>
  <c r="JA220" i="4"/>
  <c r="FS212" i="4"/>
  <c r="CK213" i="4"/>
  <c r="EB208" i="4"/>
  <c r="FS203" i="4"/>
  <c r="HJ200" i="4"/>
  <c r="EB200" i="4"/>
  <c r="FS187" i="4"/>
  <c r="HJ184" i="4"/>
  <c r="EB184" i="4"/>
  <c r="FS171" i="4"/>
  <c r="FS226" i="4"/>
  <c r="CK207" i="4"/>
  <c r="JA195" i="4"/>
  <c r="HJ185" i="4"/>
  <c r="CK175" i="4"/>
  <c r="FS169" i="4"/>
  <c r="EB167" i="4"/>
  <c r="JA165" i="4"/>
  <c r="JA159" i="4"/>
  <c r="FS159" i="4"/>
  <c r="JA225" i="4"/>
  <c r="HJ199" i="4"/>
  <c r="JA194" i="4"/>
  <c r="CK194" i="4"/>
  <c r="FS189" i="4"/>
  <c r="FS178" i="4"/>
  <c r="FS156" i="4"/>
  <c r="HJ153" i="4"/>
  <c r="EB153" i="4"/>
  <c r="FS140" i="4"/>
  <c r="HJ137" i="4"/>
  <c r="EB137" i="4"/>
  <c r="CK132" i="4"/>
  <c r="CK131" i="4"/>
  <c r="CK124" i="4"/>
  <c r="CK123" i="4"/>
  <c r="CK116" i="4"/>
  <c r="CK115" i="4"/>
  <c r="CK112" i="4"/>
  <c r="CK111" i="4"/>
  <c r="CK107" i="4"/>
  <c r="EB102" i="4"/>
  <c r="FS95" i="4"/>
  <c r="HJ85" i="4"/>
  <c r="EB73" i="4"/>
  <c r="JA72" i="4"/>
  <c r="EB71" i="4"/>
  <c r="JA69" i="4"/>
  <c r="HJ67" i="4"/>
  <c r="EB65" i="4"/>
  <c r="HJ61" i="4"/>
  <c r="FS60" i="4"/>
  <c r="HJ41" i="4"/>
  <c r="EB33" i="4"/>
  <c r="HJ31" i="4"/>
  <c r="HJ30" i="4"/>
  <c r="CK29" i="4"/>
  <c r="HJ161" i="4"/>
  <c r="FS152" i="4"/>
  <c r="CK150" i="4"/>
  <c r="HJ149" i="4"/>
  <c r="EB149" i="4"/>
  <c r="FS136" i="4"/>
  <c r="HJ133" i="4"/>
  <c r="JA131" i="4"/>
  <c r="HJ129" i="4"/>
  <c r="JA127" i="4"/>
  <c r="HJ125" i="4"/>
  <c r="JA123" i="4"/>
  <c r="HJ121" i="4"/>
  <c r="JA119" i="4"/>
  <c r="HJ117" i="4"/>
  <c r="JA115" i="4"/>
  <c r="FS91" i="4"/>
  <c r="CK88" i="4"/>
  <c r="EB78" i="4"/>
  <c r="CK69" i="4"/>
  <c r="FS67" i="4"/>
  <c r="EB56" i="4"/>
  <c r="FS43" i="4"/>
  <c r="EB29" i="4"/>
  <c r="FS22" i="4"/>
  <c r="EB246" i="4"/>
  <c r="HJ238" i="4"/>
  <c r="FS216" i="4"/>
  <c r="FS108" i="4"/>
  <c r="EB98" i="4"/>
  <c r="JA92" i="4"/>
  <c r="CK92" i="4"/>
  <c r="JA48" i="4"/>
  <c r="CK48" i="4"/>
  <c r="HJ46" i="4"/>
  <c r="FS40" i="4"/>
  <c r="HJ299" i="4"/>
  <c r="EB299" i="4"/>
  <c r="FS287" i="4"/>
  <c r="JA280" i="4"/>
  <c r="JA294" i="4"/>
  <c r="HJ275" i="4"/>
  <c r="HJ280" i="4"/>
  <c r="CK270" i="4"/>
  <c r="FS270" i="4"/>
  <c r="JA265" i="4"/>
  <c r="FS265" i="4"/>
  <c r="CK265" i="4"/>
  <c r="CK258" i="4"/>
  <c r="FS250" i="4"/>
  <c r="CK268" i="4"/>
  <c r="EB267" i="4"/>
  <c r="FS248" i="4"/>
  <c r="EB241" i="4"/>
  <c r="JA238" i="4"/>
  <c r="HJ236" i="4"/>
  <c r="EB233" i="4"/>
  <c r="EB247" i="4"/>
  <c r="CK237" i="4"/>
  <c r="EB229" i="4"/>
  <c r="EB225" i="4"/>
  <c r="HJ220" i="4"/>
  <c r="JA212" i="4"/>
  <c r="HJ167" i="4"/>
  <c r="CK199" i="4"/>
  <c r="JA187" i="4"/>
  <c r="HJ177" i="4"/>
  <c r="EB163" i="4"/>
  <c r="CK160" i="4"/>
  <c r="FS227" i="4"/>
  <c r="HJ207" i="4"/>
  <c r="JA202" i="4"/>
  <c r="CK202" i="4"/>
  <c r="FS197" i="4"/>
  <c r="FS186" i="4"/>
  <c r="HJ175" i="4"/>
  <c r="EB146" i="4"/>
  <c r="EB130" i="4"/>
  <c r="EB122" i="4"/>
  <c r="EB86" i="4"/>
  <c r="JA83" i="4"/>
  <c r="FS79" i="4"/>
  <c r="JA55" i="4"/>
  <c r="FS51" i="4"/>
  <c r="CK39" i="4"/>
  <c r="EB37" i="4"/>
  <c r="HJ35" i="4"/>
  <c r="EB32" i="4"/>
  <c r="FS161" i="4"/>
  <c r="EB158" i="4"/>
  <c r="JA154" i="4"/>
  <c r="EB152" i="4"/>
  <c r="EB142" i="4"/>
  <c r="JA138" i="4"/>
  <c r="JA132" i="4"/>
  <c r="JA128" i="4"/>
  <c r="JA124" i="4"/>
  <c r="JA120" i="4"/>
  <c r="JA116" i="4"/>
  <c r="HJ109" i="4"/>
  <c r="HJ101" i="4"/>
  <c r="EB94" i="4"/>
  <c r="CK83" i="4"/>
  <c r="HJ81" i="4"/>
  <c r="JA64" i="4"/>
  <c r="EB63" i="4"/>
  <c r="HJ53" i="4"/>
  <c r="HJ50" i="4"/>
  <c r="FS44" i="4"/>
  <c r="JA25" i="4"/>
  <c r="CK38" i="4"/>
  <c r="JA22" i="4"/>
  <c r="HJ19" i="4"/>
  <c r="CK15" i="4"/>
  <c r="EB13" i="4"/>
  <c r="CK292" i="4"/>
  <c r="FS289" i="4"/>
  <c r="HJ277" i="4"/>
  <c r="HJ261" i="4"/>
  <c r="EB258" i="4"/>
  <c r="CK294" i="4"/>
  <c r="HJ291" i="4"/>
  <c r="HJ288" i="4"/>
  <c r="FS285" i="4"/>
  <c r="EB270" i="4"/>
  <c r="FS252" i="4"/>
  <c r="FS247" i="4"/>
  <c r="CK236" i="4"/>
  <c r="JA230" i="4"/>
  <c r="HJ227" i="4"/>
  <c r="EB221" i="4"/>
  <c r="HJ213" i="4"/>
  <c r="EB268" i="4"/>
  <c r="EB261" i="4"/>
  <c r="FS254" i="4"/>
  <c r="JA233" i="4"/>
  <c r="FS223" i="4"/>
  <c r="FS209" i="4"/>
  <c r="CK209" i="4"/>
  <c r="EB288" i="4"/>
  <c r="EB252" i="4"/>
  <c r="FS219" i="4"/>
  <c r="FS206" i="4"/>
  <c r="HJ205" i="4"/>
  <c r="CK196" i="4"/>
  <c r="EB183" i="4"/>
  <c r="EB180" i="4"/>
  <c r="HJ178" i="4"/>
  <c r="CK172" i="4"/>
  <c r="JA169" i="4"/>
  <c r="FS164" i="4"/>
  <c r="EB160" i="4"/>
  <c r="FS153" i="4"/>
  <c r="HJ150" i="4"/>
  <c r="EB139" i="4"/>
  <c r="JA130" i="4"/>
  <c r="JA126" i="4"/>
  <c r="JA122" i="4"/>
  <c r="JA118" i="4"/>
  <c r="JA114" i="4"/>
  <c r="FS111" i="4"/>
  <c r="JA110" i="4"/>
  <c r="JA137" i="4"/>
  <c r="CK137" i="4"/>
  <c r="FS109" i="4"/>
  <c r="HJ171" i="4"/>
  <c r="FS129" i="4"/>
  <c r="EB103" i="4"/>
  <c r="CK93" i="4"/>
  <c r="EB76" i="4"/>
  <c r="JA75" i="4"/>
  <c r="JA70" i="4"/>
  <c r="JA65" i="4"/>
  <c r="CK65" i="4"/>
  <c r="HJ63" i="4"/>
  <c r="JA57" i="4"/>
  <c r="FS50" i="4"/>
  <c r="JA42" i="4"/>
  <c r="HJ33" i="4"/>
  <c r="CK26" i="4"/>
  <c r="CK23" i="4"/>
  <c r="JA18" i="4"/>
  <c r="CK18" i="4"/>
  <c r="JA17" i="4"/>
  <c r="EB169" i="4"/>
  <c r="HJ103" i="4"/>
  <c r="JA47" i="4"/>
  <c r="JA28" i="4"/>
  <c r="JA77" i="4"/>
  <c r="FS55" i="4"/>
  <c r="CK49" i="4"/>
  <c r="EB44" i="4"/>
  <c r="JA31" i="4"/>
  <c r="HJ24" i="4"/>
  <c r="FS23" i="4"/>
  <c r="FS16" i="4"/>
  <c r="FS284" i="4"/>
  <c r="CK281" i="4"/>
  <c r="CK277" i="4"/>
  <c r="EB263" i="4"/>
  <c r="FS239" i="4"/>
  <c r="FS233" i="4"/>
  <c r="EB231" i="4"/>
  <c r="HJ221" i="4"/>
  <c r="EB216" i="4"/>
  <c r="EB213" i="4"/>
  <c r="EB209" i="4"/>
  <c r="EB266" i="4"/>
  <c r="HJ243" i="4"/>
  <c r="CK200" i="4"/>
  <c r="CK195" i="4"/>
  <c r="EB173" i="4"/>
  <c r="EB239" i="4"/>
  <c r="JA224" i="4"/>
  <c r="HJ194" i="4"/>
  <c r="FS191" i="4"/>
  <c r="CK187" i="4"/>
  <c r="HJ182" i="4"/>
  <c r="CK181" i="4"/>
  <c r="JA180" i="4"/>
  <c r="HJ152" i="4"/>
  <c r="CK151" i="4"/>
  <c r="JA149" i="4"/>
  <c r="JA135" i="4"/>
  <c r="EB129" i="4"/>
  <c r="EB116" i="4"/>
  <c r="EB113" i="4"/>
  <c r="EB109" i="4"/>
  <c r="JA93" i="4"/>
  <c r="CK90" i="4"/>
  <c r="FS138" i="4"/>
  <c r="EB101" i="4"/>
  <c r="FS87" i="4"/>
  <c r="EB81" i="4"/>
  <c r="JA74" i="4"/>
  <c r="HJ64" i="4"/>
  <c r="JA62" i="4"/>
  <c r="FS34" i="4"/>
  <c r="HJ29" i="4"/>
  <c r="CK14" i="4"/>
  <c r="CK134" i="4"/>
  <c r="CK122" i="4"/>
  <c r="EB105" i="4"/>
  <c r="HJ72" i="4"/>
  <c r="CK53" i="4"/>
  <c r="FS42" i="4"/>
  <c r="FS41" i="4"/>
  <c r="JA35" i="4"/>
  <c r="FS27" i="4"/>
  <c r="HJ14" i="4"/>
  <c r="EB14" i="4"/>
  <c r="FS46" i="4"/>
  <c r="EB21" i="4"/>
  <c r="HJ15" i="4"/>
  <c r="FS54" i="4"/>
  <c r="EB43" i="4"/>
  <c r="FS26" i="4"/>
  <c r="FS282" i="4"/>
  <c r="CK274" i="4"/>
  <c r="FS271" i="4"/>
  <c r="JA263" i="4"/>
  <c r="EB295" i="4"/>
  <c r="EB276" i="4"/>
  <c r="JA270" i="4"/>
  <c r="FS262" i="4"/>
  <c r="CK248" i="4"/>
  <c r="EB240" i="4"/>
  <c r="EB237" i="4"/>
  <c r="EB232" i="4"/>
  <c r="FS220" i="4"/>
  <c r="CK219" i="4"/>
  <c r="JA217" i="4"/>
  <c r="HJ209" i="4"/>
  <c r="EB291" i="4"/>
  <c r="EB255" i="4"/>
  <c r="EB254" i="4"/>
  <c r="EB243" i="4"/>
  <c r="CK241" i="4"/>
  <c r="CK223" i="4"/>
  <c r="JA218" i="4"/>
  <c r="CK204" i="4"/>
  <c r="EB256" i="4"/>
  <c r="CK214" i="4"/>
  <c r="JA213" i="4"/>
  <c r="EB211" i="4"/>
  <c r="CK205" i="4"/>
  <c r="FS196" i="4"/>
  <c r="HJ216" i="4"/>
  <c r="FS200" i="4"/>
  <c r="HJ195" i="4"/>
  <c r="JA191" i="4"/>
  <c r="EB189" i="4"/>
  <c r="HJ187" i="4"/>
  <c r="FS185" i="4"/>
  <c r="JA177" i="4"/>
  <c r="FS172" i="4"/>
  <c r="EB170" i="4"/>
  <c r="JA168" i="4"/>
  <c r="FS168" i="4"/>
  <c r="FS165" i="4"/>
  <c r="HJ156" i="4"/>
  <c r="JA155" i="4"/>
  <c r="FS155" i="4"/>
  <c r="CK155" i="4"/>
  <c r="FS150" i="4"/>
  <c r="CK140" i="4"/>
  <c r="HJ139" i="4"/>
  <c r="HJ107" i="4"/>
  <c r="CK105" i="4"/>
  <c r="JA241" i="4"/>
  <c r="CK171" i="4"/>
  <c r="HJ154" i="4"/>
  <c r="FS133" i="4"/>
  <c r="FS101" i="4"/>
  <c r="FS97" i="4"/>
  <c r="CK176" i="4"/>
  <c r="JA144" i="4"/>
  <c r="EB127" i="4"/>
  <c r="FS121" i="4"/>
  <c r="JA91" i="4"/>
  <c r="JA90" i="4"/>
  <c r="FS69" i="4"/>
  <c r="FS58" i="4"/>
  <c r="JA33" i="4"/>
  <c r="HJ28" i="4"/>
  <c r="CK24" i="4"/>
  <c r="CK11" i="4"/>
  <c r="HJ99" i="4"/>
  <c r="JA81" i="4"/>
  <c r="JA73" i="4"/>
  <c r="JA16" i="4"/>
  <c r="FS20" i="4"/>
  <c r="HJ292" i="4"/>
  <c r="JA281" i="4"/>
  <c r="HJ276" i="4"/>
  <c r="CK291" i="4"/>
  <c r="FS290" i="4"/>
  <c r="EB284" i="4"/>
  <c r="FS272" i="4"/>
  <c r="JA251" i="4"/>
  <c r="FS251" i="4"/>
  <c r="CK251" i="4"/>
  <c r="JA244" i="4"/>
  <c r="CK239" i="4"/>
  <c r="CK233" i="4"/>
  <c r="JA226" i="4"/>
  <c r="HJ217" i="4"/>
  <c r="EB212" i="4"/>
  <c r="FS210" i="4"/>
  <c r="EB202" i="4"/>
  <c r="EB186" i="4"/>
  <c r="HJ259" i="4"/>
  <c r="EB259" i="4"/>
  <c r="JA242" i="4"/>
  <c r="HJ239" i="4"/>
  <c r="EB191" i="4"/>
  <c r="JA174" i="4"/>
  <c r="HJ172" i="4"/>
  <c r="EB165" i="4"/>
  <c r="HJ148" i="4"/>
  <c r="HJ132" i="4"/>
  <c r="CK130" i="4"/>
  <c r="EB125" i="4"/>
  <c r="HJ122" i="4"/>
  <c r="CK114" i="4"/>
  <c r="FS93" i="4"/>
  <c r="EB87" i="4"/>
  <c r="FS86" i="4"/>
  <c r="EB84" i="4"/>
  <c r="JA79" i="4"/>
  <c r="FS176" i="4"/>
  <c r="FS145" i="4"/>
  <c r="CK141" i="4"/>
  <c r="JA133" i="4"/>
  <c r="HJ108" i="4"/>
  <c r="EB108" i="4"/>
  <c r="FS62" i="4"/>
  <c r="EB55" i="4"/>
  <c r="FS24" i="4"/>
  <c r="FS14" i="4"/>
  <c r="EB136" i="4"/>
  <c r="FS122" i="4"/>
  <c r="HJ120" i="4"/>
  <c r="HJ93" i="4"/>
  <c r="CK73" i="4"/>
  <c r="FS64" i="4"/>
  <c r="EB50" i="4"/>
  <c r="HJ49" i="4"/>
  <c r="FS31" i="4"/>
  <c r="JA24" i="4"/>
  <c r="CK21" i="4"/>
  <c r="HJ20" i="4"/>
  <c r="JA30" i="4"/>
  <c r="JA21" i="4"/>
  <c r="EB17" i="4"/>
  <c r="FS11" i="4"/>
  <c r="JA298" i="4"/>
  <c r="HJ297" i="4"/>
  <c r="EB292" i="4"/>
  <c r="CK290" i="4"/>
  <c r="HJ285" i="4"/>
  <c r="JA284" i="4"/>
  <c r="CK273" i="4"/>
  <c r="CK271" i="4"/>
  <c r="EB260" i="4"/>
  <c r="EB286" i="4"/>
  <c r="CK285" i="4"/>
  <c r="JA275" i="4"/>
  <c r="JA266" i="4"/>
  <c r="FS255" i="4"/>
  <c r="CK250" i="4"/>
  <c r="JA247" i="4"/>
  <c r="CK247" i="4"/>
  <c r="CK244" i="4"/>
  <c r="CK242" i="4"/>
  <c r="CK234" i="4"/>
  <c r="HJ231" i="4"/>
  <c r="EB217" i="4"/>
  <c r="HJ289" i="4"/>
  <c r="CK284" i="4"/>
  <c r="HJ255" i="4"/>
  <c r="HJ245" i="4"/>
  <c r="CK231" i="4"/>
  <c r="FS217" i="4"/>
  <c r="HJ212" i="4"/>
  <c r="FS207" i="4"/>
  <c r="FS204" i="4"/>
  <c r="CK203" i="4"/>
  <c r="FS199" i="4"/>
  <c r="EB198" i="4"/>
  <c r="JA234" i="4"/>
  <c r="HJ211" i="4"/>
  <c r="HJ203" i="4"/>
  <c r="FS201" i="4"/>
  <c r="JA196" i="4"/>
  <c r="EB190" i="4"/>
  <c r="FS243" i="4"/>
  <c r="EB235" i="4"/>
  <c r="HJ197" i="4"/>
  <c r="HJ190" i="4"/>
  <c r="CK189" i="4"/>
  <c r="EB178" i="4"/>
  <c r="CK174" i="4"/>
  <c r="JA172" i="4"/>
  <c r="CK159" i="4"/>
  <c r="FS154" i="4"/>
  <c r="JA153" i="4"/>
  <c r="CK153" i="4"/>
  <c r="FS149" i="4"/>
  <c r="CK144" i="4"/>
  <c r="FS143" i="4"/>
  <c r="JA106" i="4"/>
  <c r="FS137" i="4"/>
  <c r="FS125" i="4"/>
  <c r="FS174" i="4"/>
  <c r="HJ173" i="4"/>
  <c r="CK168" i="4"/>
  <c r="HJ144" i="4"/>
  <c r="EB119" i="4"/>
  <c r="FS113" i="4"/>
  <c r="EB99" i="4"/>
  <c r="HJ94" i="4"/>
  <c r="EB92" i="4"/>
  <c r="HJ68" i="4"/>
  <c r="CK66" i="4"/>
  <c r="FS59" i="4"/>
  <c r="CK46" i="4"/>
  <c r="HJ45" i="4"/>
  <c r="CK45" i="4"/>
  <c r="CK37" i="4"/>
  <c r="FS36" i="4"/>
  <c r="EB23" i="4"/>
  <c r="HJ21" i="4"/>
  <c r="CK20" i="4"/>
  <c r="FS18" i="4"/>
  <c r="HJ142" i="4"/>
  <c r="JA89" i="4"/>
  <c r="HJ83" i="4"/>
  <c r="HJ56" i="4"/>
  <c r="FS52" i="4"/>
  <c r="HJ48" i="4"/>
  <c r="JA34" i="4"/>
  <c r="HJ79" i="4"/>
  <c r="JA59" i="4"/>
  <c r="CK47" i="4"/>
  <c r="EB24" i="4"/>
  <c r="FS276" i="4"/>
  <c r="JA274" i="4"/>
  <c r="HJ295" i="4"/>
  <c r="FS283" i="4"/>
  <c r="FS278" i="4"/>
  <c r="JA271" i="4"/>
  <c r="HJ264" i="4"/>
  <c r="JA236" i="4"/>
  <c r="FS224" i="4"/>
  <c r="EB223" i="4"/>
  <c r="EB218" i="4"/>
  <c r="HJ251" i="4"/>
  <c r="HJ273" i="4"/>
  <c r="HJ269" i="4"/>
  <c r="FS245" i="4"/>
  <c r="CK215" i="4"/>
  <c r="FS213" i="4"/>
  <c r="EB194" i="4"/>
  <c r="HJ189" i="4"/>
  <c r="EB182" i="4"/>
  <c r="CK180" i="4"/>
  <c r="EB172" i="4"/>
  <c r="FS170" i="4"/>
  <c r="HJ165" i="4"/>
  <c r="FS163" i="4"/>
  <c r="HJ151" i="4"/>
  <c r="JA143" i="4"/>
  <c r="FS135" i="4"/>
  <c r="FS130" i="4"/>
  <c r="HJ116" i="4"/>
  <c r="FS114" i="4"/>
  <c r="CK91" i="4"/>
  <c r="CK86" i="4"/>
  <c r="FS78" i="4"/>
  <c r="FS241" i="4"/>
  <c r="JA97" i="4"/>
  <c r="HJ91" i="4"/>
  <c r="EB88" i="4"/>
  <c r="FS82" i="4"/>
  <c r="CK62" i="4"/>
  <c r="EB57" i="4"/>
  <c r="JA37" i="4"/>
  <c r="JA14" i="4"/>
  <c r="CK157" i="4"/>
  <c r="EB135" i="4"/>
  <c r="CK98" i="4"/>
  <c r="CK58" i="4"/>
  <c r="EB52" i="4"/>
  <c r="CK33" i="4"/>
  <c r="CK31" i="4"/>
  <c r="HJ22" i="4"/>
  <c r="FS19" i="4"/>
  <c r="CK30" i="4"/>
  <c r="JA23" i="4"/>
  <c r="CK19" i="4"/>
  <c r="FS13" i="4"/>
  <c r="JA49" i="4"/>
  <c r="FS300" i="4"/>
  <c r="EB287" i="4"/>
  <c r="EB283" i="4"/>
  <c r="JA279" i="4"/>
  <c r="CK279" i="4"/>
  <c r="HJ268" i="4"/>
  <c r="HJ266" i="4"/>
  <c r="CK260" i="4"/>
  <c r="HJ257" i="4"/>
  <c r="FS297" i="4"/>
  <c r="HJ286" i="4"/>
  <c r="FS279" i="4"/>
  <c r="EB278" i="4"/>
  <c r="JA246" i="4"/>
  <c r="HJ237" i="4"/>
  <c r="CK224" i="4"/>
  <c r="HJ210" i="4"/>
  <c r="EB264" i="4"/>
  <c r="EB207" i="4"/>
  <c r="JA206" i="4"/>
  <c r="CK206" i="4"/>
  <c r="JA204" i="4"/>
  <c r="EB199" i="4"/>
  <c r="EB296" i="4"/>
  <c r="FS258" i="4"/>
  <c r="HJ228" i="4"/>
  <c r="HJ224" i="4"/>
  <c r="FS183" i="4"/>
  <c r="JA182" i="4"/>
  <c r="CK182" i="4"/>
  <c r="FS222" i="4"/>
  <c r="HJ206" i="4"/>
  <c r="FS182" i="4"/>
  <c r="HJ181" i="4"/>
  <c r="HJ180" i="4"/>
  <c r="HJ166" i="4"/>
  <c r="CK133" i="4"/>
  <c r="HJ131" i="4"/>
  <c r="CK129" i="4"/>
  <c r="HJ127" i="4"/>
  <c r="CK125" i="4"/>
  <c r="HJ123" i="4"/>
  <c r="CK121" i="4"/>
  <c r="HJ119" i="4"/>
  <c r="CK117" i="4"/>
  <c r="HJ115" i="4"/>
  <c r="CK113" i="4"/>
  <c r="HJ111" i="4"/>
  <c r="CK109" i="4"/>
  <c r="FS104" i="4"/>
  <c r="HJ244" i="4"/>
  <c r="JA156" i="4"/>
  <c r="JA152" i="4"/>
  <c r="JA148" i="4"/>
  <c r="FS117" i="4"/>
  <c r="CK173" i="4"/>
  <c r="JA170" i="4"/>
  <c r="HJ135" i="4"/>
  <c r="HJ134" i="4"/>
  <c r="EB111" i="4"/>
  <c r="FS105" i="4"/>
  <c r="EB95" i="4"/>
  <c r="HJ87" i="4"/>
  <c r="JA82" i="4"/>
  <c r="EB75" i="4"/>
  <c r="CK74" i="4"/>
  <c r="CK70" i="4"/>
  <c r="JA66" i="4"/>
  <c r="HJ65" i="4"/>
  <c r="FS63" i="4"/>
  <c r="HJ51" i="4"/>
  <c r="JA45" i="4"/>
  <c r="HJ39" i="4"/>
  <c r="FS38" i="4"/>
  <c r="CK35" i="4"/>
  <c r="FS25" i="4"/>
  <c r="JA20" i="4"/>
  <c r="EB15" i="4"/>
  <c r="JA12" i="4"/>
  <c r="CK12" i="4"/>
  <c r="HJ146" i="4"/>
  <c r="HJ92" i="4"/>
  <c r="FS28" i="4"/>
  <c r="FS12" i="4"/>
  <c r="FS61" i="4"/>
  <c r="EB59" i="4"/>
  <c r="EB42" i="4"/>
  <c r="JA38" i="4"/>
  <c r="JA29" i="4"/>
  <c r="CK16" i="4"/>
  <c r="FS15" i="4"/>
  <c r="JA58" i="4"/>
  <c r="HJ55" i="4"/>
  <c r="JA297" i="4"/>
  <c r="FS296" i="4"/>
  <c r="FS295" i="4"/>
  <c r="CK276" i="4"/>
  <c r="EB273" i="4"/>
  <c r="FS291" i="4"/>
  <c r="JA272" i="4"/>
  <c r="EB269" i="4"/>
  <c r="EB265" i="4"/>
  <c r="EB262" i="4"/>
  <c r="JA260" i="4"/>
  <c r="JA239" i="4"/>
  <c r="CK221" i="4"/>
  <c r="CK267" i="4"/>
  <c r="CK246" i="4"/>
  <c r="CK230" i="4"/>
  <c r="CK226" i="4"/>
  <c r="HJ202" i="4"/>
  <c r="JA192" i="4"/>
  <c r="HJ186" i="4"/>
  <c r="FS175" i="4"/>
  <c r="FS253" i="4"/>
  <c r="HJ235" i="4"/>
  <c r="FS225" i="4"/>
  <c r="CK218" i="4"/>
  <c r="EB205" i="4"/>
  <c r="EB181" i="4"/>
  <c r="FS180" i="4"/>
  <c r="CK170" i="4"/>
  <c r="HJ138" i="4"/>
  <c r="JA134" i="4"/>
  <c r="EB132" i="4"/>
  <c r="CK89" i="4"/>
  <c r="JA86" i="4"/>
  <c r="FS83" i="4"/>
  <c r="HJ80" i="4"/>
  <c r="JA175" i="4"/>
  <c r="JA145" i="4"/>
  <c r="CK145" i="4"/>
  <c r="JA139" i="4"/>
  <c r="FS139" i="4"/>
  <c r="CK139" i="4"/>
  <c r="EB123" i="4"/>
  <c r="CK102" i="4"/>
  <c r="JA80" i="4"/>
  <c r="CK80" i="4"/>
  <c r="JA78" i="4"/>
  <c r="CK75" i="4"/>
  <c r="FS72" i="4"/>
  <c r="JA67" i="4"/>
  <c r="CK67" i="4"/>
  <c r="HJ57" i="4"/>
  <c r="EB53" i="4"/>
  <c r="EB40" i="4"/>
  <c r="HJ17" i="4"/>
  <c r="FS157" i="4"/>
  <c r="EB133" i="4"/>
  <c r="HJ130" i="4"/>
  <c r="FS126" i="4"/>
  <c r="EB120" i="4"/>
  <c r="JA101" i="4"/>
  <c r="EB97" i="4"/>
  <c r="FS77" i="4"/>
  <c r="FS71" i="4"/>
  <c r="CK57" i="4"/>
  <c r="CK54" i="4"/>
  <c r="JA46" i="4"/>
  <c r="JA41" i="4"/>
  <c r="EB28" i="4"/>
  <c r="EB26" i="4"/>
  <c r="EB22" i="4"/>
  <c r="HJ11" i="4"/>
  <c r="JA248" i="4"/>
  <c r="CK245" i="4"/>
  <c r="JA190" i="4"/>
  <c r="FS190" i="4"/>
  <c r="CK190" i="4"/>
  <c r="JA183" i="4"/>
  <c r="HJ179" i="4"/>
  <c r="FS259" i="4"/>
  <c r="EB248" i="4"/>
  <c r="HJ158" i="4"/>
  <c r="EB206" i="4"/>
  <c r="FS198" i="4"/>
  <c r="CK198" i="4"/>
  <c r="JA207" i="4"/>
  <c r="JA136" i="4"/>
  <c r="EB121" i="4"/>
  <c r="CK106" i="4"/>
  <c r="HJ89" i="4"/>
  <c r="EB85" i="4"/>
  <c r="FS57" i="4"/>
  <c r="CK51" i="4"/>
  <c r="FS45" i="4"/>
  <c r="CK28" i="4"/>
  <c r="EB72" i="4"/>
  <c r="EB64" i="4"/>
  <c r="FS17" i="4"/>
  <c r="JA147" i="4"/>
  <c r="FS147" i="4"/>
  <c r="CK147" i="4"/>
  <c r="HJ140" i="4"/>
  <c r="EB131" i="4"/>
  <c r="FS88" i="4"/>
  <c r="CK280" i="4"/>
  <c r="JA277" i="4"/>
  <c r="FS277" i="4"/>
  <c r="CK275" i="4"/>
  <c r="JA273" i="4"/>
  <c r="JA250" i="4"/>
  <c r="EB224" i="4"/>
  <c r="JA184" i="4"/>
  <c r="FS177" i="4"/>
  <c r="FS218" i="4"/>
  <c r="CK217" i="4"/>
  <c r="FS142" i="4"/>
  <c r="EB117" i="4"/>
  <c r="FS110" i="4"/>
  <c r="JA94" i="4"/>
  <c r="CK44" i="4"/>
  <c r="JA26" i="4"/>
  <c r="HJ13" i="4"/>
  <c r="CK34" i="4"/>
  <c r="CK163" i="4"/>
  <c r="JA151" i="4"/>
  <c r="HJ76" i="4"/>
  <c r="FS70" i="4"/>
  <c r="EB48" i="4"/>
  <c r="CK264" i="4"/>
  <c r="CK256" i="4"/>
  <c r="CK255" i="4"/>
  <c r="CK243" i="4"/>
  <c r="JA113" i="4"/>
  <c r="JA287" i="4"/>
  <c r="HJ124" i="4"/>
  <c r="HJ279" i="4"/>
  <c r="EB277" i="4"/>
  <c r="JA32" i="4"/>
  <c r="EB16" i="4"/>
  <c r="JA210" i="4"/>
  <c r="JA198" i="4"/>
  <c r="JA121" i="4"/>
  <c r="FS103" i="4"/>
  <c r="JA102" i="4"/>
  <c r="EB96" i="4"/>
  <c r="HJ196" i="4"/>
  <c r="HJ174" i="4"/>
  <c r="HJ160" i="4"/>
  <c r="EB147" i="4"/>
  <c r="HJ104" i="4"/>
  <c r="FS49" i="4"/>
  <c r="HJ43" i="4"/>
  <c r="EB39" i="4"/>
  <c r="JA13" i="4"/>
  <c r="FS299" i="4"/>
  <c r="FS298" i="4"/>
  <c r="EB297" i="4"/>
  <c r="CK263" i="4"/>
  <c r="EB236" i="4"/>
  <c r="JA231" i="4"/>
  <c r="JA214" i="4"/>
  <c r="HJ198" i="4"/>
  <c r="JA193" i="4"/>
  <c r="JA259" i="4"/>
  <c r="EB251" i="4"/>
  <c r="FS266" i="4"/>
  <c r="EB245" i="4"/>
  <c r="EB155" i="4"/>
  <c r="CK143" i="4"/>
  <c r="CK225" i="4"/>
  <c r="FS214" i="4"/>
  <c r="HJ204" i="4"/>
  <c r="CK152" i="4"/>
  <c r="HJ136" i="4"/>
  <c r="EB128" i="4"/>
  <c r="JA125" i="4"/>
  <c r="FS118" i="4"/>
  <c r="FS106" i="4"/>
  <c r="JA98" i="4"/>
  <c r="FS98" i="4"/>
  <c r="CK94" i="4"/>
  <c r="EB51" i="4"/>
  <c r="HJ36" i="4"/>
  <c r="FS21" i="4"/>
  <c r="EB143" i="4"/>
  <c r="EB79" i="4"/>
  <c r="EB47" i="4"/>
  <c r="FS146" i="4"/>
  <c r="CK135" i="4"/>
  <c r="HJ112" i="4"/>
  <c r="CK278" i="4"/>
  <c r="HJ225" i="4"/>
  <c r="CK188" i="4"/>
  <c r="JA176" i="4"/>
  <c r="EB164" i="4"/>
  <c r="EB162" i="4"/>
  <c r="JA129" i="4"/>
  <c r="JA51" i="4"/>
  <c r="JA160" i="4"/>
  <c r="CK118" i="4"/>
  <c r="HJ71" i="4"/>
  <c r="HJ26" i="4"/>
  <c r="JA157" i="4"/>
  <c r="CK78" i="4"/>
  <c r="FS74" i="4"/>
  <c r="FS66" i="4"/>
  <c r="EB60" i="4"/>
  <c r="FS263" i="4"/>
  <c r="FS235" i="4"/>
  <c r="JA222" i="4"/>
  <c r="FS221" i="4"/>
  <c r="CK126" i="4"/>
  <c r="HJ281" i="4"/>
  <c r="EB275" i="4"/>
  <c r="HJ270" i="4"/>
  <c r="HJ284" i="4"/>
  <c r="JA60" i="4"/>
  <c r="HJ52" i="4"/>
  <c r="EB18" i="4"/>
  <c r="FS211" i="4"/>
  <c r="CK211" i="4"/>
  <c r="JA200" i="4"/>
  <c r="CK95" i="4"/>
  <c r="EB196" i="4"/>
  <c r="HJ188" i="4"/>
  <c r="EB175" i="4"/>
  <c r="HJ147" i="4"/>
  <c r="JA85" i="4"/>
  <c r="CK81" i="4"/>
  <c r="CK77" i="4"/>
  <c r="JA53" i="4"/>
  <c r="HJ283" i="4"/>
  <c r="JA245" i="4"/>
  <c r="EB197" i="4"/>
  <c r="CK184" i="4"/>
  <c r="EB249" i="4"/>
  <c r="FS238" i="4"/>
  <c r="CK156" i="4"/>
  <c r="HJ155" i="4"/>
  <c r="EB151" i="4"/>
  <c r="JA227" i="4"/>
  <c r="CK227" i="4"/>
  <c r="EB204" i="4"/>
  <c r="CK179" i="4"/>
  <c r="JA140" i="4"/>
  <c r="EB115" i="4"/>
  <c r="FS68" i="4"/>
  <c r="CK110" i="4"/>
  <c r="EB19" i="4"/>
  <c r="EB27" i="4"/>
  <c r="FS99" i="4"/>
  <c r="CK96" i="4"/>
  <c r="HJ75" i="4"/>
  <c r="JA300" i="4"/>
  <c r="JA276" i="4"/>
  <c r="JA267" i="4"/>
  <c r="FS188" i="4"/>
  <c r="FS184" i="4"/>
  <c r="HJ162" i="4"/>
  <c r="CK192" i="4"/>
  <c r="CK148" i="4"/>
  <c r="EB161" i="4"/>
  <c r="FS141" i="4"/>
  <c r="JA109" i="4"/>
  <c r="HJ100" i="4"/>
  <c r="EB100" i="4"/>
  <c r="CK82" i="4"/>
  <c r="EB61" i="4"/>
  <c r="JA44" i="4"/>
  <c r="EB67" i="4"/>
  <c r="EB36" i="4"/>
  <c r="HJ293" i="4"/>
  <c r="JA167" i="4"/>
  <c r="JA164" i="4"/>
  <c r="JA162" i="4"/>
  <c r="FS158" i="4"/>
  <c r="HJ114" i="4"/>
  <c r="HJ88" i="4"/>
  <c r="HJ84" i="4"/>
  <c r="EB68" i="4"/>
  <c r="HJ37" i="4"/>
  <c r="CK283" i="4"/>
  <c r="JA291" i="4"/>
  <c r="JA283" i="4"/>
  <c r="EB124" i="4"/>
  <c r="EB107" i="4"/>
  <c r="HJ265" i="4"/>
  <c r="HJ18" i="4"/>
  <c r="HJ16" i="4"/>
  <c r="FS102" i="4"/>
  <c r="JA95" i="4"/>
  <c r="EB41" i="4"/>
  <c r="FS39" i="4"/>
  <c r="EB188" i="4"/>
  <c r="EB174" i="4"/>
  <c r="HJ170" i="4"/>
  <c r="HJ159" i="4"/>
  <c r="EB104" i="4"/>
  <c r="FS85" i="4"/>
  <c r="FS81" i="4"/>
  <c r="JA299" i="4"/>
  <c r="CK299" i="4"/>
  <c r="EB289" i="4"/>
  <c r="EB285" i="4"/>
  <c r="JA219" i="4"/>
  <c r="JA199" i="4"/>
  <c r="CK197" i="4"/>
  <c r="FS193" i="4"/>
  <c r="FS192" i="4"/>
  <c r="CK259" i="4"/>
  <c r="HJ249" i="4"/>
  <c r="EB159" i="4"/>
  <c r="CK282" i="4"/>
  <c r="JA161" i="4"/>
  <c r="EB219" i="4"/>
  <c r="CK210" i="4"/>
  <c r="HJ128" i="4"/>
  <c r="JA117" i="4"/>
  <c r="JA105" i="4"/>
  <c r="EB91" i="4"/>
  <c r="FS90" i="4"/>
  <c r="HJ77" i="4"/>
  <c r="HJ44" i="4"/>
  <c r="EB35" i="4"/>
  <c r="CK149" i="4"/>
  <c r="FS134" i="4"/>
  <c r="EB112" i="4"/>
  <c r="CK101" i="4"/>
  <c r="JA96" i="4"/>
  <c r="HJ95" i="4"/>
  <c r="EB83" i="4"/>
  <c r="FS280" i="4"/>
  <c r="JA278" i="4"/>
  <c r="JA269" i="4"/>
  <c r="FS269" i="4"/>
  <c r="CK269" i="4"/>
  <c r="JA188" i="4"/>
  <c r="JA185" i="4"/>
  <c r="JA141" i="4"/>
  <c r="HJ73" i="4"/>
  <c r="CK59" i="4"/>
  <c r="JA11" i="4"/>
  <c r="EB293" i="4"/>
  <c r="EB227" i="4"/>
  <c r="FS167" i="4"/>
  <c r="CK167" i="4"/>
  <c r="CK164" i="4"/>
  <c r="JA163" i="4"/>
  <c r="FS151" i="4"/>
  <c r="EB80" i="4"/>
  <c r="HJ40" i="4"/>
  <c r="HJ25" i="4"/>
  <c r="JA256" i="4"/>
  <c r="JA255" i="4"/>
  <c r="JA235" i="4"/>
  <c r="CK235" i="4"/>
  <c r="CK222" i="4"/>
  <c r="JA211" i="4"/>
  <c r="JA289" i="4"/>
  <c r="HJ274" i="4"/>
  <c r="HJ263" i="4"/>
  <c r="JA54" i="4"/>
  <c r="JA201" i="4"/>
  <c r="CK97" i="4"/>
  <c r="EB166" i="4"/>
  <c r="HJ143" i="4"/>
  <c r="CK85" i="4"/>
  <c r="HJ47" i="4"/>
  <c r="CK41" i="4"/>
  <c r="AT269" i="4"/>
  <c r="AT117" i="4"/>
  <c r="AT267" i="4"/>
  <c r="AT170" i="4"/>
  <c r="AT147" i="4"/>
  <c r="AT152" i="4"/>
  <c r="AT249" i="4"/>
  <c r="AT223" i="4"/>
  <c r="AT275" i="4"/>
  <c r="AT262" i="4"/>
  <c r="AT207" i="4"/>
  <c r="AT183" i="4"/>
  <c r="AT179" i="4"/>
  <c r="AT148" i="4"/>
  <c r="AT139" i="4"/>
  <c r="AT270" i="4"/>
  <c r="AT261" i="4"/>
  <c r="AT247" i="4"/>
  <c r="AT188" i="4"/>
  <c r="AT136" i="4"/>
  <c r="AT151" i="4"/>
  <c r="AT138" i="4"/>
  <c r="AT266" i="4"/>
  <c r="AT174" i="4"/>
  <c r="AT156" i="4"/>
  <c r="AT133" i="4"/>
  <c r="AT124" i="4"/>
  <c r="AT131" i="4"/>
  <c r="AT199" i="4"/>
  <c r="AT274" i="4"/>
  <c r="AT180" i="4"/>
  <c r="AT176" i="4"/>
  <c r="AT127" i="4"/>
  <c r="AT289" i="4"/>
  <c r="AT273" i="4"/>
  <c r="AT182" i="4"/>
  <c r="AT195" i="4"/>
  <c r="AT190" i="4"/>
  <c r="AT250" i="4"/>
  <c r="AT297" i="4"/>
  <c r="AT264" i="4"/>
  <c r="AT192" i="4"/>
  <c r="AT104" i="4"/>
  <c r="AT253" i="4"/>
  <c r="AT241" i="4"/>
  <c r="AT233" i="4"/>
  <c r="AT222" i="4"/>
  <c r="AT108" i="4"/>
  <c r="AT298" i="4"/>
  <c r="AT284" i="4"/>
  <c r="AT280" i="4"/>
  <c r="AT214" i="4"/>
  <c r="AT276" i="4"/>
  <c r="AT292" i="4"/>
  <c r="AT283" i="4"/>
  <c r="AT107" i="4"/>
  <c r="AT288" i="4"/>
  <c r="AT244" i="4"/>
  <c r="AT228" i="4"/>
  <c r="AT272" i="4"/>
  <c r="AT209" i="4"/>
  <c r="AT198" i="4"/>
  <c r="AT211" i="4"/>
  <c r="AT208" i="4"/>
  <c r="AT146" i="4"/>
  <c r="AT134" i="4"/>
  <c r="AT119" i="4"/>
  <c r="AT102" i="4"/>
  <c r="AT129" i="4"/>
  <c r="AT121" i="4"/>
  <c r="AT105" i="4"/>
  <c r="AT295" i="4"/>
  <c r="AT263" i="4"/>
  <c r="AT257" i="4"/>
  <c r="AT245" i="4"/>
  <c r="AT219" i="4"/>
  <c r="AT202" i="4"/>
  <c r="AT186" i="4"/>
  <c r="AT259" i="4"/>
  <c r="AT239" i="4"/>
  <c r="AT172" i="4"/>
  <c r="AT159" i="4"/>
  <c r="AT155" i="4"/>
  <c r="AT130" i="4"/>
  <c r="AT125" i="4"/>
  <c r="AT122" i="4"/>
  <c r="AT111" i="4"/>
  <c r="AT150" i="4"/>
  <c r="AT140" i="4"/>
  <c r="AT126" i="4"/>
  <c r="AT116" i="4"/>
  <c r="AT115" i="4"/>
  <c r="AT287" i="4"/>
  <c r="AT237" i="4"/>
  <c r="AT206" i="4"/>
  <c r="AT143" i="4"/>
  <c r="AT204" i="4"/>
  <c r="AT191" i="4"/>
  <c r="AT278" i="4"/>
  <c r="AT142" i="4"/>
  <c r="AT132" i="4"/>
  <c r="AT160" i="4"/>
  <c r="AT154" i="4"/>
  <c r="AT112" i="4"/>
  <c r="AT158" i="4"/>
  <c r="AT110" i="4"/>
  <c r="AT118" i="4"/>
  <c r="AT163" i="4"/>
  <c r="AT240" i="4"/>
  <c r="AT99" i="4"/>
  <c r="AT252" i="4"/>
  <c r="AT230" i="4"/>
  <c r="AT286" i="4"/>
  <c r="AT282" i="4"/>
  <c r="AT215" i="4"/>
  <c r="AT285" i="4"/>
  <c r="AT231" i="4"/>
  <c r="AT235" i="4"/>
  <c r="AT227" i="4"/>
  <c r="AT220" i="4"/>
  <c r="AT212" i="4"/>
  <c r="AT161" i="4"/>
  <c r="AT232" i="4"/>
  <c r="AT217" i="4"/>
  <c r="AT213" i="4"/>
  <c r="AT162" i="4"/>
  <c r="AT106" i="4"/>
  <c r="AT300" i="4"/>
  <c r="AT193" i="4"/>
  <c r="AT201" i="4"/>
  <c r="AT103" i="4"/>
  <c r="AT168" i="4"/>
  <c r="AT196" i="4"/>
  <c r="AT177" i="4"/>
  <c r="AT194" i="4"/>
  <c r="AT178" i="4"/>
  <c r="AT185" i="4"/>
  <c r="AT164" i="4"/>
  <c r="AT175" i="4"/>
  <c r="AT242" i="4"/>
  <c r="AT101" i="4"/>
  <c r="AT149" i="4"/>
  <c r="AT100" i="4"/>
  <c r="AT197" i="4"/>
  <c r="AT109" i="4"/>
  <c r="AT248" i="4"/>
  <c r="AT268" i="4"/>
  <c r="AT165" i="4"/>
  <c r="AT279" i="4"/>
  <c r="AT277" i="4"/>
  <c r="AT291" i="4"/>
  <c r="AT256" i="4"/>
  <c r="AT216" i="4"/>
  <c r="AT169" i="4"/>
  <c r="AT145" i="4"/>
  <c r="AT200" i="4"/>
  <c r="AT184" i="4"/>
  <c r="AT135" i="4"/>
  <c r="AT128" i="4"/>
  <c r="AT120" i="4"/>
  <c r="AT113" i="4"/>
  <c r="AT157" i="4"/>
  <c r="AT141" i="4"/>
  <c r="AT293" i="4"/>
  <c r="AT290" i="4"/>
  <c r="AT265" i="4"/>
  <c r="AT258" i="4"/>
  <c r="AT260" i="4"/>
  <c r="AT255" i="4"/>
  <c r="AT251" i="4"/>
  <c r="AT218" i="4"/>
  <c r="AT171" i="4"/>
  <c r="AT144" i="4"/>
  <c r="AT123" i="4"/>
  <c r="AT173" i="4"/>
  <c r="AT187" i="4"/>
  <c r="AT225" i="4"/>
  <c r="AT281" i="4"/>
  <c r="AT254" i="4"/>
  <c r="AT236" i="4"/>
  <c r="AT229" i="4"/>
  <c r="AT243" i="4"/>
  <c r="AT226" i="4"/>
  <c r="AT221" i="4"/>
  <c r="AT167" i="4"/>
  <c r="AT189" i="4"/>
  <c r="AT203" i="4"/>
  <c r="AT153" i="4"/>
  <c r="AT137" i="4"/>
  <c r="AT210" i="4"/>
  <c r="AT205" i="4"/>
  <c r="AT296" i="4"/>
  <c r="AT234" i="4"/>
  <c r="AT224" i="4"/>
  <c r="AT166" i="4"/>
  <c r="AT299" i="4"/>
  <c r="AT271" i="4"/>
  <c r="AT181" i="4"/>
  <c r="AT294" i="4"/>
  <c r="AT246" i="4"/>
  <c r="HU10" i="4"/>
  <c r="AT114" i="4"/>
  <c r="AT98" i="4"/>
  <c r="AT238" i="4"/>
  <c r="AR73" i="4" l="1"/>
  <c r="AR75" i="4"/>
  <c r="AR74" i="4"/>
  <c r="AL70" i="4"/>
  <c r="AL68" i="4"/>
  <c r="AF64" i="4"/>
  <c r="AF63" i="4"/>
  <c r="AL15" i="4"/>
  <c r="AL12" i="4"/>
  <c r="AL11" i="4"/>
  <c r="AF66" i="4"/>
  <c r="AF65" i="4"/>
  <c r="AL71" i="4"/>
  <c r="AF69" i="4"/>
  <c r="AF68" i="4"/>
  <c r="AL67" i="4"/>
  <c r="AL63" i="4"/>
  <c r="AF13" i="4"/>
  <c r="AF70" i="4"/>
  <c r="AL66" i="4"/>
  <c r="AL65" i="4"/>
  <c r="AL16" i="4"/>
  <c r="AL14" i="4"/>
  <c r="AF11" i="4"/>
  <c r="AF14" i="4"/>
  <c r="AF12" i="4"/>
  <c r="AF71" i="4"/>
  <c r="AL69" i="4"/>
  <c r="AF67" i="4"/>
  <c r="AL64" i="4"/>
  <c r="AF15" i="4"/>
  <c r="AL13" i="4"/>
  <c r="AF16" i="4"/>
  <c r="AL86" i="4"/>
  <c r="AL82" i="4"/>
  <c r="AL85" i="4"/>
  <c r="AF84" i="4"/>
  <c r="AL84" i="4"/>
  <c r="AF85" i="4"/>
  <c r="AF86" i="4"/>
  <c r="AF82" i="4"/>
  <c r="AF90" i="4"/>
  <c r="AL89" i="4"/>
  <c r="AF88" i="4"/>
  <c r="AL90" i="4"/>
  <c r="AF89" i="4"/>
  <c r="AL87" i="4"/>
  <c r="AF91" i="4"/>
  <c r="AL88" i="4"/>
  <c r="AF87" i="4"/>
  <c r="AL91" i="4"/>
  <c r="AL74" i="4"/>
  <c r="AF73" i="4"/>
  <c r="AF75" i="4"/>
  <c r="AL73" i="4"/>
  <c r="AF74" i="4"/>
  <c r="AL75" i="4"/>
  <c r="AF41" i="4"/>
  <c r="AL40" i="4"/>
  <c r="AL35" i="4"/>
  <c r="AL34" i="4"/>
  <c r="AL28" i="4"/>
  <c r="AL26" i="4"/>
  <c r="AL23" i="4"/>
  <c r="AF22" i="4"/>
  <c r="AL21" i="4"/>
  <c r="AF20" i="4"/>
  <c r="AL18" i="4"/>
  <c r="AF17" i="4"/>
  <c r="AF39" i="4"/>
  <c r="AF38" i="4"/>
  <c r="AL37" i="4"/>
  <c r="AF36" i="4"/>
  <c r="AL33" i="4"/>
  <c r="AF32" i="4"/>
  <c r="AF40" i="4"/>
  <c r="AF35" i="4"/>
  <c r="AF31" i="4"/>
  <c r="AL29" i="4"/>
  <c r="AF27" i="4"/>
  <c r="AL22" i="4"/>
  <c r="AL20" i="4"/>
  <c r="AL19" i="4"/>
  <c r="AL41" i="4"/>
  <c r="AL39" i="4"/>
  <c r="AL38" i="4"/>
  <c r="AF37" i="4"/>
  <c r="AL36" i="4"/>
  <c r="AF33" i="4"/>
  <c r="AL32" i="4"/>
  <c r="AL30" i="4"/>
  <c r="AF26" i="4"/>
  <c r="AL25" i="4"/>
  <c r="AF24" i="4"/>
  <c r="AL17" i="4"/>
  <c r="AF28" i="4"/>
  <c r="AL24" i="4"/>
  <c r="AF34" i="4"/>
  <c r="AL31" i="4"/>
  <c r="AF29" i="4"/>
  <c r="AL27" i="4"/>
  <c r="AF23" i="4"/>
  <c r="AF21" i="4"/>
  <c r="AF19" i="4"/>
  <c r="AF18" i="4"/>
  <c r="AF30" i="4"/>
  <c r="AF25" i="4"/>
  <c r="AF77" i="4"/>
  <c r="AL76" i="4"/>
  <c r="AL77" i="4"/>
  <c r="AF76" i="4"/>
  <c r="AF79" i="4"/>
  <c r="AF78" i="4"/>
  <c r="AL79" i="4"/>
  <c r="AL78" i="4"/>
  <c r="AL83" i="4"/>
  <c r="AL81" i="4"/>
  <c r="AF80" i="4"/>
  <c r="AF83" i="4"/>
  <c r="AF81" i="4"/>
  <c r="AL80" i="4"/>
  <c r="AR47" i="4"/>
  <c r="AR44" i="4"/>
  <c r="AR46" i="4"/>
  <c r="AR49" i="4"/>
  <c r="AR48" i="4"/>
  <c r="AR45" i="4"/>
  <c r="AR43" i="4"/>
  <c r="AR42" i="4"/>
  <c r="AL61" i="4"/>
  <c r="AF60" i="4"/>
  <c r="AL62" i="4"/>
  <c r="AF61" i="4"/>
  <c r="AL60" i="4"/>
  <c r="AF62" i="4"/>
  <c r="AR41" i="4"/>
  <c r="AR20" i="4"/>
  <c r="AR17" i="4"/>
  <c r="AR39" i="4"/>
  <c r="AR38" i="4"/>
  <c r="AR36" i="4"/>
  <c r="AR34" i="4"/>
  <c r="AR32" i="4"/>
  <c r="AR72" i="4"/>
  <c r="AR31" i="4"/>
  <c r="AR28" i="4"/>
  <c r="AR27" i="4"/>
  <c r="AR40" i="4"/>
  <c r="AR37" i="4"/>
  <c r="AR35" i="4"/>
  <c r="AR33" i="4"/>
  <c r="AR24" i="4"/>
  <c r="AR30" i="4"/>
  <c r="AR25" i="4"/>
  <c r="AR21" i="4"/>
  <c r="AR18" i="4"/>
  <c r="AR26" i="4"/>
  <c r="AR22" i="4"/>
  <c r="AR19" i="4"/>
  <c r="AR23" i="4"/>
  <c r="AR64" i="4"/>
  <c r="AR63" i="4"/>
  <c r="AR66" i="4"/>
  <c r="AR65" i="4"/>
  <c r="AR69" i="4"/>
  <c r="AR13" i="4"/>
  <c r="AR12" i="4"/>
  <c r="AR68" i="4"/>
  <c r="AR16" i="4"/>
  <c r="AR15" i="4"/>
  <c r="AR71" i="4"/>
  <c r="AR70" i="4"/>
  <c r="AR67" i="4"/>
  <c r="AR11" i="4"/>
  <c r="AR14" i="4"/>
  <c r="AR79" i="4"/>
  <c r="AR78" i="4"/>
  <c r="AL49" i="4"/>
  <c r="AL48" i="4"/>
  <c r="AF47" i="4"/>
  <c r="AL46" i="4"/>
  <c r="AL45" i="4"/>
  <c r="AF44" i="4"/>
  <c r="AL43" i="4"/>
  <c r="AF49" i="4"/>
  <c r="AL44" i="4"/>
  <c r="AF48" i="4"/>
  <c r="AL47" i="4"/>
  <c r="AF45" i="4"/>
  <c r="AL42" i="4"/>
  <c r="AF43" i="4"/>
  <c r="AF46" i="4"/>
  <c r="AF42" i="4"/>
  <c r="AR60" i="4"/>
  <c r="AR61" i="4"/>
  <c r="AR62" i="4"/>
  <c r="AF72" i="4"/>
  <c r="AL72" i="4"/>
  <c r="AR77" i="4"/>
  <c r="AR76" i="4"/>
  <c r="AR84" i="4"/>
  <c r="AR86" i="4"/>
  <c r="AR82" i="4"/>
  <c r="AR80" i="4"/>
  <c r="AR85" i="4"/>
  <c r="AR83" i="4"/>
  <c r="AR81" i="4"/>
  <c r="AR29" i="4"/>
  <c r="AR90" i="4"/>
  <c r="AR89" i="4"/>
  <c r="AR91" i="4"/>
  <c r="AR88" i="4"/>
  <c r="AR87" i="4"/>
  <c r="AL97" i="4"/>
  <c r="AL96" i="4"/>
  <c r="AF95" i="4"/>
  <c r="AL94" i="4"/>
  <c r="AL93" i="4"/>
  <c r="AF92" i="4"/>
  <c r="AF97" i="4"/>
  <c r="AF94" i="4"/>
  <c r="AF93" i="4"/>
  <c r="AL95" i="4"/>
  <c r="AL92" i="4"/>
  <c r="AF96" i="4"/>
  <c r="AR59" i="4"/>
  <c r="AT59" i="4" s="1"/>
  <c r="AR57" i="4"/>
  <c r="AT57" i="4" s="1"/>
  <c r="AR53" i="4"/>
  <c r="AT53" i="4" s="1"/>
  <c r="AR55" i="4"/>
  <c r="AT55" i="4" s="1"/>
  <c r="AR54" i="4"/>
  <c r="AT54" i="4" s="1"/>
  <c r="AR51" i="4"/>
  <c r="AT51" i="4" s="1"/>
  <c r="AR50" i="4"/>
  <c r="AT50" i="4" s="1"/>
  <c r="AR58" i="4"/>
  <c r="AT58" i="4" s="1"/>
  <c r="AR56" i="4"/>
  <c r="AT56" i="4" s="1"/>
  <c r="AR52" i="4"/>
  <c r="AT52" i="4" s="1"/>
  <c r="D8" i="4" l="1"/>
  <c r="J8" i="4" s="1"/>
  <c r="P8" i="4" s="1"/>
  <c r="AT94" i="4"/>
  <c r="AT45" i="4"/>
  <c r="AT42" i="4"/>
  <c r="AT49" i="4"/>
  <c r="AT74" i="4"/>
  <c r="AT43" i="4"/>
  <c r="AT96" i="4"/>
  <c r="AT75" i="4"/>
  <c r="AT29" i="4"/>
  <c r="AT76" i="4"/>
  <c r="AT48" i="4"/>
  <c r="AT60" i="4"/>
  <c r="AT46" i="4"/>
  <c r="AT72" i="4"/>
  <c r="AT80" i="4"/>
  <c r="AT30" i="4"/>
  <c r="AT23" i="4"/>
  <c r="AT34" i="4"/>
  <c r="AT24" i="4"/>
  <c r="AT39" i="4"/>
  <c r="AT41" i="4"/>
  <c r="AT89" i="4"/>
  <c r="AT90" i="4"/>
  <c r="AT11" i="4"/>
  <c r="AT97" i="4"/>
  <c r="AT95" i="4"/>
  <c r="AT47" i="4"/>
  <c r="AT61" i="4"/>
  <c r="AT78" i="4"/>
  <c r="AT18" i="4"/>
  <c r="AT33" i="4"/>
  <c r="AT22" i="4"/>
  <c r="AT35" i="4"/>
  <c r="AT36" i="4"/>
  <c r="AT17" i="4"/>
  <c r="AT73" i="4"/>
  <c r="AT82" i="4"/>
  <c r="AT84" i="4"/>
  <c r="AT15" i="4"/>
  <c r="AT71" i="4"/>
  <c r="AT70" i="4"/>
  <c r="AT68" i="4"/>
  <c r="AT66" i="4"/>
  <c r="AT63" i="4"/>
  <c r="AT92" i="4"/>
  <c r="AT44" i="4"/>
  <c r="AT81" i="4"/>
  <c r="AT79" i="4"/>
  <c r="AT77" i="4"/>
  <c r="AT19" i="4"/>
  <c r="AT28" i="4"/>
  <c r="AT26" i="4"/>
  <c r="AT27" i="4"/>
  <c r="AT40" i="4"/>
  <c r="AT91" i="4"/>
  <c r="AT88" i="4"/>
  <c r="AT86" i="4"/>
  <c r="AT12" i="4"/>
  <c r="AT13" i="4"/>
  <c r="AT69" i="4"/>
  <c r="AT64" i="4"/>
  <c r="AT93" i="4"/>
  <c r="AT62" i="4"/>
  <c r="AT83" i="4"/>
  <c r="AT25" i="4"/>
  <c r="AT21" i="4"/>
  <c r="AT31" i="4"/>
  <c r="AT37" i="4"/>
  <c r="AT32" i="4"/>
  <c r="AT38" i="4"/>
  <c r="AT20" i="4"/>
  <c r="AT87" i="4"/>
  <c r="AT85" i="4"/>
  <c r="AT16" i="4"/>
  <c r="AT67" i="4"/>
  <c r="AT14" i="4"/>
  <c r="AT65" i="4"/>
  <c r="FX10" i="4"/>
  <c r="GV10" i="4"/>
  <c r="HO10" i="4"/>
  <c r="IY10" i="4"/>
  <c r="IM10" i="4"/>
  <c r="IA10" i="4"/>
  <c r="HH10" i="4"/>
  <c r="GD10" i="4"/>
  <c r="FQ10" i="4"/>
  <c r="ES10" i="4"/>
  <c r="DT10" i="4"/>
  <c r="DB10" i="4"/>
  <c r="CI10" i="4"/>
  <c r="BQ10" i="4"/>
  <c r="BK10" i="4"/>
  <c r="IG10" i="4"/>
  <c r="HB10" i="4"/>
  <c r="DH10" i="4"/>
  <c r="CV10" i="4"/>
  <c r="CP10" i="4"/>
  <c r="BE10" i="4"/>
  <c r="GP10" i="4"/>
  <c r="EM10" i="4"/>
  <c r="FK10" i="4"/>
  <c r="BW10" i="4"/>
  <c r="CC10" i="4"/>
  <c r="V8" i="4" l="1"/>
  <c r="AB8" i="4" s="1"/>
  <c r="AH8" i="4" s="1"/>
  <c r="AN8" i="4" s="1"/>
  <c r="AU8" i="4" s="1"/>
  <c r="BA8" i="4" s="1"/>
  <c r="BG8" i="4" s="1"/>
  <c r="AY10" i="4"/>
  <c r="CK10" i="4" s="1"/>
  <c r="DZ10" i="4"/>
  <c r="IS10" i="4"/>
  <c r="JA10" i="4" s="1"/>
  <c r="FE10" i="4"/>
  <c r="GJ10" i="4"/>
  <c r="HJ10" i="4" s="1"/>
  <c r="EG10" i="4"/>
  <c r="EY10" i="4"/>
  <c r="DN10" i="4"/>
  <c r="EB10" i="4" l="1"/>
  <c r="FS10" i="4"/>
  <c r="AF10" i="4" l="1"/>
  <c r="AL10" i="4" l="1"/>
  <c r="Z10" i="4"/>
  <c r="N10" i="4"/>
  <c r="AR10" i="4"/>
  <c r="T10" i="4"/>
  <c r="H10" i="4" l="1"/>
  <c r="AT10" i="4" s="1"/>
  <c r="B10" i="4"/>
  <c r="BM8" i="4" l="1"/>
  <c r="BS8" i="4" l="1"/>
  <c r="BY8" i="4" l="1"/>
  <c r="CE8" i="4" l="1"/>
  <c r="CL8" i="4" l="1"/>
  <c r="CR8" i="4" l="1"/>
  <c r="CX8" i="4" l="1"/>
  <c r="DD8" i="4" l="1"/>
  <c r="DJ8" i="4" l="1"/>
  <c r="DP8" i="4" l="1"/>
  <c r="DV8" i="4" l="1"/>
  <c r="EC8" i="4" l="1"/>
  <c r="EI8" i="4" s="1"/>
  <c r="EO8" i="4" s="1"/>
  <c r="EU8" i="4" s="1"/>
  <c r="FA8" i="4" s="1"/>
  <c r="FG8" i="4" s="1"/>
  <c r="FM8" i="4" s="1"/>
  <c r="FT8" i="4" s="1"/>
  <c r="FZ8" i="4" s="1"/>
  <c r="GF8" i="4" s="1"/>
  <c r="GL8" i="4" s="1"/>
  <c r="GR8" i="4" s="1"/>
  <c r="GX8" i="4" s="1"/>
  <c r="HD8" i="4" s="1"/>
  <c r="HK8" i="4" s="1"/>
  <c r="HQ8" i="4" s="1"/>
  <c r="HW8" i="4" s="1"/>
  <c r="IC8" i="4" s="1"/>
  <c r="II8" i="4" s="1"/>
  <c r="IO8" i="4" s="1"/>
  <c r="IU8" i="4" s="1"/>
</calcChain>
</file>

<file path=xl/sharedStrings.xml><?xml version="1.0" encoding="utf-8"?>
<sst xmlns="http://schemas.openxmlformats.org/spreadsheetml/2006/main" count="357" uniqueCount="66">
  <si>
    <t>HORARIO PROGRAMADO</t>
  </si>
  <si>
    <t>DOMINGO</t>
  </si>
  <si>
    <t>LUNES</t>
  </si>
  <si>
    <t>MARTES</t>
  </si>
  <si>
    <t>JUEVES</t>
  </si>
  <si>
    <t>VIERNES</t>
  </si>
  <si>
    <t>COD.</t>
  </si>
  <si>
    <t>EMPLEADO</t>
  </si>
  <si>
    <t>Total</t>
  </si>
  <si>
    <t>TOTAL</t>
  </si>
  <si>
    <t>CODIGO</t>
  </si>
  <si>
    <t>NOMBRE</t>
  </si>
  <si>
    <t>MES:</t>
  </si>
  <si>
    <t>SECCIÓN</t>
  </si>
  <si>
    <t>RECURSOS HUMANOS</t>
  </si>
  <si>
    <t>AÑO:</t>
  </si>
  <si>
    <t>MIÉRCOLES</t>
  </si>
  <si>
    <t>SÁBADO</t>
  </si>
  <si>
    <t>DEPTO:</t>
  </si>
  <si>
    <t>1ra SEMANA</t>
  </si>
  <si>
    <t>2da SEMANA</t>
  </si>
  <si>
    <t>3ra SEMANA</t>
  </si>
  <si>
    <t>4ta SEMANA</t>
  </si>
  <si>
    <t>5ta SEMANA</t>
  </si>
  <si>
    <t>6ta SEMANA</t>
  </si>
  <si>
    <t>Horario 1</t>
  </si>
  <si>
    <t>Horario 2</t>
  </si>
  <si>
    <t>Total Horas</t>
  </si>
  <si>
    <t>Semanas:</t>
  </si>
  <si>
    <t>.</t>
  </si>
  <si>
    <t>EMPRESA XYZ, S.A DE C.V</t>
  </si>
  <si>
    <t>PROGRAMACIÓN DE HORARIOS</t>
  </si>
  <si>
    <t>DEPARTAMENTO O SECCIÓN</t>
  </si>
  <si>
    <t>JUAN JAIME VENTURA</t>
  </si>
  <si>
    <t>CONTABILIDAD</t>
  </si>
  <si>
    <t>SONIA MARGARITA HERNANDEZ</t>
  </si>
  <si>
    <t>ANA MARIA GONZALEZ</t>
  </si>
  <si>
    <t>VENTAS</t>
  </si>
  <si>
    <t>GLORIA MERCEDES PEREZ</t>
  </si>
  <si>
    <t>MANUEL ANTONIO BOLAÑOS</t>
  </si>
  <si>
    <t>MANTENIMIENTO</t>
  </si>
  <si>
    <t>JAIME JOEL AGUIRRE</t>
  </si>
  <si>
    <t>CLAUDIA MARIA DE GONZALEZ</t>
  </si>
  <si>
    <t>EVER ANTONIO RODRIGUEZ</t>
  </si>
  <si>
    <t>INFORMATICA</t>
  </si>
  <si>
    <t>HORARIO</t>
  </si>
  <si>
    <t>T. hrs Pausa</t>
  </si>
  <si>
    <t>T. hrs Horar</t>
  </si>
  <si>
    <t>Salida Pausa</t>
  </si>
  <si>
    <t>Entrada Pausa</t>
  </si>
  <si>
    <t>SALIDA</t>
  </si>
  <si>
    <t>ENTRADA</t>
  </si>
  <si>
    <t>HORARIOS EXISTENTES</t>
  </si>
  <si>
    <t>ADMINISTRACION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</si>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</sst>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ddd\,dd"/>
    <numFmt numFmtId="166" formatCode="dddd\,dd"/>
  </numFmts>
  <fonts count="25" x14ac:knownFonts="1"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1"/>
      <name val="Century Gothic"/>
      <family val="2"/>
      <scheme val="major"/>
    </font>
    <font>
      <b/>
      <sz val="11"/>
      <color theme="1"/>
      <name val="Century Gothic"/>
      <family val="2"/>
      <scheme val="major"/>
    </font>
    <font>
      <sz val="13"/>
      <color theme="1"/>
      <name val="Century Gothic"/>
      <family val="2"/>
      <scheme val="major"/>
    </font>
    <font>
      <sz val="11"/>
      <color theme="1"/>
      <name val="Century Gothic"/>
      <family val="2"/>
      <scheme val="major"/>
    </font>
    <font>
      <b/>
      <sz val="16"/>
      <color theme="1"/>
      <name val="Century Gothic"/>
      <family val="2"/>
      <scheme val="major"/>
    </font>
    <font>
      <b/>
      <sz val="14"/>
      <color theme="1"/>
      <name val="Century Gothic"/>
      <family val="2"/>
      <scheme val="major"/>
    </font>
    <font>
      <b/>
      <sz val="14"/>
      <color rgb="FFC00000"/>
      <name val="Century Gothic"/>
      <family val="2"/>
      <scheme val="major"/>
    </font>
    <font>
      <b/>
      <sz val="11"/>
      <name val="Century Gothic"/>
      <family val="2"/>
      <scheme val="major"/>
    </font>
    <font>
      <b/>
      <sz val="14"/>
      <color theme="0"/>
      <name val="Century Gothic"/>
      <family val="2"/>
      <scheme val="major"/>
    </font>
    <font>
      <u/>
      <sz val="11"/>
      <color theme="10"/>
      <name val="Century Gothic"/>
      <family val="2"/>
      <scheme val="minor"/>
    </font>
    <font>
      <b/>
      <u/>
      <sz val="14"/>
      <color rgb="FFC00000"/>
      <name val="Century Gothic"/>
      <family val="2"/>
      <scheme val="major"/>
    </font>
    <font>
      <b/>
      <sz val="10"/>
      <color theme="1"/>
      <name val="Century Gothic"/>
      <family val="2"/>
      <scheme val="major"/>
    </font>
    <font>
      <b/>
      <sz val="12"/>
      <color rgb="FFC00000"/>
      <name val="Century Gothic"/>
      <family val="2"/>
      <scheme val="minor"/>
    </font>
    <font>
      <b/>
      <sz val="12"/>
      <name val="Century Gothic"/>
      <family val="2"/>
      <scheme val="minor"/>
    </font>
    <font>
      <sz val="12"/>
      <color rgb="FFC00000"/>
      <name val="Century Gothic"/>
      <family val="2"/>
      <scheme val="minor"/>
    </font>
    <font>
      <b/>
      <sz val="11"/>
      <name val="Century Gothic"/>
      <family val="2"/>
      <scheme val="minor"/>
    </font>
    <font>
      <b/>
      <sz val="14"/>
      <color theme="1"/>
      <name val="Century Gothic"/>
      <family val="2"/>
      <scheme val="minor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b/>
      <sz val="9"/>
      <color theme="0"/>
      <name val="Segoe UI"/>
      <family val="2"/>
    </font>
    <font>
      <b/>
      <sz val="10"/>
      <color theme="0"/>
      <name val="Segoe UI"/>
      <family val="2"/>
    </font>
    <font>
      <b/>
      <sz val="12"/>
      <color theme="0"/>
      <name val="Segoe UI"/>
      <family val="2"/>
    </font>
    <font>
      <b/>
      <sz val="16"/>
      <color theme="1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6">
    <xf numFmtId="0" fontId="0" fillId="0" borderId="0" xfId="0"/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 applyProtection="1">
      <alignment horizontal="left" vertical="center"/>
      <protection locked="0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65" fontId="9" fillId="0" borderId="0" xfId="0" applyNumberFormat="1" applyFont="1" applyAlignment="1">
      <alignment vertical="center"/>
    </xf>
    <xf numFmtId="0" fontId="5" fillId="9" borderId="0" xfId="0" applyFont="1" applyFill="1" applyAlignment="1">
      <alignment vertical="center"/>
    </xf>
    <xf numFmtId="0" fontId="5" fillId="3" borderId="8" xfId="0" applyFont="1" applyFill="1" applyBorder="1" applyAlignment="1">
      <alignment horizontal="center" vertical="center"/>
    </xf>
    <xf numFmtId="0" fontId="2" fillId="0" borderId="8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>
      <alignment vertical="center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>
      <alignment horizontal="center" vertical="center"/>
    </xf>
    <xf numFmtId="165" fontId="14" fillId="9" borderId="4" xfId="0" applyNumberFormat="1" applyFont="1" applyFill="1" applyBorder="1" applyAlignment="1">
      <alignment vertical="center"/>
    </xf>
    <xf numFmtId="165" fontId="14" fillId="9" borderId="4" xfId="0" applyNumberFormat="1" applyFont="1" applyFill="1" applyBorder="1" applyAlignment="1">
      <alignment horizontal="center" vertical="center"/>
    </xf>
    <xf numFmtId="165" fontId="14" fillId="9" borderId="0" xfId="0" applyNumberFormat="1" applyFont="1" applyFill="1" applyAlignment="1">
      <alignment vertical="center"/>
    </xf>
    <xf numFmtId="0" fontId="16" fillId="9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20" fontId="1" fillId="4" borderId="6" xfId="0" applyNumberFormat="1" applyFont="1" applyFill="1" applyBorder="1" applyAlignment="1">
      <alignment horizontal="center" vertical="center"/>
    </xf>
    <xf numFmtId="20" fontId="1" fillId="4" borderId="7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20" fontId="17" fillId="2" borderId="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vertical="center"/>
      <protection hidden="1"/>
    </xf>
    <xf numFmtId="20" fontId="0" fillId="0" borderId="8" xfId="0" applyNumberFormat="1" applyBorder="1" applyAlignment="1" applyProtection="1">
      <alignment horizontal="center" vertical="center"/>
      <protection locked="0"/>
    </xf>
    <xf numFmtId="20" fontId="0" fillId="5" borderId="8" xfId="0" applyNumberFormat="1" applyFill="1" applyBorder="1" applyAlignment="1" applyProtection="1">
      <alignment horizontal="center" vertical="center"/>
      <protection hidden="1"/>
    </xf>
    <xf numFmtId="0" fontId="0" fillId="3" borderId="8" xfId="0" applyFill="1" applyBorder="1" applyAlignment="1">
      <alignment horizontal="center" vertical="center"/>
    </xf>
    <xf numFmtId="20" fontId="0" fillId="0" borderId="0" xfId="0" applyNumberFormat="1" applyAlignment="1" applyProtection="1">
      <alignment horizontal="center" vertical="center"/>
      <protection locked="0"/>
    </xf>
    <xf numFmtId="2" fontId="18" fillId="6" borderId="8" xfId="0" applyNumberFormat="1" applyFont="1" applyFill="1" applyBorder="1" applyAlignment="1" applyProtection="1">
      <alignment horizontal="center" vertical="center"/>
      <protection hidden="1"/>
    </xf>
    <xf numFmtId="20" fontId="0" fillId="13" borderId="8" xfId="0" applyNumberFormat="1" applyFill="1" applyBorder="1" applyAlignment="1" applyProtection="1">
      <alignment horizontal="center" vertical="center"/>
      <protection hidden="1"/>
    </xf>
    <xf numFmtId="0" fontId="6" fillId="9" borderId="0" xfId="0" applyFont="1" applyFill="1" applyAlignment="1">
      <alignment vertical="center"/>
    </xf>
    <xf numFmtId="0" fontId="7" fillId="9" borderId="0" xfId="0" applyFont="1" applyFill="1" applyAlignment="1">
      <alignment vertical="center"/>
    </xf>
    <xf numFmtId="0" fontId="7" fillId="9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left" vertical="top"/>
    </xf>
    <xf numFmtId="0" fontId="8" fillId="9" borderId="0" xfId="0" applyFont="1" applyFill="1" applyAlignment="1">
      <alignment horizontal="right" vertical="center"/>
    </xf>
    <xf numFmtId="0" fontId="7" fillId="9" borderId="0" xfId="0" applyFont="1" applyFill="1" applyAlignment="1" applyProtection="1">
      <alignment vertical="center"/>
      <protection locked="0"/>
    </xf>
    <xf numFmtId="15" fontId="8" fillId="9" borderId="0" xfId="0" applyNumberFormat="1" applyFont="1" applyFill="1" applyAlignment="1">
      <alignment horizontal="right" vertical="center"/>
    </xf>
    <xf numFmtId="0" fontId="7" fillId="9" borderId="0" xfId="0" applyFont="1" applyFill="1" applyAlignment="1" applyProtection="1">
      <alignment horizontal="left" vertical="center"/>
      <protection locked="0"/>
    </xf>
    <xf numFmtId="15" fontId="7" fillId="9" borderId="0" xfId="0" applyNumberFormat="1" applyFont="1" applyFill="1" applyAlignment="1">
      <alignment horizontal="right" vertical="center"/>
    </xf>
    <xf numFmtId="0" fontId="5" fillId="9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6" fillId="9" borderId="0" xfId="0" applyFont="1" applyFill="1" applyAlignment="1">
      <alignment vertical="center"/>
    </xf>
    <xf numFmtId="0" fontId="11" fillId="9" borderId="0" xfId="1" applyFill="1" applyBorder="1" applyAlignment="1" applyProtection="1">
      <alignment vertical="center"/>
    </xf>
    <xf numFmtId="0" fontId="8" fillId="9" borderId="0" xfId="0" applyFont="1" applyFill="1" applyAlignment="1">
      <alignment vertical="center"/>
    </xf>
    <xf numFmtId="0" fontId="0" fillId="9" borderId="0" xfId="0" applyFill="1"/>
    <xf numFmtId="16" fontId="7" fillId="9" borderId="0" xfId="0" applyNumberFormat="1" applyFont="1" applyFill="1" applyAlignment="1" applyProtection="1">
      <alignment vertical="center"/>
      <protection locked="0"/>
    </xf>
    <xf numFmtId="14" fontId="13" fillId="9" borderId="0" xfId="0" applyNumberFormat="1" applyFont="1" applyFill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right" vertical="center"/>
    </xf>
    <xf numFmtId="0" fontId="6" fillId="9" borderId="0" xfId="0" applyFont="1" applyFill="1" applyAlignment="1" applyProtection="1">
      <alignment vertical="center"/>
      <protection locked="0"/>
    </xf>
    <xf numFmtId="0" fontId="3" fillId="9" borderId="0" xfId="0" applyFont="1" applyFill="1" applyAlignment="1" applyProtection="1">
      <alignment vertical="center"/>
      <protection locked="0"/>
    </xf>
    <xf numFmtId="0" fontId="19" fillId="0" borderId="0" xfId="0" applyFont="1" applyProtection="1"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0" borderId="0" xfId="0" applyFont="1"/>
    <xf numFmtId="0" fontId="19" fillId="0" borderId="0" xfId="0" applyFont="1" applyAlignment="1">
      <alignment horizontal="center"/>
    </xf>
    <xf numFmtId="20" fontId="19" fillId="0" borderId="0" xfId="0" applyNumberFormat="1" applyFont="1" applyAlignment="1">
      <alignment horizontal="center"/>
    </xf>
    <xf numFmtId="0" fontId="20" fillId="14" borderId="9" xfId="0" applyFont="1" applyFill="1" applyBorder="1" applyAlignment="1" applyProtection="1">
      <alignment horizontal="center" vertical="center" wrapText="1"/>
      <protection locked="0"/>
    </xf>
    <xf numFmtId="0" fontId="21" fillId="15" borderId="10" xfId="0" applyFont="1" applyFill="1" applyBorder="1" applyAlignment="1" applyProtection="1">
      <alignment horizontal="center" vertical="center" wrapText="1"/>
      <protection locked="0"/>
    </xf>
    <xf numFmtId="0" fontId="20" fillId="14" borderId="10" xfId="0" applyFont="1" applyFill="1" applyBorder="1" applyAlignment="1" applyProtection="1">
      <alignment horizontal="center" vertical="center" wrapText="1"/>
      <protection locked="0"/>
    </xf>
    <xf numFmtId="0" fontId="22" fillId="14" borderId="10" xfId="0" applyFont="1" applyFill="1" applyBorder="1" applyAlignment="1">
      <alignment horizontal="center" vertical="center" wrapText="1"/>
    </xf>
    <xf numFmtId="0" fontId="23" fillId="14" borderId="10" xfId="0" applyFont="1" applyFill="1" applyBorder="1" applyAlignment="1">
      <alignment horizontal="center" vertical="center" wrapText="1"/>
    </xf>
    <xf numFmtId="0" fontId="20" fillId="14" borderId="11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20" fontId="19" fillId="0" borderId="0" xfId="0" applyNumberFormat="1" applyFont="1" applyAlignment="1" applyProtection="1">
      <alignment horizontal="center"/>
      <protection locked="0"/>
    </xf>
    <xf numFmtId="20" fontId="19" fillId="0" borderId="0" xfId="0" applyNumberFormat="1" applyFont="1"/>
    <xf numFmtId="0" fontId="15" fillId="9" borderId="0" xfId="0" applyFont="1" applyFill="1" applyAlignment="1" applyProtection="1">
      <alignment vertical="center"/>
      <protection locked="0"/>
    </xf>
    <xf numFmtId="0" fontId="20" fillId="3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center"/>
    </xf>
    <xf numFmtId="14" fontId="5" fillId="9" borderId="0" xfId="0" applyNumberFormat="1" applyFont="1" applyFill="1" applyAlignment="1">
      <alignment horizontal="left" vertical="center"/>
    </xf>
    <xf numFmtId="0" fontId="24" fillId="0" borderId="12" xfId="0" applyFont="1" applyBorder="1" applyAlignment="1" applyProtection="1">
      <alignment horizontal="center"/>
      <protection locked="0"/>
    </xf>
    <xf numFmtId="165" fontId="9" fillId="0" borderId="0" xfId="0" applyNumberFormat="1" applyFont="1" applyAlignment="1">
      <alignment horizontal="center" vertical="center"/>
    </xf>
    <xf numFmtId="166" fontId="14" fillId="9" borderId="3" xfId="0" applyNumberFormat="1" applyFont="1" applyFill="1" applyBorder="1" applyAlignment="1">
      <alignment horizontal="center" vertical="center"/>
    </xf>
    <xf numFmtId="166" fontId="14" fillId="9" borderId="4" xfId="0" applyNumberFormat="1" applyFont="1" applyFill="1" applyBorder="1" applyAlignment="1">
      <alignment horizontal="center" vertical="center"/>
    </xf>
    <xf numFmtId="166" fontId="14" fillId="9" borderId="5" xfId="0" applyNumberFormat="1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7" fillId="10" borderId="4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10" fillId="11" borderId="3" xfId="0" applyFont="1" applyFill="1" applyBorder="1" applyAlignment="1">
      <alignment horizontal="center" vertical="center"/>
    </xf>
    <xf numFmtId="0" fontId="10" fillId="11" borderId="4" xfId="0" applyFont="1" applyFill="1" applyBorder="1" applyAlignment="1">
      <alignment horizontal="center" vertical="center"/>
    </xf>
    <xf numFmtId="0" fontId="10" fillId="11" borderId="5" xfId="0" applyFont="1" applyFill="1" applyBorder="1" applyAlignment="1">
      <alignment horizontal="center" vertical="center"/>
    </xf>
    <xf numFmtId="0" fontId="10" fillId="12" borderId="3" xfId="0" applyFont="1" applyFill="1" applyBorder="1" applyAlignment="1">
      <alignment horizontal="center" vertical="center"/>
    </xf>
    <xf numFmtId="0" fontId="10" fillId="12" borderId="4" xfId="0" applyFont="1" applyFill="1" applyBorder="1" applyAlignment="1">
      <alignment horizontal="center" vertical="center"/>
    </xf>
    <xf numFmtId="0" fontId="10" fillId="12" borderId="5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99FF99"/>
      <color rgb="FFFFCC66"/>
      <color rgb="FFFFFF00"/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hyperlink" Target="https://ofimaticaempresarial.com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846746</xdr:colOff>
      <xdr:row>2</xdr:row>
      <xdr:rowOff>201704</xdr:rowOff>
    </xdr:from>
    <xdr:to>
      <xdr:col>1</xdr:col>
      <xdr:colOff>1144200</xdr:colOff>
      <xdr:row>3</xdr:row>
      <xdr:rowOff>257792</xdr:rowOff>
    </xdr:to>
    <xdr:sp macro="[0]!Ver_1ra_Semana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535207" y="425822"/>
          <a:ext cx="29745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 1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1099999</xdr:colOff>
      <xdr:row>2</xdr:row>
      <xdr:rowOff>197222</xdr:rowOff>
    </xdr:from>
    <xdr:to>
      <xdr:col>1</xdr:col>
      <xdr:colOff>1362635</xdr:colOff>
      <xdr:row>3</xdr:row>
      <xdr:rowOff>253310</xdr:rowOff>
    </xdr:to>
    <xdr:sp macro="[0]!Ver_2da_Semana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88460" y="42134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2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1297223</xdr:colOff>
      <xdr:row>2</xdr:row>
      <xdr:rowOff>203947</xdr:rowOff>
    </xdr:from>
    <xdr:to>
      <xdr:col>1</xdr:col>
      <xdr:colOff>1559859</xdr:colOff>
      <xdr:row>3</xdr:row>
      <xdr:rowOff>260035</xdr:rowOff>
    </xdr:to>
    <xdr:sp macro="[0]!Ver_3ra_Semana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985684" y="428065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3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1514617</xdr:colOff>
      <xdr:row>2</xdr:row>
      <xdr:rowOff>201705</xdr:rowOff>
    </xdr:from>
    <xdr:to>
      <xdr:col>1</xdr:col>
      <xdr:colOff>1777253</xdr:colOff>
      <xdr:row>3</xdr:row>
      <xdr:rowOff>257793</xdr:rowOff>
    </xdr:to>
    <xdr:sp macro="[0]!Ver_4ta_Semana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203078" y="425823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4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1745457</xdr:colOff>
      <xdr:row>2</xdr:row>
      <xdr:rowOff>197221</xdr:rowOff>
    </xdr:from>
    <xdr:to>
      <xdr:col>1</xdr:col>
      <xdr:colOff>2042911</xdr:colOff>
      <xdr:row>3</xdr:row>
      <xdr:rowOff>253309</xdr:rowOff>
    </xdr:to>
    <xdr:sp macro="[0]!Ver_5ta_Semana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2433918" y="421339"/>
          <a:ext cx="29745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 5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2056982</xdr:colOff>
      <xdr:row>2</xdr:row>
      <xdr:rowOff>201704</xdr:rowOff>
    </xdr:from>
    <xdr:to>
      <xdr:col>1</xdr:col>
      <xdr:colOff>2319618</xdr:colOff>
      <xdr:row>3</xdr:row>
      <xdr:rowOff>257792</xdr:rowOff>
    </xdr:to>
    <xdr:sp macro="[0]!Ver_6ta_Semana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2745443" y="425822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6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2531881</xdr:colOff>
      <xdr:row>3</xdr:row>
      <xdr:rowOff>112059</xdr:rowOff>
    </xdr:from>
    <xdr:to>
      <xdr:col>2</xdr:col>
      <xdr:colOff>434228</xdr:colOff>
      <xdr:row>3</xdr:row>
      <xdr:rowOff>376097</xdr:rowOff>
    </xdr:to>
    <xdr:sp macro="[0]!ver_1turnos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3223844" y="560294"/>
          <a:ext cx="664597" cy="257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SV" sz="1100" b="1" u="sng" baseline="0">
              <a:solidFill>
                <a:srgbClr val="C00000"/>
              </a:solidFill>
            </a:rPr>
            <a:t>1 Turno</a:t>
          </a:r>
          <a:endParaRPr lang="es-SV" sz="11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2</xdr:col>
      <xdr:colOff>554044</xdr:colOff>
      <xdr:row>3</xdr:row>
      <xdr:rowOff>123264</xdr:rowOff>
    </xdr:from>
    <xdr:to>
      <xdr:col>2</xdr:col>
      <xdr:colOff>1173817</xdr:colOff>
      <xdr:row>3</xdr:row>
      <xdr:rowOff>394127</xdr:rowOff>
    </xdr:to>
    <xdr:sp macro="[0]!ver_2turno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4008257" y="571499"/>
          <a:ext cx="61977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SV" sz="1100" b="1" u="sng" baseline="0">
              <a:solidFill>
                <a:srgbClr val="C00000"/>
              </a:solidFill>
            </a:rPr>
            <a:t>2 Turnos</a:t>
          </a:r>
          <a:endParaRPr lang="es-SV" sz="11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2</xdr:col>
      <xdr:colOff>109257</xdr:colOff>
      <xdr:row>2</xdr:row>
      <xdr:rowOff>145676</xdr:rowOff>
    </xdr:from>
    <xdr:to>
      <xdr:col>2</xdr:col>
      <xdr:colOff>1012031</xdr:colOff>
      <xdr:row>3</xdr:row>
      <xdr:rowOff>130968</xdr:rowOff>
    </xdr:to>
    <xdr:sp macro="[0]!Ver_Todas_Semanas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550163" y="371895"/>
          <a:ext cx="902774" cy="2115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SV" sz="1100" b="1" u="sng" baseline="0">
              <a:solidFill>
                <a:srgbClr val="C00000"/>
              </a:solidFill>
            </a:rPr>
            <a:t>Ver Todo</a:t>
          </a:r>
          <a:endParaRPr lang="es-SV" sz="11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2</xdr:col>
      <xdr:colOff>556008</xdr:colOff>
      <xdr:row>4</xdr:row>
      <xdr:rowOff>1657</xdr:rowOff>
    </xdr:from>
    <xdr:to>
      <xdr:col>2</xdr:col>
      <xdr:colOff>1804110</xdr:colOff>
      <xdr:row>5</xdr:row>
      <xdr:rowOff>47625</xdr:rowOff>
    </xdr:to>
    <xdr:sp macro="[0]!RellenarHorari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3996914" y="930345"/>
          <a:ext cx="1248102" cy="285751"/>
        </a:xfrm>
        <a:prstGeom prst="roundRect">
          <a:avLst/>
        </a:prstGeom>
        <a:solidFill>
          <a:srgbClr val="99FF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SV" sz="1100" b="1"/>
            <a:t>Rellenar Horario</a:t>
          </a:r>
        </a:p>
      </xdr:txBody>
    </xdr:sp>
    <xdr:clientData/>
  </xdr:twoCellAnchor>
  <xdr:twoCellAnchor editAs="absolute">
    <xdr:from>
      <xdr:col>9</xdr:col>
      <xdr:colOff>1055939</xdr:colOff>
      <xdr:row>2</xdr:row>
      <xdr:rowOff>30408</xdr:rowOff>
    </xdr:from>
    <xdr:to>
      <xdr:col>15</xdr:col>
      <xdr:colOff>666685</xdr:colOff>
      <xdr:row>4</xdr:row>
      <xdr:rowOff>4276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8133014" y="259008"/>
          <a:ext cx="1220471" cy="678718"/>
          <a:chOff x="7496735" y="213608"/>
          <a:chExt cx="1282970" cy="669258"/>
        </a:xfrm>
      </xdr:grpSpPr>
      <xdr:pic macro="[0]!VerDiaSeleccion">
        <xdr:nvPicPr>
          <xdr:cNvPr id="18" name="Imagen 17" descr="Resultado de imagen para SELECCIONAR PNG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864667" y="213608"/>
            <a:ext cx="493228" cy="49191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VerDiaSeleccion" textlink="">
        <xdr:nvSpPr>
          <xdr:cNvPr id="6" name="CuadroText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7496735" y="638736"/>
            <a:ext cx="1282970" cy="2441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1000" b="1"/>
              <a:t>Seleccionar</a:t>
            </a:r>
            <a:r>
              <a:rPr lang="es-SV" sz="1000" b="1" baseline="0"/>
              <a:t> días</a:t>
            </a:r>
            <a:endParaRPr lang="es-SV" sz="1000" b="1"/>
          </a:p>
        </xdr:txBody>
      </xdr:sp>
    </xdr:grpSp>
    <xdr:clientData/>
  </xdr:twoCellAnchor>
  <xdr:twoCellAnchor editAs="absolute">
    <xdr:from>
      <xdr:col>21</xdr:col>
      <xdr:colOff>330286</xdr:colOff>
      <xdr:row>2</xdr:row>
      <xdr:rowOff>46371</xdr:rowOff>
    </xdr:from>
    <xdr:to>
      <xdr:col>25</xdr:col>
      <xdr:colOff>144468</xdr:colOff>
      <xdr:row>4</xdr:row>
      <xdr:rowOff>525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10626811" y="274971"/>
          <a:ext cx="900032" cy="659004"/>
          <a:chOff x="6331324" y="123264"/>
          <a:chExt cx="888769" cy="712796"/>
        </a:xfrm>
      </xdr:grpSpPr>
      <xdr:pic macro="[0]!Módulo1.Limpiar_Registros">
        <xdr:nvPicPr>
          <xdr:cNvPr id="19" name="Imagen 18" descr="Imagen relacionada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43382" y="123264"/>
            <a:ext cx="638735" cy="53259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Módulo1.Limpiar_Registros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6331324" y="571500"/>
            <a:ext cx="88876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1100" b="1"/>
              <a:t>Borrar Todo</a:t>
            </a:r>
          </a:p>
        </xdr:txBody>
      </xdr:sp>
    </xdr:grpSp>
    <xdr:clientData/>
  </xdr:twoCellAnchor>
  <xdr:twoCellAnchor editAs="absolute">
    <xdr:from>
      <xdr:col>15</xdr:col>
      <xdr:colOff>741365</xdr:colOff>
      <xdr:row>2</xdr:row>
      <xdr:rowOff>114096</xdr:rowOff>
    </xdr:from>
    <xdr:to>
      <xdr:col>21</xdr:col>
      <xdr:colOff>244453</xdr:colOff>
      <xdr:row>4</xdr:row>
      <xdr:rowOff>7075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428165" y="342696"/>
          <a:ext cx="1112813" cy="597829"/>
          <a:chOff x="8692816" y="228146"/>
          <a:chExt cx="1165034" cy="590969"/>
        </a:xfrm>
      </xdr:grpSpPr>
      <xdr:pic macro="[0]!OcultarTotales">
        <xdr:nvPicPr>
          <xdr:cNvPr id="22" name="Imagen 21">
            <a:extLst>
              <a:ext uri="{FF2B5EF4-FFF2-40B4-BE49-F238E27FC236}">
                <a16:creationId xmlns:a16="http://schemas.microsoft.com/office/drawing/2014/main" id="{00000000-0008-0000-0200-000016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0441" b="11258"/>
          <a:stretch/>
        </xdr:blipFill>
        <xdr:spPr bwMode="auto">
          <a:xfrm>
            <a:off x="8953502" y="228146"/>
            <a:ext cx="491288" cy="3870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OcultarTotales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8692816" y="571500"/>
            <a:ext cx="1165034" cy="24761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1000" b="1"/>
              <a:t>Ocultar</a:t>
            </a:r>
            <a:r>
              <a:rPr lang="es-SV" sz="1000" b="1" baseline="0"/>
              <a:t> Totales</a:t>
            </a:r>
            <a:endParaRPr lang="es-SV" sz="1000" b="1"/>
          </a:p>
        </xdr:txBody>
      </xdr:sp>
    </xdr:grpSp>
    <xdr:clientData/>
  </xdr:twoCellAnchor>
  <xdr:twoCellAnchor editAs="absolute">
    <xdr:from>
      <xdr:col>3</xdr:col>
      <xdr:colOff>112795</xdr:colOff>
      <xdr:row>1</xdr:row>
      <xdr:rowOff>212432</xdr:rowOff>
    </xdr:from>
    <xdr:to>
      <xdr:col>9</xdr:col>
      <xdr:colOff>12787</xdr:colOff>
      <xdr:row>4</xdr:row>
      <xdr:rowOff>480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5580145" y="212432"/>
          <a:ext cx="1509717" cy="721498"/>
          <a:chOff x="5183605" y="170446"/>
          <a:chExt cx="1520725" cy="744088"/>
        </a:xfrm>
      </xdr:grpSpPr>
      <xdr:pic macro="[0]!Filtrar_Empleados">
        <xdr:nvPicPr>
          <xdr:cNvPr id="28" name="Imagen 27" descr="Resultado de imagen para icono filtro.png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823" t="15259" r="16470" b="16668"/>
          <a:stretch/>
        </xdr:blipFill>
        <xdr:spPr bwMode="auto">
          <a:xfrm>
            <a:off x="5564606" y="170446"/>
            <a:ext cx="551448" cy="58152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Filtrar_Empleados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5183605" y="671763"/>
            <a:ext cx="1520725" cy="2427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900" b="1">
                <a:latin typeface="+mn-lt"/>
              </a:rPr>
              <a:t>Seleccionar</a:t>
            </a:r>
            <a:r>
              <a:rPr lang="es-SV" sz="900" b="1" baseline="0">
                <a:latin typeface="+mn-lt"/>
              </a:rPr>
              <a:t> Empleados</a:t>
            </a:r>
            <a:endParaRPr lang="es-SV" sz="900" b="1">
              <a:latin typeface="+mn-lt"/>
            </a:endParaRPr>
          </a:p>
        </xdr:txBody>
      </xdr:sp>
    </xdr:grpSp>
    <xdr:clientData/>
  </xdr:twoCellAnchor>
  <xdr:twoCellAnchor editAs="absolute">
    <xdr:from>
      <xdr:col>8</xdr:col>
      <xdr:colOff>14583</xdr:colOff>
      <xdr:row>2</xdr:row>
      <xdr:rowOff>66424</xdr:rowOff>
    </xdr:from>
    <xdr:to>
      <xdr:col>9</xdr:col>
      <xdr:colOff>867152</xdr:colOff>
      <xdr:row>4</xdr:row>
      <xdr:rowOff>115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7044033" y="295024"/>
          <a:ext cx="900194" cy="638541"/>
          <a:chOff x="6858001" y="280736"/>
          <a:chExt cx="901272" cy="685666"/>
        </a:xfrm>
      </xdr:grpSpPr>
      <xdr:pic macro="[0]!Quitar_Filtro">
        <xdr:nvPicPr>
          <xdr:cNvPr id="31" name="Imagen 30" descr="Resultado de imagen para icono quitar filtro.png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038475" y="280736"/>
            <a:ext cx="452140" cy="45118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Quitar_Filtro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6858001" y="701842"/>
            <a:ext cx="90127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1100" b="1">
                <a:solidFill>
                  <a:schemeClr val="tx1"/>
                </a:solidFill>
              </a:rPr>
              <a:t>Quitar Filtro</a:t>
            </a:r>
          </a:p>
        </xdr:txBody>
      </xdr:sp>
    </xdr:grpSp>
    <xdr:clientData/>
  </xdr:twoCellAnchor>
  <xdr:twoCellAnchor editAs="absolute">
    <xdr:from>
      <xdr:col>27</xdr:col>
      <xdr:colOff>85727</xdr:colOff>
      <xdr:row>2</xdr:row>
      <xdr:rowOff>107156</xdr:rowOff>
    </xdr:from>
    <xdr:to>
      <xdr:col>31</xdr:col>
      <xdr:colOff>383383</xdr:colOff>
      <xdr:row>3</xdr:row>
      <xdr:rowOff>428623</xdr:rowOff>
    </xdr:to>
    <xdr:pic>
      <xdr:nvPicPr>
        <xdr:cNvPr id="27" name="Imagen 26">
          <a:hlinkClick xmlns:r="http://schemas.openxmlformats.org/officeDocument/2006/relationships" r:id="rId6" tooltip="Ofimática Empresarial"/>
          <a:extLst>
            <a:ext uri="{FF2B5EF4-FFF2-40B4-BE49-F238E27FC236}">
              <a16:creationId xmlns:a16="http://schemas.microsoft.com/office/drawing/2014/main" id="{1103874D-2436-465A-8BE0-553C30597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7690" y="333375"/>
          <a:ext cx="1381124" cy="54768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C1201"/>
  <sheetViews>
    <sheetView workbookViewId="0">
      <pane ySplit="1" topLeftCell="A2" activePane="bottomLeft" state="frozen"/>
      <selection activeCell="D8" sqref="D8"/>
      <selection pane="bottomLeft" activeCell="A3" sqref="A3:A6"/>
    </sheetView>
  </sheetViews>
  <sheetFormatPr baseColWidth="10" defaultColWidth="11" defaultRowHeight="16.8" x14ac:dyDescent="0.4"/>
  <cols>
    <col min="1" max="1" width="11" style="56"/>
    <col min="2" max="2" width="52.19921875" style="55" customWidth="1"/>
    <col min="3" max="3" width="40.5" style="55" customWidth="1"/>
    <col min="4" max="16384" width="11" style="57"/>
  </cols>
  <sheetData>
    <row r="1" spans="1:3" x14ac:dyDescent="0.4">
      <c r="A1" s="70" t="s">
        <v>10</v>
      </c>
      <c r="B1" s="70" t="s">
        <v>11</v>
      </c>
      <c r="C1" s="70" t="s">
        <v>32</v>
      </c>
    </row>
    <row r="2" spans="1:3" x14ac:dyDescent="0.4">
      <c r="A2" s="58">
        <v>1373</v>
      </c>
      <c r="B2" s="55" t="s">
        <v>33</v>
      </c>
      <c r="C2" s="57" t="s">
        <v>34</v>
      </c>
    </row>
    <row r="3" spans="1:3" x14ac:dyDescent="0.4">
      <c r="A3" s="58">
        <v>1374</v>
      </c>
      <c r="B3" s="55" t="s">
        <v>35</v>
      </c>
      <c r="C3" s="57" t="s">
        <v>34</v>
      </c>
    </row>
    <row r="4" spans="1:3" x14ac:dyDescent="0.4">
      <c r="A4" s="58">
        <v>1375</v>
      </c>
      <c r="B4" s="55" t="s">
        <v>36</v>
      </c>
      <c r="C4" s="57" t="s">
        <v>37</v>
      </c>
    </row>
    <row r="5" spans="1:3" x14ac:dyDescent="0.4">
      <c r="A5" s="58">
        <v>1376</v>
      </c>
      <c r="B5" s="55" t="s">
        <v>38</v>
      </c>
      <c r="C5" s="57" t="s">
        <v>37</v>
      </c>
    </row>
    <row r="6" spans="1:3" x14ac:dyDescent="0.4">
      <c r="A6" s="58">
        <v>1377</v>
      </c>
      <c r="B6" s="55" t="s">
        <v>39</v>
      </c>
      <c r="C6" s="57" t="s">
        <v>40</v>
      </c>
    </row>
    <row r="7" spans="1:3" x14ac:dyDescent="0.4">
      <c r="A7" s="58">
        <v>1378</v>
      </c>
      <c r="B7" s="55" t="s">
        <v>41</v>
      </c>
      <c r="C7" s="57" t="s">
        <v>14</v>
      </c>
    </row>
    <row r="8" spans="1:3" x14ac:dyDescent="0.4">
      <c r="A8" s="58">
        <v>1379</v>
      </c>
      <c r="B8" s="55" t="s">
        <v>42</v>
      </c>
      <c r="C8" s="57" t="s">
        <v>14</v>
      </c>
    </row>
    <row r="9" spans="1:3" x14ac:dyDescent="0.4">
      <c r="A9" s="58">
        <v>1380</v>
      </c>
      <c r="B9" s="55" t="s">
        <v>43</v>
      </c>
      <c r="C9" s="57" t="s">
        <v>44</v>
      </c>
    </row>
    <row r="10" spans="1:3" x14ac:dyDescent="0.4">
      <c r="A10" s="58"/>
      <c r="C10" s="57"/>
    </row>
    <row r="11" spans="1:3" x14ac:dyDescent="0.4">
      <c r="A11" s="58"/>
      <c r="C11" s="57"/>
    </row>
    <row r="12" spans="1:3" x14ac:dyDescent="0.4">
      <c r="A12" s="58"/>
      <c r="C12" s="57"/>
    </row>
    <row r="13" spans="1:3" x14ac:dyDescent="0.4">
      <c r="A13" s="58"/>
      <c r="C13" s="57"/>
    </row>
    <row r="14" spans="1:3" x14ac:dyDescent="0.4">
      <c r="A14" s="58"/>
      <c r="C14" s="57"/>
    </row>
    <row r="15" spans="1:3" x14ac:dyDescent="0.4">
      <c r="A15" s="58"/>
      <c r="C15" s="57"/>
    </row>
    <row r="16" spans="1:3" x14ac:dyDescent="0.4">
      <c r="A16" s="58"/>
      <c r="C16" s="57"/>
    </row>
    <row r="17" spans="1:3" x14ac:dyDescent="0.4">
      <c r="A17" s="58"/>
      <c r="C17" s="57"/>
    </row>
    <row r="18" spans="1:3" x14ac:dyDescent="0.4">
      <c r="A18" s="58"/>
      <c r="C18" s="57"/>
    </row>
    <row r="19" spans="1:3" x14ac:dyDescent="0.4">
      <c r="A19" s="58"/>
      <c r="C19" s="57"/>
    </row>
    <row r="20" spans="1:3" x14ac:dyDescent="0.4">
      <c r="A20" s="58"/>
      <c r="C20" s="57"/>
    </row>
    <row r="21" spans="1:3" x14ac:dyDescent="0.4">
      <c r="A21" s="58"/>
      <c r="C21" s="57"/>
    </row>
    <row r="22" spans="1:3" x14ac:dyDescent="0.4">
      <c r="A22" s="58"/>
      <c r="C22" s="57"/>
    </row>
    <row r="23" spans="1:3" x14ac:dyDescent="0.4">
      <c r="A23" s="58"/>
      <c r="C23" s="57"/>
    </row>
    <row r="24" spans="1:3" x14ac:dyDescent="0.4">
      <c r="A24" s="58"/>
      <c r="C24" s="57"/>
    </row>
    <row r="25" spans="1:3" x14ac:dyDescent="0.4">
      <c r="A25" s="58"/>
      <c r="C25" s="57"/>
    </row>
    <row r="26" spans="1:3" x14ac:dyDescent="0.4">
      <c r="A26" s="58"/>
      <c r="C26" s="57"/>
    </row>
    <row r="27" spans="1:3" x14ac:dyDescent="0.4">
      <c r="A27" s="58"/>
      <c r="C27" s="57"/>
    </row>
    <row r="28" spans="1:3" x14ac:dyDescent="0.4">
      <c r="A28" s="58"/>
      <c r="C28" s="57"/>
    </row>
    <row r="29" spans="1:3" x14ac:dyDescent="0.4">
      <c r="A29" s="58"/>
      <c r="C29" s="57"/>
    </row>
    <row r="30" spans="1:3" x14ac:dyDescent="0.4">
      <c r="A30" s="58"/>
      <c r="C30" s="57"/>
    </row>
    <row r="31" spans="1:3" x14ac:dyDescent="0.4">
      <c r="A31" s="58"/>
      <c r="C31" s="57"/>
    </row>
    <row r="32" spans="1:3" x14ac:dyDescent="0.4">
      <c r="A32" s="58"/>
      <c r="C32" s="57"/>
    </row>
    <row r="33" spans="1:3" x14ac:dyDescent="0.4">
      <c r="A33" s="58"/>
      <c r="C33" s="57"/>
    </row>
    <row r="34" spans="1:3" x14ac:dyDescent="0.4">
      <c r="A34" s="58"/>
      <c r="C34" s="57"/>
    </row>
    <row r="35" spans="1:3" x14ac:dyDescent="0.4">
      <c r="A35" s="58"/>
      <c r="C35" s="57"/>
    </row>
    <row r="36" spans="1:3" x14ac:dyDescent="0.4">
      <c r="A36" s="58"/>
      <c r="C36" s="57"/>
    </row>
    <row r="37" spans="1:3" x14ac:dyDescent="0.4">
      <c r="A37" s="58"/>
      <c r="C37" s="57"/>
    </row>
    <row r="38" spans="1:3" x14ac:dyDescent="0.4">
      <c r="A38" s="58"/>
      <c r="C38" s="57"/>
    </row>
    <row r="39" spans="1:3" x14ac:dyDescent="0.4">
      <c r="A39" s="58"/>
      <c r="C39" s="57"/>
    </row>
    <row r="40" spans="1:3" x14ac:dyDescent="0.4">
      <c r="A40" s="58"/>
      <c r="C40" s="57"/>
    </row>
    <row r="41" spans="1:3" x14ac:dyDescent="0.4">
      <c r="A41" s="58"/>
      <c r="C41" s="57"/>
    </row>
    <row r="42" spans="1:3" x14ac:dyDescent="0.4">
      <c r="A42" s="58"/>
      <c r="C42" s="57"/>
    </row>
    <row r="43" spans="1:3" x14ac:dyDescent="0.4">
      <c r="A43" s="58"/>
      <c r="C43" s="57"/>
    </row>
    <row r="44" spans="1:3" x14ac:dyDescent="0.4">
      <c r="A44" s="58"/>
      <c r="C44" s="57"/>
    </row>
    <row r="45" spans="1:3" x14ac:dyDescent="0.4">
      <c r="A45" s="58"/>
      <c r="C45" s="57"/>
    </row>
    <row r="46" spans="1:3" x14ac:dyDescent="0.4">
      <c r="A46" s="58"/>
      <c r="C46" s="57"/>
    </row>
    <row r="47" spans="1:3" x14ac:dyDescent="0.4">
      <c r="A47" s="58"/>
      <c r="C47" s="57"/>
    </row>
    <row r="48" spans="1:3" x14ac:dyDescent="0.4">
      <c r="A48" s="58"/>
      <c r="C48" s="57"/>
    </row>
    <row r="49" spans="1:3" x14ac:dyDescent="0.4">
      <c r="A49" s="58"/>
      <c r="C49" s="57"/>
    </row>
    <row r="50" spans="1:3" x14ac:dyDescent="0.4">
      <c r="A50" s="58"/>
      <c r="C50" s="57"/>
    </row>
    <row r="51" spans="1:3" x14ac:dyDescent="0.4">
      <c r="A51" s="58"/>
      <c r="C51" s="57"/>
    </row>
    <row r="52" spans="1:3" x14ac:dyDescent="0.4">
      <c r="A52" s="58"/>
      <c r="C52" s="57"/>
    </row>
    <row r="53" spans="1:3" x14ac:dyDescent="0.4">
      <c r="A53" s="58"/>
      <c r="C53" s="57"/>
    </row>
    <row r="54" spans="1:3" x14ac:dyDescent="0.4">
      <c r="A54" s="58"/>
      <c r="C54" s="57"/>
    </row>
    <row r="55" spans="1:3" x14ac:dyDescent="0.4">
      <c r="A55" s="58"/>
      <c r="C55" s="57"/>
    </row>
    <row r="56" spans="1:3" x14ac:dyDescent="0.4">
      <c r="A56" s="58"/>
      <c r="C56" s="57"/>
    </row>
    <row r="57" spans="1:3" x14ac:dyDescent="0.4">
      <c r="A57" s="58"/>
      <c r="C57" s="57"/>
    </row>
    <row r="58" spans="1:3" x14ac:dyDescent="0.4">
      <c r="A58" s="58"/>
      <c r="C58" s="57"/>
    </row>
    <row r="59" spans="1:3" x14ac:dyDescent="0.4">
      <c r="A59" s="58"/>
      <c r="C59" s="57"/>
    </row>
    <row r="60" spans="1:3" x14ac:dyDescent="0.4">
      <c r="A60" s="58"/>
      <c r="C60" s="57"/>
    </row>
    <row r="61" spans="1:3" x14ac:dyDescent="0.4">
      <c r="A61" s="58"/>
      <c r="C61" s="57"/>
    </row>
    <row r="62" spans="1:3" x14ac:dyDescent="0.4">
      <c r="A62" s="58"/>
      <c r="C62" s="57"/>
    </row>
    <row r="63" spans="1:3" x14ac:dyDescent="0.4">
      <c r="A63" s="58"/>
      <c r="C63" s="57"/>
    </row>
    <row r="64" spans="1:3" x14ac:dyDescent="0.4">
      <c r="A64" s="58"/>
      <c r="C64" s="57"/>
    </row>
    <row r="65" spans="1:3" x14ac:dyDescent="0.4">
      <c r="A65" s="58"/>
      <c r="C65" s="57"/>
    </row>
    <row r="66" spans="1:3" x14ac:dyDescent="0.4">
      <c r="A66" s="58"/>
      <c r="C66" s="57"/>
    </row>
    <row r="67" spans="1:3" x14ac:dyDescent="0.4">
      <c r="A67" s="58"/>
      <c r="C67" s="57"/>
    </row>
    <row r="68" spans="1:3" x14ac:dyDescent="0.4">
      <c r="A68" s="58"/>
      <c r="C68" s="57"/>
    </row>
    <row r="69" spans="1:3" x14ac:dyDescent="0.4">
      <c r="A69" s="58"/>
      <c r="C69" s="57"/>
    </row>
    <row r="70" spans="1:3" x14ac:dyDescent="0.4">
      <c r="A70" s="58"/>
      <c r="C70" s="57"/>
    </row>
    <row r="71" spans="1:3" x14ac:dyDescent="0.4">
      <c r="A71" s="58"/>
      <c r="C71" s="57"/>
    </row>
    <row r="72" spans="1:3" x14ac:dyDescent="0.4">
      <c r="A72" s="58"/>
      <c r="C72" s="57"/>
    </row>
    <row r="73" spans="1:3" x14ac:dyDescent="0.4">
      <c r="A73" s="58"/>
      <c r="C73" s="57"/>
    </row>
    <row r="74" spans="1:3" x14ac:dyDescent="0.4">
      <c r="A74" s="58"/>
      <c r="C74" s="57"/>
    </row>
    <row r="75" spans="1:3" x14ac:dyDescent="0.4">
      <c r="A75" s="58"/>
      <c r="C75" s="57"/>
    </row>
    <row r="76" spans="1:3" x14ac:dyDescent="0.4">
      <c r="A76" s="58"/>
      <c r="C76" s="57"/>
    </row>
    <row r="77" spans="1:3" x14ac:dyDescent="0.4">
      <c r="A77" s="58"/>
      <c r="C77" s="57"/>
    </row>
    <row r="78" spans="1:3" x14ac:dyDescent="0.4">
      <c r="A78" s="58"/>
      <c r="C78" s="57"/>
    </row>
    <row r="79" spans="1:3" x14ac:dyDescent="0.4">
      <c r="A79" s="58"/>
      <c r="C79" s="57"/>
    </row>
    <row r="80" spans="1:3" x14ac:dyDescent="0.4">
      <c r="A80" s="58"/>
      <c r="C80" s="57"/>
    </row>
    <row r="81" spans="1:3" x14ac:dyDescent="0.4">
      <c r="A81" s="58"/>
      <c r="C81" s="57"/>
    </row>
    <row r="82" spans="1:3" x14ac:dyDescent="0.4">
      <c r="A82" s="58"/>
      <c r="C82" s="57"/>
    </row>
    <row r="83" spans="1:3" x14ac:dyDescent="0.4">
      <c r="A83" s="58"/>
      <c r="C83" s="57"/>
    </row>
    <row r="84" spans="1:3" x14ac:dyDescent="0.4">
      <c r="A84" s="58"/>
      <c r="C84" s="57"/>
    </row>
    <row r="85" spans="1:3" x14ac:dyDescent="0.4">
      <c r="A85" s="58"/>
      <c r="C85" s="57"/>
    </row>
    <row r="86" spans="1:3" x14ac:dyDescent="0.4">
      <c r="A86" s="58"/>
      <c r="C86" s="57"/>
    </row>
    <row r="87" spans="1:3" x14ac:dyDescent="0.4">
      <c r="A87" s="58"/>
      <c r="C87" s="57"/>
    </row>
    <row r="88" spans="1:3" x14ac:dyDescent="0.4">
      <c r="A88" s="58"/>
      <c r="C88" s="57"/>
    </row>
    <row r="89" spans="1:3" x14ac:dyDescent="0.4">
      <c r="A89" s="58"/>
      <c r="C89" s="57"/>
    </row>
    <row r="90" spans="1:3" x14ac:dyDescent="0.4">
      <c r="A90" s="58"/>
      <c r="C90" s="57"/>
    </row>
    <row r="91" spans="1:3" x14ac:dyDescent="0.4">
      <c r="A91" s="58"/>
      <c r="C91" s="57"/>
    </row>
    <row r="92" spans="1:3" x14ac:dyDescent="0.4">
      <c r="A92" s="58"/>
      <c r="C92" s="57"/>
    </row>
    <row r="93" spans="1:3" x14ac:dyDescent="0.4">
      <c r="A93" s="58"/>
      <c r="C93" s="57"/>
    </row>
    <row r="94" spans="1:3" x14ac:dyDescent="0.4">
      <c r="A94" s="58"/>
      <c r="C94" s="57"/>
    </row>
    <row r="95" spans="1:3" x14ac:dyDescent="0.4">
      <c r="A95" s="58"/>
      <c r="C95" s="57"/>
    </row>
    <row r="96" spans="1:3" x14ac:dyDescent="0.4">
      <c r="A96" s="58"/>
      <c r="C96" s="57"/>
    </row>
    <row r="97" spans="1:3" x14ac:dyDescent="0.4">
      <c r="A97" s="58"/>
      <c r="C97" s="57"/>
    </row>
    <row r="98" spans="1:3" x14ac:dyDescent="0.4">
      <c r="A98" s="58"/>
      <c r="C98" s="57"/>
    </row>
    <row r="99" spans="1:3" x14ac:dyDescent="0.4">
      <c r="A99" s="58"/>
      <c r="C99" s="57"/>
    </row>
    <row r="100" spans="1:3" x14ac:dyDescent="0.4">
      <c r="A100" s="58"/>
      <c r="C100" s="57"/>
    </row>
    <row r="101" spans="1:3" x14ac:dyDescent="0.4">
      <c r="A101" s="58"/>
      <c r="C101" s="57"/>
    </row>
    <row r="102" spans="1:3" x14ac:dyDescent="0.4">
      <c r="A102" s="58"/>
      <c r="C102" s="57"/>
    </row>
    <row r="103" spans="1:3" x14ac:dyDescent="0.4">
      <c r="A103" s="58"/>
      <c r="C103" s="57"/>
    </row>
    <row r="104" spans="1:3" x14ac:dyDescent="0.4">
      <c r="A104" s="58"/>
      <c r="C104" s="57"/>
    </row>
    <row r="105" spans="1:3" x14ac:dyDescent="0.4">
      <c r="A105" s="58"/>
      <c r="C105" s="57"/>
    </row>
    <row r="106" spans="1:3" x14ac:dyDescent="0.4">
      <c r="A106" s="58"/>
      <c r="C106" s="57"/>
    </row>
    <row r="107" spans="1:3" x14ac:dyDescent="0.4">
      <c r="A107" s="58"/>
      <c r="C107" s="57"/>
    </row>
    <row r="108" spans="1:3" x14ac:dyDescent="0.4">
      <c r="A108" s="58"/>
      <c r="C108" s="57"/>
    </row>
    <row r="109" spans="1:3" x14ac:dyDescent="0.4">
      <c r="A109" s="58"/>
      <c r="C109" s="57"/>
    </row>
    <row r="110" spans="1:3" x14ac:dyDescent="0.4">
      <c r="A110" s="58"/>
      <c r="C110" s="57"/>
    </row>
    <row r="111" spans="1:3" x14ac:dyDescent="0.4">
      <c r="A111" s="58"/>
      <c r="C111" s="57"/>
    </row>
    <row r="112" spans="1:3" x14ac:dyDescent="0.4">
      <c r="A112" s="58"/>
      <c r="C112" s="57"/>
    </row>
    <row r="113" spans="1:3" x14ac:dyDescent="0.4">
      <c r="A113" s="58"/>
      <c r="C113" s="57"/>
    </row>
    <row r="114" spans="1:3" x14ac:dyDescent="0.4">
      <c r="A114" s="58"/>
      <c r="C114" s="57"/>
    </row>
    <row r="115" spans="1:3" x14ac:dyDescent="0.4">
      <c r="A115" s="58"/>
      <c r="C115" s="57"/>
    </row>
    <row r="116" spans="1:3" x14ac:dyDescent="0.4">
      <c r="A116" s="58"/>
      <c r="C116" s="57"/>
    </row>
    <row r="117" spans="1:3" x14ac:dyDescent="0.4">
      <c r="A117" s="58"/>
      <c r="C117" s="57"/>
    </row>
    <row r="118" spans="1:3" x14ac:dyDescent="0.4">
      <c r="A118" s="58"/>
      <c r="C118" s="57"/>
    </row>
    <row r="119" spans="1:3" x14ac:dyDescent="0.4">
      <c r="A119" s="58"/>
      <c r="C119" s="57"/>
    </row>
    <row r="120" spans="1:3" x14ac:dyDescent="0.4">
      <c r="A120" s="58"/>
      <c r="C120" s="57"/>
    </row>
    <row r="121" spans="1:3" x14ac:dyDescent="0.4">
      <c r="A121" s="58"/>
      <c r="C121" s="57"/>
    </row>
    <row r="122" spans="1:3" x14ac:dyDescent="0.4">
      <c r="A122" s="58"/>
      <c r="C122" s="57"/>
    </row>
    <row r="123" spans="1:3" x14ac:dyDescent="0.4">
      <c r="A123" s="58"/>
      <c r="C123" s="57"/>
    </row>
    <row r="124" spans="1:3" x14ac:dyDescent="0.4">
      <c r="A124" s="58"/>
      <c r="C124" s="57"/>
    </row>
    <row r="125" spans="1:3" x14ac:dyDescent="0.4">
      <c r="A125" s="58"/>
      <c r="C125" s="57"/>
    </row>
    <row r="126" spans="1:3" x14ac:dyDescent="0.4">
      <c r="A126" s="58"/>
      <c r="C126" s="57"/>
    </row>
    <row r="127" spans="1:3" x14ac:dyDescent="0.4">
      <c r="A127" s="58"/>
      <c r="C127" s="57"/>
    </row>
    <row r="128" spans="1:3" x14ac:dyDescent="0.4">
      <c r="A128" s="58"/>
      <c r="C128" s="57"/>
    </row>
    <row r="129" spans="1:3" x14ac:dyDescent="0.4">
      <c r="A129" s="58"/>
      <c r="C129" s="57"/>
    </row>
    <row r="130" spans="1:3" x14ac:dyDescent="0.4">
      <c r="A130" s="58"/>
      <c r="C130" s="57"/>
    </row>
    <row r="131" spans="1:3" x14ac:dyDescent="0.4">
      <c r="A131" s="58"/>
      <c r="C131" s="57"/>
    </row>
    <row r="132" spans="1:3" x14ac:dyDescent="0.4">
      <c r="A132" s="58"/>
      <c r="C132" s="57"/>
    </row>
    <row r="133" spans="1:3" x14ac:dyDescent="0.4">
      <c r="A133" s="58"/>
      <c r="C133" s="57"/>
    </row>
    <row r="134" spans="1:3" x14ac:dyDescent="0.4">
      <c r="A134" s="58"/>
      <c r="C134" s="57"/>
    </row>
    <row r="135" spans="1:3" x14ac:dyDescent="0.4">
      <c r="A135" s="58"/>
      <c r="C135" s="57"/>
    </row>
    <row r="136" spans="1:3" x14ac:dyDescent="0.4">
      <c r="A136" s="58"/>
      <c r="C136" s="57"/>
    </row>
    <row r="137" spans="1:3" x14ac:dyDescent="0.4">
      <c r="A137" s="58"/>
      <c r="C137" s="57"/>
    </row>
    <row r="138" spans="1:3" x14ac:dyDescent="0.4">
      <c r="A138" s="58"/>
      <c r="C138" s="57"/>
    </row>
    <row r="139" spans="1:3" x14ac:dyDescent="0.4">
      <c r="A139" s="58"/>
      <c r="C139" s="57"/>
    </row>
    <row r="140" spans="1:3" x14ac:dyDescent="0.4">
      <c r="A140" s="58"/>
      <c r="C140" s="57"/>
    </row>
    <row r="141" spans="1:3" x14ac:dyDescent="0.4">
      <c r="A141" s="58"/>
      <c r="C141" s="57"/>
    </row>
    <row r="142" spans="1:3" x14ac:dyDescent="0.4">
      <c r="A142" s="58"/>
      <c r="C142" s="57"/>
    </row>
    <row r="143" spans="1:3" x14ac:dyDescent="0.4">
      <c r="A143" s="58"/>
      <c r="C143" s="57"/>
    </row>
    <row r="144" spans="1:3" x14ac:dyDescent="0.4">
      <c r="A144" s="58"/>
      <c r="C144" s="57"/>
    </row>
    <row r="145" spans="1:3" x14ac:dyDescent="0.4">
      <c r="A145" s="58"/>
      <c r="C145" s="57"/>
    </row>
    <row r="146" spans="1:3" x14ac:dyDescent="0.4">
      <c r="A146" s="58"/>
      <c r="C146" s="57"/>
    </row>
    <row r="147" spans="1:3" x14ac:dyDescent="0.4">
      <c r="A147" s="58"/>
      <c r="C147" s="57"/>
    </row>
    <row r="148" spans="1:3" x14ac:dyDescent="0.4">
      <c r="A148" s="58"/>
      <c r="C148" s="57"/>
    </row>
    <row r="149" spans="1:3" x14ac:dyDescent="0.4">
      <c r="A149" s="58"/>
      <c r="C149" s="57"/>
    </row>
    <row r="150" spans="1:3" x14ac:dyDescent="0.4">
      <c r="A150" s="58"/>
      <c r="C150" s="57"/>
    </row>
    <row r="151" spans="1:3" x14ac:dyDescent="0.4">
      <c r="A151" s="58"/>
      <c r="C151" s="57"/>
    </row>
    <row r="152" spans="1:3" x14ac:dyDescent="0.4">
      <c r="A152" s="58"/>
      <c r="C152" s="57"/>
    </row>
    <row r="153" spans="1:3" x14ac:dyDescent="0.4">
      <c r="A153" s="58"/>
      <c r="C153" s="57"/>
    </row>
    <row r="154" spans="1:3" x14ac:dyDescent="0.4">
      <c r="A154" s="58"/>
      <c r="C154" s="57"/>
    </row>
    <row r="155" spans="1:3" x14ac:dyDescent="0.4">
      <c r="A155" s="58"/>
      <c r="C155" s="57"/>
    </row>
    <row r="156" spans="1:3" x14ac:dyDescent="0.4">
      <c r="A156" s="58"/>
      <c r="C156" s="57"/>
    </row>
    <row r="157" spans="1:3" x14ac:dyDescent="0.4">
      <c r="A157" s="58"/>
      <c r="C157" s="57"/>
    </row>
    <row r="158" spans="1:3" x14ac:dyDescent="0.4">
      <c r="A158" s="58"/>
      <c r="C158" s="57"/>
    </row>
    <row r="159" spans="1:3" x14ac:dyDescent="0.4">
      <c r="A159" s="58"/>
      <c r="C159" s="57"/>
    </row>
    <row r="160" spans="1:3" x14ac:dyDescent="0.4">
      <c r="A160" s="58"/>
      <c r="C160" s="57"/>
    </row>
    <row r="161" spans="1:3" x14ac:dyDescent="0.4">
      <c r="A161" s="58"/>
      <c r="C161" s="57"/>
    </row>
    <row r="162" spans="1:3" x14ac:dyDescent="0.4">
      <c r="A162" s="58"/>
      <c r="C162" s="57"/>
    </row>
    <row r="163" spans="1:3" x14ac:dyDescent="0.4">
      <c r="A163" s="58"/>
      <c r="C163" s="57"/>
    </row>
    <row r="164" spans="1:3" x14ac:dyDescent="0.4">
      <c r="A164" s="58"/>
      <c r="C164" s="57"/>
    </row>
    <row r="165" spans="1:3" x14ac:dyDescent="0.4">
      <c r="A165" s="58"/>
      <c r="C165" s="57"/>
    </row>
    <row r="166" spans="1:3" x14ac:dyDescent="0.4">
      <c r="A166" s="58"/>
      <c r="C166" s="57"/>
    </row>
    <row r="167" spans="1:3" x14ac:dyDescent="0.4">
      <c r="A167" s="58"/>
      <c r="C167" s="57"/>
    </row>
    <row r="168" spans="1:3" x14ac:dyDescent="0.4">
      <c r="A168" s="58"/>
      <c r="C168" s="57"/>
    </row>
    <row r="169" spans="1:3" x14ac:dyDescent="0.4">
      <c r="A169" s="58"/>
      <c r="C169" s="57"/>
    </row>
    <row r="170" spans="1:3" x14ac:dyDescent="0.4">
      <c r="A170" s="58"/>
      <c r="C170" s="57"/>
    </row>
    <row r="171" spans="1:3" x14ac:dyDescent="0.4">
      <c r="A171" s="58"/>
      <c r="C171" s="57"/>
    </row>
    <row r="172" spans="1:3" x14ac:dyDescent="0.4">
      <c r="A172" s="58"/>
      <c r="C172" s="57"/>
    </row>
    <row r="173" spans="1:3" x14ac:dyDescent="0.4">
      <c r="A173" s="58"/>
      <c r="C173" s="57"/>
    </row>
    <row r="174" spans="1:3" x14ac:dyDescent="0.4">
      <c r="A174" s="58"/>
      <c r="C174" s="57"/>
    </row>
    <row r="175" spans="1:3" x14ac:dyDescent="0.4">
      <c r="A175" s="58"/>
      <c r="C175" s="57"/>
    </row>
    <row r="176" spans="1:3" x14ac:dyDescent="0.4">
      <c r="A176" s="58"/>
      <c r="C176" s="57"/>
    </row>
    <row r="177" spans="1:3" x14ac:dyDescent="0.4">
      <c r="A177" s="58"/>
      <c r="C177" s="57"/>
    </row>
    <row r="178" spans="1:3" x14ac:dyDescent="0.4">
      <c r="A178" s="58"/>
      <c r="C178" s="57"/>
    </row>
    <row r="179" spans="1:3" x14ac:dyDescent="0.4">
      <c r="A179" s="58"/>
      <c r="C179" s="57"/>
    </row>
    <row r="180" spans="1:3" x14ac:dyDescent="0.4">
      <c r="A180" s="58"/>
      <c r="C180" s="57"/>
    </row>
    <row r="181" spans="1:3" x14ac:dyDescent="0.4">
      <c r="A181" s="58"/>
      <c r="C181" s="57"/>
    </row>
    <row r="182" spans="1:3" x14ac:dyDescent="0.4">
      <c r="A182" s="58"/>
      <c r="C182" s="57"/>
    </row>
    <row r="183" spans="1:3" x14ac:dyDescent="0.4">
      <c r="A183" s="58"/>
      <c r="C183" s="57"/>
    </row>
    <row r="184" spans="1:3" x14ac:dyDescent="0.4">
      <c r="A184" s="58"/>
      <c r="C184" s="57"/>
    </row>
    <row r="185" spans="1:3" x14ac:dyDescent="0.4">
      <c r="A185" s="58"/>
      <c r="C185" s="57"/>
    </row>
    <row r="186" spans="1:3" x14ac:dyDescent="0.4">
      <c r="A186" s="58"/>
      <c r="C186" s="57"/>
    </row>
    <row r="187" spans="1:3" x14ac:dyDescent="0.4">
      <c r="A187" s="58"/>
      <c r="C187" s="57"/>
    </row>
    <row r="188" spans="1:3" x14ac:dyDescent="0.4">
      <c r="A188" s="58"/>
      <c r="C188" s="57"/>
    </row>
    <row r="189" spans="1:3" x14ac:dyDescent="0.4">
      <c r="A189" s="58"/>
      <c r="C189" s="57"/>
    </row>
    <row r="190" spans="1:3" x14ac:dyDescent="0.4">
      <c r="A190" s="58"/>
      <c r="C190" s="57"/>
    </row>
    <row r="191" spans="1:3" x14ac:dyDescent="0.4">
      <c r="A191" s="58"/>
      <c r="C191" s="57"/>
    </row>
    <row r="192" spans="1:3" x14ac:dyDescent="0.4">
      <c r="A192" s="58"/>
      <c r="C192" s="57"/>
    </row>
    <row r="193" spans="1:3" x14ac:dyDescent="0.4">
      <c r="A193" s="58"/>
      <c r="C193" s="57"/>
    </row>
    <row r="194" spans="1:3" x14ac:dyDescent="0.4">
      <c r="A194" s="58"/>
      <c r="C194" s="57"/>
    </row>
    <row r="195" spans="1:3" x14ac:dyDescent="0.4">
      <c r="A195" s="58"/>
      <c r="C195" s="57"/>
    </row>
    <row r="196" spans="1:3" x14ac:dyDescent="0.4">
      <c r="A196" s="58"/>
      <c r="C196" s="57"/>
    </row>
    <row r="197" spans="1:3" x14ac:dyDescent="0.4">
      <c r="A197" s="58"/>
      <c r="C197" s="57"/>
    </row>
    <row r="198" spans="1:3" x14ac:dyDescent="0.4">
      <c r="A198" s="58"/>
      <c r="C198" s="57"/>
    </row>
    <row r="199" spans="1:3" x14ac:dyDescent="0.4">
      <c r="A199" s="58"/>
      <c r="C199" s="57"/>
    </row>
    <row r="200" spans="1:3" x14ac:dyDescent="0.4">
      <c r="A200" s="58"/>
      <c r="C200" s="57"/>
    </row>
    <row r="201" spans="1:3" x14ac:dyDescent="0.4">
      <c r="A201" s="58"/>
      <c r="C201" s="57"/>
    </row>
    <row r="202" spans="1:3" x14ac:dyDescent="0.4">
      <c r="A202" s="58"/>
      <c r="C202" s="57"/>
    </row>
    <row r="203" spans="1:3" x14ac:dyDescent="0.4">
      <c r="A203" s="58"/>
      <c r="C203" s="57"/>
    </row>
    <row r="204" spans="1:3" x14ac:dyDescent="0.4">
      <c r="A204" s="58"/>
      <c r="C204" s="57"/>
    </row>
    <row r="205" spans="1:3" x14ac:dyDescent="0.4">
      <c r="A205" s="58"/>
      <c r="C205" s="57"/>
    </row>
    <row r="206" spans="1:3" x14ac:dyDescent="0.4">
      <c r="A206" s="58"/>
      <c r="C206" s="57"/>
    </row>
    <row r="207" spans="1:3" x14ac:dyDescent="0.4">
      <c r="A207" s="58"/>
      <c r="C207" s="57"/>
    </row>
    <row r="208" spans="1:3" x14ac:dyDescent="0.4">
      <c r="A208" s="58"/>
      <c r="C208" s="57"/>
    </row>
    <row r="209" spans="1:3" x14ac:dyDescent="0.4">
      <c r="A209" s="58"/>
      <c r="C209" s="57"/>
    </row>
    <row r="210" spans="1:3" x14ac:dyDescent="0.4">
      <c r="A210" s="58"/>
      <c r="C210" s="57"/>
    </row>
    <row r="211" spans="1:3" x14ac:dyDescent="0.4">
      <c r="A211" s="58"/>
      <c r="C211" s="57"/>
    </row>
    <row r="212" spans="1:3" x14ac:dyDescent="0.4">
      <c r="A212" s="58"/>
      <c r="C212" s="57"/>
    </row>
    <row r="213" spans="1:3" x14ac:dyDescent="0.4">
      <c r="A213" s="58"/>
      <c r="C213" s="57"/>
    </row>
    <row r="214" spans="1:3" x14ac:dyDescent="0.4">
      <c r="A214" s="58"/>
      <c r="C214" s="57"/>
    </row>
    <row r="215" spans="1:3" x14ac:dyDescent="0.4">
      <c r="A215" s="58"/>
      <c r="C215" s="57"/>
    </row>
    <row r="216" spans="1:3" x14ac:dyDescent="0.4">
      <c r="A216" s="58"/>
      <c r="C216" s="57"/>
    </row>
    <row r="217" spans="1:3" x14ac:dyDescent="0.4">
      <c r="A217" s="58"/>
      <c r="C217" s="57"/>
    </row>
    <row r="218" spans="1:3" x14ac:dyDescent="0.4">
      <c r="A218" s="58"/>
      <c r="C218" s="57"/>
    </row>
    <row r="219" spans="1:3" x14ac:dyDescent="0.4">
      <c r="A219" s="58"/>
      <c r="C219" s="57"/>
    </row>
    <row r="220" spans="1:3" x14ac:dyDescent="0.4">
      <c r="A220" s="58"/>
      <c r="C220" s="57"/>
    </row>
    <row r="221" spans="1:3" x14ac:dyDescent="0.4">
      <c r="A221" s="58"/>
      <c r="C221" s="57"/>
    </row>
    <row r="222" spans="1:3" x14ac:dyDescent="0.4">
      <c r="A222" s="58"/>
      <c r="C222" s="57"/>
    </row>
    <row r="223" spans="1:3" x14ac:dyDescent="0.4">
      <c r="A223" s="58"/>
      <c r="C223" s="57"/>
    </row>
    <row r="224" spans="1:3" x14ac:dyDescent="0.4">
      <c r="A224" s="58"/>
      <c r="C224" s="57"/>
    </row>
    <row r="225" spans="1:3" x14ac:dyDescent="0.4">
      <c r="A225" s="58"/>
      <c r="C225" s="57"/>
    </row>
    <row r="226" spans="1:3" x14ac:dyDescent="0.4">
      <c r="A226" s="58"/>
      <c r="C226" s="57"/>
    </row>
    <row r="227" spans="1:3" x14ac:dyDescent="0.4">
      <c r="A227" s="58"/>
      <c r="C227" s="57"/>
    </row>
    <row r="228" spans="1:3" x14ac:dyDescent="0.4">
      <c r="A228" s="58"/>
      <c r="C228" s="57"/>
    </row>
    <row r="229" spans="1:3" x14ac:dyDescent="0.4">
      <c r="A229" s="58"/>
      <c r="C229" s="57"/>
    </row>
    <row r="230" spans="1:3" x14ac:dyDescent="0.4">
      <c r="A230" s="58"/>
      <c r="C230" s="57"/>
    </row>
    <row r="231" spans="1:3" x14ac:dyDescent="0.4">
      <c r="A231" s="58"/>
      <c r="C231" s="57"/>
    </row>
    <row r="232" spans="1:3" x14ac:dyDescent="0.4">
      <c r="A232" s="58"/>
      <c r="C232" s="57"/>
    </row>
    <row r="233" spans="1:3" x14ac:dyDescent="0.4">
      <c r="A233" s="58"/>
      <c r="C233" s="57"/>
    </row>
    <row r="234" spans="1:3" x14ac:dyDescent="0.4">
      <c r="A234" s="58"/>
      <c r="C234" s="57"/>
    </row>
    <row r="235" spans="1:3" x14ac:dyDescent="0.4">
      <c r="A235" s="58"/>
      <c r="C235" s="57"/>
    </row>
    <row r="236" spans="1:3" x14ac:dyDescent="0.4">
      <c r="A236" s="58"/>
      <c r="C236" s="57"/>
    </row>
    <row r="237" spans="1:3" x14ac:dyDescent="0.4">
      <c r="A237" s="58"/>
      <c r="C237" s="57"/>
    </row>
    <row r="238" spans="1:3" x14ac:dyDescent="0.4">
      <c r="A238" s="58"/>
      <c r="C238" s="57"/>
    </row>
    <row r="239" spans="1:3" x14ac:dyDescent="0.4">
      <c r="A239" s="58"/>
      <c r="C239" s="57"/>
    </row>
    <row r="240" spans="1:3" x14ac:dyDescent="0.4">
      <c r="A240" s="58"/>
      <c r="C240" s="57"/>
    </row>
    <row r="241" spans="1:3" x14ac:dyDescent="0.4">
      <c r="A241" s="58"/>
      <c r="C241" s="57"/>
    </row>
    <row r="242" spans="1:3" x14ac:dyDescent="0.4">
      <c r="A242" s="58"/>
      <c r="C242" s="57"/>
    </row>
    <row r="243" spans="1:3" x14ac:dyDescent="0.4">
      <c r="A243" s="58"/>
      <c r="C243" s="57"/>
    </row>
    <row r="244" spans="1:3" x14ac:dyDescent="0.4">
      <c r="A244" s="58"/>
      <c r="C244" s="57"/>
    </row>
    <row r="245" spans="1:3" x14ac:dyDescent="0.4">
      <c r="A245" s="58"/>
      <c r="C245" s="57"/>
    </row>
    <row r="246" spans="1:3" x14ac:dyDescent="0.4">
      <c r="A246" s="58"/>
      <c r="C246" s="57"/>
    </row>
    <row r="247" spans="1:3" x14ac:dyDescent="0.4">
      <c r="A247" s="58"/>
      <c r="C247" s="57"/>
    </row>
    <row r="248" spans="1:3" x14ac:dyDescent="0.4">
      <c r="A248" s="58"/>
      <c r="C248" s="57"/>
    </row>
    <row r="249" spans="1:3" x14ac:dyDescent="0.4">
      <c r="A249" s="58"/>
      <c r="C249" s="57"/>
    </row>
    <row r="250" spans="1:3" x14ac:dyDescent="0.4">
      <c r="A250" s="58"/>
      <c r="C250" s="57"/>
    </row>
    <row r="251" spans="1:3" x14ac:dyDescent="0.4">
      <c r="A251" s="58"/>
      <c r="C251" s="57"/>
    </row>
    <row r="252" spans="1:3" x14ac:dyDescent="0.4">
      <c r="A252" s="58"/>
      <c r="C252" s="57"/>
    </row>
    <row r="253" spans="1:3" x14ac:dyDescent="0.4">
      <c r="A253" s="58"/>
      <c r="C253" s="57"/>
    </row>
    <row r="254" spans="1:3" x14ac:dyDescent="0.4">
      <c r="A254" s="58"/>
      <c r="C254" s="57"/>
    </row>
    <row r="255" spans="1:3" x14ac:dyDescent="0.4">
      <c r="A255" s="58"/>
      <c r="C255" s="57"/>
    </row>
    <row r="256" spans="1:3" x14ac:dyDescent="0.4">
      <c r="A256" s="58"/>
      <c r="C256" s="57"/>
    </row>
    <row r="257" spans="1:3" x14ac:dyDescent="0.4">
      <c r="A257" s="58"/>
      <c r="C257" s="57"/>
    </row>
    <row r="258" spans="1:3" x14ac:dyDescent="0.4">
      <c r="A258" s="58"/>
      <c r="C258" s="57"/>
    </row>
    <row r="259" spans="1:3" x14ac:dyDescent="0.4">
      <c r="A259" s="58"/>
      <c r="C259" s="57"/>
    </row>
    <row r="260" spans="1:3" x14ac:dyDescent="0.4">
      <c r="A260" s="58"/>
      <c r="C260" s="57"/>
    </row>
    <row r="261" spans="1:3" x14ac:dyDescent="0.4">
      <c r="A261" s="58"/>
      <c r="C261" s="57"/>
    </row>
    <row r="262" spans="1:3" x14ac:dyDescent="0.4">
      <c r="A262" s="58"/>
      <c r="C262" s="57"/>
    </row>
    <row r="263" spans="1:3" x14ac:dyDescent="0.4">
      <c r="A263" s="58"/>
      <c r="C263" s="57"/>
    </row>
    <row r="264" spans="1:3" x14ac:dyDescent="0.4">
      <c r="A264" s="58"/>
      <c r="C264" s="57"/>
    </row>
    <row r="265" spans="1:3" x14ac:dyDescent="0.4">
      <c r="A265" s="58"/>
      <c r="C265" s="57"/>
    </row>
    <row r="266" spans="1:3" x14ac:dyDescent="0.4">
      <c r="A266" s="58"/>
      <c r="C266" s="57"/>
    </row>
    <row r="267" spans="1:3" x14ac:dyDescent="0.4">
      <c r="A267" s="58"/>
      <c r="C267" s="57"/>
    </row>
    <row r="268" spans="1:3" x14ac:dyDescent="0.4">
      <c r="A268" s="58"/>
      <c r="C268" s="57"/>
    </row>
    <row r="269" spans="1:3" x14ac:dyDescent="0.4">
      <c r="A269" s="58"/>
      <c r="C269" s="57"/>
    </row>
    <row r="270" spans="1:3" x14ac:dyDescent="0.4">
      <c r="A270" s="58"/>
      <c r="C270" s="57"/>
    </row>
    <row r="271" spans="1:3" x14ac:dyDescent="0.4">
      <c r="A271" s="58"/>
      <c r="C271" s="57"/>
    </row>
    <row r="272" spans="1:3" x14ac:dyDescent="0.4">
      <c r="A272" s="58"/>
      <c r="C272" s="57"/>
    </row>
    <row r="273" spans="1:3" x14ac:dyDescent="0.4">
      <c r="A273" s="58"/>
      <c r="C273" s="57"/>
    </row>
    <row r="274" spans="1:3" x14ac:dyDescent="0.4">
      <c r="A274" s="58"/>
      <c r="C274" s="57"/>
    </row>
    <row r="275" spans="1:3" x14ac:dyDescent="0.4">
      <c r="A275" s="58"/>
      <c r="C275" s="57"/>
    </row>
    <row r="276" spans="1:3" x14ac:dyDescent="0.4">
      <c r="A276" s="58"/>
      <c r="C276" s="57"/>
    </row>
    <row r="277" spans="1:3" x14ac:dyDescent="0.4">
      <c r="A277" s="58"/>
      <c r="C277" s="57"/>
    </row>
    <row r="278" spans="1:3" x14ac:dyDescent="0.4">
      <c r="A278" s="58"/>
      <c r="C278" s="57"/>
    </row>
    <row r="279" spans="1:3" x14ac:dyDescent="0.4">
      <c r="A279" s="58"/>
      <c r="C279" s="57"/>
    </row>
    <row r="280" spans="1:3" x14ac:dyDescent="0.4">
      <c r="A280" s="58"/>
      <c r="C280" s="57"/>
    </row>
    <row r="281" spans="1:3" x14ac:dyDescent="0.4">
      <c r="A281" s="58"/>
      <c r="C281" s="57"/>
    </row>
    <row r="282" spans="1:3" x14ac:dyDescent="0.4">
      <c r="A282" s="58"/>
      <c r="C282" s="57"/>
    </row>
    <row r="283" spans="1:3" x14ac:dyDescent="0.4">
      <c r="A283" s="58"/>
      <c r="C283" s="57"/>
    </row>
    <row r="284" spans="1:3" x14ac:dyDescent="0.4">
      <c r="A284" s="58"/>
      <c r="C284" s="57"/>
    </row>
    <row r="285" spans="1:3" x14ac:dyDescent="0.4">
      <c r="A285" s="58"/>
      <c r="C285" s="57"/>
    </row>
    <row r="286" spans="1:3" x14ac:dyDescent="0.4">
      <c r="A286" s="58"/>
      <c r="C286" s="57"/>
    </row>
    <row r="287" spans="1:3" x14ac:dyDescent="0.4">
      <c r="A287" s="58"/>
      <c r="C287" s="57"/>
    </row>
    <row r="288" spans="1:3" x14ac:dyDescent="0.4">
      <c r="A288" s="58"/>
      <c r="C288" s="57"/>
    </row>
    <row r="289" spans="1:3" x14ac:dyDescent="0.4">
      <c r="A289" s="58"/>
      <c r="C289" s="57"/>
    </row>
    <row r="290" spans="1:3" x14ac:dyDescent="0.4">
      <c r="A290" s="58"/>
      <c r="C290" s="57"/>
    </row>
    <row r="291" spans="1:3" x14ac:dyDescent="0.4">
      <c r="A291" s="58"/>
      <c r="C291" s="57"/>
    </row>
    <row r="292" spans="1:3" x14ac:dyDescent="0.4">
      <c r="A292" s="58"/>
      <c r="C292" s="57"/>
    </row>
    <row r="293" spans="1:3" x14ac:dyDescent="0.4">
      <c r="A293" s="58"/>
      <c r="C293" s="57"/>
    </row>
    <row r="294" spans="1:3" x14ac:dyDescent="0.4">
      <c r="A294" s="58"/>
      <c r="C294" s="57"/>
    </row>
    <row r="295" spans="1:3" x14ac:dyDescent="0.4">
      <c r="A295" s="58"/>
      <c r="C295" s="57"/>
    </row>
    <row r="296" spans="1:3" x14ac:dyDescent="0.4">
      <c r="A296" s="58"/>
      <c r="C296" s="57"/>
    </row>
    <row r="297" spans="1:3" x14ac:dyDescent="0.4">
      <c r="A297" s="58"/>
      <c r="C297" s="57"/>
    </row>
    <row r="298" spans="1:3" x14ac:dyDescent="0.4">
      <c r="A298" s="58"/>
      <c r="C298" s="57"/>
    </row>
    <row r="299" spans="1:3" x14ac:dyDescent="0.4">
      <c r="A299" s="58"/>
      <c r="C299" s="57"/>
    </row>
    <row r="300" spans="1:3" x14ac:dyDescent="0.4">
      <c r="A300" s="58"/>
      <c r="C300" s="57"/>
    </row>
    <row r="301" spans="1:3" x14ac:dyDescent="0.4">
      <c r="A301" s="58"/>
      <c r="C301" s="57"/>
    </row>
    <row r="302" spans="1:3" x14ac:dyDescent="0.4">
      <c r="A302" s="58"/>
      <c r="C302" s="57"/>
    </row>
    <row r="303" spans="1:3" x14ac:dyDescent="0.4">
      <c r="A303" s="58"/>
      <c r="C303" s="57"/>
    </row>
    <row r="304" spans="1:3" x14ac:dyDescent="0.4">
      <c r="A304" s="58"/>
      <c r="C304" s="57"/>
    </row>
    <row r="305" spans="1:3" x14ac:dyDescent="0.4">
      <c r="A305" s="58"/>
      <c r="C305" s="57"/>
    </row>
    <row r="306" spans="1:3" x14ac:dyDescent="0.4">
      <c r="A306" s="58"/>
      <c r="C306" s="57"/>
    </row>
    <row r="307" spans="1:3" x14ac:dyDescent="0.4">
      <c r="A307" s="58"/>
      <c r="C307" s="57"/>
    </row>
    <row r="308" spans="1:3" x14ac:dyDescent="0.4">
      <c r="A308" s="58"/>
      <c r="C308" s="57"/>
    </row>
    <row r="309" spans="1:3" x14ac:dyDescent="0.4">
      <c r="A309" s="58"/>
      <c r="C309" s="57"/>
    </row>
    <row r="310" spans="1:3" x14ac:dyDescent="0.4">
      <c r="A310" s="58"/>
      <c r="C310" s="57"/>
    </row>
    <row r="311" spans="1:3" x14ac:dyDescent="0.4">
      <c r="A311" s="58"/>
      <c r="C311" s="57"/>
    </row>
    <row r="312" spans="1:3" x14ac:dyDescent="0.4">
      <c r="A312" s="58"/>
      <c r="C312" s="57"/>
    </row>
    <row r="313" spans="1:3" x14ac:dyDescent="0.4">
      <c r="A313" s="58"/>
      <c r="C313" s="57"/>
    </row>
    <row r="314" spans="1:3" x14ac:dyDescent="0.4">
      <c r="A314" s="58"/>
      <c r="C314" s="57"/>
    </row>
    <row r="315" spans="1:3" x14ac:dyDescent="0.4">
      <c r="A315" s="58"/>
      <c r="C315" s="57"/>
    </row>
    <row r="316" spans="1:3" x14ac:dyDescent="0.4">
      <c r="A316" s="58"/>
      <c r="C316" s="57"/>
    </row>
    <row r="317" spans="1:3" x14ac:dyDescent="0.4">
      <c r="A317" s="58"/>
      <c r="C317" s="57"/>
    </row>
    <row r="318" spans="1:3" x14ac:dyDescent="0.4">
      <c r="A318" s="58"/>
      <c r="C318" s="57"/>
    </row>
    <row r="319" spans="1:3" x14ac:dyDescent="0.4">
      <c r="A319" s="58"/>
      <c r="C319" s="57"/>
    </row>
    <row r="320" spans="1:3" x14ac:dyDescent="0.4">
      <c r="A320" s="58"/>
      <c r="C320" s="57"/>
    </row>
    <row r="321" spans="1:3" x14ac:dyDescent="0.4">
      <c r="A321" s="58"/>
      <c r="C321" s="57"/>
    </row>
    <row r="322" spans="1:3" x14ac:dyDescent="0.4">
      <c r="A322" s="58"/>
      <c r="C322" s="57"/>
    </row>
    <row r="323" spans="1:3" x14ac:dyDescent="0.4">
      <c r="A323" s="58"/>
      <c r="C323" s="57"/>
    </row>
    <row r="324" spans="1:3" x14ac:dyDescent="0.4">
      <c r="A324" s="58"/>
      <c r="C324" s="57"/>
    </row>
    <row r="325" spans="1:3" x14ac:dyDescent="0.4">
      <c r="A325" s="58"/>
      <c r="C325" s="57"/>
    </row>
    <row r="326" spans="1:3" x14ac:dyDescent="0.4">
      <c r="A326" s="58"/>
      <c r="C326" s="57"/>
    </row>
    <row r="327" spans="1:3" x14ac:dyDescent="0.4">
      <c r="A327" s="58"/>
      <c r="C327" s="57"/>
    </row>
    <row r="328" spans="1:3" x14ac:dyDescent="0.4">
      <c r="A328" s="58"/>
      <c r="C328" s="57"/>
    </row>
    <row r="329" spans="1:3" x14ac:dyDescent="0.4">
      <c r="A329" s="58"/>
      <c r="C329" s="57"/>
    </row>
    <row r="330" spans="1:3" x14ac:dyDescent="0.4">
      <c r="A330" s="58"/>
      <c r="C330" s="57"/>
    </row>
    <row r="331" spans="1:3" x14ac:dyDescent="0.4">
      <c r="A331" s="58"/>
      <c r="C331" s="57"/>
    </row>
    <row r="332" spans="1:3" x14ac:dyDescent="0.4">
      <c r="A332" s="58"/>
      <c r="C332" s="57"/>
    </row>
    <row r="333" spans="1:3" x14ac:dyDescent="0.4">
      <c r="A333" s="58"/>
      <c r="C333" s="57"/>
    </row>
    <row r="334" spans="1:3" x14ac:dyDescent="0.4">
      <c r="A334" s="58"/>
      <c r="C334" s="57"/>
    </row>
    <row r="335" spans="1:3" x14ac:dyDescent="0.4">
      <c r="A335" s="58"/>
      <c r="C335" s="57"/>
    </row>
    <row r="336" spans="1:3" x14ac:dyDescent="0.4">
      <c r="A336" s="58"/>
      <c r="C336" s="57"/>
    </row>
    <row r="337" spans="1:3" x14ac:dyDescent="0.4">
      <c r="A337" s="58"/>
      <c r="C337" s="57"/>
    </row>
    <row r="338" spans="1:3" x14ac:dyDescent="0.4">
      <c r="A338" s="58"/>
      <c r="C338" s="57"/>
    </row>
    <row r="339" spans="1:3" x14ac:dyDescent="0.4">
      <c r="A339" s="58"/>
      <c r="C339" s="57"/>
    </row>
    <row r="340" spans="1:3" x14ac:dyDescent="0.4">
      <c r="A340" s="58"/>
      <c r="C340" s="57"/>
    </row>
    <row r="341" spans="1:3" x14ac:dyDescent="0.4">
      <c r="A341" s="58"/>
      <c r="C341" s="57"/>
    </row>
    <row r="342" spans="1:3" x14ac:dyDescent="0.4">
      <c r="A342" s="58"/>
      <c r="C342" s="57"/>
    </row>
    <row r="343" spans="1:3" x14ac:dyDescent="0.4">
      <c r="A343" s="58"/>
      <c r="C343" s="57"/>
    </row>
    <row r="344" spans="1:3" x14ac:dyDescent="0.4">
      <c r="A344" s="58"/>
      <c r="C344" s="57"/>
    </row>
    <row r="345" spans="1:3" x14ac:dyDescent="0.4">
      <c r="A345" s="58"/>
      <c r="C345" s="57"/>
    </row>
    <row r="346" spans="1:3" x14ac:dyDescent="0.4">
      <c r="A346" s="58"/>
      <c r="C346" s="57"/>
    </row>
    <row r="347" spans="1:3" x14ac:dyDescent="0.4">
      <c r="A347" s="58"/>
      <c r="C347" s="57"/>
    </row>
    <row r="348" spans="1:3" x14ac:dyDescent="0.4">
      <c r="A348" s="58"/>
      <c r="C348" s="57"/>
    </row>
    <row r="349" spans="1:3" x14ac:dyDescent="0.4">
      <c r="A349" s="58"/>
      <c r="C349" s="57"/>
    </row>
    <row r="350" spans="1:3" x14ac:dyDescent="0.4">
      <c r="A350" s="58"/>
      <c r="C350" s="57"/>
    </row>
    <row r="351" spans="1:3" x14ac:dyDescent="0.4">
      <c r="A351" s="58"/>
      <c r="C351" s="57"/>
    </row>
    <row r="352" spans="1:3" x14ac:dyDescent="0.4">
      <c r="A352" s="58"/>
      <c r="C352" s="57"/>
    </row>
    <row r="353" spans="1:3" x14ac:dyDescent="0.4">
      <c r="A353" s="58"/>
      <c r="C353" s="57"/>
    </row>
    <row r="354" spans="1:3" x14ac:dyDescent="0.4">
      <c r="A354" s="58"/>
      <c r="C354" s="57"/>
    </row>
    <row r="355" spans="1:3" x14ac:dyDescent="0.4">
      <c r="A355" s="58"/>
      <c r="C355" s="57"/>
    </row>
    <row r="356" spans="1:3" x14ac:dyDescent="0.4">
      <c r="A356" s="58"/>
      <c r="C356" s="57"/>
    </row>
    <row r="357" spans="1:3" x14ac:dyDescent="0.4">
      <c r="A357" s="58"/>
      <c r="C357" s="57"/>
    </row>
    <row r="358" spans="1:3" x14ac:dyDescent="0.4">
      <c r="A358" s="58"/>
      <c r="C358" s="57"/>
    </row>
    <row r="359" spans="1:3" x14ac:dyDescent="0.4">
      <c r="A359" s="58"/>
      <c r="C359" s="57"/>
    </row>
    <row r="360" spans="1:3" x14ac:dyDescent="0.4">
      <c r="A360" s="58"/>
      <c r="C360" s="57"/>
    </row>
    <row r="361" spans="1:3" x14ac:dyDescent="0.4">
      <c r="A361" s="58"/>
      <c r="C361" s="57"/>
    </row>
    <row r="362" spans="1:3" x14ac:dyDescent="0.4">
      <c r="A362" s="58"/>
      <c r="C362" s="57"/>
    </row>
    <row r="363" spans="1:3" x14ac:dyDescent="0.4">
      <c r="A363" s="58"/>
      <c r="C363" s="57"/>
    </row>
    <row r="364" spans="1:3" x14ac:dyDescent="0.4">
      <c r="A364" s="58"/>
      <c r="C364" s="57"/>
    </row>
    <row r="365" spans="1:3" x14ac:dyDescent="0.4">
      <c r="A365" s="58"/>
      <c r="C365" s="57"/>
    </row>
    <row r="366" spans="1:3" x14ac:dyDescent="0.4">
      <c r="A366" s="58"/>
      <c r="C366" s="57"/>
    </row>
    <row r="367" spans="1:3" x14ac:dyDescent="0.4">
      <c r="A367" s="58"/>
      <c r="C367" s="57"/>
    </row>
    <row r="368" spans="1:3" x14ac:dyDescent="0.4">
      <c r="A368" s="58"/>
      <c r="C368" s="57"/>
    </row>
    <row r="369" spans="1:3" x14ac:dyDescent="0.4">
      <c r="A369" s="58"/>
      <c r="C369" s="57"/>
    </row>
    <row r="370" spans="1:3" x14ac:dyDescent="0.4">
      <c r="A370" s="58"/>
      <c r="C370" s="57"/>
    </row>
    <row r="371" spans="1:3" x14ac:dyDescent="0.4">
      <c r="A371" s="58"/>
      <c r="C371" s="57"/>
    </row>
    <row r="372" spans="1:3" x14ac:dyDescent="0.4">
      <c r="A372" s="58"/>
      <c r="C372" s="57"/>
    </row>
    <row r="373" spans="1:3" x14ac:dyDescent="0.4">
      <c r="A373" s="58"/>
      <c r="C373" s="57"/>
    </row>
    <row r="374" spans="1:3" x14ac:dyDescent="0.4">
      <c r="A374" s="58"/>
      <c r="C374" s="57"/>
    </row>
    <row r="375" spans="1:3" x14ac:dyDescent="0.4">
      <c r="A375" s="58"/>
      <c r="C375" s="57"/>
    </row>
    <row r="376" spans="1:3" x14ac:dyDescent="0.4">
      <c r="A376" s="58"/>
      <c r="C376" s="57"/>
    </row>
    <row r="377" spans="1:3" x14ac:dyDescent="0.4">
      <c r="A377" s="58"/>
      <c r="C377" s="57"/>
    </row>
    <row r="378" spans="1:3" x14ac:dyDescent="0.4">
      <c r="A378" s="58"/>
      <c r="C378" s="57"/>
    </row>
    <row r="379" spans="1:3" x14ac:dyDescent="0.4">
      <c r="A379" s="58"/>
      <c r="C379" s="57"/>
    </row>
    <row r="380" spans="1:3" x14ac:dyDescent="0.4">
      <c r="A380" s="58"/>
      <c r="C380" s="57"/>
    </row>
    <row r="381" spans="1:3" x14ac:dyDescent="0.4">
      <c r="A381" s="58"/>
      <c r="C381" s="57"/>
    </row>
    <row r="382" spans="1:3" x14ac:dyDescent="0.4">
      <c r="A382" s="58"/>
      <c r="C382" s="57"/>
    </row>
    <row r="383" spans="1:3" x14ac:dyDescent="0.4">
      <c r="A383" s="58"/>
      <c r="C383" s="57"/>
    </row>
    <row r="384" spans="1:3" x14ac:dyDescent="0.4">
      <c r="A384" s="58"/>
      <c r="C384" s="57"/>
    </row>
    <row r="385" spans="1:3" x14ac:dyDescent="0.4">
      <c r="A385" s="58"/>
      <c r="C385" s="57"/>
    </row>
    <row r="386" spans="1:3" x14ac:dyDescent="0.4">
      <c r="A386" s="58"/>
      <c r="C386" s="57"/>
    </row>
    <row r="387" spans="1:3" x14ac:dyDescent="0.4">
      <c r="A387" s="58"/>
      <c r="C387" s="57"/>
    </row>
    <row r="388" spans="1:3" x14ac:dyDescent="0.4">
      <c r="A388" s="58"/>
      <c r="C388" s="57"/>
    </row>
    <row r="389" spans="1:3" x14ac:dyDescent="0.4">
      <c r="A389" s="58"/>
      <c r="C389" s="57"/>
    </row>
    <row r="390" spans="1:3" x14ac:dyDescent="0.4">
      <c r="A390" s="58"/>
      <c r="C390" s="57"/>
    </row>
    <row r="391" spans="1:3" x14ac:dyDescent="0.4">
      <c r="A391" s="58"/>
      <c r="C391" s="57"/>
    </row>
    <row r="392" spans="1:3" x14ac:dyDescent="0.4">
      <c r="A392" s="58"/>
      <c r="C392" s="57"/>
    </row>
    <row r="393" spans="1:3" x14ac:dyDescent="0.4">
      <c r="A393" s="58"/>
      <c r="C393" s="57"/>
    </row>
    <row r="394" spans="1:3" x14ac:dyDescent="0.4">
      <c r="A394" s="58"/>
      <c r="C394" s="57"/>
    </row>
    <row r="395" spans="1:3" x14ac:dyDescent="0.4">
      <c r="A395" s="58"/>
      <c r="C395" s="57"/>
    </row>
    <row r="396" spans="1:3" x14ac:dyDescent="0.4">
      <c r="A396" s="58"/>
      <c r="C396" s="57"/>
    </row>
    <row r="397" spans="1:3" x14ac:dyDescent="0.4">
      <c r="A397" s="58"/>
      <c r="C397" s="57"/>
    </row>
    <row r="398" spans="1:3" x14ac:dyDescent="0.4">
      <c r="A398" s="58"/>
      <c r="C398" s="57"/>
    </row>
    <row r="399" spans="1:3" x14ac:dyDescent="0.4">
      <c r="A399" s="58"/>
      <c r="C399" s="57"/>
    </row>
    <row r="400" spans="1:3" x14ac:dyDescent="0.4">
      <c r="A400" s="58"/>
      <c r="C400" s="57"/>
    </row>
    <row r="401" spans="1:3" x14ac:dyDescent="0.4">
      <c r="A401" s="58"/>
      <c r="C401" s="57"/>
    </row>
    <row r="402" spans="1:3" x14ac:dyDescent="0.4">
      <c r="A402" s="58"/>
      <c r="C402" s="57"/>
    </row>
    <row r="403" spans="1:3" x14ac:dyDescent="0.4">
      <c r="A403" s="58"/>
      <c r="C403" s="57"/>
    </row>
    <row r="404" spans="1:3" x14ac:dyDescent="0.4">
      <c r="A404" s="58"/>
      <c r="C404" s="57"/>
    </row>
    <row r="405" spans="1:3" x14ac:dyDescent="0.4">
      <c r="A405" s="58"/>
      <c r="C405" s="57"/>
    </row>
    <row r="406" spans="1:3" x14ac:dyDescent="0.4">
      <c r="A406" s="58"/>
      <c r="C406" s="57"/>
    </row>
    <row r="407" spans="1:3" x14ac:dyDescent="0.4">
      <c r="A407" s="58"/>
      <c r="C407" s="57"/>
    </row>
    <row r="408" spans="1:3" x14ac:dyDescent="0.4">
      <c r="A408" s="58"/>
      <c r="C408" s="57"/>
    </row>
    <row r="409" spans="1:3" x14ac:dyDescent="0.4">
      <c r="A409" s="58"/>
      <c r="C409" s="57"/>
    </row>
    <row r="410" spans="1:3" x14ac:dyDescent="0.4">
      <c r="A410" s="58"/>
      <c r="C410" s="57"/>
    </row>
    <row r="411" spans="1:3" x14ac:dyDescent="0.4">
      <c r="A411" s="58"/>
      <c r="C411" s="57"/>
    </row>
    <row r="412" spans="1:3" x14ac:dyDescent="0.4">
      <c r="A412" s="58"/>
      <c r="C412" s="57"/>
    </row>
    <row r="413" spans="1:3" x14ac:dyDescent="0.4">
      <c r="A413" s="58"/>
      <c r="C413" s="57"/>
    </row>
    <row r="414" spans="1:3" x14ac:dyDescent="0.4">
      <c r="A414" s="58"/>
      <c r="C414" s="57"/>
    </row>
    <row r="415" spans="1:3" x14ac:dyDescent="0.4">
      <c r="A415" s="58"/>
      <c r="C415" s="57"/>
    </row>
    <row r="416" spans="1:3" x14ac:dyDescent="0.4">
      <c r="A416" s="58"/>
      <c r="C416" s="57"/>
    </row>
    <row r="417" spans="1:3" x14ac:dyDescent="0.4">
      <c r="A417" s="58"/>
      <c r="C417" s="57"/>
    </row>
    <row r="418" spans="1:3" x14ac:dyDescent="0.4">
      <c r="A418" s="58"/>
      <c r="C418" s="57"/>
    </row>
    <row r="419" spans="1:3" x14ac:dyDescent="0.4">
      <c r="A419" s="58"/>
      <c r="C419" s="57"/>
    </row>
    <row r="420" spans="1:3" x14ac:dyDescent="0.4">
      <c r="A420" s="58"/>
      <c r="C420" s="57"/>
    </row>
    <row r="421" spans="1:3" x14ac:dyDescent="0.4">
      <c r="A421" s="58"/>
      <c r="C421" s="57"/>
    </row>
    <row r="422" spans="1:3" x14ac:dyDescent="0.4">
      <c r="A422" s="58"/>
      <c r="C422" s="57"/>
    </row>
    <row r="423" spans="1:3" x14ac:dyDescent="0.4">
      <c r="A423" s="58"/>
      <c r="C423" s="57"/>
    </row>
    <row r="424" spans="1:3" x14ac:dyDescent="0.4">
      <c r="A424" s="58"/>
      <c r="C424" s="57"/>
    </row>
    <row r="425" spans="1:3" x14ac:dyDescent="0.4">
      <c r="A425" s="58"/>
      <c r="C425" s="57"/>
    </row>
    <row r="426" spans="1:3" x14ac:dyDescent="0.4">
      <c r="A426" s="58"/>
      <c r="C426" s="57"/>
    </row>
    <row r="427" spans="1:3" x14ac:dyDescent="0.4">
      <c r="A427" s="58"/>
      <c r="C427" s="57"/>
    </row>
    <row r="428" spans="1:3" x14ac:dyDescent="0.4">
      <c r="A428" s="58"/>
      <c r="C428" s="57"/>
    </row>
    <row r="429" spans="1:3" x14ac:dyDescent="0.4">
      <c r="A429" s="58"/>
      <c r="C429" s="57"/>
    </row>
    <row r="430" spans="1:3" x14ac:dyDescent="0.4">
      <c r="A430" s="58"/>
      <c r="C430" s="57"/>
    </row>
    <row r="431" spans="1:3" x14ac:dyDescent="0.4">
      <c r="A431" s="58"/>
      <c r="C431" s="57"/>
    </row>
    <row r="432" spans="1:3" x14ac:dyDescent="0.4">
      <c r="A432" s="58"/>
      <c r="C432" s="57"/>
    </row>
    <row r="433" spans="1:3" x14ac:dyDescent="0.4">
      <c r="A433" s="58"/>
      <c r="C433" s="57"/>
    </row>
    <row r="434" spans="1:3" x14ac:dyDescent="0.4">
      <c r="A434" s="58"/>
      <c r="C434" s="57"/>
    </row>
    <row r="435" spans="1:3" x14ac:dyDescent="0.4">
      <c r="A435" s="58"/>
      <c r="C435" s="57"/>
    </row>
    <row r="436" spans="1:3" x14ac:dyDescent="0.4">
      <c r="A436" s="58"/>
      <c r="C436" s="57"/>
    </row>
    <row r="437" spans="1:3" x14ac:dyDescent="0.4">
      <c r="A437" s="58"/>
      <c r="C437" s="57"/>
    </row>
    <row r="438" spans="1:3" x14ac:dyDescent="0.4">
      <c r="A438" s="58"/>
      <c r="C438" s="57"/>
    </row>
    <row r="439" spans="1:3" x14ac:dyDescent="0.4">
      <c r="A439" s="58"/>
      <c r="C439" s="57"/>
    </row>
    <row r="440" spans="1:3" x14ac:dyDescent="0.4">
      <c r="A440" s="58"/>
      <c r="C440" s="57"/>
    </row>
    <row r="441" spans="1:3" x14ac:dyDescent="0.4">
      <c r="A441" s="58"/>
      <c r="C441" s="57"/>
    </row>
    <row r="442" spans="1:3" x14ac:dyDescent="0.4">
      <c r="A442" s="58"/>
      <c r="C442" s="57"/>
    </row>
    <row r="443" spans="1:3" x14ac:dyDescent="0.4">
      <c r="A443" s="58"/>
      <c r="C443" s="57"/>
    </row>
    <row r="444" spans="1:3" x14ac:dyDescent="0.4">
      <c r="A444" s="58"/>
      <c r="C444" s="57"/>
    </row>
    <row r="445" spans="1:3" x14ac:dyDescent="0.4">
      <c r="A445" s="58"/>
      <c r="C445" s="57"/>
    </row>
    <row r="446" spans="1:3" x14ac:dyDescent="0.4">
      <c r="A446" s="58"/>
      <c r="C446" s="57"/>
    </row>
    <row r="447" spans="1:3" x14ac:dyDescent="0.4">
      <c r="A447" s="58"/>
      <c r="C447" s="57"/>
    </row>
    <row r="448" spans="1:3" x14ac:dyDescent="0.4">
      <c r="A448" s="58"/>
      <c r="C448" s="57"/>
    </row>
    <row r="449" spans="1:3" x14ac:dyDescent="0.4">
      <c r="A449" s="58"/>
      <c r="C449" s="57"/>
    </row>
    <row r="450" spans="1:3" x14ac:dyDescent="0.4">
      <c r="A450" s="58"/>
      <c r="C450" s="57"/>
    </row>
    <row r="451" spans="1:3" x14ac:dyDescent="0.4">
      <c r="A451" s="58"/>
      <c r="C451" s="57"/>
    </row>
    <row r="452" spans="1:3" x14ac:dyDescent="0.4">
      <c r="A452" s="58"/>
      <c r="C452" s="57"/>
    </row>
    <row r="453" spans="1:3" x14ac:dyDescent="0.4">
      <c r="A453" s="58"/>
      <c r="C453" s="57"/>
    </row>
    <row r="454" spans="1:3" x14ac:dyDescent="0.4">
      <c r="A454" s="58"/>
      <c r="C454" s="57"/>
    </row>
    <row r="455" spans="1:3" x14ac:dyDescent="0.4">
      <c r="A455" s="58"/>
      <c r="C455" s="57"/>
    </row>
    <row r="456" spans="1:3" x14ac:dyDescent="0.4">
      <c r="A456" s="58"/>
      <c r="C456" s="57"/>
    </row>
    <row r="457" spans="1:3" x14ac:dyDescent="0.4">
      <c r="A457" s="58"/>
      <c r="C457" s="57"/>
    </row>
    <row r="458" spans="1:3" x14ac:dyDescent="0.4">
      <c r="A458" s="58"/>
      <c r="C458" s="57"/>
    </row>
    <row r="459" spans="1:3" x14ac:dyDescent="0.4">
      <c r="A459" s="58"/>
      <c r="C459" s="57"/>
    </row>
    <row r="460" spans="1:3" x14ac:dyDescent="0.4">
      <c r="A460" s="58"/>
      <c r="C460" s="57"/>
    </row>
    <row r="461" spans="1:3" x14ac:dyDescent="0.4">
      <c r="A461" s="58"/>
      <c r="C461" s="57"/>
    </row>
    <row r="462" spans="1:3" x14ac:dyDescent="0.4">
      <c r="A462" s="58"/>
      <c r="C462" s="57"/>
    </row>
    <row r="463" spans="1:3" x14ac:dyDescent="0.4">
      <c r="A463" s="58"/>
      <c r="C463" s="57"/>
    </row>
    <row r="464" spans="1:3" x14ac:dyDescent="0.4">
      <c r="A464" s="58"/>
      <c r="C464" s="57"/>
    </row>
    <row r="465" spans="1:3" x14ac:dyDescent="0.4">
      <c r="A465" s="58"/>
      <c r="C465" s="57"/>
    </row>
    <row r="466" spans="1:3" x14ac:dyDescent="0.4">
      <c r="A466" s="58"/>
      <c r="C466" s="57"/>
    </row>
    <row r="467" spans="1:3" x14ac:dyDescent="0.4">
      <c r="A467" s="58"/>
      <c r="C467" s="57"/>
    </row>
    <row r="468" spans="1:3" x14ac:dyDescent="0.4">
      <c r="A468" s="58"/>
      <c r="C468" s="57"/>
    </row>
    <row r="469" spans="1:3" x14ac:dyDescent="0.4">
      <c r="A469" s="58"/>
      <c r="C469" s="57"/>
    </row>
    <row r="470" spans="1:3" x14ac:dyDescent="0.4">
      <c r="A470" s="58"/>
      <c r="C470" s="57"/>
    </row>
    <row r="471" spans="1:3" x14ac:dyDescent="0.4">
      <c r="A471" s="58"/>
      <c r="C471" s="57"/>
    </row>
    <row r="472" spans="1:3" x14ac:dyDescent="0.4">
      <c r="A472" s="58"/>
      <c r="C472" s="57"/>
    </row>
    <row r="473" spans="1:3" x14ac:dyDescent="0.4">
      <c r="A473" s="58"/>
      <c r="C473" s="57"/>
    </row>
    <row r="474" spans="1:3" x14ac:dyDescent="0.4">
      <c r="A474" s="58"/>
      <c r="C474" s="57"/>
    </row>
    <row r="475" spans="1:3" x14ac:dyDescent="0.4">
      <c r="A475" s="58"/>
      <c r="C475" s="57"/>
    </row>
    <row r="476" spans="1:3" x14ac:dyDescent="0.4">
      <c r="A476" s="58"/>
      <c r="C476" s="57"/>
    </row>
    <row r="477" spans="1:3" x14ac:dyDescent="0.4">
      <c r="A477" s="58"/>
      <c r="C477" s="57"/>
    </row>
    <row r="478" spans="1:3" x14ac:dyDescent="0.4">
      <c r="A478" s="58"/>
      <c r="C478" s="57"/>
    </row>
    <row r="479" spans="1:3" x14ac:dyDescent="0.4">
      <c r="A479" s="58"/>
      <c r="C479" s="57"/>
    </row>
    <row r="480" spans="1:3" x14ac:dyDescent="0.4">
      <c r="A480" s="58"/>
      <c r="C480" s="57"/>
    </row>
    <row r="481" spans="1:3" x14ac:dyDescent="0.4">
      <c r="A481" s="58"/>
      <c r="C481" s="57"/>
    </row>
    <row r="482" spans="1:3" x14ac:dyDescent="0.4">
      <c r="A482" s="58"/>
      <c r="C482" s="57"/>
    </row>
    <row r="483" spans="1:3" x14ac:dyDescent="0.4">
      <c r="A483" s="58"/>
      <c r="C483" s="57"/>
    </row>
    <row r="484" spans="1:3" x14ac:dyDescent="0.4">
      <c r="A484" s="58"/>
      <c r="C484" s="57"/>
    </row>
    <row r="485" spans="1:3" x14ac:dyDescent="0.4">
      <c r="A485" s="58"/>
      <c r="C485" s="57"/>
    </row>
    <row r="486" spans="1:3" x14ac:dyDescent="0.4">
      <c r="A486" s="58"/>
      <c r="C486" s="57"/>
    </row>
    <row r="487" spans="1:3" x14ac:dyDescent="0.4">
      <c r="A487" s="58"/>
      <c r="C487" s="57"/>
    </row>
    <row r="488" spans="1:3" x14ac:dyDescent="0.4">
      <c r="A488" s="58"/>
      <c r="C488" s="57"/>
    </row>
    <row r="489" spans="1:3" x14ac:dyDescent="0.4">
      <c r="A489" s="58"/>
      <c r="C489" s="57"/>
    </row>
    <row r="490" spans="1:3" x14ac:dyDescent="0.4">
      <c r="A490" s="58"/>
      <c r="C490" s="57"/>
    </row>
    <row r="491" spans="1:3" x14ac:dyDescent="0.4">
      <c r="A491" s="58"/>
      <c r="C491" s="57"/>
    </row>
    <row r="492" spans="1:3" x14ac:dyDescent="0.4">
      <c r="A492" s="58"/>
      <c r="C492" s="57"/>
    </row>
    <row r="493" spans="1:3" x14ac:dyDescent="0.4">
      <c r="A493" s="58"/>
      <c r="C493" s="57"/>
    </row>
    <row r="494" spans="1:3" x14ac:dyDescent="0.4">
      <c r="A494" s="58"/>
      <c r="C494" s="57"/>
    </row>
    <row r="495" spans="1:3" x14ac:dyDescent="0.4">
      <c r="A495" s="58"/>
      <c r="C495" s="57"/>
    </row>
    <row r="496" spans="1:3" x14ac:dyDescent="0.4">
      <c r="A496" s="58"/>
      <c r="C496" s="57"/>
    </row>
    <row r="497" spans="1:3" x14ac:dyDescent="0.4">
      <c r="A497" s="58"/>
      <c r="C497" s="57"/>
    </row>
    <row r="498" spans="1:3" x14ac:dyDescent="0.4">
      <c r="A498" s="58"/>
      <c r="C498" s="57"/>
    </row>
    <row r="499" spans="1:3" x14ac:dyDescent="0.4">
      <c r="A499" s="58"/>
      <c r="C499" s="57"/>
    </row>
    <row r="500" spans="1:3" x14ac:dyDescent="0.4">
      <c r="A500" s="58"/>
      <c r="C500" s="57"/>
    </row>
    <row r="501" spans="1:3" x14ac:dyDescent="0.4">
      <c r="A501" s="58"/>
      <c r="C501" s="57"/>
    </row>
    <row r="502" spans="1:3" x14ac:dyDescent="0.4">
      <c r="A502" s="58"/>
      <c r="C502" s="57"/>
    </row>
    <row r="503" spans="1:3" x14ac:dyDescent="0.4">
      <c r="A503" s="58"/>
      <c r="C503" s="57"/>
    </row>
    <row r="504" spans="1:3" x14ac:dyDescent="0.4">
      <c r="A504" s="58"/>
      <c r="C504" s="57"/>
    </row>
    <row r="505" spans="1:3" x14ac:dyDescent="0.4">
      <c r="A505" s="58"/>
      <c r="C505" s="57"/>
    </row>
    <row r="506" spans="1:3" x14ac:dyDescent="0.4">
      <c r="A506" s="58"/>
      <c r="C506" s="57"/>
    </row>
    <row r="507" spans="1:3" x14ac:dyDescent="0.4">
      <c r="A507" s="58"/>
      <c r="C507" s="57"/>
    </row>
    <row r="508" spans="1:3" x14ac:dyDescent="0.4">
      <c r="A508" s="58"/>
      <c r="C508" s="57"/>
    </row>
    <row r="509" spans="1:3" x14ac:dyDescent="0.4">
      <c r="A509" s="58"/>
      <c r="C509" s="57"/>
    </row>
    <row r="510" spans="1:3" x14ac:dyDescent="0.4">
      <c r="A510" s="58"/>
      <c r="C510" s="57"/>
    </row>
    <row r="511" spans="1:3" x14ac:dyDescent="0.4">
      <c r="A511" s="58"/>
      <c r="C511" s="57"/>
    </row>
    <row r="512" spans="1:3" x14ac:dyDescent="0.4">
      <c r="A512" s="58"/>
      <c r="C512" s="57"/>
    </row>
    <row r="513" spans="1:3" x14ac:dyDescent="0.4">
      <c r="A513" s="58"/>
      <c r="C513" s="57"/>
    </row>
    <row r="514" spans="1:3" x14ac:dyDescent="0.4">
      <c r="A514" s="58"/>
      <c r="C514" s="57"/>
    </row>
    <row r="515" spans="1:3" x14ac:dyDescent="0.4">
      <c r="A515" s="58"/>
      <c r="C515" s="57"/>
    </row>
    <row r="516" spans="1:3" x14ac:dyDescent="0.4">
      <c r="A516" s="58"/>
      <c r="C516" s="57"/>
    </row>
    <row r="517" spans="1:3" x14ac:dyDescent="0.4">
      <c r="A517" s="58"/>
      <c r="C517" s="57"/>
    </row>
    <row r="518" spans="1:3" x14ac:dyDescent="0.4">
      <c r="A518" s="58"/>
      <c r="C518" s="57"/>
    </row>
    <row r="519" spans="1:3" x14ac:dyDescent="0.4">
      <c r="A519" s="58"/>
      <c r="C519" s="57"/>
    </row>
    <row r="520" spans="1:3" x14ac:dyDescent="0.4">
      <c r="A520" s="58"/>
      <c r="C520" s="57"/>
    </row>
    <row r="521" spans="1:3" x14ac:dyDescent="0.4">
      <c r="A521" s="58"/>
      <c r="C521" s="57"/>
    </row>
    <row r="522" spans="1:3" x14ac:dyDescent="0.4">
      <c r="A522" s="58"/>
      <c r="C522" s="57"/>
    </row>
    <row r="523" spans="1:3" x14ac:dyDescent="0.4">
      <c r="A523" s="58"/>
      <c r="C523" s="57"/>
    </row>
    <row r="524" spans="1:3" x14ac:dyDescent="0.4">
      <c r="A524" s="58"/>
      <c r="C524" s="57"/>
    </row>
    <row r="525" spans="1:3" x14ac:dyDescent="0.4">
      <c r="A525" s="58"/>
      <c r="C525" s="57"/>
    </row>
    <row r="526" spans="1:3" x14ac:dyDescent="0.4">
      <c r="A526" s="58"/>
      <c r="C526" s="57"/>
    </row>
    <row r="527" spans="1:3" x14ac:dyDescent="0.4">
      <c r="A527" s="58"/>
      <c r="C527" s="57"/>
    </row>
    <row r="528" spans="1:3" x14ac:dyDescent="0.4">
      <c r="A528" s="58"/>
      <c r="C528" s="57"/>
    </row>
    <row r="529" spans="1:3" x14ac:dyDescent="0.4">
      <c r="A529" s="58"/>
      <c r="C529" s="57"/>
    </row>
    <row r="530" spans="1:3" x14ac:dyDescent="0.4">
      <c r="A530" s="58"/>
      <c r="C530" s="57"/>
    </row>
    <row r="531" spans="1:3" x14ac:dyDescent="0.4">
      <c r="A531" s="58"/>
      <c r="C531" s="57"/>
    </row>
    <row r="532" spans="1:3" x14ac:dyDescent="0.4">
      <c r="A532" s="58"/>
      <c r="C532" s="57"/>
    </row>
    <row r="533" spans="1:3" x14ac:dyDescent="0.4">
      <c r="A533" s="58"/>
      <c r="C533" s="57"/>
    </row>
    <row r="534" spans="1:3" x14ac:dyDescent="0.4">
      <c r="A534" s="58"/>
      <c r="C534" s="57"/>
    </row>
    <row r="535" spans="1:3" x14ac:dyDescent="0.4">
      <c r="A535" s="58"/>
      <c r="C535" s="57"/>
    </row>
    <row r="536" spans="1:3" x14ac:dyDescent="0.4">
      <c r="A536" s="58"/>
      <c r="C536" s="57"/>
    </row>
    <row r="537" spans="1:3" x14ac:dyDescent="0.4">
      <c r="A537" s="58"/>
      <c r="C537" s="57"/>
    </row>
    <row r="538" spans="1:3" x14ac:dyDescent="0.4">
      <c r="A538" s="58"/>
      <c r="C538" s="57"/>
    </row>
    <row r="539" spans="1:3" x14ac:dyDescent="0.4">
      <c r="A539" s="58"/>
      <c r="C539" s="57"/>
    </row>
    <row r="540" spans="1:3" x14ac:dyDescent="0.4">
      <c r="A540" s="58"/>
      <c r="C540" s="57"/>
    </row>
    <row r="541" spans="1:3" x14ac:dyDescent="0.4">
      <c r="A541" s="58"/>
      <c r="C541" s="57"/>
    </row>
    <row r="542" spans="1:3" x14ac:dyDescent="0.4">
      <c r="A542" s="58"/>
      <c r="C542" s="57"/>
    </row>
    <row r="543" spans="1:3" x14ac:dyDescent="0.4">
      <c r="A543" s="58"/>
      <c r="C543" s="57"/>
    </row>
    <row r="544" spans="1:3" x14ac:dyDescent="0.4">
      <c r="A544" s="58"/>
      <c r="C544" s="57"/>
    </row>
    <row r="545" spans="1:3" x14ac:dyDescent="0.4">
      <c r="A545" s="58"/>
      <c r="C545" s="57"/>
    </row>
    <row r="546" spans="1:3" x14ac:dyDescent="0.4">
      <c r="A546" s="58"/>
      <c r="C546" s="57"/>
    </row>
    <row r="547" spans="1:3" x14ac:dyDescent="0.4">
      <c r="A547" s="58"/>
      <c r="C547" s="57"/>
    </row>
    <row r="548" spans="1:3" x14ac:dyDescent="0.4">
      <c r="A548" s="58"/>
      <c r="C548" s="57"/>
    </row>
    <row r="549" spans="1:3" x14ac:dyDescent="0.4">
      <c r="A549" s="58"/>
      <c r="C549" s="57"/>
    </row>
    <row r="550" spans="1:3" x14ac:dyDescent="0.4">
      <c r="A550" s="58"/>
      <c r="C550" s="57"/>
    </row>
    <row r="551" spans="1:3" x14ac:dyDescent="0.4">
      <c r="A551" s="58"/>
      <c r="C551" s="57"/>
    </row>
    <row r="552" spans="1:3" x14ac:dyDescent="0.4">
      <c r="A552" s="58"/>
      <c r="C552" s="57"/>
    </row>
    <row r="553" spans="1:3" x14ac:dyDescent="0.4">
      <c r="A553" s="58"/>
      <c r="C553" s="57"/>
    </row>
    <row r="554" spans="1:3" x14ac:dyDescent="0.4">
      <c r="A554" s="58"/>
      <c r="C554" s="57"/>
    </row>
    <row r="555" spans="1:3" x14ac:dyDescent="0.4">
      <c r="A555" s="58"/>
      <c r="C555" s="57"/>
    </row>
    <row r="556" spans="1:3" x14ac:dyDescent="0.4">
      <c r="A556" s="58"/>
      <c r="C556" s="57"/>
    </row>
    <row r="557" spans="1:3" x14ac:dyDescent="0.4">
      <c r="A557" s="58"/>
      <c r="C557" s="57"/>
    </row>
    <row r="558" spans="1:3" x14ac:dyDescent="0.4">
      <c r="A558" s="58"/>
      <c r="C558" s="57"/>
    </row>
    <row r="559" spans="1:3" x14ac:dyDescent="0.4">
      <c r="A559" s="58"/>
      <c r="C559" s="57"/>
    </row>
    <row r="560" spans="1:3" x14ac:dyDescent="0.4">
      <c r="A560" s="58"/>
      <c r="C560" s="57"/>
    </row>
    <row r="561" spans="1:3" x14ac:dyDescent="0.4">
      <c r="A561" s="58"/>
      <c r="C561" s="57"/>
    </row>
    <row r="562" spans="1:3" x14ac:dyDescent="0.4">
      <c r="A562" s="58"/>
      <c r="C562" s="57"/>
    </row>
    <row r="563" spans="1:3" x14ac:dyDescent="0.4">
      <c r="A563" s="58"/>
      <c r="C563" s="57"/>
    </row>
    <row r="564" spans="1:3" x14ac:dyDescent="0.4">
      <c r="A564" s="58"/>
      <c r="C564" s="57"/>
    </row>
    <row r="565" spans="1:3" x14ac:dyDescent="0.4">
      <c r="A565" s="58"/>
      <c r="C565" s="57"/>
    </row>
    <row r="566" spans="1:3" x14ac:dyDescent="0.4">
      <c r="A566" s="58"/>
      <c r="C566" s="57"/>
    </row>
    <row r="567" spans="1:3" x14ac:dyDescent="0.4">
      <c r="A567" s="58"/>
      <c r="C567" s="57"/>
    </row>
    <row r="568" spans="1:3" x14ac:dyDescent="0.4">
      <c r="A568" s="58"/>
      <c r="C568" s="57"/>
    </row>
    <row r="569" spans="1:3" x14ac:dyDescent="0.4">
      <c r="A569" s="58"/>
      <c r="C569" s="57"/>
    </row>
    <row r="570" spans="1:3" x14ac:dyDescent="0.4">
      <c r="A570" s="58"/>
      <c r="C570" s="57"/>
    </row>
    <row r="571" spans="1:3" x14ac:dyDescent="0.4">
      <c r="A571" s="58"/>
      <c r="C571" s="57"/>
    </row>
    <row r="572" spans="1:3" x14ac:dyDescent="0.4">
      <c r="A572" s="58"/>
      <c r="C572" s="57"/>
    </row>
    <row r="573" spans="1:3" x14ac:dyDescent="0.4">
      <c r="A573" s="58"/>
      <c r="C573" s="57"/>
    </row>
    <row r="574" spans="1:3" x14ac:dyDescent="0.4">
      <c r="A574" s="58"/>
      <c r="C574" s="57"/>
    </row>
    <row r="575" spans="1:3" x14ac:dyDescent="0.4">
      <c r="A575" s="58"/>
      <c r="C575" s="57"/>
    </row>
    <row r="576" spans="1:3" x14ac:dyDescent="0.4">
      <c r="A576" s="58"/>
      <c r="C576" s="57"/>
    </row>
    <row r="577" spans="1:3" x14ac:dyDescent="0.4">
      <c r="A577" s="58"/>
      <c r="C577" s="57"/>
    </row>
    <row r="578" spans="1:3" x14ac:dyDescent="0.4">
      <c r="A578" s="58"/>
      <c r="C578" s="57"/>
    </row>
    <row r="579" spans="1:3" x14ac:dyDescent="0.4">
      <c r="A579" s="58"/>
      <c r="C579" s="57"/>
    </row>
    <row r="580" spans="1:3" x14ac:dyDescent="0.4">
      <c r="A580" s="58"/>
      <c r="C580" s="57"/>
    </row>
    <row r="581" spans="1:3" x14ac:dyDescent="0.4">
      <c r="A581" s="58"/>
      <c r="C581" s="57"/>
    </row>
    <row r="582" spans="1:3" x14ac:dyDescent="0.4">
      <c r="A582" s="58"/>
      <c r="C582" s="57"/>
    </row>
    <row r="583" spans="1:3" x14ac:dyDescent="0.4">
      <c r="A583" s="58"/>
      <c r="C583" s="57"/>
    </row>
    <row r="584" spans="1:3" x14ac:dyDescent="0.4">
      <c r="A584" s="58"/>
      <c r="C584" s="57"/>
    </row>
    <row r="585" spans="1:3" x14ac:dyDescent="0.4">
      <c r="A585" s="58"/>
      <c r="C585" s="57"/>
    </row>
    <row r="586" spans="1:3" x14ac:dyDescent="0.4">
      <c r="A586" s="58"/>
      <c r="C586" s="57"/>
    </row>
    <row r="587" spans="1:3" x14ac:dyDescent="0.4">
      <c r="A587" s="58"/>
      <c r="C587" s="57"/>
    </row>
    <row r="588" spans="1:3" x14ac:dyDescent="0.4">
      <c r="A588" s="58"/>
      <c r="C588" s="57"/>
    </row>
    <row r="589" spans="1:3" x14ac:dyDescent="0.4">
      <c r="A589" s="58"/>
      <c r="C589" s="57"/>
    </row>
    <row r="590" spans="1:3" x14ac:dyDescent="0.4">
      <c r="A590" s="58"/>
      <c r="C590" s="57"/>
    </row>
    <row r="591" spans="1:3" x14ac:dyDescent="0.4">
      <c r="A591" s="58"/>
      <c r="C591" s="57"/>
    </row>
    <row r="592" spans="1:3" x14ac:dyDescent="0.4">
      <c r="A592" s="58"/>
      <c r="C592" s="57"/>
    </row>
    <row r="593" spans="1:3" x14ac:dyDescent="0.4">
      <c r="A593" s="58"/>
      <c r="C593" s="57"/>
    </row>
    <row r="594" spans="1:3" x14ac:dyDescent="0.4">
      <c r="A594" s="58"/>
      <c r="C594" s="57"/>
    </row>
    <row r="595" spans="1:3" x14ac:dyDescent="0.4">
      <c r="A595" s="58"/>
      <c r="C595" s="57"/>
    </row>
    <row r="596" spans="1:3" x14ac:dyDescent="0.4">
      <c r="A596" s="58"/>
      <c r="C596" s="57"/>
    </row>
    <row r="597" spans="1:3" x14ac:dyDescent="0.4">
      <c r="A597" s="58"/>
      <c r="C597" s="57"/>
    </row>
    <row r="598" spans="1:3" x14ac:dyDescent="0.4">
      <c r="A598" s="58"/>
      <c r="C598" s="57"/>
    </row>
    <row r="599" spans="1:3" x14ac:dyDescent="0.4">
      <c r="A599" s="58"/>
      <c r="C599" s="57"/>
    </row>
    <row r="600" spans="1:3" x14ac:dyDescent="0.4">
      <c r="A600" s="58"/>
      <c r="C600" s="57"/>
    </row>
    <row r="601" spans="1:3" x14ac:dyDescent="0.4">
      <c r="A601" s="58"/>
      <c r="C601" s="57"/>
    </row>
    <row r="602" spans="1:3" x14ac:dyDescent="0.4">
      <c r="A602" s="58"/>
      <c r="C602" s="57"/>
    </row>
    <row r="603" spans="1:3" x14ac:dyDescent="0.4">
      <c r="A603" s="58"/>
      <c r="C603" s="57"/>
    </row>
    <row r="604" spans="1:3" x14ac:dyDescent="0.4">
      <c r="A604" s="58"/>
      <c r="C604" s="57"/>
    </row>
    <row r="605" spans="1:3" x14ac:dyDescent="0.4">
      <c r="A605" s="58"/>
      <c r="C605" s="57"/>
    </row>
    <row r="606" spans="1:3" x14ac:dyDescent="0.4">
      <c r="A606" s="58"/>
      <c r="C606" s="57"/>
    </row>
    <row r="607" spans="1:3" x14ac:dyDescent="0.4">
      <c r="A607" s="58"/>
      <c r="C607" s="57"/>
    </row>
    <row r="608" spans="1:3" x14ac:dyDescent="0.4">
      <c r="A608" s="58"/>
      <c r="C608" s="57"/>
    </row>
    <row r="609" spans="1:3" x14ac:dyDescent="0.4">
      <c r="A609" s="58"/>
      <c r="C609" s="57"/>
    </row>
    <row r="610" spans="1:3" x14ac:dyDescent="0.4">
      <c r="A610" s="58"/>
      <c r="C610" s="57"/>
    </row>
    <row r="611" spans="1:3" x14ac:dyDescent="0.4">
      <c r="A611" s="58"/>
      <c r="C611" s="57"/>
    </row>
    <row r="612" spans="1:3" x14ac:dyDescent="0.4">
      <c r="A612" s="58"/>
      <c r="C612" s="57"/>
    </row>
    <row r="613" spans="1:3" x14ac:dyDescent="0.4">
      <c r="A613" s="58"/>
      <c r="C613" s="57"/>
    </row>
    <row r="614" spans="1:3" x14ac:dyDescent="0.4">
      <c r="A614" s="58"/>
      <c r="C614" s="57"/>
    </row>
    <row r="615" spans="1:3" x14ac:dyDescent="0.4">
      <c r="A615" s="58"/>
      <c r="C615" s="57"/>
    </row>
    <row r="616" spans="1:3" x14ac:dyDescent="0.4">
      <c r="A616" s="58"/>
      <c r="C616" s="57"/>
    </row>
    <row r="617" spans="1:3" x14ac:dyDescent="0.4">
      <c r="A617" s="58"/>
      <c r="C617" s="57"/>
    </row>
    <row r="618" spans="1:3" x14ac:dyDescent="0.4">
      <c r="A618" s="58"/>
      <c r="C618" s="57"/>
    </row>
    <row r="619" spans="1:3" x14ac:dyDescent="0.4">
      <c r="A619" s="58"/>
      <c r="C619" s="57"/>
    </row>
    <row r="620" spans="1:3" x14ac:dyDescent="0.4">
      <c r="A620" s="58"/>
      <c r="C620" s="57"/>
    </row>
    <row r="621" spans="1:3" x14ac:dyDescent="0.4">
      <c r="A621" s="58"/>
      <c r="C621" s="57"/>
    </row>
    <row r="622" spans="1:3" x14ac:dyDescent="0.4">
      <c r="A622" s="58"/>
      <c r="C622" s="57"/>
    </row>
    <row r="623" spans="1:3" x14ac:dyDescent="0.4">
      <c r="A623" s="58"/>
      <c r="C623" s="57"/>
    </row>
    <row r="624" spans="1:3" x14ac:dyDescent="0.4">
      <c r="A624" s="58"/>
      <c r="C624" s="57"/>
    </row>
    <row r="625" spans="1:3" x14ac:dyDescent="0.4">
      <c r="A625" s="58"/>
      <c r="C625" s="57"/>
    </row>
    <row r="626" spans="1:3" x14ac:dyDescent="0.4">
      <c r="A626" s="58"/>
      <c r="C626" s="57"/>
    </row>
    <row r="627" spans="1:3" x14ac:dyDescent="0.4">
      <c r="A627" s="58"/>
      <c r="C627" s="57"/>
    </row>
    <row r="628" spans="1:3" x14ac:dyDescent="0.4">
      <c r="A628" s="58"/>
      <c r="C628" s="57"/>
    </row>
    <row r="629" spans="1:3" x14ac:dyDescent="0.4">
      <c r="A629" s="58"/>
      <c r="C629" s="57"/>
    </row>
    <row r="630" spans="1:3" x14ac:dyDescent="0.4">
      <c r="A630" s="58"/>
      <c r="C630" s="57"/>
    </row>
    <row r="631" spans="1:3" x14ac:dyDescent="0.4">
      <c r="A631" s="58"/>
      <c r="C631" s="57"/>
    </row>
    <row r="632" spans="1:3" x14ac:dyDescent="0.4">
      <c r="A632" s="58"/>
      <c r="C632" s="57"/>
    </row>
    <row r="633" spans="1:3" x14ac:dyDescent="0.4">
      <c r="A633" s="58"/>
      <c r="C633" s="57"/>
    </row>
    <row r="634" spans="1:3" x14ac:dyDescent="0.4">
      <c r="A634" s="58"/>
      <c r="C634" s="57"/>
    </row>
    <row r="635" spans="1:3" x14ac:dyDescent="0.4">
      <c r="A635" s="58"/>
      <c r="C635" s="57"/>
    </row>
    <row r="636" spans="1:3" x14ac:dyDescent="0.4">
      <c r="A636" s="58"/>
      <c r="C636" s="57"/>
    </row>
    <row r="637" spans="1:3" x14ac:dyDescent="0.4">
      <c r="A637" s="58"/>
      <c r="C637" s="57"/>
    </row>
    <row r="638" spans="1:3" x14ac:dyDescent="0.4">
      <c r="A638" s="58"/>
      <c r="C638" s="57"/>
    </row>
    <row r="639" spans="1:3" x14ac:dyDescent="0.4">
      <c r="A639" s="58"/>
      <c r="C639" s="57"/>
    </row>
    <row r="640" spans="1:3" x14ac:dyDescent="0.4">
      <c r="A640" s="58"/>
      <c r="C640" s="57"/>
    </row>
    <row r="641" spans="1:3" x14ac:dyDescent="0.4">
      <c r="A641" s="58"/>
      <c r="C641" s="57"/>
    </row>
    <row r="642" spans="1:3" x14ac:dyDescent="0.4">
      <c r="A642" s="58"/>
      <c r="C642" s="57"/>
    </row>
    <row r="643" spans="1:3" x14ac:dyDescent="0.4">
      <c r="A643" s="58"/>
      <c r="C643" s="57"/>
    </row>
    <row r="644" spans="1:3" x14ac:dyDescent="0.4">
      <c r="A644" s="58"/>
      <c r="C644" s="57"/>
    </row>
    <row r="645" spans="1:3" x14ac:dyDescent="0.4">
      <c r="A645" s="58"/>
      <c r="C645" s="57"/>
    </row>
    <row r="646" spans="1:3" x14ac:dyDescent="0.4">
      <c r="A646" s="58"/>
      <c r="C646" s="57"/>
    </row>
    <row r="647" spans="1:3" x14ac:dyDescent="0.4">
      <c r="A647" s="58"/>
      <c r="C647" s="57"/>
    </row>
    <row r="648" spans="1:3" x14ac:dyDescent="0.4">
      <c r="A648" s="58"/>
      <c r="C648" s="57"/>
    </row>
    <row r="649" spans="1:3" x14ac:dyDescent="0.4">
      <c r="A649" s="58"/>
      <c r="C649" s="57"/>
    </row>
    <row r="650" spans="1:3" x14ac:dyDescent="0.4">
      <c r="A650" s="58"/>
      <c r="C650" s="57"/>
    </row>
    <row r="651" spans="1:3" x14ac:dyDescent="0.4">
      <c r="A651" s="58"/>
      <c r="C651" s="57"/>
    </row>
    <row r="652" spans="1:3" x14ac:dyDescent="0.4">
      <c r="A652" s="58"/>
      <c r="C652" s="57"/>
    </row>
    <row r="653" spans="1:3" x14ac:dyDescent="0.4">
      <c r="A653" s="58"/>
      <c r="C653" s="57"/>
    </row>
    <row r="654" spans="1:3" x14ac:dyDescent="0.4">
      <c r="A654" s="58"/>
      <c r="C654" s="57"/>
    </row>
    <row r="655" spans="1:3" x14ac:dyDescent="0.4">
      <c r="A655" s="58"/>
      <c r="C655" s="57"/>
    </row>
    <row r="656" spans="1:3" x14ac:dyDescent="0.4">
      <c r="A656" s="58"/>
      <c r="C656" s="57"/>
    </row>
    <row r="657" spans="1:3" x14ac:dyDescent="0.4">
      <c r="A657" s="58"/>
      <c r="C657" s="57"/>
    </row>
    <row r="658" spans="1:3" x14ac:dyDescent="0.4">
      <c r="A658" s="58"/>
      <c r="C658" s="57"/>
    </row>
    <row r="659" spans="1:3" x14ac:dyDescent="0.4">
      <c r="A659" s="58"/>
      <c r="C659" s="57"/>
    </row>
    <row r="660" spans="1:3" x14ac:dyDescent="0.4">
      <c r="A660" s="58"/>
      <c r="C660" s="57"/>
    </row>
    <row r="661" spans="1:3" x14ac:dyDescent="0.4">
      <c r="A661" s="58"/>
      <c r="C661" s="57"/>
    </row>
    <row r="662" spans="1:3" x14ac:dyDescent="0.4">
      <c r="A662" s="58"/>
      <c r="C662" s="57"/>
    </row>
    <row r="663" spans="1:3" x14ac:dyDescent="0.4">
      <c r="A663" s="58"/>
      <c r="C663" s="57"/>
    </row>
    <row r="664" spans="1:3" x14ac:dyDescent="0.4">
      <c r="A664" s="58"/>
      <c r="C664" s="57"/>
    </row>
    <row r="665" spans="1:3" x14ac:dyDescent="0.4">
      <c r="A665" s="58"/>
      <c r="C665" s="57"/>
    </row>
    <row r="666" spans="1:3" x14ac:dyDescent="0.4">
      <c r="A666" s="58"/>
      <c r="C666" s="57"/>
    </row>
    <row r="667" spans="1:3" x14ac:dyDescent="0.4">
      <c r="A667" s="58"/>
      <c r="C667" s="57"/>
    </row>
    <row r="668" spans="1:3" x14ac:dyDescent="0.4">
      <c r="A668" s="58"/>
      <c r="C668" s="57"/>
    </row>
    <row r="669" spans="1:3" x14ac:dyDescent="0.4">
      <c r="A669" s="58"/>
      <c r="C669" s="57"/>
    </row>
    <row r="670" spans="1:3" x14ac:dyDescent="0.4">
      <c r="A670" s="58"/>
      <c r="C670" s="57"/>
    </row>
    <row r="671" spans="1:3" x14ac:dyDescent="0.4">
      <c r="A671" s="58"/>
      <c r="C671" s="57"/>
    </row>
    <row r="672" spans="1:3" x14ac:dyDescent="0.4">
      <c r="A672" s="58"/>
      <c r="C672" s="57"/>
    </row>
    <row r="673" spans="1:3" x14ac:dyDescent="0.4">
      <c r="A673" s="58"/>
      <c r="C673" s="57"/>
    </row>
    <row r="674" spans="1:3" x14ac:dyDescent="0.4">
      <c r="A674" s="58"/>
      <c r="C674" s="57"/>
    </row>
    <row r="675" spans="1:3" x14ac:dyDescent="0.4">
      <c r="A675" s="58"/>
      <c r="C675" s="57"/>
    </row>
    <row r="676" spans="1:3" x14ac:dyDescent="0.4">
      <c r="A676" s="58"/>
      <c r="C676" s="57"/>
    </row>
    <row r="677" spans="1:3" x14ac:dyDescent="0.4">
      <c r="A677" s="58"/>
      <c r="C677" s="57"/>
    </row>
    <row r="678" spans="1:3" x14ac:dyDescent="0.4">
      <c r="A678" s="58"/>
      <c r="C678" s="57"/>
    </row>
    <row r="679" spans="1:3" x14ac:dyDescent="0.4">
      <c r="A679" s="58"/>
      <c r="C679" s="57"/>
    </row>
    <row r="680" spans="1:3" x14ac:dyDescent="0.4">
      <c r="A680" s="58"/>
      <c r="C680" s="57"/>
    </row>
    <row r="681" spans="1:3" x14ac:dyDescent="0.4">
      <c r="A681" s="58"/>
      <c r="C681" s="57"/>
    </row>
    <row r="682" spans="1:3" x14ac:dyDescent="0.4">
      <c r="A682" s="58"/>
      <c r="C682" s="57"/>
    </row>
    <row r="683" spans="1:3" x14ac:dyDescent="0.4">
      <c r="A683" s="58"/>
      <c r="C683" s="57"/>
    </row>
    <row r="684" spans="1:3" x14ac:dyDescent="0.4">
      <c r="A684" s="58"/>
      <c r="C684" s="57"/>
    </row>
    <row r="685" spans="1:3" x14ac:dyDescent="0.4">
      <c r="A685" s="58"/>
      <c r="C685" s="57"/>
    </row>
    <row r="686" spans="1:3" x14ac:dyDescent="0.4">
      <c r="A686" s="58"/>
      <c r="C686" s="57"/>
    </row>
    <row r="687" spans="1:3" x14ac:dyDescent="0.4">
      <c r="A687" s="58"/>
      <c r="C687" s="57"/>
    </row>
    <row r="688" spans="1:3" x14ac:dyDescent="0.4">
      <c r="A688" s="58"/>
      <c r="C688" s="57"/>
    </row>
    <row r="689" spans="1:3" x14ac:dyDescent="0.4">
      <c r="A689" s="58"/>
      <c r="C689" s="57"/>
    </row>
    <row r="690" spans="1:3" x14ac:dyDescent="0.4">
      <c r="A690" s="58"/>
      <c r="C690" s="57"/>
    </row>
    <row r="691" spans="1:3" x14ac:dyDescent="0.4">
      <c r="A691" s="58"/>
      <c r="C691" s="57"/>
    </row>
    <row r="692" spans="1:3" x14ac:dyDescent="0.4">
      <c r="A692" s="58"/>
      <c r="C692" s="57"/>
    </row>
    <row r="693" spans="1:3" x14ac:dyDescent="0.4">
      <c r="A693" s="58"/>
      <c r="C693" s="57"/>
    </row>
    <row r="694" spans="1:3" x14ac:dyDescent="0.4">
      <c r="A694" s="58"/>
      <c r="C694" s="57"/>
    </row>
    <row r="695" spans="1:3" x14ac:dyDescent="0.4">
      <c r="A695" s="58"/>
      <c r="C695" s="57"/>
    </row>
    <row r="696" spans="1:3" x14ac:dyDescent="0.4">
      <c r="A696" s="58"/>
      <c r="C696" s="57"/>
    </row>
    <row r="697" spans="1:3" x14ac:dyDescent="0.4">
      <c r="A697" s="58"/>
      <c r="C697" s="57"/>
    </row>
    <row r="698" spans="1:3" x14ac:dyDescent="0.4">
      <c r="A698" s="58"/>
      <c r="C698" s="57"/>
    </row>
    <row r="699" spans="1:3" x14ac:dyDescent="0.4">
      <c r="A699" s="58"/>
      <c r="C699" s="57"/>
    </row>
    <row r="700" spans="1:3" x14ac:dyDescent="0.4">
      <c r="A700" s="58"/>
      <c r="C700" s="57"/>
    </row>
    <row r="701" spans="1:3" x14ac:dyDescent="0.4">
      <c r="A701" s="58"/>
      <c r="C701" s="57"/>
    </row>
    <row r="702" spans="1:3" x14ac:dyDescent="0.4">
      <c r="A702" s="58"/>
      <c r="C702" s="57"/>
    </row>
    <row r="703" spans="1:3" x14ac:dyDescent="0.4">
      <c r="A703" s="58"/>
      <c r="C703" s="57"/>
    </row>
    <row r="704" spans="1:3" x14ac:dyDescent="0.4">
      <c r="A704" s="58"/>
      <c r="C704" s="57"/>
    </row>
    <row r="705" spans="1:3" x14ac:dyDescent="0.4">
      <c r="A705" s="58"/>
      <c r="C705" s="57"/>
    </row>
    <row r="706" spans="1:3" x14ac:dyDescent="0.4">
      <c r="A706" s="58"/>
      <c r="C706" s="57"/>
    </row>
    <row r="707" spans="1:3" x14ac:dyDescent="0.4">
      <c r="A707" s="58"/>
      <c r="C707" s="57"/>
    </row>
    <row r="708" spans="1:3" x14ac:dyDescent="0.4">
      <c r="A708" s="58"/>
      <c r="C708" s="57"/>
    </row>
    <row r="709" spans="1:3" x14ac:dyDescent="0.4">
      <c r="A709" s="58"/>
      <c r="C709" s="57"/>
    </row>
    <row r="710" spans="1:3" x14ac:dyDescent="0.4">
      <c r="A710" s="58"/>
      <c r="C710" s="57"/>
    </row>
    <row r="711" spans="1:3" x14ac:dyDescent="0.4">
      <c r="A711" s="58"/>
      <c r="C711" s="57"/>
    </row>
    <row r="712" spans="1:3" x14ac:dyDescent="0.4">
      <c r="A712" s="58"/>
      <c r="C712" s="57"/>
    </row>
    <row r="713" spans="1:3" x14ac:dyDescent="0.4">
      <c r="A713" s="58"/>
      <c r="C713" s="57"/>
    </row>
    <row r="714" spans="1:3" x14ac:dyDescent="0.4">
      <c r="A714" s="58"/>
      <c r="C714" s="57"/>
    </row>
    <row r="715" spans="1:3" x14ac:dyDescent="0.4">
      <c r="A715" s="58"/>
      <c r="C715" s="57"/>
    </row>
    <row r="716" spans="1:3" x14ac:dyDescent="0.4">
      <c r="A716" s="58"/>
      <c r="C716" s="57"/>
    </row>
    <row r="717" spans="1:3" x14ac:dyDescent="0.4">
      <c r="A717" s="58"/>
      <c r="C717" s="57"/>
    </row>
    <row r="718" spans="1:3" x14ac:dyDescent="0.4">
      <c r="A718" s="58"/>
      <c r="C718" s="57"/>
    </row>
    <row r="719" spans="1:3" x14ac:dyDescent="0.4">
      <c r="A719" s="58"/>
      <c r="C719" s="57"/>
    </row>
    <row r="720" spans="1:3" x14ac:dyDescent="0.4">
      <c r="A720" s="58"/>
      <c r="C720" s="57"/>
    </row>
    <row r="721" spans="1:3" x14ac:dyDescent="0.4">
      <c r="A721" s="58"/>
      <c r="C721" s="57"/>
    </row>
    <row r="722" spans="1:3" x14ac:dyDescent="0.4">
      <c r="A722" s="58"/>
      <c r="C722" s="57"/>
    </row>
    <row r="723" spans="1:3" x14ac:dyDescent="0.4">
      <c r="A723" s="58"/>
      <c r="C723" s="57"/>
    </row>
    <row r="724" spans="1:3" x14ac:dyDescent="0.4">
      <c r="A724" s="58"/>
      <c r="C724" s="57"/>
    </row>
    <row r="725" spans="1:3" x14ac:dyDescent="0.4">
      <c r="A725" s="58"/>
      <c r="C725" s="57"/>
    </row>
    <row r="726" spans="1:3" x14ac:dyDescent="0.4">
      <c r="A726" s="58"/>
      <c r="C726" s="57"/>
    </row>
    <row r="727" spans="1:3" x14ac:dyDescent="0.4">
      <c r="A727" s="58"/>
      <c r="C727" s="57"/>
    </row>
    <row r="728" spans="1:3" x14ac:dyDescent="0.4">
      <c r="A728" s="58"/>
      <c r="C728" s="57"/>
    </row>
    <row r="729" spans="1:3" x14ac:dyDescent="0.4">
      <c r="A729" s="58"/>
      <c r="C729" s="57"/>
    </row>
    <row r="730" spans="1:3" x14ac:dyDescent="0.4">
      <c r="A730" s="58"/>
      <c r="C730" s="57"/>
    </row>
    <row r="731" spans="1:3" x14ac:dyDescent="0.4">
      <c r="A731" s="58"/>
      <c r="C731" s="57"/>
    </row>
    <row r="732" spans="1:3" x14ac:dyDescent="0.4">
      <c r="A732" s="58"/>
      <c r="C732" s="57"/>
    </row>
    <row r="733" spans="1:3" x14ac:dyDescent="0.4">
      <c r="A733" s="58"/>
      <c r="C733" s="57"/>
    </row>
    <row r="734" spans="1:3" x14ac:dyDescent="0.4">
      <c r="A734" s="58"/>
      <c r="C734" s="57"/>
    </row>
    <row r="735" spans="1:3" x14ac:dyDescent="0.4">
      <c r="A735" s="58"/>
      <c r="C735" s="57"/>
    </row>
    <row r="736" spans="1:3" x14ac:dyDescent="0.4">
      <c r="A736" s="58"/>
      <c r="C736" s="57"/>
    </row>
    <row r="737" spans="1:3" x14ac:dyDescent="0.4">
      <c r="A737" s="58"/>
      <c r="C737" s="57"/>
    </row>
    <row r="738" spans="1:3" x14ac:dyDescent="0.4">
      <c r="A738" s="58"/>
      <c r="C738" s="57"/>
    </row>
    <row r="739" spans="1:3" x14ac:dyDescent="0.4">
      <c r="A739" s="58"/>
      <c r="C739" s="57"/>
    </row>
    <row r="740" spans="1:3" x14ac:dyDescent="0.4">
      <c r="A740" s="58"/>
      <c r="C740" s="57"/>
    </row>
    <row r="741" spans="1:3" x14ac:dyDescent="0.4">
      <c r="A741" s="58"/>
      <c r="C741" s="57"/>
    </row>
    <row r="742" spans="1:3" x14ac:dyDescent="0.4">
      <c r="A742" s="58"/>
      <c r="C742" s="57"/>
    </row>
    <row r="743" spans="1:3" x14ac:dyDescent="0.4">
      <c r="A743" s="58"/>
      <c r="C743" s="57"/>
    </row>
    <row r="744" spans="1:3" x14ac:dyDescent="0.4">
      <c r="A744" s="58"/>
      <c r="C744" s="57"/>
    </row>
    <row r="745" spans="1:3" x14ac:dyDescent="0.4">
      <c r="A745" s="58"/>
      <c r="C745" s="57"/>
    </row>
    <row r="746" spans="1:3" x14ac:dyDescent="0.4">
      <c r="A746" s="58"/>
      <c r="C746" s="57"/>
    </row>
    <row r="747" spans="1:3" x14ac:dyDescent="0.4">
      <c r="A747" s="58"/>
      <c r="C747" s="57"/>
    </row>
    <row r="748" spans="1:3" x14ac:dyDescent="0.4">
      <c r="A748" s="58"/>
      <c r="C748" s="57"/>
    </row>
    <row r="749" spans="1:3" x14ac:dyDescent="0.4">
      <c r="A749" s="58"/>
      <c r="C749" s="57"/>
    </row>
    <row r="750" spans="1:3" x14ac:dyDescent="0.4">
      <c r="A750" s="58"/>
      <c r="C750" s="57"/>
    </row>
    <row r="751" spans="1:3" x14ac:dyDescent="0.4">
      <c r="A751" s="58"/>
      <c r="C751" s="57"/>
    </row>
    <row r="752" spans="1:3" x14ac:dyDescent="0.4">
      <c r="A752" s="58"/>
      <c r="C752" s="57"/>
    </row>
    <row r="753" spans="1:3" x14ac:dyDescent="0.4">
      <c r="A753" s="58"/>
      <c r="C753" s="57"/>
    </row>
    <row r="754" spans="1:3" x14ac:dyDescent="0.4">
      <c r="A754" s="58"/>
      <c r="C754" s="57"/>
    </row>
    <row r="755" spans="1:3" x14ac:dyDescent="0.4">
      <c r="A755" s="58"/>
      <c r="C755" s="57"/>
    </row>
    <row r="756" spans="1:3" x14ac:dyDescent="0.4">
      <c r="A756" s="58"/>
      <c r="C756" s="57"/>
    </row>
    <row r="757" spans="1:3" x14ac:dyDescent="0.4">
      <c r="A757" s="58"/>
      <c r="C757" s="57"/>
    </row>
    <row r="758" spans="1:3" x14ac:dyDescent="0.4">
      <c r="A758" s="58"/>
      <c r="C758" s="57"/>
    </row>
    <row r="759" spans="1:3" x14ac:dyDescent="0.4">
      <c r="A759" s="58"/>
      <c r="C759" s="57"/>
    </row>
    <row r="760" spans="1:3" x14ac:dyDescent="0.4">
      <c r="A760" s="58"/>
      <c r="C760" s="57"/>
    </row>
    <row r="761" spans="1:3" x14ac:dyDescent="0.4">
      <c r="A761" s="58"/>
      <c r="C761" s="57"/>
    </row>
    <row r="762" spans="1:3" x14ac:dyDescent="0.4">
      <c r="A762" s="58"/>
      <c r="C762" s="57"/>
    </row>
    <row r="763" spans="1:3" x14ac:dyDescent="0.4">
      <c r="A763" s="58"/>
      <c r="C763" s="57"/>
    </row>
    <row r="764" spans="1:3" x14ac:dyDescent="0.4">
      <c r="A764" s="58"/>
      <c r="C764" s="57"/>
    </row>
    <row r="765" spans="1:3" x14ac:dyDescent="0.4">
      <c r="A765" s="58"/>
      <c r="C765" s="57"/>
    </row>
    <row r="766" spans="1:3" x14ac:dyDescent="0.4">
      <c r="A766" s="58"/>
      <c r="C766" s="57"/>
    </row>
    <row r="767" spans="1:3" x14ac:dyDescent="0.4">
      <c r="A767" s="58"/>
      <c r="C767" s="57"/>
    </row>
    <row r="768" spans="1:3" x14ac:dyDescent="0.4">
      <c r="A768" s="58"/>
      <c r="C768" s="57"/>
    </row>
    <row r="769" spans="1:3" x14ac:dyDescent="0.4">
      <c r="A769" s="58"/>
      <c r="C769" s="57"/>
    </row>
    <row r="770" spans="1:3" x14ac:dyDescent="0.4">
      <c r="A770" s="58"/>
      <c r="C770" s="57"/>
    </row>
    <row r="771" spans="1:3" x14ac:dyDescent="0.4">
      <c r="A771" s="58"/>
      <c r="C771" s="57"/>
    </row>
    <row r="772" spans="1:3" x14ac:dyDescent="0.4">
      <c r="A772" s="58"/>
      <c r="C772" s="57"/>
    </row>
    <row r="773" spans="1:3" x14ac:dyDescent="0.4">
      <c r="A773" s="58"/>
      <c r="C773" s="57"/>
    </row>
    <row r="774" spans="1:3" x14ac:dyDescent="0.4">
      <c r="A774" s="58"/>
      <c r="C774" s="57"/>
    </row>
    <row r="775" spans="1:3" x14ac:dyDescent="0.4">
      <c r="A775" s="58"/>
      <c r="C775" s="57"/>
    </row>
    <row r="776" spans="1:3" x14ac:dyDescent="0.4">
      <c r="A776" s="58"/>
      <c r="C776" s="57"/>
    </row>
    <row r="777" spans="1:3" x14ac:dyDescent="0.4">
      <c r="A777" s="58"/>
      <c r="C777" s="57"/>
    </row>
    <row r="778" spans="1:3" x14ac:dyDescent="0.4">
      <c r="A778" s="58"/>
      <c r="C778" s="57"/>
    </row>
    <row r="779" spans="1:3" x14ac:dyDescent="0.4">
      <c r="A779" s="58"/>
      <c r="C779" s="57"/>
    </row>
    <row r="780" spans="1:3" x14ac:dyDescent="0.4">
      <c r="A780" s="58"/>
      <c r="C780" s="57"/>
    </row>
    <row r="781" spans="1:3" x14ac:dyDescent="0.4">
      <c r="A781" s="58"/>
      <c r="C781" s="57"/>
    </row>
    <row r="782" spans="1:3" x14ac:dyDescent="0.4">
      <c r="A782" s="58"/>
      <c r="C782" s="57"/>
    </row>
    <row r="783" spans="1:3" x14ac:dyDescent="0.4">
      <c r="A783" s="58"/>
      <c r="C783" s="57"/>
    </row>
    <row r="784" spans="1:3" x14ac:dyDescent="0.4">
      <c r="A784" s="58"/>
      <c r="C784" s="57"/>
    </row>
    <row r="785" spans="1:3" x14ac:dyDescent="0.4">
      <c r="A785" s="58"/>
      <c r="C785" s="57"/>
    </row>
    <row r="786" spans="1:3" x14ac:dyDescent="0.4">
      <c r="A786" s="58"/>
      <c r="C786" s="57"/>
    </row>
    <row r="787" spans="1:3" x14ac:dyDescent="0.4">
      <c r="A787" s="58"/>
      <c r="C787" s="57"/>
    </row>
    <row r="788" spans="1:3" x14ac:dyDescent="0.4">
      <c r="A788" s="58"/>
      <c r="C788" s="57"/>
    </row>
    <row r="789" spans="1:3" x14ac:dyDescent="0.4">
      <c r="A789" s="58"/>
      <c r="C789" s="57"/>
    </row>
    <row r="790" spans="1:3" x14ac:dyDescent="0.4">
      <c r="A790" s="58"/>
      <c r="C790" s="57"/>
    </row>
    <row r="791" spans="1:3" x14ac:dyDescent="0.4">
      <c r="A791" s="58"/>
      <c r="C791" s="57"/>
    </row>
    <row r="792" spans="1:3" x14ac:dyDescent="0.4">
      <c r="A792" s="58"/>
      <c r="C792" s="57"/>
    </row>
    <row r="793" spans="1:3" x14ac:dyDescent="0.4">
      <c r="A793" s="58"/>
      <c r="C793" s="57"/>
    </row>
    <row r="794" spans="1:3" x14ac:dyDescent="0.4">
      <c r="A794" s="58"/>
      <c r="C794" s="57"/>
    </row>
    <row r="795" spans="1:3" x14ac:dyDescent="0.4">
      <c r="A795" s="58"/>
      <c r="C795" s="57"/>
    </row>
    <row r="796" spans="1:3" x14ac:dyDescent="0.4">
      <c r="A796" s="58"/>
      <c r="C796" s="57"/>
    </row>
    <row r="797" spans="1:3" x14ac:dyDescent="0.4">
      <c r="A797" s="58"/>
      <c r="C797" s="57"/>
    </row>
    <row r="798" spans="1:3" x14ac:dyDescent="0.4">
      <c r="A798" s="58"/>
      <c r="C798" s="57"/>
    </row>
    <row r="799" spans="1:3" x14ac:dyDescent="0.4">
      <c r="A799" s="58"/>
      <c r="C799" s="57"/>
    </row>
    <row r="800" spans="1:3" x14ac:dyDescent="0.4">
      <c r="A800" s="58"/>
      <c r="C800" s="57"/>
    </row>
    <row r="801" spans="1:3" x14ac:dyDescent="0.4">
      <c r="A801" s="58"/>
      <c r="C801" s="57"/>
    </row>
    <row r="802" spans="1:3" x14ac:dyDescent="0.4">
      <c r="A802" s="58"/>
      <c r="C802" s="57"/>
    </row>
    <row r="803" spans="1:3" x14ac:dyDescent="0.4">
      <c r="A803" s="58"/>
      <c r="C803" s="57"/>
    </row>
    <row r="804" spans="1:3" x14ac:dyDescent="0.4">
      <c r="A804" s="58"/>
      <c r="C804" s="57"/>
    </row>
    <row r="805" spans="1:3" x14ac:dyDescent="0.4">
      <c r="A805" s="58"/>
      <c r="C805" s="57"/>
    </row>
    <row r="806" spans="1:3" x14ac:dyDescent="0.4">
      <c r="A806" s="58"/>
      <c r="C806" s="57"/>
    </row>
    <row r="807" spans="1:3" x14ac:dyDescent="0.4">
      <c r="A807" s="58"/>
      <c r="C807" s="57"/>
    </row>
    <row r="808" spans="1:3" x14ac:dyDescent="0.4">
      <c r="A808" s="58"/>
      <c r="C808" s="57"/>
    </row>
    <row r="809" spans="1:3" x14ac:dyDescent="0.4">
      <c r="A809" s="58"/>
      <c r="C809" s="57"/>
    </row>
    <row r="810" spans="1:3" x14ac:dyDescent="0.4">
      <c r="A810" s="58"/>
      <c r="C810" s="57"/>
    </row>
    <row r="811" spans="1:3" x14ac:dyDescent="0.4">
      <c r="A811" s="58"/>
      <c r="C811" s="57"/>
    </row>
    <row r="812" spans="1:3" x14ac:dyDescent="0.4">
      <c r="A812" s="58"/>
      <c r="C812" s="57"/>
    </row>
    <row r="813" spans="1:3" x14ac:dyDescent="0.4">
      <c r="A813" s="58"/>
      <c r="C813" s="57"/>
    </row>
    <row r="814" spans="1:3" x14ac:dyDescent="0.4">
      <c r="A814" s="58"/>
      <c r="C814" s="57"/>
    </row>
    <row r="815" spans="1:3" x14ac:dyDescent="0.4">
      <c r="A815" s="58"/>
      <c r="C815" s="57"/>
    </row>
    <row r="816" spans="1:3" x14ac:dyDescent="0.4">
      <c r="A816" s="58"/>
      <c r="C816" s="57"/>
    </row>
    <row r="817" spans="1:3" x14ac:dyDescent="0.4">
      <c r="A817" s="58"/>
      <c r="C817" s="57"/>
    </row>
    <row r="818" spans="1:3" x14ac:dyDescent="0.4">
      <c r="A818" s="58"/>
      <c r="C818" s="57"/>
    </row>
    <row r="819" spans="1:3" x14ac:dyDescent="0.4">
      <c r="A819" s="58"/>
      <c r="C819" s="57"/>
    </row>
    <row r="820" spans="1:3" x14ac:dyDescent="0.4">
      <c r="A820" s="58"/>
      <c r="C820" s="57"/>
    </row>
    <row r="821" spans="1:3" x14ac:dyDescent="0.4">
      <c r="A821" s="58"/>
      <c r="C821" s="57"/>
    </row>
    <row r="822" spans="1:3" x14ac:dyDescent="0.4">
      <c r="A822" s="58"/>
      <c r="C822" s="57"/>
    </row>
    <row r="823" spans="1:3" x14ac:dyDescent="0.4">
      <c r="A823" s="58"/>
      <c r="C823" s="57"/>
    </row>
    <row r="824" spans="1:3" x14ac:dyDescent="0.4">
      <c r="A824" s="58"/>
      <c r="C824" s="57"/>
    </row>
    <row r="825" spans="1:3" x14ac:dyDescent="0.4">
      <c r="A825" s="58"/>
      <c r="C825" s="57"/>
    </row>
    <row r="826" spans="1:3" x14ac:dyDescent="0.4">
      <c r="A826" s="58"/>
      <c r="C826" s="57"/>
    </row>
    <row r="827" spans="1:3" x14ac:dyDescent="0.4">
      <c r="A827" s="58"/>
      <c r="C827" s="57"/>
    </row>
    <row r="828" spans="1:3" x14ac:dyDescent="0.4">
      <c r="A828" s="58"/>
      <c r="C828" s="57"/>
    </row>
    <row r="829" spans="1:3" x14ac:dyDescent="0.4">
      <c r="A829" s="58"/>
      <c r="C829" s="57"/>
    </row>
    <row r="830" spans="1:3" x14ac:dyDescent="0.4">
      <c r="A830" s="58"/>
      <c r="C830" s="57"/>
    </row>
    <row r="831" spans="1:3" x14ac:dyDescent="0.4">
      <c r="A831" s="58"/>
      <c r="C831" s="57"/>
    </row>
    <row r="832" spans="1:3" x14ac:dyDescent="0.4">
      <c r="A832" s="58"/>
      <c r="C832" s="57"/>
    </row>
    <row r="833" spans="1:3" x14ac:dyDescent="0.4">
      <c r="A833" s="58"/>
      <c r="C833" s="57"/>
    </row>
    <row r="834" spans="1:3" x14ac:dyDescent="0.4">
      <c r="A834" s="58"/>
      <c r="C834" s="57"/>
    </row>
    <row r="835" spans="1:3" x14ac:dyDescent="0.4">
      <c r="A835" s="58"/>
      <c r="C835" s="57"/>
    </row>
    <row r="836" spans="1:3" x14ac:dyDescent="0.4">
      <c r="A836" s="58"/>
      <c r="C836" s="57"/>
    </row>
    <row r="837" spans="1:3" x14ac:dyDescent="0.4">
      <c r="A837" s="58"/>
      <c r="C837" s="57"/>
    </row>
    <row r="838" spans="1:3" x14ac:dyDescent="0.4">
      <c r="A838" s="58"/>
      <c r="C838" s="57"/>
    </row>
    <row r="839" spans="1:3" x14ac:dyDescent="0.4">
      <c r="A839" s="58"/>
      <c r="C839" s="57"/>
    </row>
    <row r="840" spans="1:3" x14ac:dyDescent="0.4">
      <c r="A840" s="58"/>
      <c r="C840" s="57"/>
    </row>
    <row r="841" spans="1:3" x14ac:dyDescent="0.4">
      <c r="A841" s="58"/>
      <c r="C841" s="57"/>
    </row>
    <row r="842" spans="1:3" x14ac:dyDescent="0.4">
      <c r="A842" s="58"/>
      <c r="C842" s="57"/>
    </row>
    <row r="843" spans="1:3" x14ac:dyDescent="0.4">
      <c r="A843" s="58"/>
      <c r="C843" s="57"/>
    </row>
    <row r="844" spans="1:3" x14ac:dyDescent="0.4">
      <c r="A844" s="58"/>
      <c r="C844" s="57"/>
    </row>
    <row r="845" spans="1:3" x14ac:dyDescent="0.4">
      <c r="A845" s="58"/>
      <c r="C845" s="57"/>
    </row>
    <row r="846" spans="1:3" x14ac:dyDescent="0.4">
      <c r="A846" s="58"/>
      <c r="C846" s="57"/>
    </row>
    <row r="847" spans="1:3" x14ac:dyDescent="0.4">
      <c r="A847" s="58"/>
      <c r="C847" s="57"/>
    </row>
    <row r="848" spans="1:3" x14ac:dyDescent="0.4">
      <c r="A848" s="58"/>
      <c r="C848" s="57"/>
    </row>
    <row r="849" spans="1:3" x14ac:dyDescent="0.4">
      <c r="A849" s="58"/>
      <c r="C849" s="57"/>
    </row>
    <row r="850" spans="1:3" x14ac:dyDescent="0.4">
      <c r="A850" s="58"/>
      <c r="C850" s="57"/>
    </row>
    <row r="851" spans="1:3" x14ac:dyDescent="0.4">
      <c r="A851" s="58"/>
      <c r="C851" s="57"/>
    </row>
    <row r="852" spans="1:3" x14ac:dyDescent="0.4">
      <c r="A852" s="58"/>
      <c r="C852" s="57"/>
    </row>
    <row r="853" spans="1:3" x14ac:dyDescent="0.4">
      <c r="A853" s="58"/>
      <c r="C853" s="57"/>
    </row>
    <row r="854" spans="1:3" x14ac:dyDescent="0.4">
      <c r="A854" s="58"/>
      <c r="C854" s="57"/>
    </row>
    <row r="855" spans="1:3" x14ac:dyDescent="0.4">
      <c r="A855" s="58"/>
      <c r="C855" s="57"/>
    </row>
    <row r="856" spans="1:3" x14ac:dyDescent="0.4">
      <c r="A856" s="58"/>
      <c r="C856" s="57"/>
    </row>
    <row r="857" spans="1:3" x14ac:dyDescent="0.4">
      <c r="A857" s="58"/>
      <c r="C857" s="57"/>
    </row>
    <row r="858" spans="1:3" x14ac:dyDescent="0.4">
      <c r="A858" s="58"/>
      <c r="C858" s="57"/>
    </row>
    <row r="859" spans="1:3" x14ac:dyDescent="0.4">
      <c r="A859" s="58"/>
      <c r="C859" s="57"/>
    </row>
    <row r="860" spans="1:3" x14ac:dyDescent="0.4">
      <c r="A860" s="58"/>
      <c r="C860" s="57"/>
    </row>
    <row r="861" spans="1:3" x14ac:dyDescent="0.4">
      <c r="A861" s="58"/>
      <c r="C861" s="57"/>
    </row>
    <row r="862" spans="1:3" x14ac:dyDescent="0.4">
      <c r="A862" s="58"/>
      <c r="C862" s="57"/>
    </row>
    <row r="863" spans="1:3" x14ac:dyDescent="0.4">
      <c r="A863" s="58"/>
      <c r="C863" s="57"/>
    </row>
    <row r="864" spans="1:3" x14ac:dyDescent="0.4">
      <c r="A864" s="58"/>
      <c r="C864" s="57"/>
    </row>
    <row r="865" spans="1:3" x14ac:dyDescent="0.4">
      <c r="A865" s="58"/>
      <c r="C865" s="57"/>
    </row>
    <row r="866" spans="1:3" x14ac:dyDescent="0.4">
      <c r="A866" s="58"/>
      <c r="C866" s="57"/>
    </row>
    <row r="867" spans="1:3" x14ac:dyDescent="0.4">
      <c r="A867" s="58"/>
      <c r="C867" s="57"/>
    </row>
    <row r="868" spans="1:3" x14ac:dyDescent="0.4">
      <c r="A868" s="58"/>
      <c r="C868" s="57"/>
    </row>
    <row r="869" spans="1:3" x14ac:dyDescent="0.4">
      <c r="A869" s="58"/>
      <c r="C869" s="57"/>
    </row>
    <row r="870" spans="1:3" x14ac:dyDescent="0.4">
      <c r="A870" s="58"/>
      <c r="C870" s="57"/>
    </row>
    <row r="871" spans="1:3" x14ac:dyDescent="0.4">
      <c r="A871" s="58"/>
      <c r="C871" s="57"/>
    </row>
    <row r="872" spans="1:3" x14ac:dyDescent="0.4">
      <c r="A872" s="58"/>
      <c r="C872" s="57"/>
    </row>
    <row r="873" spans="1:3" x14ac:dyDescent="0.4">
      <c r="A873" s="58"/>
      <c r="C873" s="57"/>
    </row>
    <row r="874" spans="1:3" x14ac:dyDescent="0.4">
      <c r="A874" s="58"/>
      <c r="C874" s="57"/>
    </row>
    <row r="875" spans="1:3" x14ac:dyDescent="0.4">
      <c r="A875" s="58"/>
      <c r="C875" s="57"/>
    </row>
    <row r="876" spans="1:3" x14ac:dyDescent="0.4">
      <c r="A876" s="58"/>
      <c r="C876" s="57"/>
    </row>
    <row r="877" spans="1:3" x14ac:dyDescent="0.4">
      <c r="A877" s="58"/>
      <c r="C877" s="57"/>
    </row>
    <row r="878" spans="1:3" x14ac:dyDescent="0.4">
      <c r="A878" s="58"/>
      <c r="C878" s="57"/>
    </row>
    <row r="879" spans="1:3" x14ac:dyDescent="0.4">
      <c r="A879" s="58"/>
      <c r="C879" s="57"/>
    </row>
    <row r="880" spans="1:3" x14ac:dyDescent="0.4">
      <c r="A880" s="58"/>
      <c r="C880" s="57"/>
    </row>
    <row r="881" spans="1:3" x14ac:dyDescent="0.4">
      <c r="A881" s="58"/>
      <c r="C881" s="57"/>
    </row>
    <row r="882" spans="1:3" x14ac:dyDescent="0.4">
      <c r="A882" s="58"/>
      <c r="C882" s="57"/>
    </row>
    <row r="883" spans="1:3" x14ac:dyDescent="0.4">
      <c r="A883" s="58"/>
      <c r="C883" s="57"/>
    </row>
    <row r="884" spans="1:3" x14ac:dyDescent="0.4">
      <c r="A884" s="58"/>
      <c r="C884" s="57"/>
    </row>
    <row r="885" spans="1:3" x14ac:dyDescent="0.4">
      <c r="A885" s="58"/>
      <c r="C885" s="57"/>
    </row>
    <row r="886" spans="1:3" x14ac:dyDescent="0.4">
      <c r="A886" s="58"/>
      <c r="C886" s="57"/>
    </row>
    <row r="887" spans="1:3" x14ac:dyDescent="0.4">
      <c r="A887" s="58"/>
      <c r="C887" s="57"/>
    </row>
    <row r="888" spans="1:3" x14ac:dyDescent="0.4">
      <c r="A888" s="58"/>
      <c r="C888" s="57"/>
    </row>
    <row r="889" spans="1:3" x14ac:dyDescent="0.4">
      <c r="A889" s="58"/>
      <c r="C889" s="57"/>
    </row>
    <row r="890" spans="1:3" x14ac:dyDescent="0.4">
      <c r="A890" s="58"/>
      <c r="C890" s="57"/>
    </row>
    <row r="891" spans="1:3" x14ac:dyDescent="0.4">
      <c r="A891" s="58"/>
      <c r="C891" s="57"/>
    </row>
    <row r="892" spans="1:3" x14ac:dyDescent="0.4">
      <c r="A892" s="58"/>
      <c r="C892" s="57"/>
    </row>
    <row r="893" spans="1:3" x14ac:dyDescent="0.4">
      <c r="A893" s="58"/>
      <c r="C893" s="57"/>
    </row>
    <row r="894" spans="1:3" x14ac:dyDescent="0.4">
      <c r="A894" s="58"/>
      <c r="C894" s="57"/>
    </row>
    <row r="895" spans="1:3" x14ac:dyDescent="0.4">
      <c r="A895" s="58"/>
      <c r="C895" s="57"/>
    </row>
    <row r="896" spans="1:3" x14ac:dyDescent="0.4">
      <c r="A896" s="58"/>
      <c r="C896" s="57"/>
    </row>
    <row r="897" spans="1:3" x14ac:dyDescent="0.4">
      <c r="A897" s="58"/>
      <c r="C897" s="57"/>
    </row>
    <row r="898" spans="1:3" x14ac:dyDescent="0.4">
      <c r="A898" s="58"/>
      <c r="C898" s="57"/>
    </row>
    <row r="899" spans="1:3" x14ac:dyDescent="0.4">
      <c r="A899" s="58"/>
      <c r="C899" s="57"/>
    </row>
    <row r="900" spans="1:3" x14ac:dyDescent="0.4">
      <c r="A900" s="58"/>
      <c r="C900" s="57"/>
    </row>
    <row r="901" spans="1:3" x14ac:dyDescent="0.4">
      <c r="A901" s="58"/>
      <c r="C901" s="57"/>
    </row>
    <row r="902" spans="1:3" x14ac:dyDescent="0.4">
      <c r="A902" s="58"/>
      <c r="C902" s="57"/>
    </row>
    <row r="903" spans="1:3" x14ac:dyDescent="0.4">
      <c r="A903" s="58"/>
      <c r="C903" s="57"/>
    </row>
    <row r="904" spans="1:3" x14ac:dyDescent="0.4">
      <c r="A904" s="58"/>
      <c r="C904" s="57"/>
    </row>
    <row r="905" spans="1:3" x14ac:dyDescent="0.4">
      <c r="A905" s="58"/>
      <c r="C905" s="57"/>
    </row>
    <row r="906" spans="1:3" x14ac:dyDescent="0.4">
      <c r="A906" s="58"/>
      <c r="C906" s="57"/>
    </row>
    <row r="907" spans="1:3" x14ac:dyDescent="0.4">
      <c r="A907" s="58"/>
      <c r="C907" s="57"/>
    </row>
    <row r="908" spans="1:3" x14ac:dyDescent="0.4">
      <c r="A908" s="58"/>
      <c r="C908" s="57"/>
    </row>
    <row r="909" spans="1:3" x14ac:dyDescent="0.4">
      <c r="A909" s="58"/>
      <c r="C909" s="57"/>
    </row>
    <row r="910" spans="1:3" x14ac:dyDescent="0.4">
      <c r="A910" s="58"/>
      <c r="C910" s="57"/>
    </row>
    <row r="911" spans="1:3" x14ac:dyDescent="0.4">
      <c r="A911" s="58"/>
      <c r="C911" s="57"/>
    </row>
    <row r="912" spans="1:3" x14ac:dyDescent="0.4">
      <c r="A912" s="58"/>
      <c r="C912" s="57"/>
    </row>
    <row r="913" spans="1:3" x14ac:dyDescent="0.4">
      <c r="A913" s="58"/>
      <c r="C913" s="57"/>
    </row>
    <row r="914" spans="1:3" x14ac:dyDescent="0.4">
      <c r="A914" s="58"/>
      <c r="C914" s="57"/>
    </row>
    <row r="915" spans="1:3" x14ac:dyDescent="0.4">
      <c r="A915" s="58"/>
      <c r="C915" s="57"/>
    </row>
    <row r="916" spans="1:3" x14ac:dyDescent="0.4">
      <c r="A916" s="58"/>
      <c r="C916" s="57"/>
    </row>
    <row r="917" spans="1:3" x14ac:dyDescent="0.4">
      <c r="A917" s="58"/>
      <c r="C917" s="57"/>
    </row>
    <row r="918" spans="1:3" x14ac:dyDescent="0.4">
      <c r="A918" s="58"/>
      <c r="C918" s="57"/>
    </row>
    <row r="919" spans="1:3" x14ac:dyDescent="0.4">
      <c r="A919" s="58"/>
      <c r="C919" s="57"/>
    </row>
    <row r="920" spans="1:3" x14ac:dyDescent="0.4">
      <c r="A920" s="58"/>
      <c r="C920" s="57"/>
    </row>
    <row r="921" spans="1:3" x14ac:dyDescent="0.4">
      <c r="A921" s="58"/>
      <c r="C921" s="57"/>
    </row>
    <row r="922" spans="1:3" x14ac:dyDescent="0.4">
      <c r="A922" s="58"/>
      <c r="C922" s="57"/>
    </row>
    <row r="923" spans="1:3" x14ac:dyDescent="0.4">
      <c r="A923" s="58"/>
      <c r="C923" s="57"/>
    </row>
    <row r="924" spans="1:3" x14ac:dyDescent="0.4">
      <c r="A924" s="58"/>
      <c r="C924" s="57"/>
    </row>
    <row r="925" spans="1:3" x14ac:dyDescent="0.4">
      <c r="A925" s="58"/>
      <c r="C925" s="57"/>
    </row>
    <row r="926" spans="1:3" x14ac:dyDescent="0.4">
      <c r="A926" s="58"/>
      <c r="C926" s="57"/>
    </row>
    <row r="927" spans="1:3" x14ac:dyDescent="0.4">
      <c r="A927" s="58"/>
      <c r="C927" s="57"/>
    </row>
    <row r="928" spans="1:3" x14ac:dyDescent="0.4">
      <c r="A928" s="58"/>
      <c r="C928" s="57"/>
    </row>
    <row r="929" spans="1:3" x14ac:dyDescent="0.4">
      <c r="A929" s="58"/>
      <c r="C929" s="57"/>
    </row>
    <row r="930" spans="1:3" x14ac:dyDescent="0.4">
      <c r="A930" s="58"/>
      <c r="C930" s="57"/>
    </row>
    <row r="931" spans="1:3" x14ac:dyDescent="0.4">
      <c r="A931" s="58"/>
      <c r="C931" s="57"/>
    </row>
    <row r="932" spans="1:3" x14ac:dyDescent="0.4">
      <c r="A932" s="58"/>
      <c r="C932" s="57"/>
    </row>
    <row r="933" spans="1:3" x14ac:dyDescent="0.4">
      <c r="A933" s="58"/>
      <c r="C933" s="57"/>
    </row>
    <row r="934" spans="1:3" x14ac:dyDescent="0.4">
      <c r="A934" s="58"/>
      <c r="C934" s="57"/>
    </row>
    <row r="935" spans="1:3" x14ac:dyDescent="0.4">
      <c r="A935" s="58"/>
      <c r="C935" s="57"/>
    </row>
    <row r="936" spans="1:3" x14ac:dyDescent="0.4">
      <c r="A936" s="58"/>
      <c r="C936" s="57"/>
    </row>
    <row r="937" spans="1:3" x14ac:dyDescent="0.4">
      <c r="A937" s="58"/>
      <c r="C937" s="57"/>
    </row>
    <row r="938" spans="1:3" x14ac:dyDescent="0.4">
      <c r="A938" s="58"/>
      <c r="C938" s="57"/>
    </row>
    <row r="939" spans="1:3" x14ac:dyDescent="0.4">
      <c r="A939" s="58"/>
      <c r="C939" s="57"/>
    </row>
    <row r="940" spans="1:3" x14ac:dyDescent="0.4">
      <c r="A940" s="58"/>
      <c r="C940" s="57"/>
    </row>
    <row r="941" spans="1:3" x14ac:dyDescent="0.4">
      <c r="A941" s="58"/>
      <c r="C941" s="57"/>
    </row>
    <row r="942" spans="1:3" x14ac:dyDescent="0.4">
      <c r="A942" s="58"/>
      <c r="C942" s="57"/>
    </row>
    <row r="943" spans="1:3" x14ac:dyDescent="0.4">
      <c r="A943" s="58"/>
      <c r="C943" s="57"/>
    </row>
    <row r="944" spans="1:3" x14ac:dyDescent="0.4">
      <c r="A944" s="58"/>
      <c r="C944" s="57"/>
    </row>
    <row r="945" spans="1:3" x14ac:dyDescent="0.4">
      <c r="A945" s="58"/>
      <c r="C945" s="57"/>
    </row>
    <row r="946" spans="1:3" x14ac:dyDescent="0.4">
      <c r="A946" s="58"/>
      <c r="C946" s="57"/>
    </row>
    <row r="947" spans="1:3" x14ac:dyDescent="0.4">
      <c r="A947" s="58"/>
      <c r="C947" s="57"/>
    </row>
    <row r="948" spans="1:3" x14ac:dyDescent="0.4">
      <c r="A948" s="58"/>
      <c r="C948" s="57"/>
    </row>
    <row r="949" spans="1:3" x14ac:dyDescent="0.4">
      <c r="A949" s="58"/>
      <c r="C949" s="57"/>
    </row>
    <row r="950" spans="1:3" x14ac:dyDescent="0.4">
      <c r="A950" s="58"/>
      <c r="C950" s="57"/>
    </row>
    <row r="951" spans="1:3" x14ac:dyDescent="0.4">
      <c r="A951" s="58"/>
      <c r="C951" s="57"/>
    </row>
    <row r="952" spans="1:3" x14ac:dyDescent="0.4">
      <c r="A952" s="58"/>
      <c r="C952" s="57"/>
    </row>
    <row r="953" spans="1:3" x14ac:dyDescent="0.4">
      <c r="A953" s="58"/>
      <c r="C953" s="57"/>
    </row>
    <row r="954" spans="1:3" x14ac:dyDescent="0.4">
      <c r="A954" s="58"/>
      <c r="C954" s="57"/>
    </row>
    <row r="955" spans="1:3" x14ac:dyDescent="0.4">
      <c r="A955" s="58"/>
      <c r="C955" s="57"/>
    </row>
    <row r="956" spans="1:3" x14ac:dyDescent="0.4">
      <c r="A956" s="58"/>
      <c r="C956" s="57"/>
    </row>
    <row r="957" spans="1:3" x14ac:dyDescent="0.4">
      <c r="A957" s="58"/>
      <c r="C957" s="57"/>
    </row>
    <row r="958" spans="1:3" x14ac:dyDescent="0.4">
      <c r="A958" s="58"/>
      <c r="C958" s="57"/>
    </row>
    <row r="959" spans="1:3" x14ac:dyDescent="0.4">
      <c r="A959" s="58"/>
      <c r="C959" s="57"/>
    </row>
    <row r="960" spans="1:3" x14ac:dyDescent="0.4">
      <c r="A960" s="58"/>
      <c r="C960" s="57"/>
    </row>
    <row r="961" spans="1:3" x14ac:dyDescent="0.4">
      <c r="A961" s="58"/>
      <c r="C961" s="57"/>
    </row>
    <row r="962" spans="1:3" x14ac:dyDescent="0.4">
      <c r="A962" s="58"/>
      <c r="C962" s="57"/>
    </row>
    <row r="963" spans="1:3" x14ac:dyDescent="0.4">
      <c r="A963" s="58"/>
      <c r="C963" s="57"/>
    </row>
    <row r="964" spans="1:3" x14ac:dyDescent="0.4">
      <c r="A964" s="58"/>
      <c r="C964" s="57"/>
    </row>
    <row r="965" spans="1:3" x14ac:dyDescent="0.4">
      <c r="A965" s="58"/>
      <c r="C965" s="57"/>
    </row>
    <row r="966" spans="1:3" x14ac:dyDescent="0.4">
      <c r="A966" s="58"/>
      <c r="C966" s="57"/>
    </row>
    <row r="967" spans="1:3" x14ac:dyDescent="0.4">
      <c r="A967" s="58"/>
      <c r="C967" s="57"/>
    </row>
    <row r="968" spans="1:3" x14ac:dyDescent="0.4">
      <c r="A968" s="58"/>
      <c r="C968" s="57"/>
    </row>
    <row r="969" spans="1:3" x14ac:dyDescent="0.4">
      <c r="A969" s="58"/>
      <c r="C969" s="57"/>
    </row>
    <row r="970" spans="1:3" x14ac:dyDescent="0.4">
      <c r="A970" s="58"/>
      <c r="C970" s="57"/>
    </row>
    <row r="971" spans="1:3" x14ac:dyDescent="0.4">
      <c r="A971" s="58"/>
      <c r="C971" s="57"/>
    </row>
    <row r="972" spans="1:3" x14ac:dyDescent="0.4">
      <c r="A972" s="58"/>
      <c r="C972" s="57"/>
    </row>
    <row r="973" spans="1:3" x14ac:dyDescent="0.4">
      <c r="A973" s="58"/>
      <c r="C973" s="57"/>
    </row>
    <row r="974" spans="1:3" x14ac:dyDescent="0.4">
      <c r="A974" s="58"/>
      <c r="C974" s="57"/>
    </row>
    <row r="975" spans="1:3" x14ac:dyDescent="0.4">
      <c r="A975" s="58"/>
      <c r="C975" s="57"/>
    </row>
    <row r="976" spans="1:3" x14ac:dyDescent="0.4">
      <c r="A976" s="58"/>
      <c r="C976" s="57"/>
    </row>
    <row r="977" spans="1:3" x14ac:dyDescent="0.4">
      <c r="A977" s="58"/>
      <c r="C977" s="57"/>
    </row>
    <row r="978" spans="1:3" x14ac:dyDescent="0.4">
      <c r="A978" s="58"/>
      <c r="C978" s="57"/>
    </row>
    <row r="979" spans="1:3" x14ac:dyDescent="0.4">
      <c r="A979" s="58"/>
      <c r="C979" s="57"/>
    </row>
    <row r="980" spans="1:3" x14ac:dyDescent="0.4">
      <c r="A980" s="58"/>
      <c r="C980" s="57"/>
    </row>
    <row r="981" spans="1:3" x14ac:dyDescent="0.4">
      <c r="A981" s="58"/>
      <c r="C981" s="57"/>
    </row>
    <row r="982" spans="1:3" x14ac:dyDescent="0.4">
      <c r="A982" s="58"/>
      <c r="C982" s="57"/>
    </row>
    <row r="983" spans="1:3" x14ac:dyDescent="0.4">
      <c r="A983" s="58"/>
      <c r="C983" s="57"/>
    </row>
    <row r="984" spans="1:3" x14ac:dyDescent="0.4">
      <c r="A984" s="58"/>
      <c r="C984" s="57"/>
    </row>
    <row r="985" spans="1:3" x14ac:dyDescent="0.4">
      <c r="A985" s="58"/>
      <c r="C985" s="57"/>
    </row>
    <row r="986" spans="1:3" x14ac:dyDescent="0.4">
      <c r="A986" s="58"/>
      <c r="C986" s="57"/>
    </row>
    <row r="987" spans="1:3" x14ac:dyDescent="0.4">
      <c r="A987" s="58"/>
      <c r="C987" s="57"/>
    </row>
    <row r="988" spans="1:3" x14ac:dyDescent="0.4">
      <c r="A988" s="58"/>
      <c r="C988" s="57"/>
    </row>
    <row r="989" spans="1:3" x14ac:dyDescent="0.4">
      <c r="A989" s="58"/>
      <c r="C989" s="57"/>
    </row>
    <row r="990" spans="1:3" x14ac:dyDescent="0.4">
      <c r="A990" s="58"/>
      <c r="C990" s="57"/>
    </row>
    <row r="991" spans="1:3" x14ac:dyDescent="0.4">
      <c r="A991" s="58"/>
      <c r="C991" s="57"/>
    </row>
    <row r="992" spans="1:3" x14ac:dyDescent="0.4">
      <c r="A992" s="58"/>
      <c r="C992" s="57"/>
    </row>
    <row r="993" spans="1:3" x14ac:dyDescent="0.4">
      <c r="A993" s="58"/>
      <c r="C993" s="57"/>
    </row>
    <row r="994" spans="1:3" x14ac:dyDescent="0.4">
      <c r="A994" s="58"/>
      <c r="C994" s="57"/>
    </row>
    <row r="995" spans="1:3" x14ac:dyDescent="0.4">
      <c r="A995" s="58"/>
      <c r="C995" s="57"/>
    </row>
    <row r="996" spans="1:3" x14ac:dyDescent="0.4">
      <c r="A996" s="58"/>
      <c r="C996" s="57"/>
    </row>
    <row r="997" spans="1:3" x14ac:dyDescent="0.4">
      <c r="A997" s="58"/>
      <c r="C997" s="57"/>
    </row>
    <row r="998" spans="1:3" x14ac:dyDescent="0.4">
      <c r="A998" s="58"/>
      <c r="C998" s="57"/>
    </row>
    <row r="999" spans="1:3" x14ac:dyDescent="0.4">
      <c r="A999" s="58"/>
      <c r="C999" s="57"/>
    </row>
    <row r="1000" spans="1:3" x14ac:dyDescent="0.4">
      <c r="A1000" s="58"/>
      <c r="C1000" s="57"/>
    </row>
    <row r="1001" spans="1:3" x14ac:dyDescent="0.4">
      <c r="A1001" s="58"/>
      <c r="C1001" s="57"/>
    </row>
    <row r="1002" spans="1:3" x14ac:dyDescent="0.4">
      <c r="A1002" s="58"/>
      <c r="C1002" s="57"/>
    </row>
    <row r="1003" spans="1:3" x14ac:dyDescent="0.4">
      <c r="A1003" s="58"/>
      <c r="C1003" s="57"/>
    </row>
    <row r="1004" spans="1:3" x14ac:dyDescent="0.4">
      <c r="A1004" s="58"/>
      <c r="C1004" s="57"/>
    </row>
    <row r="1005" spans="1:3" x14ac:dyDescent="0.4">
      <c r="A1005" s="58"/>
      <c r="C1005" s="57"/>
    </row>
    <row r="1006" spans="1:3" x14ac:dyDescent="0.4">
      <c r="A1006" s="58"/>
      <c r="C1006" s="57"/>
    </row>
    <row r="1007" spans="1:3" x14ac:dyDescent="0.4">
      <c r="A1007" s="58"/>
      <c r="C1007" s="57"/>
    </row>
    <row r="1008" spans="1:3" x14ac:dyDescent="0.4">
      <c r="A1008" s="58"/>
      <c r="C1008" s="57"/>
    </row>
    <row r="1009" spans="1:3" x14ac:dyDescent="0.4">
      <c r="A1009" s="58"/>
      <c r="C1009" s="57"/>
    </row>
    <row r="1010" spans="1:3" x14ac:dyDescent="0.4">
      <c r="A1010" s="58"/>
      <c r="C1010" s="57"/>
    </row>
    <row r="1011" spans="1:3" x14ac:dyDescent="0.4">
      <c r="A1011" s="58"/>
      <c r="C1011" s="57"/>
    </row>
    <row r="1012" spans="1:3" x14ac:dyDescent="0.4">
      <c r="A1012" s="58"/>
      <c r="C1012" s="57"/>
    </row>
    <row r="1013" spans="1:3" x14ac:dyDescent="0.4">
      <c r="A1013" s="58"/>
      <c r="C1013" s="57"/>
    </row>
    <row r="1014" spans="1:3" x14ac:dyDescent="0.4">
      <c r="A1014" s="58"/>
      <c r="C1014" s="57"/>
    </row>
    <row r="1015" spans="1:3" x14ac:dyDescent="0.4">
      <c r="A1015" s="58"/>
      <c r="C1015" s="57"/>
    </row>
    <row r="1016" spans="1:3" x14ac:dyDescent="0.4">
      <c r="A1016" s="58"/>
      <c r="C1016" s="57"/>
    </row>
    <row r="1017" spans="1:3" x14ac:dyDescent="0.4">
      <c r="A1017" s="58"/>
      <c r="C1017" s="57"/>
    </row>
    <row r="1018" spans="1:3" x14ac:dyDescent="0.4">
      <c r="A1018" s="58"/>
      <c r="C1018" s="57"/>
    </row>
    <row r="1019" spans="1:3" x14ac:dyDescent="0.4">
      <c r="A1019" s="58"/>
      <c r="C1019" s="57"/>
    </row>
    <row r="1020" spans="1:3" x14ac:dyDescent="0.4">
      <c r="A1020" s="58"/>
      <c r="C1020" s="57"/>
    </row>
    <row r="1021" spans="1:3" x14ac:dyDescent="0.4">
      <c r="A1021" s="58"/>
      <c r="C1021" s="57"/>
    </row>
    <row r="1022" spans="1:3" x14ac:dyDescent="0.4">
      <c r="A1022" s="58"/>
      <c r="C1022" s="57"/>
    </row>
    <row r="1023" spans="1:3" x14ac:dyDescent="0.4">
      <c r="A1023" s="58"/>
      <c r="C1023" s="57"/>
    </row>
    <row r="1024" spans="1:3" x14ac:dyDescent="0.4">
      <c r="A1024" s="58"/>
      <c r="C1024" s="57"/>
    </row>
    <row r="1025" spans="1:3" x14ac:dyDescent="0.4">
      <c r="A1025" s="58"/>
      <c r="C1025" s="57"/>
    </row>
    <row r="1026" spans="1:3" x14ac:dyDescent="0.4">
      <c r="A1026" s="58"/>
      <c r="C1026" s="57"/>
    </row>
    <row r="1027" spans="1:3" x14ac:dyDescent="0.4">
      <c r="A1027" s="58"/>
      <c r="C1027" s="57"/>
    </row>
    <row r="1028" spans="1:3" x14ac:dyDescent="0.4">
      <c r="A1028" s="58"/>
      <c r="C1028" s="57"/>
    </row>
    <row r="1029" spans="1:3" x14ac:dyDescent="0.4">
      <c r="A1029" s="58"/>
      <c r="C1029" s="57"/>
    </row>
    <row r="1030" spans="1:3" x14ac:dyDescent="0.4">
      <c r="A1030" s="58"/>
      <c r="C1030" s="57"/>
    </row>
    <row r="1031" spans="1:3" x14ac:dyDescent="0.4">
      <c r="A1031" s="58"/>
      <c r="C1031" s="57"/>
    </row>
    <row r="1032" spans="1:3" x14ac:dyDescent="0.4">
      <c r="A1032" s="58"/>
      <c r="C1032" s="57"/>
    </row>
    <row r="1033" spans="1:3" x14ac:dyDescent="0.4">
      <c r="A1033" s="58"/>
      <c r="C1033" s="57"/>
    </row>
    <row r="1034" spans="1:3" x14ac:dyDescent="0.4">
      <c r="A1034" s="58"/>
      <c r="C1034" s="57"/>
    </row>
    <row r="1035" spans="1:3" x14ac:dyDescent="0.4">
      <c r="A1035" s="58"/>
      <c r="C1035" s="57"/>
    </row>
    <row r="1036" spans="1:3" x14ac:dyDescent="0.4">
      <c r="A1036" s="58"/>
      <c r="C1036" s="57"/>
    </row>
    <row r="1037" spans="1:3" x14ac:dyDescent="0.4">
      <c r="A1037" s="58"/>
      <c r="C1037" s="57"/>
    </row>
    <row r="1038" spans="1:3" x14ac:dyDescent="0.4">
      <c r="A1038" s="58"/>
      <c r="C1038" s="57"/>
    </row>
    <row r="1039" spans="1:3" x14ac:dyDescent="0.4">
      <c r="A1039" s="58"/>
      <c r="C1039" s="57"/>
    </row>
    <row r="1040" spans="1:3" x14ac:dyDescent="0.4">
      <c r="A1040" s="58"/>
      <c r="C1040" s="57"/>
    </row>
    <row r="1041" spans="1:3" x14ac:dyDescent="0.4">
      <c r="A1041" s="58"/>
      <c r="C1041" s="57"/>
    </row>
    <row r="1042" spans="1:3" x14ac:dyDescent="0.4">
      <c r="A1042" s="58"/>
      <c r="C1042" s="57"/>
    </row>
    <row r="1043" spans="1:3" x14ac:dyDescent="0.4">
      <c r="A1043" s="58"/>
      <c r="C1043" s="57"/>
    </row>
    <row r="1044" spans="1:3" x14ac:dyDescent="0.4">
      <c r="A1044" s="58"/>
      <c r="C1044" s="57"/>
    </row>
    <row r="1045" spans="1:3" x14ac:dyDescent="0.4">
      <c r="A1045" s="58"/>
      <c r="C1045" s="57"/>
    </row>
    <row r="1046" spans="1:3" x14ac:dyDescent="0.4">
      <c r="A1046" s="58"/>
      <c r="C1046" s="57"/>
    </row>
    <row r="1047" spans="1:3" x14ac:dyDescent="0.4">
      <c r="A1047" s="58"/>
      <c r="C1047" s="57"/>
    </row>
    <row r="1048" spans="1:3" x14ac:dyDescent="0.4">
      <c r="A1048" s="58"/>
      <c r="C1048" s="57"/>
    </row>
    <row r="1049" spans="1:3" x14ac:dyDescent="0.4">
      <c r="A1049" s="58"/>
      <c r="C1049" s="57"/>
    </row>
    <row r="1050" spans="1:3" x14ac:dyDescent="0.4">
      <c r="A1050" s="58"/>
      <c r="C1050" s="57"/>
    </row>
    <row r="1051" spans="1:3" x14ac:dyDescent="0.4">
      <c r="A1051" s="58"/>
      <c r="C1051" s="57"/>
    </row>
    <row r="1052" spans="1:3" x14ac:dyDescent="0.4">
      <c r="A1052" s="58"/>
      <c r="C1052" s="57"/>
    </row>
    <row r="1053" spans="1:3" x14ac:dyDescent="0.4">
      <c r="A1053" s="58"/>
      <c r="C1053" s="57"/>
    </row>
    <row r="1054" spans="1:3" x14ac:dyDescent="0.4">
      <c r="A1054" s="58"/>
      <c r="C1054" s="57"/>
    </row>
    <row r="1055" spans="1:3" x14ac:dyDescent="0.4">
      <c r="A1055" s="58"/>
      <c r="C1055" s="57"/>
    </row>
    <row r="1056" spans="1:3" x14ac:dyDescent="0.4">
      <c r="A1056" s="58"/>
      <c r="C1056" s="57"/>
    </row>
    <row r="1057" spans="1:3" x14ac:dyDescent="0.4">
      <c r="A1057" s="58"/>
      <c r="C1057" s="57"/>
    </row>
    <row r="1058" spans="1:3" x14ac:dyDescent="0.4">
      <c r="A1058" s="58"/>
      <c r="C1058" s="57"/>
    </row>
    <row r="1059" spans="1:3" x14ac:dyDescent="0.4">
      <c r="A1059" s="58"/>
      <c r="C1059" s="57"/>
    </row>
    <row r="1060" spans="1:3" x14ac:dyDescent="0.4">
      <c r="A1060" s="58"/>
      <c r="C1060" s="57"/>
    </row>
    <row r="1061" spans="1:3" x14ac:dyDescent="0.4">
      <c r="A1061" s="58"/>
      <c r="C1061" s="57"/>
    </row>
    <row r="1062" spans="1:3" x14ac:dyDescent="0.4">
      <c r="A1062" s="58"/>
      <c r="C1062" s="57"/>
    </row>
    <row r="1063" spans="1:3" x14ac:dyDescent="0.4">
      <c r="A1063" s="58"/>
      <c r="C1063" s="57"/>
    </row>
    <row r="1064" spans="1:3" x14ac:dyDescent="0.4">
      <c r="A1064" s="58"/>
      <c r="C1064" s="57"/>
    </row>
    <row r="1065" spans="1:3" x14ac:dyDescent="0.4">
      <c r="A1065" s="58"/>
      <c r="C1065" s="57"/>
    </row>
    <row r="1066" spans="1:3" x14ac:dyDescent="0.4">
      <c r="A1066" s="58"/>
      <c r="C1066" s="57"/>
    </row>
    <row r="1067" spans="1:3" x14ac:dyDescent="0.4">
      <c r="A1067" s="58"/>
      <c r="C1067" s="57"/>
    </row>
    <row r="1068" spans="1:3" x14ac:dyDescent="0.4">
      <c r="A1068" s="58"/>
      <c r="C1068" s="57"/>
    </row>
    <row r="1069" spans="1:3" x14ac:dyDescent="0.4">
      <c r="A1069" s="58"/>
      <c r="C1069" s="57"/>
    </row>
    <row r="1070" spans="1:3" x14ac:dyDescent="0.4">
      <c r="A1070" s="58"/>
      <c r="C1070" s="57"/>
    </row>
    <row r="1071" spans="1:3" x14ac:dyDescent="0.4">
      <c r="A1071" s="58"/>
      <c r="C1071" s="57"/>
    </row>
    <row r="1072" spans="1:3" x14ac:dyDescent="0.4">
      <c r="A1072" s="58"/>
      <c r="C1072" s="57"/>
    </row>
    <row r="1073" spans="1:3" x14ac:dyDescent="0.4">
      <c r="A1073" s="58"/>
      <c r="C1073" s="57"/>
    </row>
    <row r="1074" spans="1:3" x14ac:dyDescent="0.4">
      <c r="A1074" s="58"/>
      <c r="C1074" s="57"/>
    </row>
    <row r="1075" spans="1:3" x14ac:dyDescent="0.4">
      <c r="A1075" s="58"/>
      <c r="C1075" s="57"/>
    </row>
    <row r="1076" spans="1:3" x14ac:dyDescent="0.4">
      <c r="A1076" s="58"/>
      <c r="C1076" s="57"/>
    </row>
    <row r="1077" spans="1:3" x14ac:dyDescent="0.4">
      <c r="A1077" s="58"/>
      <c r="C1077" s="57"/>
    </row>
    <row r="1078" spans="1:3" x14ac:dyDescent="0.4">
      <c r="A1078" s="58"/>
      <c r="C1078" s="57"/>
    </row>
    <row r="1079" spans="1:3" x14ac:dyDescent="0.4">
      <c r="A1079" s="58"/>
      <c r="C1079" s="57"/>
    </row>
    <row r="1080" spans="1:3" x14ac:dyDescent="0.4">
      <c r="A1080" s="58"/>
      <c r="C1080" s="57"/>
    </row>
    <row r="1081" spans="1:3" x14ac:dyDescent="0.4">
      <c r="A1081" s="58"/>
      <c r="C1081" s="57"/>
    </row>
    <row r="1082" spans="1:3" x14ac:dyDescent="0.4">
      <c r="A1082" s="58"/>
      <c r="C1082" s="57"/>
    </row>
    <row r="1083" spans="1:3" x14ac:dyDescent="0.4">
      <c r="A1083" s="58"/>
      <c r="C1083" s="57"/>
    </row>
    <row r="1084" spans="1:3" x14ac:dyDescent="0.4">
      <c r="A1084" s="58"/>
      <c r="C1084" s="57"/>
    </row>
    <row r="1085" spans="1:3" x14ac:dyDescent="0.4">
      <c r="A1085" s="58"/>
      <c r="C1085" s="57"/>
    </row>
    <row r="1086" spans="1:3" x14ac:dyDescent="0.4">
      <c r="A1086" s="58"/>
      <c r="C1086" s="57"/>
    </row>
    <row r="1087" spans="1:3" x14ac:dyDescent="0.4">
      <c r="A1087" s="58"/>
      <c r="C1087" s="57"/>
    </row>
    <row r="1088" spans="1:3" x14ac:dyDescent="0.4">
      <c r="A1088" s="58"/>
      <c r="C1088" s="57"/>
    </row>
    <row r="1089" spans="1:3" x14ac:dyDescent="0.4">
      <c r="A1089" s="58"/>
      <c r="C1089" s="57"/>
    </row>
    <row r="1090" spans="1:3" x14ac:dyDescent="0.4">
      <c r="A1090" s="58"/>
      <c r="C1090" s="57"/>
    </row>
    <row r="1091" spans="1:3" x14ac:dyDescent="0.4">
      <c r="A1091" s="58"/>
      <c r="C1091" s="57"/>
    </row>
    <row r="1092" spans="1:3" x14ac:dyDescent="0.4">
      <c r="A1092" s="58"/>
      <c r="C1092" s="57"/>
    </row>
    <row r="1093" spans="1:3" x14ac:dyDescent="0.4">
      <c r="A1093" s="58"/>
      <c r="C1093" s="57"/>
    </row>
    <row r="1094" spans="1:3" x14ac:dyDescent="0.4">
      <c r="A1094" s="58"/>
      <c r="C1094" s="57"/>
    </row>
    <row r="1095" spans="1:3" x14ac:dyDescent="0.4">
      <c r="A1095" s="58"/>
      <c r="C1095" s="57"/>
    </row>
    <row r="1096" spans="1:3" x14ac:dyDescent="0.4">
      <c r="A1096" s="58"/>
      <c r="C1096" s="57"/>
    </row>
    <row r="1097" spans="1:3" x14ac:dyDescent="0.4">
      <c r="A1097" s="58"/>
      <c r="C1097" s="57"/>
    </row>
    <row r="1098" spans="1:3" x14ac:dyDescent="0.4">
      <c r="A1098" s="58"/>
      <c r="C1098" s="57"/>
    </row>
    <row r="1099" spans="1:3" x14ac:dyDescent="0.4">
      <c r="A1099" s="58"/>
      <c r="C1099" s="57"/>
    </row>
    <row r="1100" spans="1:3" x14ac:dyDescent="0.4">
      <c r="A1100" s="58"/>
      <c r="C1100" s="57"/>
    </row>
    <row r="1101" spans="1:3" x14ac:dyDescent="0.4">
      <c r="A1101" s="58"/>
      <c r="C1101" s="57"/>
    </row>
    <row r="1102" spans="1:3" x14ac:dyDescent="0.4">
      <c r="A1102" s="58"/>
      <c r="C1102" s="57"/>
    </row>
    <row r="1103" spans="1:3" x14ac:dyDescent="0.4">
      <c r="A1103" s="58"/>
      <c r="C1103" s="57"/>
    </row>
    <row r="1104" spans="1:3" x14ac:dyDescent="0.4">
      <c r="A1104" s="58"/>
      <c r="C1104" s="57"/>
    </row>
    <row r="1105" spans="1:3" x14ac:dyDescent="0.4">
      <c r="A1105" s="58"/>
      <c r="C1105" s="57"/>
    </row>
    <row r="1106" spans="1:3" x14ac:dyDescent="0.4">
      <c r="A1106" s="58"/>
      <c r="C1106" s="57"/>
    </row>
    <row r="1107" spans="1:3" x14ac:dyDescent="0.4">
      <c r="A1107" s="58"/>
      <c r="C1107" s="57"/>
    </row>
    <row r="1108" spans="1:3" x14ac:dyDescent="0.4">
      <c r="A1108" s="58"/>
      <c r="C1108" s="57"/>
    </row>
    <row r="1109" spans="1:3" x14ac:dyDescent="0.4">
      <c r="A1109" s="58"/>
      <c r="C1109" s="57"/>
    </row>
    <row r="1110" spans="1:3" x14ac:dyDescent="0.4">
      <c r="A1110" s="58"/>
      <c r="C1110" s="57"/>
    </row>
    <row r="1111" spans="1:3" x14ac:dyDescent="0.4">
      <c r="A1111" s="58"/>
      <c r="C1111" s="57"/>
    </row>
    <row r="1112" spans="1:3" x14ac:dyDescent="0.4">
      <c r="A1112" s="58"/>
      <c r="C1112" s="57"/>
    </row>
    <row r="1113" spans="1:3" x14ac:dyDescent="0.4">
      <c r="A1113" s="58"/>
      <c r="C1113" s="57"/>
    </row>
    <row r="1114" spans="1:3" x14ac:dyDescent="0.4">
      <c r="A1114" s="58"/>
      <c r="C1114" s="57"/>
    </row>
    <row r="1115" spans="1:3" x14ac:dyDescent="0.4">
      <c r="A1115" s="58"/>
      <c r="C1115" s="57"/>
    </row>
    <row r="1116" spans="1:3" x14ac:dyDescent="0.4">
      <c r="A1116" s="58"/>
      <c r="C1116" s="57"/>
    </row>
    <row r="1117" spans="1:3" x14ac:dyDescent="0.4">
      <c r="A1117" s="58"/>
      <c r="C1117" s="57"/>
    </row>
    <row r="1118" spans="1:3" x14ac:dyDescent="0.4">
      <c r="A1118" s="58"/>
      <c r="C1118" s="57"/>
    </row>
    <row r="1119" spans="1:3" x14ac:dyDescent="0.4">
      <c r="A1119" s="58"/>
      <c r="C1119" s="57"/>
    </row>
    <row r="1120" spans="1:3" x14ac:dyDescent="0.4">
      <c r="A1120" s="58"/>
      <c r="C1120" s="57"/>
    </row>
    <row r="1121" spans="1:3" x14ac:dyDescent="0.4">
      <c r="A1121" s="58"/>
      <c r="C1121" s="57"/>
    </row>
    <row r="1122" spans="1:3" x14ac:dyDescent="0.4">
      <c r="A1122" s="58"/>
      <c r="C1122" s="57"/>
    </row>
    <row r="1123" spans="1:3" x14ac:dyDescent="0.4">
      <c r="A1123" s="58"/>
      <c r="C1123" s="57"/>
    </row>
    <row r="1124" spans="1:3" x14ac:dyDescent="0.4">
      <c r="A1124" s="58"/>
      <c r="C1124" s="57"/>
    </row>
    <row r="1125" spans="1:3" x14ac:dyDescent="0.4">
      <c r="A1125" s="58"/>
      <c r="C1125" s="57"/>
    </row>
    <row r="1126" spans="1:3" x14ac:dyDescent="0.4">
      <c r="A1126" s="58"/>
      <c r="C1126" s="57"/>
    </row>
    <row r="1127" spans="1:3" x14ac:dyDescent="0.4">
      <c r="A1127" s="58"/>
      <c r="C1127" s="57"/>
    </row>
    <row r="1128" spans="1:3" x14ac:dyDescent="0.4">
      <c r="A1128" s="58"/>
      <c r="C1128" s="57"/>
    </row>
    <row r="1129" spans="1:3" x14ac:dyDescent="0.4">
      <c r="A1129" s="58"/>
      <c r="C1129" s="57"/>
    </row>
    <row r="1130" spans="1:3" x14ac:dyDescent="0.4">
      <c r="A1130" s="58"/>
      <c r="C1130" s="57"/>
    </row>
    <row r="1131" spans="1:3" x14ac:dyDescent="0.4">
      <c r="A1131" s="58"/>
      <c r="C1131" s="57"/>
    </row>
    <row r="1132" spans="1:3" x14ac:dyDescent="0.4">
      <c r="A1132" s="58"/>
      <c r="C1132" s="57"/>
    </row>
    <row r="1133" spans="1:3" x14ac:dyDescent="0.4">
      <c r="A1133" s="58"/>
      <c r="C1133" s="57"/>
    </row>
    <row r="1134" spans="1:3" x14ac:dyDescent="0.4">
      <c r="A1134" s="58"/>
      <c r="C1134" s="57"/>
    </row>
    <row r="1135" spans="1:3" x14ac:dyDescent="0.4">
      <c r="A1135" s="58"/>
      <c r="C1135" s="57"/>
    </row>
    <row r="1136" spans="1:3" x14ac:dyDescent="0.4">
      <c r="A1136" s="58"/>
      <c r="C1136" s="57"/>
    </row>
    <row r="1137" spans="1:3" x14ac:dyDescent="0.4">
      <c r="A1137" s="58"/>
      <c r="C1137" s="57"/>
    </row>
    <row r="1138" spans="1:3" x14ac:dyDescent="0.4">
      <c r="A1138" s="58"/>
      <c r="C1138" s="57"/>
    </row>
    <row r="1139" spans="1:3" x14ac:dyDescent="0.4">
      <c r="A1139" s="58"/>
      <c r="C1139" s="57"/>
    </row>
    <row r="1140" spans="1:3" x14ac:dyDescent="0.4">
      <c r="A1140" s="58"/>
      <c r="C1140" s="57"/>
    </row>
    <row r="1141" spans="1:3" x14ac:dyDescent="0.4">
      <c r="A1141" s="58"/>
      <c r="C1141" s="57"/>
    </row>
    <row r="1142" spans="1:3" x14ac:dyDescent="0.4">
      <c r="A1142" s="58"/>
      <c r="C1142" s="57"/>
    </row>
    <row r="1143" spans="1:3" x14ac:dyDescent="0.4">
      <c r="A1143" s="58"/>
      <c r="C1143" s="57"/>
    </row>
    <row r="1144" spans="1:3" x14ac:dyDescent="0.4">
      <c r="A1144" s="58"/>
      <c r="C1144" s="57"/>
    </row>
    <row r="1145" spans="1:3" x14ac:dyDescent="0.4">
      <c r="A1145" s="58"/>
      <c r="C1145" s="57"/>
    </row>
    <row r="1146" spans="1:3" x14ac:dyDescent="0.4">
      <c r="A1146" s="58"/>
      <c r="C1146" s="57"/>
    </row>
    <row r="1147" spans="1:3" x14ac:dyDescent="0.4">
      <c r="A1147" s="58"/>
      <c r="C1147" s="57"/>
    </row>
    <row r="1148" spans="1:3" x14ac:dyDescent="0.4">
      <c r="A1148" s="58"/>
      <c r="C1148" s="57"/>
    </row>
    <row r="1149" spans="1:3" x14ac:dyDescent="0.4">
      <c r="A1149" s="58"/>
      <c r="C1149" s="57"/>
    </row>
    <row r="1150" spans="1:3" x14ac:dyDescent="0.4">
      <c r="A1150" s="58"/>
      <c r="C1150" s="57"/>
    </row>
    <row r="1151" spans="1:3" x14ac:dyDescent="0.4">
      <c r="A1151" s="58"/>
      <c r="C1151" s="57"/>
    </row>
    <row r="1152" spans="1:3" x14ac:dyDescent="0.4">
      <c r="A1152" s="58"/>
      <c r="C1152" s="57"/>
    </row>
    <row r="1153" spans="1:3" x14ac:dyDescent="0.4">
      <c r="A1153" s="58"/>
      <c r="C1153" s="57"/>
    </row>
    <row r="1154" spans="1:3" x14ac:dyDescent="0.4">
      <c r="A1154" s="58"/>
      <c r="C1154" s="57"/>
    </row>
    <row r="1155" spans="1:3" x14ac:dyDescent="0.4">
      <c r="A1155" s="58"/>
      <c r="C1155" s="57"/>
    </row>
    <row r="1156" spans="1:3" x14ac:dyDescent="0.4">
      <c r="A1156" s="58"/>
      <c r="C1156" s="57"/>
    </row>
    <row r="1157" spans="1:3" x14ac:dyDescent="0.4">
      <c r="A1157" s="58"/>
      <c r="C1157" s="57"/>
    </row>
    <row r="1158" spans="1:3" x14ac:dyDescent="0.4">
      <c r="A1158" s="58"/>
      <c r="C1158" s="57"/>
    </row>
    <row r="1159" spans="1:3" x14ac:dyDescent="0.4">
      <c r="A1159" s="58"/>
      <c r="C1159" s="57"/>
    </row>
    <row r="1160" spans="1:3" x14ac:dyDescent="0.4">
      <c r="A1160" s="58"/>
      <c r="C1160" s="57"/>
    </row>
    <row r="1161" spans="1:3" x14ac:dyDescent="0.4">
      <c r="A1161" s="58"/>
      <c r="C1161" s="57"/>
    </row>
    <row r="1162" spans="1:3" x14ac:dyDescent="0.4">
      <c r="A1162" s="58"/>
      <c r="C1162" s="57"/>
    </row>
    <row r="1163" spans="1:3" x14ac:dyDescent="0.4">
      <c r="A1163" s="58"/>
      <c r="C1163" s="57"/>
    </row>
    <row r="1164" spans="1:3" x14ac:dyDescent="0.4">
      <c r="A1164" s="58"/>
      <c r="C1164" s="57"/>
    </row>
    <row r="1165" spans="1:3" x14ac:dyDescent="0.4">
      <c r="A1165" s="58"/>
      <c r="C1165" s="57"/>
    </row>
    <row r="1166" spans="1:3" x14ac:dyDescent="0.4">
      <c r="A1166" s="58"/>
      <c r="C1166" s="57"/>
    </row>
    <row r="1167" spans="1:3" x14ac:dyDescent="0.4">
      <c r="A1167" s="58"/>
      <c r="C1167" s="57"/>
    </row>
    <row r="1168" spans="1:3" x14ac:dyDescent="0.4">
      <c r="A1168" s="58"/>
      <c r="C1168" s="57"/>
    </row>
    <row r="1169" spans="1:3" x14ac:dyDescent="0.4">
      <c r="A1169" s="58"/>
      <c r="C1169" s="57"/>
    </row>
    <row r="1170" spans="1:3" x14ac:dyDescent="0.4">
      <c r="A1170" s="58"/>
      <c r="C1170" s="57"/>
    </row>
    <row r="1171" spans="1:3" x14ac:dyDescent="0.4">
      <c r="A1171" s="58"/>
      <c r="C1171" s="57"/>
    </row>
    <row r="1172" spans="1:3" x14ac:dyDescent="0.4">
      <c r="A1172" s="58"/>
      <c r="C1172" s="57"/>
    </row>
    <row r="1173" spans="1:3" x14ac:dyDescent="0.4">
      <c r="A1173" s="58"/>
      <c r="C1173" s="57"/>
    </row>
    <row r="1174" spans="1:3" x14ac:dyDescent="0.4">
      <c r="A1174" s="58"/>
      <c r="C1174" s="57"/>
    </row>
    <row r="1175" spans="1:3" x14ac:dyDescent="0.4">
      <c r="A1175" s="58"/>
      <c r="C1175" s="57"/>
    </row>
    <row r="1176" spans="1:3" x14ac:dyDescent="0.4">
      <c r="A1176" s="58"/>
      <c r="C1176" s="57"/>
    </row>
    <row r="1177" spans="1:3" x14ac:dyDescent="0.4">
      <c r="A1177" s="58"/>
      <c r="C1177" s="57"/>
    </row>
    <row r="1178" spans="1:3" x14ac:dyDescent="0.4">
      <c r="A1178" s="58"/>
      <c r="C1178" s="57"/>
    </row>
    <row r="1179" spans="1:3" x14ac:dyDescent="0.4">
      <c r="A1179" s="58"/>
      <c r="C1179" s="57"/>
    </row>
    <row r="1180" spans="1:3" x14ac:dyDescent="0.4">
      <c r="A1180" s="58"/>
      <c r="C1180" s="57"/>
    </row>
    <row r="1181" spans="1:3" x14ac:dyDescent="0.4">
      <c r="A1181" s="58"/>
      <c r="C1181" s="57"/>
    </row>
    <row r="1182" spans="1:3" x14ac:dyDescent="0.4">
      <c r="A1182" s="58"/>
      <c r="C1182" s="57"/>
    </row>
    <row r="1183" spans="1:3" x14ac:dyDescent="0.4">
      <c r="A1183" s="58"/>
      <c r="C1183" s="57"/>
    </row>
    <row r="1184" spans="1:3" x14ac:dyDescent="0.4">
      <c r="A1184" s="58"/>
      <c r="C1184" s="57"/>
    </row>
    <row r="1185" spans="1:3" x14ac:dyDescent="0.4">
      <c r="A1185" s="58"/>
      <c r="C1185" s="57"/>
    </row>
    <row r="1186" spans="1:3" x14ac:dyDescent="0.4">
      <c r="A1186" s="58"/>
      <c r="C1186" s="57"/>
    </row>
    <row r="1187" spans="1:3" x14ac:dyDescent="0.4">
      <c r="A1187" s="58"/>
      <c r="C1187" s="57"/>
    </row>
    <row r="1188" spans="1:3" x14ac:dyDescent="0.4">
      <c r="A1188" s="58"/>
      <c r="C1188" s="57"/>
    </row>
    <row r="1189" spans="1:3" x14ac:dyDescent="0.4">
      <c r="A1189" s="58"/>
      <c r="C1189" s="57"/>
    </row>
    <row r="1190" spans="1:3" x14ac:dyDescent="0.4">
      <c r="A1190" s="58"/>
      <c r="C1190" s="57"/>
    </row>
    <row r="1191" spans="1:3" x14ac:dyDescent="0.4">
      <c r="A1191" s="58"/>
      <c r="C1191" s="57"/>
    </row>
    <row r="1192" spans="1:3" x14ac:dyDescent="0.4">
      <c r="A1192" s="58"/>
      <c r="C1192" s="57"/>
    </row>
    <row r="1193" spans="1:3" x14ac:dyDescent="0.4">
      <c r="A1193" s="58"/>
      <c r="C1193" s="57"/>
    </row>
    <row r="1194" spans="1:3" x14ac:dyDescent="0.4">
      <c r="A1194" s="58"/>
      <c r="C1194" s="57"/>
    </row>
    <row r="1195" spans="1:3" x14ac:dyDescent="0.4">
      <c r="A1195" s="58"/>
      <c r="C1195" s="57"/>
    </row>
    <row r="1196" spans="1:3" x14ac:dyDescent="0.4">
      <c r="A1196" s="58"/>
      <c r="C1196" s="57"/>
    </row>
    <row r="1197" spans="1:3" x14ac:dyDescent="0.4">
      <c r="A1197" s="58"/>
      <c r="C1197" s="57"/>
    </row>
    <row r="1198" spans="1:3" x14ac:dyDescent="0.4">
      <c r="A1198" s="58"/>
      <c r="C1198" s="57"/>
    </row>
    <row r="1199" spans="1:3" x14ac:dyDescent="0.4">
      <c r="A1199" s="58"/>
      <c r="C1199" s="57"/>
    </row>
    <row r="1200" spans="1:3" x14ac:dyDescent="0.4">
      <c r="A1200" s="58"/>
      <c r="C1200" s="57"/>
    </row>
    <row r="1201" spans="1:3" x14ac:dyDescent="0.4">
      <c r="A1201" s="58"/>
      <c r="C1201" s="57"/>
    </row>
  </sheetData>
  <sheetProtection formatCells="0"/>
  <autoFilter ref="A1:C1201" xr:uid="{00000000-0009-0000-0000-000000000000}"/>
  <conditionalFormatting sqref="A1153:A1048576">
    <cfRule type="duplicateValues" dxfId="15" priority="3"/>
  </conditionalFormatting>
  <conditionalFormatting sqref="A1:A1152">
    <cfRule type="duplicateValues" dxfId="14" priority="2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2060"/>
  </sheetPr>
  <dimension ref="B1:K400"/>
  <sheetViews>
    <sheetView showGridLines="0" workbookViewId="0">
      <selection activeCell="I4" sqref="I4"/>
    </sheetView>
  </sheetViews>
  <sheetFormatPr baseColWidth="10" defaultColWidth="11" defaultRowHeight="16.8" x14ac:dyDescent="0.4"/>
  <cols>
    <col min="1" max="1" width="5.8984375" style="57" customWidth="1"/>
    <col min="2" max="2" width="11.19921875" style="56" customWidth="1"/>
    <col min="3" max="4" width="8.3984375" style="56" customWidth="1"/>
    <col min="5" max="5" width="10.3984375" style="56" customWidth="1"/>
    <col min="6" max="6" width="6.19921875" style="57" hidden="1" customWidth="1"/>
    <col min="7" max="7" width="6" style="57" hidden="1" customWidth="1"/>
    <col min="8" max="8" width="12.8984375" style="58" customWidth="1"/>
    <col min="9" max="9" width="8.3984375" style="59" customWidth="1"/>
    <col min="10" max="10" width="11" style="57"/>
    <col min="11" max="11" width="0" style="57" hidden="1" customWidth="1"/>
    <col min="12" max="16384" width="11" style="57"/>
  </cols>
  <sheetData>
    <row r="1" spans="2:11" x14ac:dyDescent="0.4">
      <c r="B1" s="55"/>
      <c r="E1" s="55"/>
    </row>
    <row r="2" spans="2:11" ht="24.6" x14ac:dyDescent="0.55000000000000004">
      <c r="B2" s="73" t="s">
        <v>52</v>
      </c>
      <c r="C2" s="73"/>
      <c r="D2" s="73"/>
      <c r="E2" s="73"/>
      <c r="F2" s="73"/>
      <c r="G2" s="73"/>
      <c r="H2" s="73"/>
      <c r="I2" s="73"/>
    </row>
    <row r="3" spans="2:11" s="66" customFormat="1" ht="29.25" customHeight="1" x14ac:dyDescent="0.25">
      <c r="B3" s="60" t="s">
        <v>51</v>
      </c>
      <c r="C3" s="61" t="s">
        <v>48</v>
      </c>
      <c r="D3" s="61" t="s">
        <v>49</v>
      </c>
      <c r="E3" s="62" t="s">
        <v>50</v>
      </c>
      <c r="F3" s="63" t="s">
        <v>46</v>
      </c>
      <c r="G3" s="63" t="s">
        <v>47</v>
      </c>
      <c r="H3" s="64" t="s">
        <v>45</v>
      </c>
      <c r="I3" s="65" t="s">
        <v>27</v>
      </c>
    </row>
    <row r="4" spans="2:11" x14ac:dyDescent="0.4">
      <c r="B4" s="67">
        <v>0.33333333333333331</v>
      </c>
      <c r="C4" s="67">
        <v>0.5</v>
      </c>
      <c r="D4" s="67">
        <v>0.54166666666666663</v>
      </c>
      <c r="E4" s="67">
        <v>0.70833333333333337</v>
      </c>
      <c r="F4" s="68">
        <f t="shared" ref="F4:F10" si="0">IF(B4="","",D4-C4)</f>
        <v>4.166666666666663E-2</v>
      </c>
      <c r="G4" s="68">
        <f t="shared" ref="G4:G10" si="1">IF(B4="","",MOD(E4-B4+24,1))</f>
        <v>0.375</v>
      </c>
      <c r="H4" s="59" t="str">
        <f>IF(B4="","",CONCATENATE(TEXT(Horarios!$B4,"hh:mm"),"-",TEXT(Horarios!$E4,"hh:mm")))</f>
        <v>08:00-17:00</v>
      </c>
      <c r="I4" s="59">
        <f t="shared" ref="I4:I10" si="2">IF(B4="","",G4-F4)</f>
        <v>0.33333333333333337</v>
      </c>
    </row>
    <row r="5" spans="2:11" x14ac:dyDescent="0.4">
      <c r="B5" s="67">
        <v>0.95833333333333337</v>
      </c>
      <c r="C5" s="67">
        <v>0</v>
      </c>
      <c r="D5" s="67">
        <v>8.3333333333333329E-2</v>
      </c>
      <c r="E5" s="67">
        <v>0.25</v>
      </c>
      <c r="F5" s="68">
        <f t="shared" si="0"/>
        <v>8.3333333333333329E-2</v>
      </c>
      <c r="G5" s="68">
        <f t="shared" si="1"/>
        <v>0.29166666666666785</v>
      </c>
      <c r="H5" s="59" t="str">
        <f>IF(B5="","",CONCATENATE(TEXT(Horarios!$B5,"hh:mm"),"-",TEXT(Horarios!$E5,"hh:mm")))</f>
        <v>23:00-06:00</v>
      </c>
      <c r="I5" s="59">
        <f t="shared" si="2"/>
        <v>0.20833333333333454</v>
      </c>
      <c r="K5" s="57">
        <f>COUNTA(B:B)+1</f>
        <v>17</v>
      </c>
    </row>
    <row r="6" spans="2:11" x14ac:dyDescent="0.4">
      <c r="B6" s="67">
        <v>0.375</v>
      </c>
      <c r="C6" s="67"/>
      <c r="D6" s="67"/>
      <c r="E6" s="67">
        <v>0.70833333333333337</v>
      </c>
      <c r="F6" s="68">
        <f t="shared" si="0"/>
        <v>0</v>
      </c>
      <c r="G6" s="68">
        <f t="shared" si="1"/>
        <v>0.33333333333333215</v>
      </c>
      <c r="H6" s="59" t="str">
        <f>IF(B6="","",CONCATENATE(TEXT(Horarios!$B6,"hh:mm"),"-",TEXT(Horarios!$E6,"hh:mm")))</f>
        <v>09:00-17:00</v>
      </c>
      <c r="I6" s="59">
        <f t="shared" si="2"/>
        <v>0.33333333333333215</v>
      </c>
    </row>
    <row r="7" spans="2:11" x14ac:dyDescent="0.4">
      <c r="B7" s="67">
        <v>0.41666666666666669</v>
      </c>
      <c r="C7" s="67"/>
      <c r="D7" s="67"/>
      <c r="E7" s="67">
        <v>0.75</v>
      </c>
      <c r="F7" s="68">
        <f t="shared" si="0"/>
        <v>0</v>
      </c>
      <c r="G7" s="68">
        <f t="shared" si="1"/>
        <v>0.33333333333333215</v>
      </c>
      <c r="H7" s="59" t="str">
        <f>IF(B7="","",CONCATENATE(TEXT(Horarios!$B7,"hh:mm"),"-",TEXT(Horarios!$E7,"hh:mm")))</f>
        <v>10:00-18:00</v>
      </c>
      <c r="I7" s="59">
        <f t="shared" si="2"/>
        <v>0.33333333333333215</v>
      </c>
    </row>
    <row r="8" spans="2:11" x14ac:dyDescent="0.4">
      <c r="B8" s="67">
        <v>0.45833333333333331</v>
      </c>
      <c r="C8" s="67"/>
      <c r="D8" s="67"/>
      <c r="E8" s="67">
        <v>0.79166666666666663</v>
      </c>
      <c r="F8" s="68">
        <f t="shared" si="0"/>
        <v>0</v>
      </c>
      <c r="G8" s="68">
        <f t="shared" si="1"/>
        <v>0.33333333333333215</v>
      </c>
      <c r="H8" s="59" t="str">
        <f>IF(B8="","",CONCATENATE(TEXT(Horarios!$B8,"hh:mm"),"-",TEXT(Horarios!$E8,"hh:mm")))</f>
        <v>11:00-19:00</v>
      </c>
      <c r="I8" s="59">
        <f t="shared" si="2"/>
        <v>0.33333333333333215</v>
      </c>
    </row>
    <row r="9" spans="2:11" x14ac:dyDescent="0.4">
      <c r="B9" s="67">
        <v>0.5</v>
      </c>
      <c r="C9" s="67"/>
      <c r="D9" s="67"/>
      <c r="E9" s="67">
        <v>0.83333333333333337</v>
      </c>
      <c r="F9" s="68">
        <f t="shared" si="0"/>
        <v>0</v>
      </c>
      <c r="G9" s="68">
        <f t="shared" si="1"/>
        <v>0.33333333333333215</v>
      </c>
      <c r="H9" s="59" t="str">
        <f>IF(B9="","",CONCATENATE(TEXT(Horarios!$B9,"hh:mm"),"-",TEXT(Horarios!$E9,"hh:mm")))</f>
        <v>12:00-20:00</v>
      </c>
      <c r="I9" s="59">
        <f t="shared" si="2"/>
        <v>0.33333333333333215</v>
      </c>
    </row>
    <row r="10" spans="2:11" x14ac:dyDescent="0.4">
      <c r="B10" s="67">
        <v>0.29166666666666669</v>
      </c>
      <c r="C10" s="67">
        <v>0.5</v>
      </c>
      <c r="D10" s="67">
        <v>0.54166666666666663</v>
      </c>
      <c r="E10" s="67">
        <v>0.66666666666666663</v>
      </c>
      <c r="F10" s="68">
        <f t="shared" si="0"/>
        <v>4.166666666666663E-2</v>
      </c>
      <c r="G10" s="68">
        <f t="shared" si="1"/>
        <v>0.375</v>
      </c>
      <c r="H10" s="59" t="str">
        <f>IF(B10="","",CONCATENATE(TEXT(Horarios!$B10,"hh:mm"),"-",TEXT(Horarios!$E10,"hh:mm")))</f>
        <v>07:00-16:00</v>
      </c>
      <c r="I10" s="59">
        <f t="shared" si="2"/>
        <v>0.33333333333333337</v>
      </c>
    </row>
    <row r="11" spans="2:11" x14ac:dyDescent="0.4">
      <c r="B11" s="67">
        <v>0.25</v>
      </c>
      <c r="C11" s="67">
        <v>0.5</v>
      </c>
      <c r="D11" s="67">
        <v>0.54166666666666663</v>
      </c>
      <c r="E11" s="67">
        <v>0.625</v>
      </c>
      <c r="F11" s="68">
        <f>IF(B11="","",D11-C11)</f>
        <v>4.166666666666663E-2</v>
      </c>
      <c r="G11" s="68">
        <f>IF(B11="","",MOD(E11-B11+24,1))</f>
        <v>0.375</v>
      </c>
      <c r="H11" s="59" t="str">
        <f>IF(B11="","",CONCATENATE(TEXT(Horarios!$B11,"hh:mm"),"-",TEXT(Horarios!$E11,"hh:mm")))</f>
        <v>06:00-15:00</v>
      </c>
      <c r="I11" s="59">
        <f>IF(B11="","",G11-F11)</f>
        <v>0.33333333333333337</v>
      </c>
    </row>
    <row r="12" spans="2:11" x14ac:dyDescent="0.4">
      <c r="B12" s="67">
        <v>0.91666666666666663</v>
      </c>
      <c r="E12" s="67">
        <v>0.20833333333333334</v>
      </c>
      <c r="F12" s="68">
        <f t="shared" ref="F12:F75" si="3">IF(B12="","",D12-C12)</f>
        <v>0</v>
      </c>
      <c r="G12" s="68">
        <f t="shared" ref="G12:G75" si="4">IF(B12="","",MOD(E12-B12+24,1))</f>
        <v>0.29166666666666785</v>
      </c>
      <c r="H12" s="59" t="str">
        <f>IF(B12="","",CONCATENATE(TEXT(Horarios!$B12,"hh:mm"),"-",TEXT(Horarios!$E12,"hh:mm")))</f>
        <v>22:00-05:00</v>
      </c>
      <c r="I12" s="59">
        <f t="shared" ref="I12:I75" si="5">IF(B12="","",G12-F12)</f>
        <v>0.29166666666666785</v>
      </c>
    </row>
    <row r="13" spans="2:11" x14ac:dyDescent="0.4">
      <c r="B13" s="67">
        <v>0.33333333333333331</v>
      </c>
      <c r="E13" s="67">
        <v>0.5</v>
      </c>
      <c r="F13" s="68">
        <f t="shared" si="3"/>
        <v>0</v>
      </c>
      <c r="G13" s="68">
        <f t="shared" si="4"/>
        <v>0.16666666666666785</v>
      </c>
      <c r="H13" s="59" t="str">
        <f>IF(B13="","",CONCATENATE(TEXT(Horarios!$B13,"hh:mm"),"-",TEXT(Horarios!$E13,"hh:mm")))</f>
        <v>08:00-12:00</v>
      </c>
      <c r="I13" s="59">
        <f t="shared" si="5"/>
        <v>0.16666666666666785</v>
      </c>
    </row>
    <row r="14" spans="2:11" x14ac:dyDescent="0.4">
      <c r="B14" s="67">
        <v>0.83333333333333337</v>
      </c>
      <c r="E14" s="67">
        <v>0.125</v>
      </c>
      <c r="F14" s="68">
        <f t="shared" si="3"/>
        <v>0</v>
      </c>
      <c r="G14" s="68">
        <f t="shared" si="4"/>
        <v>0.29166666666666785</v>
      </c>
      <c r="H14" s="59" t="str">
        <f>IF(B14="","",CONCATENATE(TEXT(Horarios!$B14,"hh:mm"),"-",TEXT(Horarios!$E14,"hh:mm")))</f>
        <v>20:00-03:00</v>
      </c>
      <c r="I14" s="59">
        <f t="shared" si="5"/>
        <v>0.29166666666666785</v>
      </c>
    </row>
    <row r="15" spans="2:11" x14ac:dyDescent="0.4">
      <c r="B15" s="67">
        <v>0.41666666666666669</v>
      </c>
      <c r="E15" s="67">
        <v>0.58333333333333337</v>
      </c>
      <c r="F15" s="68">
        <f t="shared" si="3"/>
        <v>0</v>
      </c>
      <c r="G15" s="68">
        <f t="shared" si="4"/>
        <v>0.16666666666666785</v>
      </c>
      <c r="H15" s="59" t="str">
        <f>IF(B15="","",CONCATENATE(TEXT(Horarios!$B15,"hh:mm"),"-",TEXT(Horarios!$E15,"hh:mm")))</f>
        <v>10:00-14:00</v>
      </c>
      <c r="I15" s="59">
        <f t="shared" si="5"/>
        <v>0.16666666666666785</v>
      </c>
    </row>
    <row r="16" spans="2:11" x14ac:dyDescent="0.4">
      <c r="B16" s="67">
        <v>0.75</v>
      </c>
      <c r="E16" s="67">
        <v>0.91666666666666663</v>
      </c>
      <c r="F16" s="68">
        <f t="shared" si="3"/>
        <v>0</v>
      </c>
      <c r="G16" s="68">
        <f t="shared" si="4"/>
        <v>0.16666666666666785</v>
      </c>
      <c r="H16" s="59" t="str">
        <f>IF(B16="","",CONCATENATE(TEXT(Horarios!$B16,"hh:mm"),"-",TEXT(Horarios!$E16,"hh:mm")))</f>
        <v>18:00-22:00</v>
      </c>
      <c r="I16" s="59">
        <f t="shared" si="5"/>
        <v>0.16666666666666785</v>
      </c>
    </row>
    <row r="17" spans="2:9" x14ac:dyDescent="0.4">
      <c r="B17" s="67">
        <v>0.79166666666666663</v>
      </c>
      <c r="E17" s="67">
        <v>0.95833333333333337</v>
      </c>
      <c r="F17" s="68">
        <f t="shared" si="3"/>
        <v>0</v>
      </c>
      <c r="G17" s="68">
        <f t="shared" si="4"/>
        <v>0.16666666666666785</v>
      </c>
      <c r="H17" s="59" t="str">
        <f>IF(B17="","",CONCATENATE(TEXT(Horarios!$B17,"hh:mm"),"-",TEXT(Horarios!$E17,"hh:mm")))</f>
        <v>19:00-23:00</v>
      </c>
      <c r="I17" s="59">
        <f t="shared" si="5"/>
        <v>0.16666666666666785</v>
      </c>
    </row>
    <row r="18" spans="2:9" x14ac:dyDescent="0.4">
      <c r="F18" s="68" t="str">
        <f t="shared" si="3"/>
        <v/>
      </c>
      <c r="G18" s="68" t="str">
        <f t="shared" si="4"/>
        <v/>
      </c>
      <c r="H18" s="59" t="str">
        <f>IF(B18="","",CONCATENATE(TEXT(Horarios!$B18,"hh:mm"),"-",TEXT(Horarios!$E18,"hh:mm")))</f>
        <v/>
      </c>
      <c r="I18" s="59" t="str">
        <f t="shared" si="5"/>
        <v/>
      </c>
    </row>
    <row r="19" spans="2:9" x14ac:dyDescent="0.4">
      <c r="F19" s="68" t="str">
        <f t="shared" si="3"/>
        <v/>
      </c>
      <c r="G19" s="68" t="str">
        <f t="shared" si="4"/>
        <v/>
      </c>
      <c r="H19" s="59" t="str">
        <f>IF(B19="","",CONCATENATE(TEXT(Horarios!$B19,"hh:mm"),"-",TEXT(Horarios!$E19,"hh:mm")))</f>
        <v/>
      </c>
      <c r="I19" s="59" t="str">
        <f t="shared" si="5"/>
        <v/>
      </c>
    </row>
    <row r="20" spans="2:9" x14ac:dyDescent="0.4">
      <c r="F20" s="68" t="str">
        <f t="shared" si="3"/>
        <v/>
      </c>
      <c r="G20" s="68" t="str">
        <f t="shared" si="4"/>
        <v/>
      </c>
      <c r="H20" s="59" t="str">
        <f>IF(B20="","",CONCATENATE(TEXT(Horarios!$B20,"hh:mm"),"-",TEXT(Horarios!$E20,"hh:mm")))</f>
        <v/>
      </c>
      <c r="I20" s="59" t="str">
        <f t="shared" si="5"/>
        <v/>
      </c>
    </row>
    <row r="21" spans="2:9" x14ac:dyDescent="0.4">
      <c r="F21" s="68" t="str">
        <f t="shared" si="3"/>
        <v/>
      </c>
      <c r="G21" s="68" t="str">
        <f t="shared" si="4"/>
        <v/>
      </c>
      <c r="H21" s="59" t="str">
        <f>IF(B21="","",CONCATENATE(TEXT(Horarios!$B21,"hh:mm"),"-",TEXT(Horarios!$E21,"hh:mm")))</f>
        <v/>
      </c>
      <c r="I21" s="59" t="str">
        <f t="shared" si="5"/>
        <v/>
      </c>
    </row>
    <row r="22" spans="2:9" x14ac:dyDescent="0.4">
      <c r="F22" s="68" t="str">
        <f t="shared" si="3"/>
        <v/>
      </c>
      <c r="G22" s="68" t="str">
        <f t="shared" si="4"/>
        <v/>
      </c>
      <c r="H22" s="59" t="str">
        <f>IF(B22="","",CONCATENATE(TEXT(Horarios!$B22,"hh:mm"),"-",TEXT(Horarios!$E22,"hh:mm")))</f>
        <v/>
      </c>
      <c r="I22" s="59" t="str">
        <f t="shared" si="5"/>
        <v/>
      </c>
    </row>
    <row r="23" spans="2:9" x14ac:dyDescent="0.4">
      <c r="F23" s="68" t="str">
        <f t="shared" si="3"/>
        <v/>
      </c>
      <c r="G23" s="68" t="str">
        <f t="shared" si="4"/>
        <v/>
      </c>
      <c r="H23" s="59" t="str">
        <f>IF(B23="","",CONCATENATE(TEXT(Horarios!$B23,"hh:mm"),"-",TEXT(Horarios!$E23,"hh:mm")))</f>
        <v/>
      </c>
      <c r="I23" s="59" t="str">
        <f t="shared" si="5"/>
        <v/>
      </c>
    </row>
    <row r="24" spans="2:9" x14ac:dyDescent="0.4">
      <c r="F24" s="68" t="str">
        <f t="shared" si="3"/>
        <v/>
      </c>
      <c r="G24" s="68" t="str">
        <f t="shared" si="4"/>
        <v/>
      </c>
      <c r="H24" s="59" t="str">
        <f>IF(B24="","",CONCATENATE(TEXT(Horarios!$B24,"hh:mm"),"-",TEXT(Horarios!$E24,"hh:mm")))</f>
        <v/>
      </c>
      <c r="I24" s="59" t="str">
        <f t="shared" si="5"/>
        <v/>
      </c>
    </row>
    <row r="25" spans="2:9" x14ac:dyDescent="0.4">
      <c r="F25" s="68" t="str">
        <f t="shared" si="3"/>
        <v/>
      </c>
      <c r="G25" s="68" t="str">
        <f t="shared" si="4"/>
        <v/>
      </c>
      <c r="H25" s="59" t="str">
        <f>IF(B25="","",CONCATENATE(TEXT(Horarios!$B25,"hh:mm"),"-",TEXT(Horarios!$E25,"hh:mm")))</f>
        <v/>
      </c>
      <c r="I25" s="59" t="str">
        <f t="shared" si="5"/>
        <v/>
      </c>
    </row>
    <row r="26" spans="2:9" x14ac:dyDescent="0.4">
      <c r="F26" s="68" t="str">
        <f t="shared" si="3"/>
        <v/>
      </c>
      <c r="G26" s="68" t="str">
        <f t="shared" si="4"/>
        <v/>
      </c>
      <c r="H26" s="59" t="str">
        <f>IF(B26="","",CONCATENATE(TEXT(Horarios!$B26,"hh:mm"),"-",TEXT(Horarios!$E26,"hh:mm")))</f>
        <v/>
      </c>
      <c r="I26" s="59" t="str">
        <f t="shared" si="5"/>
        <v/>
      </c>
    </row>
    <row r="27" spans="2:9" x14ac:dyDescent="0.4">
      <c r="F27" s="68" t="str">
        <f t="shared" si="3"/>
        <v/>
      </c>
      <c r="G27" s="68" t="str">
        <f t="shared" si="4"/>
        <v/>
      </c>
      <c r="H27" s="59" t="str">
        <f>IF(B27="","",CONCATENATE(TEXT(Horarios!$B27,"hh:mm"),"-",TEXT(Horarios!$E27,"hh:mm")))</f>
        <v/>
      </c>
      <c r="I27" s="59" t="str">
        <f t="shared" si="5"/>
        <v/>
      </c>
    </row>
    <row r="28" spans="2:9" x14ac:dyDescent="0.4">
      <c r="F28" s="68" t="str">
        <f t="shared" si="3"/>
        <v/>
      </c>
      <c r="G28" s="68" t="str">
        <f t="shared" si="4"/>
        <v/>
      </c>
      <c r="H28" s="59" t="str">
        <f>IF(B28="","",CONCATENATE(TEXT(Horarios!$B28,"hh:mm"),"-",TEXT(Horarios!$E28,"hh:mm")))</f>
        <v/>
      </c>
      <c r="I28" s="59" t="str">
        <f t="shared" si="5"/>
        <v/>
      </c>
    </row>
    <row r="29" spans="2:9" x14ac:dyDescent="0.4">
      <c r="F29" s="68" t="str">
        <f t="shared" si="3"/>
        <v/>
      </c>
      <c r="G29" s="68" t="str">
        <f t="shared" si="4"/>
        <v/>
      </c>
      <c r="H29" s="59" t="str">
        <f>IF(B29="","",CONCATENATE(TEXT(Horarios!$B29,"hh:mm"),"-",TEXT(Horarios!$E29,"hh:mm")))</f>
        <v/>
      </c>
      <c r="I29" s="59" t="str">
        <f t="shared" si="5"/>
        <v/>
      </c>
    </row>
    <row r="30" spans="2:9" x14ac:dyDescent="0.4">
      <c r="F30" s="68" t="str">
        <f t="shared" si="3"/>
        <v/>
      </c>
      <c r="G30" s="68" t="str">
        <f t="shared" si="4"/>
        <v/>
      </c>
      <c r="H30" s="59" t="str">
        <f>IF(B30="","",CONCATENATE(TEXT(Horarios!$B30,"hh:mm"),"-",TEXT(Horarios!$E30,"hh:mm")))</f>
        <v/>
      </c>
      <c r="I30" s="59" t="str">
        <f t="shared" si="5"/>
        <v/>
      </c>
    </row>
    <row r="31" spans="2:9" x14ac:dyDescent="0.4">
      <c r="F31" s="68" t="str">
        <f t="shared" si="3"/>
        <v/>
      </c>
      <c r="G31" s="68" t="str">
        <f t="shared" si="4"/>
        <v/>
      </c>
      <c r="H31" s="59" t="str">
        <f>IF(B31="","",CONCATENATE(TEXT(Horarios!$B31,"hh:mm"),"-",TEXT(Horarios!$E31,"hh:mm")))</f>
        <v/>
      </c>
      <c r="I31" s="59" t="str">
        <f t="shared" si="5"/>
        <v/>
      </c>
    </row>
    <row r="32" spans="2:9" x14ac:dyDescent="0.4">
      <c r="F32" s="68" t="str">
        <f t="shared" si="3"/>
        <v/>
      </c>
      <c r="G32" s="68" t="str">
        <f t="shared" si="4"/>
        <v/>
      </c>
      <c r="H32" s="59" t="str">
        <f>IF(B32="","",CONCATENATE(TEXT(Horarios!$B32,"hh:mm"),"-",TEXT(Horarios!$E32,"hh:mm")))</f>
        <v/>
      </c>
      <c r="I32" s="59" t="str">
        <f t="shared" si="5"/>
        <v/>
      </c>
    </row>
    <row r="33" spans="6:9" x14ac:dyDescent="0.4">
      <c r="F33" s="68" t="str">
        <f t="shared" si="3"/>
        <v/>
      </c>
      <c r="G33" s="68" t="str">
        <f t="shared" si="4"/>
        <v/>
      </c>
      <c r="H33" s="59" t="str">
        <f>IF(B33="","",CONCATENATE(TEXT(Horarios!$B33,"hh:mm"),"-",TEXT(Horarios!$E33,"hh:mm")))</f>
        <v/>
      </c>
      <c r="I33" s="59" t="str">
        <f t="shared" si="5"/>
        <v/>
      </c>
    </row>
    <row r="34" spans="6:9" x14ac:dyDescent="0.4">
      <c r="F34" s="68" t="str">
        <f t="shared" si="3"/>
        <v/>
      </c>
      <c r="G34" s="68" t="str">
        <f t="shared" si="4"/>
        <v/>
      </c>
      <c r="H34" s="59" t="str">
        <f>IF(B34="","",CONCATENATE(TEXT(Horarios!$B34,"hh:mm"),"-",TEXT(Horarios!$E34,"hh:mm")))</f>
        <v/>
      </c>
      <c r="I34" s="59" t="str">
        <f t="shared" si="5"/>
        <v/>
      </c>
    </row>
    <row r="35" spans="6:9" x14ac:dyDescent="0.4">
      <c r="F35" s="68" t="str">
        <f t="shared" si="3"/>
        <v/>
      </c>
      <c r="G35" s="68" t="str">
        <f t="shared" si="4"/>
        <v/>
      </c>
      <c r="H35" s="59" t="str">
        <f>IF(B35="","",CONCATENATE(TEXT(Horarios!$B35,"hh:mm"),"-",TEXT(Horarios!$E35,"hh:mm")))</f>
        <v/>
      </c>
      <c r="I35" s="59" t="str">
        <f t="shared" si="5"/>
        <v/>
      </c>
    </row>
    <row r="36" spans="6:9" x14ac:dyDescent="0.4">
      <c r="F36" s="68" t="str">
        <f t="shared" si="3"/>
        <v/>
      </c>
      <c r="G36" s="68" t="str">
        <f t="shared" si="4"/>
        <v/>
      </c>
      <c r="H36" s="59" t="str">
        <f>IF(B36="","",CONCATENATE(TEXT(Horarios!$B36,"hh:mm"),"-",TEXT(Horarios!$E36,"hh:mm")))</f>
        <v/>
      </c>
      <c r="I36" s="59" t="str">
        <f t="shared" si="5"/>
        <v/>
      </c>
    </row>
    <row r="37" spans="6:9" x14ac:dyDescent="0.4">
      <c r="F37" s="68" t="str">
        <f t="shared" si="3"/>
        <v/>
      </c>
      <c r="G37" s="68" t="str">
        <f t="shared" si="4"/>
        <v/>
      </c>
      <c r="H37" s="59" t="str">
        <f>IF(B37="","",CONCATENATE(TEXT(Horarios!$B37,"hh:mm"),"-",TEXT(Horarios!$E37,"hh:mm")))</f>
        <v/>
      </c>
      <c r="I37" s="59" t="str">
        <f t="shared" si="5"/>
        <v/>
      </c>
    </row>
    <row r="38" spans="6:9" x14ac:dyDescent="0.4">
      <c r="F38" s="68" t="str">
        <f t="shared" si="3"/>
        <v/>
      </c>
      <c r="G38" s="68" t="str">
        <f t="shared" si="4"/>
        <v/>
      </c>
      <c r="H38" s="59" t="str">
        <f>IF(B38="","",CONCATENATE(TEXT(Horarios!$B38,"hh:mm"),"-",TEXT(Horarios!$E38,"hh:mm")))</f>
        <v/>
      </c>
      <c r="I38" s="59" t="str">
        <f t="shared" si="5"/>
        <v/>
      </c>
    </row>
    <row r="39" spans="6:9" x14ac:dyDescent="0.4">
      <c r="F39" s="68" t="str">
        <f t="shared" si="3"/>
        <v/>
      </c>
      <c r="G39" s="68" t="str">
        <f t="shared" si="4"/>
        <v/>
      </c>
      <c r="H39" s="59" t="str">
        <f>IF(B39="","",CONCATENATE(TEXT(Horarios!$B39,"hh:mm"),"-",TEXT(Horarios!$E39,"hh:mm")))</f>
        <v/>
      </c>
      <c r="I39" s="59" t="str">
        <f t="shared" si="5"/>
        <v/>
      </c>
    </row>
    <row r="40" spans="6:9" x14ac:dyDescent="0.4">
      <c r="F40" s="68" t="str">
        <f t="shared" si="3"/>
        <v/>
      </c>
      <c r="G40" s="68" t="str">
        <f t="shared" si="4"/>
        <v/>
      </c>
      <c r="H40" s="59" t="str">
        <f>IF(B40="","",CONCATENATE(TEXT(Horarios!$B40,"hh:mm"),"-",TEXT(Horarios!$E40,"hh:mm")))</f>
        <v/>
      </c>
      <c r="I40" s="59" t="str">
        <f t="shared" si="5"/>
        <v/>
      </c>
    </row>
    <row r="41" spans="6:9" x14ac:dyDescent="0.4">
      <c r="F41" s="68" t="str">
        <f t="shared" si="3"/>
        <v/>
      </c>
      <c r="G41" s="68" t="str">
        <f t="shared" si="4"/>
        <v/>
      </c>
      <c r="H41" s="59" t="str">
        <f>IF(B41="","",CONCATENATE(TEXT(Horarios!$B41,"hh:mm"),"-",TEXT(Horarios!$E41,"hh:mm")))</f>
        <v/>
      </c>
      <c r="I41" s="59" t="str">
        <f t="shared" si="5"/>
        <v/>
      </c>
    </row>
    <row r="42" spans="6:9" x14ac:dyDescent="0.4">
      <c r="F42" s="68" t="str">
        <f t="shared" si="3"/>
        <v/>
      </c>
      <c r="G42" s="68" t="str">
        <f t="shared" si="4"/>
        <v/>
      </c>
      <c r="H42" s="59" t="str">
        <f>IF(B42="","",CONCATENATE(TEXT(Horarios!$B42,"hh:mm"),"-",TEXT(Horarios!$E42,"hh:mm")))</f>
        <v/>
      </c>
      <c r="I42" s="59" t="str">
        <f t="shared" si="5"/>
        <v/>
      </c>
    </row>
    <row r="43" spans="6:9" x14ac:dyDescent="0.4">
      <c r="F43" s="68" t="str">
        <f t="shared" si="3"/>
        <v/>
      </c>
      <c r="G43" s="68" t="str">
        <f t="shared" si="4"/>
        <v/>
      </c>
      <c r="H43" s="59" t="str">
        <f>IF(B43="","",CONCATENATE(TEXT(Horarios!$B43,"hh:mm"),"-",TEXT(Horarios!$E43,"hh:mm")))</f>
        <v/>
      </c>
      <c r="I43" s="59" t="str">
        <f t="shared" si="5"/>
        <v/>
      </c>
    </row>
    <row r="44" spans="6:9" x14ac:dyDescent="0.4">
      <c r="F44" s="68" t="str">
        <f t="shared" si="3"/>
        <v/>
      </c>
      <c r="G44" s="68" t="str">
        <f t="shared" si="4"/>
        <v/>
      </c>
      <c r="H44" s="59" t="str">
        <f>IF(B44="","",CONCATENATE(TEXT(Horarios!$B44,"hh:mm"),"-",TEXT(Horarios!$E44,"hh:mm")))</f>
        <v/>
      </c>
      <c r="I44" s="59" t="str">
        <f t="shared" si="5"/>
        <v/>
      </c>
    </row>
    <row r="45" spans="6:9" x14ac:dyDescent="0.4">
      <c r="F45" s="68" t="str">
        <f t="shared" si="3"/>
        <v/>
      </c>
      <c r="G45" s="68" t="str">
        <f t="shared" si="4"/>
        <v/>
      </c>
      <c r="H45" s="59" t="str">
        <f>IF(B45="","",CONCATENATE(TEXT(Horarios!$B45,"hh:mm"),"-",TEXT(Horarios!$E45,"hh:mm")))</f>
        <v/>
      </c>
      <c r="I45" s="59" t="str">
        <f t="shared" si="5"/>
        <v/>
      </c>
    </row>
    <row r="46" spans="6:9" x14ac:dyDescent="0.4">
      <c r="F46" s="68" t="str">
        <f t="shared" si="3"/>
        <v/>
      </c>
      <c r="G46" s="68" t="str">
        <f t="shared" si="4"/>
        <v/>
      </c>
      <c r="H46" s="59" t="str">
        <f>IF(B46="","",CONCATENATE(TEXT(Horarios!$B46,"hh:mm"),"-",TEXT(Horarios!$E46,"hh:mm")))</f>
        <v/>
      </c>
      <c r="I46" s="59" t="str">
        <f t="shared" si="5"/>
        <v/>
      </c>
    </row>
    <row r="47" spans="6:9" x14ac:dyDescent="0.4">
      <c r="F47" s="68" t="str">
        <f t="shared" si="3"/>
        <v/>
      </c>
      <c r="G47" s="68" t="str">
        <f t="shared" si="4"/>
        <v/>
      </c>
      <c r="H47" s="59" t="str">
        <f>IF(B47="","",CONCATENATE(TEXT(Horarios!$B47,"hh:mm"),"-",TEXT(Horarios!$E47,"hh:mm")))</f>
        <v/>
      </c>
      <c r="I47" s="59" t="str">
        <f t="shared" si="5"/>
        <v/>
      </c>
    </row>
    <row r="48" spans="6:9" x14ac:dyDescent="0.4">
      <c r="F48" s="68" t="str">
        <f t="shared" si="3"/>
        <v/>
      </c>
      <c r="G48" s="68" t="str">
        <f t="shared" si="4"/>
        <v/>
      </c>
      <c r="H48" s="59" t="str">
        <f>IF(B48="","",CONCATENATE(TEXT(Horarios!$B48,"hh:mm"),"-",TEXT(Horarios!$E48,"hh:mm")))</f>
        <v/>
      </c>
      <c r="I48" s="59" t="str">
        <f t="shared" si="5"/>
        <v/>
      </c>
    </row>
    <row r="49" spans="6:9" x14ac:dyDescent="0.4">
      <c r="F49" s="68" t="str">
        <f t="shared" si="3"/>
        <v/>
      </c>
      <c r="G49" s="68" t="str">
        <f t="shared" si="4"/>
        <v/>
      </c>
      <c r="H49" s="59" t="str">
        <f>IF(B49="","",CONCATENATE(TEXT(Horarios!$B49,"hh:mm"),"-",TEXT(Horarios!$E49,"hh:mm")))</f>
        <v/>
      </c>
      <c r="I49" s="59" t="str">
        <f t="shared" si="5"/>
        <v/>
      </c>
    </row>
    <row r="50" spans="6:9" x14ac:dyDescent="0.4">
      <c r="F50" s="68" t="str">
        <f t="shared" si="3"/>
        <v/>
      </c>
      <c r="G50" s="68" t="str">
        <f t="shared" si="4"/>
        <v/>
      </c>
      <c r="H50" s="59" t="str">
        <f>IF(B50="","",CONCATENATE(TEXT(Horarios!$B50,"hh:mm"),"-",TEXT(Horarios!$E50,"hh:mm")))</f>
        <v/>
      </c>
      <c r="I50" s="59" t="str">
        <f t="shared" si="5"/>
        <v/>
      </c>
    </row>
    <row r="51" spans="6:9" x14ac:dyDescent="0.4">
      <c r="F51" s="68" t="str">
        <f t="shared" si="3"/>
        <v/>
      </c>
      <c r="G51" s="68" t="str">
        <f t="shared" si="4"/>
        <v/>
      </c>
      <c r="H51" s="59" t="str">
        <f>IF(B51="","",CONCATENATE(TEXT(Horarios!$B51,"hh:mm"),"-",TEXT(Horarios!$E51,"hh:mm")))</f>
        <v/>
      </c>
      <c r="I51" s="59" t="str">
        <f t="shared" si="5"/>
        <v/>
      </c>
    </row>
    <row r="52" spans="6:9" x14ac:dyDescent="0.4">
      <c r="F52" s="68" t="str">
        <f t="shared" si="3"/>
        <v/>
      </c>
      <c r="G52" s="68" t="str">
        <f t="shared" si="4"/>
        <v/>
      </c>
      <c r="H52" s="59" t="str">
        <f>IF(B52="","",CONCATENATE(TEXT(Horarios!$B52,"hh:mm"),"-",TEXT(Horarios!$E52,"hh:mm")))</f>
        <v/>
      </c>
      <c r="I52" s="59" t="str">
        <f t="shared" si="5"/>
        <v/>
      </c>
    </row>
    <row r="53" spans="6:9" x14ac:dyDescent="0.4">
      <c r="F53" s="68" t="str">
        <f t="shared" si="3"/>
        <v/>
      </c>
      <c r="G53" s="68" t="str">
        <f t="shared" si="4"/>
        <v/>
      </c>
      <c r="H53" s="59" t="str">
        <f>IF(B53="","",CONCATENATE(TEXT(Horarios!$B53,"hh:mm"),"-",TEXT(Horarios!$E53,"hh:mm")))</f>
        <v/>
      </c>
      <c r="I53" s="59" t="str">
        <f t="shared" si="5"/>
        <v/>
      </c>
    </row>
    <row r="54" spans="6:9" x14ac:dyDescent="0.4">
      <c r="F54" s="68" t="str">
        <f t="shared" si="3"/>
        <v/>
      </c>
      <c r="G54" s="68" t="str">
        <f t="shared" si="4"/>
        <v/>
      </c>
      <c r="H54" s="59" t="str">
        <f>IF(B54="","",CONCATENATE(TEXT(Horarios!$B54,"hh:mm"),"-",TEXT(Horarios!$E54,"hh:mm")))</f>
        <v/>
      </c>
      <c r="I54" s="59" t="str">
        <f t="shared" si="5"/>
        <v/>
      </c>
    </row>
    <row r="55" spans="6:9" x14ac:dyDescent="0.4">
      <c r="F55" s="68" t="str">
        <f t="shared" si="3"/>
        <v/>
      </c>
      <c r="G55" s="68" t="str">
        <f t="shared" si="4"/>
        <v/>
      </c>
      <c r="H55" s="59" t="str">
        <f>IF(B55="","",CONCATENATE(TEXT(Horarios!$B55,"hh:mm"),"-",TEXT(Horarios!$E55,"hh:mm")))</f>
        <v/>
      </c>
      <c r="I55" s="59" t="str">
        <f t="shared" si="5"/>
        <v/>
      </c>
    </row>
    <row r="56" spans="6:9" x14ac:dyDescent="0.4">
      <c r="F56" s="68" t="str">
        <f t="shared" si="3"/>
        <v/>
      </c>
      <c r="G56" s="68" t="str">
        <f t="shared" si="4"/>
        <v/>
      </c>
      <c r="H56" s="59" t="str">
        <f>IF(B56="","",CONCATENATE(TEXT(Horarios!$B56,"hh:mm"),"-",TEXT(Horarios!$E56,"hh:mm")))</f>
        <v/>
      </c>
      <c r="I56" s="59" t="str">
        <f t="shared" si="5"/>
        <v/>
      </c>
    </row>
    <row r="57" spans="6:9" x14ac:dyDescent="0.4">
      <c r="F57" s="68" t="str">
        <f t="shared" si="3"/>
        <v/>
      </c>
      <c r="G57" s="68" t="str">
        <f t="shared" si="4"/>
        <v/>
      </c>
      <c r="H57" s="59" t="str">
        <f>IF(B57="","",CONCATENATE(TEXT(Horarios!$B57,"hh:mm"),"-",TEXT(Horarios!$E57,"hh:mm")))</f>
        <v/>
      </c>
      <c r="I57" s="59" t="str">
        <f t="shared" si="5"/>
        <v/>
      </c>
    </row>
    <row r="58" spans="6:9" x14ac:dyDescent="0.4">
      <c r="F58" s="68" t="str">
        <f t="shared" si="3"/>
        <v/>
      </c>
      <c r="G58" s="68" t="str">
        <f t="shared" si="4"/>
        <v/>
      </c>
      <c r="H58" s="59" t="str">
        <f>IF(B58="","",CONCATENATE(TEXT(Horarios!$B58,"hh:mm"),"-",TEXT(Horarios!$E58,"hh:mm")))</f>
        <v/>
      </c>
      <c r="I58" s="59" t="str">
        <f t="shared" si="5"/>
        <v/>
      </c>
    </row>
    <row r="59" spans="6:9" x14ac:dyDescent="0.4">
      <c r="F59" s="68" t="str">
        <f t="shared" si="3"/>
        <v/>
      </c>
      <c r="G59" s="68" t="str">
        <f t="shared" si="4"/>
        <v/>
      </c>
      <c r="H59" s="59" t="str">
        <f>IF(B59="","",CONCATENATE(TEXT(Horarios!$B59,"hh:mm"),"-",TEXT(Horarios!$E59,"hh:mm")))</f>
        <v/>
      </c>
      <c r="I59" s="59" t="str">
        <f t="shared" si="5"/>
        <v/>
      </c>
    </row>
    <row r="60" spans="6:9" x14ac:dyDescent="0.4">
      <c r="F60" s="68" t="str">
        <f t="shared" si="3"/>
        <v/>
      </c>
      <c r="G60" s="68" t="str">
        <f t="shared" si="4"/>
        <v/>
      </c>
      <c r="H60" s="59" t="str">
        <f>IF(B60="","",CONCATENATE(TEXT(Horarios!$B60,"hh:mm"),"-",TEXT(Horarios!$E60,"hh:mm")))</f>
        <v/>
      </c>
      <c r="I60" s="59" t="str">
        <f t="shared" si="5"/>
        <v/>
      </c>
    </row>
    <row r="61" spans="6:9" x14ac:dyDescent="0.4">
      <c r="F61" s="68" t="str">
        <f t="shared" si="3"/>
        <v/>
      </c>
      <c r="G61" s="68" t="str">
        <f t="shared" si="4"/>
        <v/>
      </c>
      <c r="H61" s="59" t="str">
        <f>IF(B61="","",CONCATENATE(TEXT(Horarios!$B61,"hh:mm"),"-",TEXT(Horarios!$E61,"hh:mm")))</f>
        <v/>
      </c>
      <c r="I61" s="59" t="str">
        <f t="shared" si="5"/>
        <v/>
      </c>
    </row>
    <row r="62" spans="6:9" x14ac:dyDescent="0.4">
      <c r="F62" s="68" t="str">
        <f t="shared" si="3"/>
        <v/>
      </c>
      <c r="G62" s="68" t="str">
        <f t="shared" si="4"/>
        <v/>
      </c>
      <c r="H62" s="59" t="str">
        <f>IF(B62="","",CONCATENATE(TEXT(Horarios!$B62,"hh:mm"),"-",TEXT(Horarios!$E62,"hh:mm")))</f>
        <v/>
      </c>
      <c r="I62" s="59" t="str">
        <f t="shared" si="5"/>
        <v/>
      </c>
    </row>
    <row r="63" spans="6:9" x14ac:dyDescent="0.4">
      <c r="F63" s="68" t="str">
        <f t="shared" si="3"/>
        <v/>
      </c>
      <c r="G63" s="68" t="str">
        <f t="shared" si="4"/>
        <v/>
      </c>
      <c r="H63" s="59" t="str">
        <f>IF(B63="","",CONCATENATE(TEXT(Horarios!$B63,"hh:mm"),"-",TEXT(Horarios!$E63,"hh:mm")))</f>
        <v/>
      </c>
      <c r="I63" s="59" t="str">
        <f t="shared" si="5"/>
        <v/>
      </c>
    </row>
    <row r="64" spans="6:9" x14ac:dyDescent="0.4">
      <c r="F64" s="68" t="str">
        <f t="shared" si="3"/>
        <v/>
      </c>
      <c r="G64" s="68" t="str">
        <f t="shared" si="4"/>
        <v/>
      </c>
      <c r="H64" s="59" t="str">
        <f>IF(B64="","",CONCATENATE(TEXT(Horarios!$B64,"hh:mm"),"-",TEXT(Horarios!$E64,"hh:mm")))</f>
        <v/>
      </c>
      <c r="I64" s="59" t="str">
        <f t="shared" si="5"/>
        <v/>
      </c>
    </row>
    <row r="65" spans="6:9" x14ac:dyDescent="0.4">
      <c r="F65" s="68" t="str">
        <f t="shared" si="3"/>
        <v/>
      </c>
      <c r="G65" s="68" t="str">
        <f t="shared" si="4"/>
        <v/>
      </c>
      <c r="H65" s="59" t="str">
        <f>IF(B65="","",CONCATENATE(TEXT(Horarios!$B65,"hh:mm"),"-",TEXT(Horarios!$E65,"hh:mm")))</f>
        <v/>
      </c>
      <c r="I65" s="59" t="str">
        <f t="shared" si="5"/>
        <v/>
      </c>
    </row>
    <row r="66" spans="6:9" x14ac:dyDescent="0.4">
      <c r="F66" s="68" t="str">
        <f t="shared" si="3"/>
        <v/>
      </c>
      <c r="G66" s="68" t="str">
        <f t="shared" si="4"/>
        <v/>
      </c>
      <c r="H66" s="59" t="str">
        <f>IF(B66="","",CONCATENATE(TEXT(Horarios!$B66,"hh:mm"),"-",TEXT(Horarios!$E66,"hh:mm")))</f>
        <v/>
      </c>
      <c r="I66" s="59" t="str">
        <f t="shared" si="5"/>
        <v/>
      </c>
    </row>
    <row r="67" spans="6:9" x14ac:dyDescent="0.4">
      <c r="F67" s="68" t="str">
        <f t="shared" si="3"/>
        <v/>
      </c>
      <c r="G67" s="68" t="str">
        <f t="shared" si="4"/>
        <v/>
      </c>
      <c r="H67" s="59" t="str">
        <f>IF(B67="","",CONCATENATE(TEXT(Horarios!$B67,"hh:mm"),"-",TEXT(Horarios!$E67,"hh:mm")))</f>
        <v/>
      </c>
      <c r="I67" s="59" t="str">
        <f t="shared" si="5"/>
        <v/>
      </c>
    </row>
    <row r="68" spans="6:9" x14ac:dyDescent="0.4">
      <c r="F68" s="68" t="str">
        <f t="shared" si="3"/>
        <v/>
      </c>
      <c r="G68" s="68" t="str">
        <f t="shared" si="4"/>
        <v/>
      </c>
      <c r="H68" s="59" t="str">
        <f>IF(B68="","",CONCATENATE(TEXT(Horarios!$B68,"hh:mm"),"-",TEXT(Horarios!$E68,"hh:mm")))</f>
        <v/>
      </c>
      <c r="I68" s="59" t="str">
        <f t="shared" si="5"/>
        <v/>
      </c>
    </row>
    <row r="69" spans="6:9" x14ac:dyDescent="0.4">
      <c r="F69" s="68" t="str">
        <f t="shared" si="3"/>
        <v/>
      </c>
      <c r="G69" s="68" t="str">
        <f t="shared" si="4"/>
        <v/>
      </c>
      <c r="H69" s="59" t="str">
        <f>IF(B69="","",CONCATENATE(TEXT(Horarios!$B69,"hh:mm"),"-",TEXT(Horarios!$E69,"hh:mm")))</f>
        <v/>
      </c>
      <c r="I69" s="59" t="str">
        <f t="shared" si="5"/>
        <v/>
      </c>
    </row>
    <row r="70" spans="6:9" x14ac:dyDescent="0.4">
      <c r="F70" s="68" t="str">
        <f t="shared" si="3"/>
        <v/>
      </c>
      <c r="G70" s="68" t="str">
        <f t="shared" si="4"/>
        <v/>
      </c>
      <c r="H70" s="59" t="str">
        <f>IF(B70="","",CONCATENATE(TEXT(Horarios!$B70,"hh:mm"),"-",TEXT(Horarios!$E70,"hh:mm")))</f>
        <v/>
      </c>
      <c r="I70" s="59" t="str">
        <f t="shared" si="5"/>
        <v/>
      </c>
    </row>
    <row r="71" spans="6:9" x14ac:dyDescent="0.4">
      <c r="F71" s="68" t="str">
        <f t="shared" si="3"/>
        <v/>
      </c>
      <c r="G71" s="68" t="str">
        <f t="shared" si="4"/>
        <v/>
      </c>
      <c r="H71" s="59" t="str">
        <f>IF(B71="","",CONCATENATE(TEXT(Horarios!$B71,"hh:mm"),"-",TEXT(Horarios!$E71,"hh:mm")))</f>
        <v/>
      </c>
      <c r="I71" s="59" t="str">
        <f t="shared" si="5"/>
        <v/>
      </c>
    </row>
    <row r="72" spans="6:9" x14ac:dyDescent="0.4">
      <c r="F72" s="68" t="str">
        <f t="shared" si="3"/>
        <v/>
      </c>
      <c r="G72" s="68" t="str">
        <f t="shared" si="4"/>
        <v/>
      </c>
      <c r="H72" s="59" t="str">
        <f>IF(B72="","",CONCATENATE(TEXT(Horarios!$B72,"hh:mm"),"-",TEXT(Horarios!$E72,"hh:mm")))</f>
        <v/>
      </c>
      <c r="I72" s="59" t="str">
        <f t="shared" si="5"/>
        <v/>
      </c>
    </row>
    <row r="73" spans="6:9" x14ac:dyDescent="0.4">
      <c r="F73" s="68" t="str">
        <f t="shared" si="3"/>
        <v/>
      </c>
      <c r="G73" s="68" t="str">
        <f t="shared" si="4"/>
        <v/>
      </c>
      <c r="H73" s="59" t="str">
        <f>IF(B73="","",CONCATENATE(TEXT(Horarios!$B73,"hh:mm"),"-",TEXT(Horarios!$E73,"hh:mm")))</f>
        <v/>
      </c>
      <c r="I73" s="59" t="str">
        <f t="shared" si="5"/>
        <v/>
      </c>
    </row>
    <row r="74" spans="6:9" x14ac:dyDescent="0.4">
      <c r="F74" s="68" t="str">
        <f t="shared" si="3"/>
        <v/>
      </c>
      <c r="G74" s="68" t="str">
        <f t="shared" si="4"/>
        <v/>
      </c>
      <c r="H74" s="59" t="str">
        <f>IF(B74="","",CONCATENATE(TEXT(Horarios!$B74,"hh:mm"),"-",TEXT(Horarios!$E74,"hh:mm")))</f>
        <v/>
      </c>
      <c r="I74" s="59" t="str">
        <f t="shared" si="5"/>
        <v/>
      </c>
    </row>
    <row r="75" spans="6:9" x14ac:dyDescent="0.4">
      <c r="F75" s="68" t="str">
        <f t="shared" si="3"/>
        <v/>
      </c>
      <c r="G75" s="68" t="str">
        <f t="shared" si="4"/>
        <v/>
      </c>
      <c r="H75" s="59" t="str">
        <f>IF(B75="","",CONCATENATE(TEXT(Horarios!$B75,"hh:mm"),"-",TEXT(Horarios!$E75,"hh:mm")))</f>
        <v/>
      </c>
      <c r="I75" s="59" t="str">
        <f t="shared" si="5"/>
        <v/>
      </c>
    </row>
    <row r="76" spans="6:9" x14ac:dyDescent="0.4">
      <c r="F76" s="68" t="str">
        <f t="shared" ref="F76:F139" si="6">IF(B76="","",D76-C76)</f>
        <v/>
      </c>
      <c r="G76" s="68" t="str">
        <f t="shared" ref="G76:G139" si="7">IF(B76="","",MOD(E76-B76+24,1))</f>
        <v/>
      </c>
      <c r="H76" s="59" t="str">
        <f>IF(B76="","",CONCATENATE(TEXT(Horarios!$B76,"hh:mm"),"-",TEXT(Horarios!$E76,"hh:mm")))</f>
        <v/>
      </c>
      <c r="I76" s="59" t="str">
        <f t="shared" ref="I76:I139" si="8">IF(B76="","",G76-F76)</f>
        <v/>
      </c>
    </row>
    <row r="77" spans="6:9" x14ac:dyDescent="0.4">
      <c r="F77" s="68" t="str">
        <f t="shared" si="6"/>
        <v/>
      </c>
      <c r="G77" s="68" t="str">
        <f t="shared" si="7"/>
        <v/>
      </c>
      <c r="H77" s="59" t="str">
        <f>IF(B77="","",CONCATENATE(TEXT(Horarios!$B77,"hh:mm"),"-",TEXT(Horarios!$E77,"hh:mm")))</f>
        <v/>
      </c>
      <c r="I77" s="59" t="str">
        <f t="shared" si="8"/>
        <v/>
      </c>
    </row>
    <row r="78" spans="6:9" x14ac:dyDescent="0.4">
      <c r="F78" s="68" t="str">
        <f t="shared" si="6"/>
        <v/>
      </c>
      <c r="G78" s="68" t="str">
        <f t="shared" si="7"/>
        <v/>
      </c>
      <c r="H78" s="59" t="str">
        <f>IF(B78="","",CONCATENATE(TEXT(Horarios!$B78,"hh:mm"),"-",TEXT(Horarios!$E78,"hh:mm")))</f>
        <v/>
      </c>
      <c r="I78" s="59" t="str">
        <f t="shared" si="8"/>
        <v/>
      </c>
    </row>
    <row r="79" spans="6:9" x14ac:dyDescent="0.4">
      <c r="F79" s="68" t="str">
        <f t="shared" si="6"/>
        <v/>
      </c>
      <c r="G79" s="68" t="str">
        <f t="shared" si="7"/>
        <v/>
      </c>
      <c r="H79" s="59" t="str">
        <f>IF(B79="","",CONCATENATE(TEXT(Horarios!$B79,"hh:mm"),"-",TEXT(Horarios!$E79,"hh:mm")))</f>
        <v/>
      </c>
      <c r="I79" s="59" t="str">
        <f t="shared" si="8"/>
        <v/>
      </c>
    </row>
    <row r="80" spans="6:9" x14ac:dyDescent="0.4">
      <c r="F80" s="68" t="str">
        <f t="shared" si="6"/>
        <v/>
      </c>
      <c r="G80" s="68" t="str">
        <f t="shared" si="7"/>
        <v/>
      </c>
      <c r="H80" s="59" t="str">
        <f>IF(B80="","",CONCATENATE(TEXT(Horarios!$B80,"hh:mm"),"-",TEXT(Horarios!$E80,"hh:mm")))</f>
        <v/>
      </c>
      <c r="I80" s="59" t="str">
        <f t="shared" si="8"/>
        <v/>
      </c>
    </row>
    <row r="81" spans="6:9" x14ac:dyDescent="0.4">
      <c r="F81" s="68" t="str">
        <f t="shared" si="6"/>
        <v/>
      </c>
      <c r="G81" s="68" t="str">
        <f t="shared" si="7"/>
        <v/>
      </c>
      <c r="H81" s="59" t="str">
        <f>IF(B81="","",CONCATENATE(TEXT(Horarios!$B81,"hh:mm"),"-",TEXT(Horarios!$E81,"hh:mm")))</f>
        <v/>
      </c>
      <c r="I81" s="59" t="str">
        <f t="shared" si="8"/>
        <v/>
      </c>
    </row>
    <row r="82" spans="6:9" x14ac:dyDescent="0.4">
      <c r="F82" s="68" t="str">
        <f t="shared" si="6"/>
        <v/>
      </c>
      <c r="G82" s="68" t="str">
        <f t="shared" si="7"/>
        <v/>
      </c>
      <c r="H82" s="59" t="str">
        <f>IF(B82="","",CONCATENATE(TEXT(Horarios!$B82,"hh:mm"),"-",TEXT(Horarios!$E82,"hh:mm")))</f>
        <v/>
      </c>
      <c r="I82" s="59" t="str">
        <f t="shared" si="8"/>
        <v/>
      </c>
    </row>
    <row r="83" spans="6:9" x14ac:dyDescent="0.4">
      <c r="F83" s="68" t="str">
        <f t="shared" si="6"/>
        <v/>
      </c>
      <c r="G83" s="68" t="str">
        <f t="shared" si="7"/>
        <v/>
      </c>
      <c r="H83" s="59" t="str">
        <f>IF(B83="","",CONCATENATE(TEXT(Horarios!$B83,"hh:mm"),"-",TEXT(Horarios!$E83,"hh:mm")))</f>
        <v/>
      </c>
      <c r="I83" s="59" t="str">
        <f t="shared" si="8"/>
        <v/>
      </c>
    </row>
    <row r="84" spans="6:9" x14ac:dyDescent="0.4">
      <c r="F84" s="68" t="str">
        <f t="shared" si="6"/>
        <v/>
      </c>
      <c r="G84" s="68" t="str">
        <f t="shared" si="7"/>
        <v/>
      </c>
      <c r="H84" s="59" t="str">
        <f>IF(B84="","",CONCATENATE(TEXT(Horarios!$B84,"hh:mm"),"-",TEXT(Horarios!$E84,"hh:mm")))</f>
        <v/>
      </c>
      <c r="I84" s="59" t="str">
        <f t="shared" si="8"/>
        <v/>
      </c>
    </row>
    <row r="85" spans="6:9" x14ac:dyDescent="0.4">
      <c r="F85" s="68" t="str">
        <f t="shared" si="6"/>
        <v/>
      </c>
      <c r="G85" s="68" t="str">
        <f t="shared" si="7"/>
        <v/>
      </c>
      <c r="H85" s="59" t="str">
        <f>IF(B85="","",CONCATENATE(TEXT(Horarios!$B85,"hh:mm"),"-",TEXT(Horarios!$E85,"hh:mm")))</f>
        <v/>
      </c>
      <c r="I85" s="59" t="str">
        <f t="shared" si="8"/>
        <v/>
      </c>
    </row>
    <row r="86" spans="6:9" x14ac:dyDescent="0.4">
      <c r="F86" s="68" t="str">
        <f t="shared" si="6"/>
        <v/>
      </c>
      <c r="G86" s="68" t="str">
        <f t="shared" si="7"/>
        <v/>
      </c>
      <c r="H86" s="59" t="str">
        <f>IF(B86="","",CONCATENATE(TEXT(Horarios!$B86,"hh:mm"),"-",TEXT(Horarios!$E86,"hh:mm")))</f>
        <v/>
      </c>
      <c r="I86" s="59" t="str">
        <f t="shared" si="8"/>
        <v/>
      </c>
    </row>
    <row r="87" spans="6:9" x14ac:dyDescent="0.4">
      <c r="F87" s="68" t="str">
        <f t="shared" si="6"/>
        <v/>
      </c>
      <c r="G87" s="68" t="str">
        <f t="shared" si="7"/>
        <v/>
      </c>
      <c r="H87" s="59" t="str">
        <f>IF(B87="","",CONCATENATE(TEXT(Horarios!$B87,"hh:mm"),"-",TEXT(Horarios!$E87,"hh:mm")))</f>
        <v/>
      </c>
      <c r="I87" s="59" t="str">
        <f t="shared" si="8"/>
        <v/>
      </c>
    </row>
    <row r="88" spans="6:9" x14ac:dyDescent="0.4">
      <c r="F88" s="68" t="str">
        <f t="shared" si="6"/>
        <v/>
      </c>
      <c r="G88" s="68" t="str">
        <f t="shared" si="7"/>
        <v/>
      </c>
      <c r="H88" s="59" t="str">
        <f>IF(B88="","",CONCATENATE(TEXT(Horarios!$B88,"hh:mm"),"-",TEXT(Horarios!$E88,"hh:mm")))</f>
        <v/>
      </c>
      <c r="I88" s="59" t="str">
        <f t="shared" si="8"/>
        <v/>
      </c>
    </row>
    <row r="89" spans="6:9" x14ac:dyDescent="0.4">
      <c r="F89" s="68" t="str">
        <f t="shared" si="6"/>
        <v/>
      </c>
      <c r="G89" s="68" t="str">
        <f t="shared" si="7"/>
        <v/>
      </c>
      <c r="H89" s="59" t="str">
        <f>IF(B89="","",CONCATENATE(TEXT(Horarios!$B89,"hh:mm"),"-",TEXT(Horarios!$E89,"hh:mm")))</f>
        <v/>
      </c>
      <c r="I89" s="59" t="str">
        <f t="shared" si="8"/>
        <v/>
      </c>
    </row>
    <row r="90" spans="6:9" x14ac:dyDescent="0.4">
      <c r="F90" s="68" t="str">
        <f t="shared" si="6"/>
        <v/>
      </c>
      <c r="G90" s="68" t="str">
        <f t="shared" si="7"/>
        <v/>
      </c>
      <c r="H90" s="59" t="str">
        <f>IF(B90="","",CONCATENATE(TEXT(Horarios!$B90,"hh:mm"),"-",TEXT(Horarios!$E90,"hh:mm")))</f>
        <v/>
      </c>
      <c r="I90" s="59" t="str">
        <f t="shared" si="8"/>
        <v/>
      </c>
    </row>
    <row r="91" spans="6:9" x14ac:dyDescent="0.4">
      <c r="F91" s="68" t="str">
        <f t="shared" si="6"/>
        <v/>
      </c>
      <c r="G91" s="68" t="str">
        <f t="shared" si="7"/>
        <v/>
      </c>
      <c r="H91" s="59" t="str">
        <f>IF(B91="","",CONCATENATE(TEXT(Horarios!$B91,"hh:mm"),"-",TEXT(Horarios!$E91,"hh:mm")))</f>
        <v/>
      </c>
      <c r="I91" s="59" t="str">
        <f t="shared" si="8"/>
        <v/>
      </c>
    </row>
    <row r="92" spans="6:9" x14ac:dyDescent="0.4">
      <c r="F92" s="68" t="str">
        <f t="shared" si="6"/>
        <v/>
      </c>
      <c r="G92" s="68" t="str">
        <f t="shared" si="7"/>
        <v/>
      </c>
      <c r="H92" s="59" t="str">
        <f>IF(B92="","",CONCATENATE(TEXT(Horarios!$B92,"hh:mm"),"-",TEXT(Horarios!$E92,"hh:mm")))</f>
        <v/>
      </c>
      <c r="I92" s="59" t="str">
        <f t="shared" si="8"/>
        <v/>
      </c>
    </row>
    <row r="93" spans="6:9" x14ac:dyDescent="0.4">
      <c r="F93" s="68" t="str">
        <f t="shared" si="6"/>
        <v/>
      </c>
      <c r="G93" s="68" t="str">
        <f t="shared" si="7"/>
        <v/>
      </c>
      <c r="H93" s="59" t="str">
        <f>IF(B93="","",CONCATENATE(TEXT(Horarios!$B93,"hh:mm"),"-",TEXT(Horarios!$E93,"hh:mm")))</f>
        <v/>
      </c>
      <c r="I93" s="59" t="str">
        <f t="shared" si="8"/>
        <v/>
      </c>
    </row>
    <row r="94" spans="6:9" x14ac:dyDescent="0.4">
      <c r="F94" s="68" t="str">
        <f t="shared" si="6"/>
        <v/>
      </c>
      <c r="G94" s="68" t="str">
        <f t="shared" si="7"/>
        <v/>
      </c>
      <c r="H94" s="59" t="str">
        <f>IF(B94="","",CONCATENATE(TEXT(Horarios!$B94,"hh:mm"),"-",TEXT(Horarios!$E94,"hh:mm")))</f>
        <v/>
      </c>
      <c r="I94" s="59" t="str">
        <f t="shared" si="8"/>
        <v/>
      </c>
    </row>
    <row r="95" spans="6:9" x14ac:dyDescent="0.4">
      <c r="F95" s="68" t="str">
        <f t="shared" si="6"/>
        <v/>
      </c>
      <c r="G95" s="68" t="str">
        <f t="shared" si="7"/>
        <v/>
      </c>
      <c r="H95" s="59" t="str">
        <f>IF(B95="","",CONCATENATE(TEXT(Horarios!$B95,"hh:mm"),"-",TEXT(Horarios!$E95,"hh:mm")))</f>
        <v/>
      </c>
      <c r="I95" s="59" t="str">
        <f t="shared" si="8"/>
        <v/>
      </c>
    </row>
    <row r="96" spans="6:9" x14ac:dyDescent="0.4">
      <c r="F96" s="68" t="str">
        <f t="shared" si="6"/>
        <v/>
      </c>
      <c r="G96" s="68" t="str">
        <f t="shared" si="7"/>
        <v/>
      </c>
      <c r="H96" s="59" t="str">
        <f>IF(B96="","",CONCATENATE(TEXT(Horarios!$B96,"hh:mm"),"-",TEXT(Horarios!$E96,"hh:mm")))</f>
        <v/>
      </c>
      <c r="I96" s="59" t="str">
        <f t="shared" si="8"/>
        <v/>
      </c>
    </row>
    <row r="97" spans="6:9" x14ac:dyDescent="0.4">
      <c r="F97" s="68" t="str">
        <f t="shared" si="6"/>
        <v/>
      </c>
      <c r="G97" s="68" t="str">
        <f t="shared" si="7"/>
        <v/>
      </c>
      <c r="H97" s="59" t="str">
        <f>IF(B97="","",CONCATENATE(TEXT(Horarios!$B97,"hh:mm"),"-",TEXT(Horarios!$E97,"hh:mm")))</f>
        <v/>
      </c>
      <c r="I97" s="59" t="str">
        <f t="shared" si="8"/>
        <v/>
      </c>
    </row>
    <row r="98" spans="6:9" x14ac:dyDescent="0.4">
      <c r="F98" s="68" t="str">
        <f t="shared" si="6"/>
        <v/>
      </c>
      <c r="G98" s="68" t="str">
        <f t="shared" si="7"/>
        <v/>
      </c>
      <c r="H98" s="59" t="str">
        <f>IF(B98="","",CONCATENATE(TEXT(Horarios!$B98,"hh:mm"),"-",TEXT(Horarios!$E98,"hh:mm")))</f>
        <v/>
      </c>
      <c r="I98" s="59" t="str">
        <f t="shared" si="8"/>
        <v/>
      </c>
    </row>
    <row r="99" spans="6:9" x14ac:dyDescent="0.4">
      <c r="F99" s="68" t="str">
        <f t="shared" si="6"/>
        <v/>
      </c>
      <c r="G99" s="68" t="str">
        <f t="shared" si="7"/>
        <v/>
      </c>
      <c r="H99" s="59" t="str">
        <f>IF(B99="","",CONCATENATE(TEXT(Horarios!$B99,"hh:mm"),"-",TEXT(Horarios!$E99,"hh:mm")))</f>
        <v/>
      </c>
      <c r="I99" s="59" t="str">
        <f t="shared" si="8"/>
        <v/>
      </c>
    </row>
    <row r="100" spans="6:9" x14ac:dyDescent="0.4">
      <c r="F100" s="68" t="str">
        <f t="shared" si="6"/>
        <v/>
      </c>
      <c r="G100" s="68" t="str">
        <f t="shared" si="7"/>
        <v/>
      </c>
      <c r="H100" s="59" t="str">
        <f>IF(B100="","",CONCATENATE(TEXT(Horarios!$B100,"hh:mm"),"-",TEXT(Horarios!$E100,"hh:mm")))</f>
        <v/>
      </c>
      <c r="I100" s="59" t="str">
        <f t="shared" si="8"/>
        <v/>
      </c>
    </row>
    <row r="101" spans="6:9" x14ac:dyDescent="0.4">
      <c r="F101" s="68" t="str">
        <f t="shared" si="6"/>
        <v/>
      </c>
      <c r="G101" s="68" t="str">
        <f t="shared" si="7"/>
        <v/>
      </c>
      <c r="H101" s="59" t="str">
        <f>IF(B101="","",CONCATENATE(TEXT(Horarios!$B101,"hh:mm"),"-",TEXT(Horarios!$E101,"hh:mm")))</f>
        <v/>
      </c>
      <c r="I101" s="59" t="str">
        <f t="shared" si="8"/>
        <v/>
      </c>
    </row>
    <row r="102" spans="6:9" x14ac:dyDescent="0.4">
      <c r="F102" s="68" t="str">
        <f t="shared" si="6"/>
        <v/>
      </c>
      <c r="G102" s="68" t="str">
        <f t="shared" si="7"/>
        <v/>
      </c>
      <c r="H102" s="59" t="str">
        <f>IF(B102="","",CONCATENATE(TEXT(Horarios!$B102,"hh:mm"),"-",TEXT(Horarios!$E102,"hh:mm")))</f>
        <v/>
      </c>
      <c r="I102" s="59" t="str">
        <f t="shared" si="8"/>
        <v/>
      </c>
    </row>
    <row r="103" spans="6:9" x14ac:dyDescent="0.4">
      <c r="F103" s="68" t="str">
        <f t="shared" si="6"/>
        <v/>
      </c>
      <c r="G103" s="68" t="str">
        <f t="shared" si="7"/>
        <v/>
      </c>
      <c r="H103" s="59" t="str">
        <f>IF(B103="","",CONCATENATE(TEXT(Horarios!$B103,"hh:mm"),"-",TEXT(Horarios!$E103,"hh:mm")))</f>
        <v/>
      </c>
      <c r="I103" s="59" t="str">
        <f t="shared" si="8"/>
        <v/>
      </c>
    </row>
    <row r="104" spans="6:9" x14ac:dyDescent="0.4">
      <c r="F104" s="68" t="str">
        <f t="shared" si="6"/>
        <v/>
      </c>
      <c r="G104" s="68" t="str">
        <f t="shared" si="7"/>
        <v/>
      </c>
      <c r="H104" s="59" t="str">
        <f>IF(B104="","",CONCATENATE(TEXT(Horarios!$B104,"hh:mm"),"-",TEXT(Horarios!$E104,"hh:mm")))</f>
        <v/>
      </c>
      <c r="I104" s="59" t="str">
        <f t="shared" si="8"/>
        <v/>
      </c>
    </row>
    <row r="105" spans="6:9" x14ac:dyDescent="0.4">
      <c r="F105" s="68" t="str">
        <f t="shared" si="6"/>
        <v/>
      </c>
      <c r="G105" s="68" t="str">
        <f t="shared" si="7"/>
        <v/>
      </c>
      <c r="H105" s="59" t="str">
        <f>IF(B105="","",CONCATENATE(TEXT(Horarios!$B105,"hh:mm"),"-",TEXT(Horarios!$E105,"hh:mm")))</f>
        <v/>
      </c>
      <c r="I105" s="59" t="str">
        <f t="shared" si="8"/>
        <v/>
      </c>
    </row>
    <row r="106" spans="6:9" x14ac:dyDescent="0.4">
      <c r="F106" s="68" t="str">
        <f t="shared" si="6"/>
        <v/>
      </c>
      <c r="G106" s="68" t="str">
        <f t="shared" si="7"/>
        <v/>
      </c>
      <c r="H106" s="59" t="str">
        <f>IF(B106="","",CONCATENATE(TEXT(Horarios!$B106,"hh:mm"),"-",TEXT(Horarios!$E106,"hh:mm")))</f>
        <v/>
      </c>
      <c r="I106" s="59" t="str">
        <f t="shared" si="8"/>
        <v/>
      </c>
    </row>
    <row r="107" spans="6:9" x14ac:dyDescent="0.4">
      <c r="F107" s="68" t="str">
        <f t="shared" si="6"/>
        <v/>
      </c>
      <c r="G107" s="68" t="str">
        <f t="shared" si="7"/>
        <v/>
      </c>
      <c r="H107" s="59" t="str">
        <f>IF(B107="","",CONCATENATE(TEXT(Horarios!$B107,"hh:mm"),"-",TEXT(Horarios!$E107,"hh:mm")))</f>
        <v/>
      </c>
      <c r="I107" s="59" t="str">
        <f t="shared" si="8"/>
        <v/>
      </c>
    </row>
    <row r="108" spans="6:9" x14ac:dyDescent="0.4">
      <c r="F108" s="68" t="str">
        <f t="shared" si="6"/>
        <v/>
      </c>
      <c r="G108" s="68" t="str">
        <f t="shared" si="7"/>
        <v/>
      </c>
      <c r="H108" s="59" t="str">
        <f>IF(B108="","",CONCATENATE(TEXT(Horarios!$B108,"hh:mm"),"-",TEXT(Horarios!$E108,"hh:mm")))</f>
        <v/>
      </c>
      <c r="I108" s="59" t="str">
        <f t="shared" si="8"/>
        <v/>
      </c>
    </row>
    <row r="109" spans="6:9" x14ac:dyDescent="0.4">
      <c r="F109" s="68" t="str">
        <f t="shared" si="6"/>
        <v/>
      </c>
      <c r="G109" s="68" t="str">
        <f t="shared" si="7"/>
        <v/>
      </c>
      <c r="H109" s="59" t="str">
        <f>IF(B109="","",CONCATENATE(TEXT(Horarios!$B109,"hh:mm"),"-",TEXT(Horarios!$E109,"hh:mm")))</f>
        <v/>
      </c>
      <c r="I109" s="59" t="str">
        <f t="shared" si="8"/>
        <v/>
      </c>
    </row>
    <row r="110" spans="6:9" x14ac:dyDescent="0.4">
      <c r="F110" s="68" t="str">
        <f t="shared" si="6"/>
        <v/>
      </c>
      <c r="G110" s="68" t="str">
        <f t="shared" si="7"/>
        <v/>
      </c>
      <c r="H110" s="59" t="str">
        <f>IF(B110="","",CONCATENATE(TEXT(Horarios!$B110,"hh:mm"),"-",TEXT(Horarios!$E110,"hh:mm")))</f>
        <v/>
      </c>
      <c r="I110" s="59" t="str">
        <f t="shared" si="8"/>
        <v/>
      </c>
    </row>
    <row r="111" spans="6:9" x14ac:dyDescent="0.4">
      <c r="F111" s="68" t="str">
        <f t="shared" si="6"/>
        <v/>
      </c>
      <c r="G111" s="68" t="str">
        <f t="shared" si="7"/>
        <v/>
      </c>
      <c r="H111" s="59" t="str">
        <f>IF(B111="","",CONCATENATE(TEXT(Horarios!$B111,"hh:mm"),"-",TEXT(Horarios!$E111,"hh:mm")))</f>
        <v/>
      </c>
      <c r="I111" s="59" t="str">
        <f t="shared" si="8"/>
        <v/>
      </c>
    </row>
    <row r="112" spans="6:9" x14ac:dyDescent="0.4">
      <c r="F112" s="68" t="str">
        <f t="shared" si="6"/>
        <v/>
      </c>
      <c r="G112" s="68" t="str">
        <f t="shared" si="7"/>
        <v/>
      </c>
      <c r="H112" s="59" t="str">
        <f>IF(B112="","",CONCATENATE(TEXT(Horarios!$B112,"hh:mm"),"-",TEXT(Horarios!$E112,"hh:mm")))</f>
        <v/>
      </c>
      <c r="I112" s="59" t="str">
        <f t="shared" si="8"/>
        <v/>
      </c>
    </row>
    <row r="113" spans="6:9" x14ac:dyDescent="0.4">
      <c r="F113" s="68" t="str">
        <f t="shared" si="6"/>
        <v/>
      </c>
      <c r="G113" s="68" t="str">
        <f t="shared" si="7"/>
        <v/>
      </c>
      <c r="H113" s="59" t="str">
        <f>IF(B113="","",CONCATENATE(TEXT(Horarios!$B113,"hh:mm"),"-",TEXT(Horarios!$E113,"hh:mm")))</f>
        <v/>
      </c>
      <c r="I113" s="59" t="str">
        <f t="shared" si="8"/>
        <v/>
      </c>
    </row>
    <row r="114" spans="6:9" x14ac:dyDescent="0.4">
      <c r="F114" s="68" t="str">
        <f t="shared" si="6"/>
        <v/>
      </c>
      <c r="G114" s="68" t="str">
        <f t="shared" si="7"/>
        <v/>
      </c>
      <c r="H114" s="59" t="str">
        <f>IF(B114="","",CONCATENATE(TEXT(Horarios!$B114,"hh:mm"),"-",TEXT(Horarios!$E114,"hh:mm")))</f>
        <v/>
      </c>
      <c r="I114" s="59" t="str">
        <f t="shared" si="8"/>
        <v/>
      </c>
    </row>
    <row r="115" spans="6:9" x14ac:dyDescent="0.4">
      <c r="F115" s="68" t="str">
        <f t="shared" si="6"/>
        <v/>
      </c>
      <c r="G115" s="68" t="str">
        <f t="shared" si="7"/>
        <v/>
      </c>
      <c r="H115" s="59" t="str">
        <f>IF(B115="","",CONCATENATE(TEXT(Horarios!$B115,"hh:mm"),"-",TEXT(Horarios!$E115,"hh:mm")))</f>
        <v/>
      </c>
      <c r="I115" s="59" t="str">
        <f t="shared" si="8"/>
        <v/>
      </c>
    </row>
    <row r="116" spans="6:9" x14ac:dyDescent="0.4">
      <c r="F116" s="68" t="str">
        <f t="shared" si="6"/>
        <v/>
      </c>
      <c r="G116" s="68" t="str">
        <f t="shared" si="7"/>
        <v/>
      </c>
      <c r="H116" s="59" t="str">
        <f>IF(B116="","",CONCATENATE(TEXT(Horarios!$B116,"hh:mm"),"-",TEXT(Horarios!$E116,"hh:mm")))</f>
        <v/>
      </c>
      <c r="I116" s="59" t="str">
        <f t="shared" si="8"/>
        <v/>
      </c>
    </row>
    <row r="117" spans="6:9" x14ac:dyDescent="0.4">
      <c r="F117" s="68" t="str">
        <f t="shared" si="6"/>
        <v/>
      </c>
      <c r="G117" s="68" t="str">
        <f t="shared" si="7"/>
        <v/>
      </c>
      <c r="H117" s="59" t="str">
        <f>IF(B117="","",CONCATENATE(TEXT(Horarios!$B117,"hh:mm"),"-",TEXT(Horarios!$E117,"hh:mm")))</f>
        <v/>
      </c>
      <c r="I117" s="59" t="str">
        <f t="shared" si="8"/>
        <v/>
      </c>
    </row>
    <row r="118" spans="6:9" x14ac:dyDescent="0.4">
      <c r="F118" s="68" t="str">
        <f t="shared" si="6"/>
        <v/>
      </c>
      <c r="G118" s="68" t="str">
        <f t="shared" si="7"/>
        <v/>
      </c>
      <c r="H118" s="59" t="str">
        <f>IF(B118="","",CONCATENATE(TEXT(Horarios!$B118,"hh:mm"),"-",TEXT(Horarios!$E118,"hh:mm")))</f>
        <v/>
      </c>
      <c r="I118" s="59" t="str">
        <f t="shared" si="8"/>
        <v/>
      </c>
    </row>
    <row r="119" spans="6:9" x14ac:dyDescent="0.4">
      <c r="F119" s="68" t="str">
        <f t="shared" si="6"/>
        <v/>
      </c>
      <c r="G119" s="68" t="str">
        <f t="shared" si="7"/>
        <v/>
      </c>
      <c r="H119" s="59" t="str">
        <f>IF(B119="","",CONCATENATE(TEXT(Horarios!$B119,"hh:mm"),"-",TEXT(Horarios!$E119,"hh:mm")))</f>
        <v/>
      </c>
      <c r="I119" s="59" t="str">
        <f t="shared" si="8"/>
        <v/>
      </c>
    </row>
    <row r="120" spans="6:9" x14ac:dyDescent="0.4">
      <c r="F120" s="68" t="str">
        <f t="shared" si="6"/>
        <v/>
      </c>
      <c r="G120" s="68" t="str">
        <f t="shared" si="7"/>
        <v/>
      </c>
      <c r="H120" s="59" t="str">
        <f>IF(B120="","",CONCATENATE(TEXT(Horarios!$B120,"hh:mm"),"-",TEXT(Horarios!$E120,"hh:mm")))</f>
        <v/>
      </c>
      <c r="I120" s="59" t="str">
        <f t="shared" si="8"/>
        <v/>
      </c>
    </row>
    <row r="121" spans="6:9" x14ac:dyDescent="0.4">
      <c r="F121" s="68" t="str">
        <f t="shared" si="6"/>
        <v/>
      </c>
      <c r="G121" s="68" t="str">
        <f t="shared" si="7"/>
        <v/>
      </c>
      <c r="H121" s="59" t="str">
        <f>IF(B121="","",CONCATENATE(TEXT(Horarios!$B121,"hh:mm"),"-",TEXT(Horarios!$E121,"hh:mm")))</f>
        <v/>
      </c>
      <c r="I121" s="59" t="str">
        <f t="shared" si="8"/>
        <v/>
      </c>
    </row>
    <row r="122" spans="6:9" x14ac:dyDescent="0.4">
      <c r="F122" s="68" t="str">
        <f t="shared" si="6"/>
        <v/>
      </c>
      <c r="G122" s="68" t="str">
        <f t="shared" si="7"/>
        <v/>
      </c>
      <c r="H122" s="59" t="str">
        <f>IF(B122="","",CONCATENATE(TEXT(Horarios!$B122,"hh:mm"),"-",TEXT(Horarios!$E122,"hh:mm")))</f>
        <v/>
      </c>
      <c r="I122" s="59" t="str">
        <f t="shared" si="8"/>
        <v/>
      </c>
    </row>
    <row r="123" spans="6:9" x14ac:dyDescent="0.4">
      <c r="F123" s="68" t="str">
        <f t="shared" si="6"/>
        <v/>
      </c>
      <c r="G123" s="68" t="str">
        <f t="shared" si="7"/>
        <v/>
      </c>
      <c r="H123" s="59" t="str">
        <f>IF(B123="","",CONCATENATE(TEXT(Horarios!$B123,"hh:mm"),"-",TEXT(Horarios!$E123,"hh:mm")))</f>
        <v/>
      </c>
      <c r="I123" s="59" t="str">
        <f t="shared" si="8"/>
        <v/>
      </c>
    </row>
    <row r="124" spans="6:9" x14ac:dyDescent="0.4">
      <c r="F124" s="68" t="str">
        <f t="shared" si="6"/>
        <v/>
      </c>
      <c r="G124" s="68" t="str">
        <f t="shared" si="7"/>
        <v/>
      </c>
      <c r="H124" s="59" t="str">
        <f>IF(B124="","",CONCATENATE(TEXT(Horarios!$B124,"hh:mm"),"-",TEXT(Horarios!$E124,"hh:mm")))</f>
        <v/>
      </c>
      <c r="I124" s="59" t="str">
        <f t="shared" si="8"/>
        <v/>
      </c>
    </row>
    <row r="125" spans="6:9" x14ac:dyDescent="0.4">
      <c r="F125" s="68" t="str">
        <f t="shared" si="6"/>
        <v/>
      </c>
      <c r="G125" s="68" t="str">
        <f t="shared" si="7"/>
        <v/>
      </c>
      <c r="H125" s="59" t="str">
        <f>IF(B125="","",CONCATENATE(TEXT(Horarios!$B125,"hh:mm"),"-",TEXT(Horarios!$E125,"hh:mm")))</f>
        <v/>
      </c>
      <c r="I125" s="59" t="str">
        <f t="shared" si="8"/>
        <v/>
      </c>
    </row>
    <row r="126" spans="6:9" x14ac:dyDescent="0.4">
      <c r="F126" s="68" t="str">
        <f t="shared" si="6"/>
        <v/>
      </c>
      <c r="G126" s="68" t="str">
        <f t="shared" si="7"/>
        <v/>
      </c>
      <c r="H126" s="59" t="str">
        <f>IF(B126="","",CONCATENATE(TEXT(Horarios!$B126,"hh:mm"),"-",TEXT(Horarios!$E126,"hh:mm")))</f>
        <v/>
      </c>
      <c r="I126" s="59" t="str">
        <f t="shared" si="8"/>
        <v/>
      </c>
    </row>
    <row r="127" spans="6:9" x14ac:dyDescent="0.4">
      <c r="F127" s="68" t="str">
        <f t="shared" si="6"/>
        <v/>
      </c>
      <c r="G127" s="68" t="str">
        <f t="shared" si="7"/>
        <v/>
      </c>
      <c r="H127" s="59" t="str">
        <f>IF(B127="","",CONCATENATE(TEXT(Horarios!$B127,"hh:mm"),"-",TEXT(Horarios!$E127,"hh:mm")))</f>
        <v/>
      </c>
      <c r="I127" s="59" t="str">
        <f t="shared" si="8"/>
        <v/>
      </c>
    </row>
    <row r="128" spans="6:9" x14ac:dyDescent="0.4">
      <c r="F128" s="68" t="str">
        <f t="shared" si="6"/>
        <v/>
      </c>
      <c r="G128" s="68" t="str">
        <f t="shared" si="7"/>
        <v/>
      </c>
      <c r="H128" s="59" t="str">
        <f>IF(B128="","",CONCATENATE(TEXT(Horarios!$B128,"hh:mm"),"-",TEXT(Horarios!$E128,"hh:mm")))</f>
        <v/>
      </c>
      <c r="I128" s="59" t="str">
        <f t="shared" si="8"/>
        <v/>
      </c>
    </row>
    <row r="129" spans="6:9" x14ac:dyDescent="0.4">
      <c r="F129" s="68" t="str">
        <f t="shared" si="6"/>
        <v/>
      </c>
      <c r="G129" s="68" t="str">
        <f t="shared" si="7"/>
        <v/>
      </c>
      <c r="H129" s="59" t="str">
        <f>IF(B129="","",CONCATENATE(TEXT(Horarios!$B129,"hh:mm"),"-",TEXT(Horarios!$E129,"hh:mm")))</f>
        <v/>
      </c>
      <c r="I129" s="59" t="str">
        <f t="shared" si="8"/>
        <v/>
      </c>
    </row>
    <row r="130" spans="6:9" x14ac:dyDescent="0.4">
      <c r="F130" s="68" t="str">
        <f t="shared" si="6"/>
        <v/>
      </c>
      <c r="G130" s="68" t="str">
        <f t="shared" si="7"/>
        <v/>
      </c>
      <c r="H130" s="59" t="str">
        <f>IF(B130="","",CONCATENATE(TEXT(Horarios!$B130,"hh:mm"),"-",TEXT(Horarios!$E130,"hh:mm")))</f>
        <v/>
      </c>
      <c r="I130" s="59" t="str">
        <f t="shared" si="8"/>
        <v/>
      </c>
    </row>
    <row r="131" spans="6:9" x14ac:dyDescent="0.4">
      <c r="F131" s="68" t="str">
        <f t="shared" si="6"/>
        <v/>
      </c>
      <c r="G131" s="68" t="str">
        <f t="shared" si="7"/>
        <v/>
      </c>
      <c r="H131" s="59" t="str">
        <f>IF(B131="","",CONCATENATE(TEXT(Horarios!$B131,"hh:mm"),"-",TEXT(Horarios!$E131,"hh:mm")))</f>
        <v/>
      </c>
      <c r="I131" s="59" t="str">
        <f t="shared" si="8"/>
        <v/>
      </c>
    </row>
    <row r="132" spans="6:9" x14ac:dyDescent="0.4">
      <c r="F132" s="68" t="str">
        <f t="shared" si="6"/>
        <v/>
      </c>
      <c r="G132" s="68" t="str">
        <f t="shared" si="7"/>
        <v/>
      </c>
      <c r="H132" s="59" t="str">
        <f>IF(B132="","",CONCATENATE(TEXT(Horarios!$B132,"hh:mm"),"-",TEXT(Horarios!$E132,"hh:mm")))</f>
        <v/>
      </c>
      <c r="I132" s="59" t="str">
        <f t="shared" si="8"/>
        <v/>
      </c>
    </row>
    <row r="133" spans="6:9" x14ac:dyDescent="0.4">
      <c r="F133" s="68" t="str">
        <f t="shared" si="6"/>
        <v/>
      </c>
      <c r="G133" s="68" t="str">
        <f t="shared" si="7"/>
        <v/>
      </c>
      <c r="H133" s="59" t="str">
        <f>IF(B133="","",CONCATENATE(TEXT(Horarios!$B133,"hh:mm"),"-",TEXT(Horarios!$E133,"hh:mm")))</f>
        <v/>
      </c>
      <c r="I133" s="59" t="str">
        <f t="shared" si="8"/>
        <v/>
      </c>
    </row>
    <row r="134" spans="6:9" x14ac:dyDescent="0.4">
      <c r="F134" s="68" t="str">
        <f t="shared" si="6"/>
        <v/>
      </c>
      <c r="G134" s="68" t="str">
        <f t="shared" si="7"/>
        <v/>
      </c>
      <c r="H134" s="59" t="str">
        <f>IF(B134="","",CONCATENATE(TEXT(Horarios!$B134,"hh:mm"),"-",TEXT(Horarios!$E134,"hh:mm")))</f>
        <v/>
      </c>
      <c r="I134" s="59" t="str">
        <f t="shared" si="8"/>
        <v/>
      </c>
    </row>
    <row r="135" spans="6:9" x14ac:dyDescent="0.4">
      <c r="F135" s="68" t="str">
        <f t="shared" si="6"/>
        <v/>
      </c>
      <c r="G135" s="68" t="str">
        <f t="shared" si="7"/>
        <v/>
      </c>
      <c r="H135" s="59" t="str">
        <f>IF(B135="","",CONCATENATE(TEXT(Horarios!$B135,"hh:mm"),"-",TEXT(Horarios!$E135,"hh:mm")))</f>
        <v/>
      </c>
      <c r="I135" s="59" t="str">
        <f t="shared" si="8"/>
        <v/>
      </c>
    </row>
    <row r="136" spans="6:9" x14ac:dyDescent="0.4">
      <c r="F136" s="68" t="str">
        <f t="shared" si="6"/>
        <v/>
      </c>
      <c r="G136" s="68" t="str">
        <f t="shared" si="7"/>
        <v/>
      </c>
      <c r="H136" s="59" t="str">
        <f>IF(B136="","",CONCATENATE(TEXT(Horarios!$B136,"hh:mm"),"-",TEXT(Horarios!$E136,"hh:mm")))</f>
        <v/>
      </c>
      <c r="I136" s="59" t="str">
        <f t="shared" si="8"/>
        <v/>
      </c>
    </row>
    <row r="137" spans="6:9" x14ac:dyDescent="0.4">
      <c r="F137" s="68" t="str">
        <f t="shared" si="6"/>
        <v/>
      </c>
      <c r="G137" s="68" t="str">
        <f t="shared" si="7"/>
        <v/>
      </c>
      <c r="H137" s="59" t="str">
        <f>IF(B137="","",CONCATENATE(TEXT(Horarios!$B137,"hh:mm"),"-",TEXT(Horarios!$E137,"hh:mm")))</f>
        <v/>
      </c>
      <c r="I137" s="59" t="str">
        <f t="shared" si="8"/>
        <v/>
      </c>
    </row>
    <row r="138" spans="6:9" x14ac:dyDescent="0.4">
      <c r="F138" s="68" t="str">
        <f t="shared" si="6"/>
        <v/>
      </c>
      <c r="G138" s="68" t="str">
        <f t="shared" si="7"/>
        <v/>
      </c>
      <c r="H138" s="59" t="str">
        <f>IF(B138="","",CONCATENATE(TEXT(Horarios!$B138,"hh:mm"),"-",TEXT(Horarios!$E138,"hh:mm")))</f>
        <v/>
      </c>
      <c r="I138" s="59" t="str">
        <f t="shared" si="8"/>
        <v/>
      </c>
    </row>
    <row r="139" spans="6:9" x14ac:dyDescent="0.4">
      <c r="F139" s="68" t="str">
        <f t="shared" si="6"/>
        <v/>
      </c>
      <c r="G139" s="68" t="str">
        <f t="shared" si="7"/>
        <v/>
      </c>
      <c r="H139" s="59" t="str">
        <f>IF(B139="","",CONCATENATE(TEXT(Horarios!$B139,"hh:mm"),"-",TEXT(Horarios!$E139,"hh:mm")))</f>
        <v/>
      </c>
      <c r="I139" s="59" t="str">
        <f t="shared" si="8"/>
        <v/>
      </c>
    </row>
    <row r="140" spans="6:9" x14ac:dyDescent="0.4">
      <c r="F140" s="68" t="str">
        <f t="shared" ref="F140:F203" si="9">IF(B140="","",D140-C140)</f>
        <v/>
      </c>
      <c r="G140" s="68" t="str">
        <f t="shared" ref="G140:G203" si="10">IF(B140="","",MOD(E140-B140+24,1))</f>
        <v/>
      </c>
      <c r="H140" s="59" t="str">
        <f>IF(B140="","",CONCATENATE(TEXT(Horarios!$B140,"hh:mm"),"-",TEXT(Horarios!$E140,"hh:mm")))</f>
        <v/>
      </c>
      <c r="I140" s="59" t="str">
        <f t="shared" ref="I140:I203" si="11">IF(B140="","",G140-F140)</f>
        <v/>
      </c>
    </row>
    <row r="141" spans="6:9" x14ac:dyDescent="0.4">
      <c r="F141" s="68" t="str">
        <f t="shared" si="9"/>
        <v/>
      </c>
      <c r="G141" s="68" t="str">
        <f t="shared" si="10"/>
        <v/>
      </c>
      <c r="H141" s="59" t="str">
        <f>IF(B141="","",CONCATENATE(TEXT(Horarios!$B141,"hh:mm"),"-",TEXT(Horarios!$E141,"hh:mm")))</f>
        <v/>
      </c>
      <c r="I141" s="59" t="str">
        <f t="shared" si="11"/>
        <v/>
      </c>
    </row>
    <row r="142" spans="6:9" x14ac:dyDescent="0.4">
      <c r="F142" s="68" t="str">
        <f t="shared" si="9"/>
        <v/>
      </c>
      <c r="G142" s="68" t="str">
        <f t="shared" si="10"/>
        <v/>
      </c>
      <c r="H142" s="59" t="str">
        <f>IF(B142="","",CONCATENATE(TEXT(Horarios!$B142,"hh:mm"),"-",TEXT(Horarios!$E142,"hh:mm")))</f>
        <v/>
      </c>
      <c r="I142" s="59" t="str">
        <f t="shared" si="11"/>
        <v/>
      </c>
    </row>
    <row r="143" spans="6:9" x14ac:dyDescent="0.4">
      <c r="F143" s="68" t="str">
        <f t="shared" si="9"/>
        <v/>
      </c>
      <c r="G143" s="68" t="str">
        <f t="shared" si="10"/>
        <v/>
      </c>
      <c r="H143" s="59" t="str">
        <f>IF(B143="","",CONCATENATE(TEXT(Horarios!$B143,"hh:mm"),"-",TEXT(Horarios!$E143,"hh:mm")))</f>
        <v/>
      </c>
      <c r="I143" s="59" t="str">
        <f t="shared" si="11"/>
        <v/>
      </c>
    </row>
    <row r="144" spans="6:9" x14ac:dyDescent="0.4">
      <c r="F144" s="68" t="str">
        <f t="shared" si="9"/>
        <v/>
      </c>
      <c r="G144" s="68" t="str">
        <f t="shared" si="10"/>
        <v/>
      </c>
      <c r="H144" s="59" t="str">
        <f>IF(B144="","",CONCATENATE(TEXT(Horarios!$B144,"hh:mm"),"-",TEXT(Horarios!$E144,"hh:mm")))</f>
        <v/>
      </c>
      <c r="I144" s="59" t="str">
        <f t="shared" si="11"/>
        <v/>
      </c>
    </row>
    <row r="145" spans="6:9" x14ac:dyDescent="0.4">
      <c r="F145" s="68" t="str">
        <f t="shared" si="9"/>
        <v/>
      </c>
      <c r="G145" s="68" t="str">
        <f t="shared" si="10"/>
        <v/>
      </c>
      <c r="H145" s="59" t="str">
        <f>IF(B145="","",CONCATENATE(TEXT(Horarios!$B145,"hh:mm"),"-",TEXT(Horarios!$E145,"hh:mm")))</f>
        <v/>
      </c>
      <c r="I145" s="59" t="str">
        <f t="shared" si="11"/>
        <v/>
      </c>
    </row>
    <row r="146" spans="6:9" x14ac:dyDescent="0.4">
      <c r="F146" s="68" t="str">
        <f t="shared" si="9"/>
        <v/>
      </c>
      <c r="G146" s="68" t="str">
        <f t="shared" si="10"/>
        <v/>
      </c>
      <c r="H146" s="59" t="str">
        <f>IF(B146="","",CONCATENATE(TEXT(Horarios!$B146,"hh:mm"),"-",TEXT(Horarios!$E146,"hh:mm")))</f>
        <v/>
      </c>
      <c r="I146" s="59" t="str">
        <f t="shared" si="11"/>
        <v/>
      </c>
    </row>
    <row r="147" spans="6:9" x14ac:dyDescent="0.4">
      <c r="F147" s="68" t="str">
        <f t="shared" si="9"/>
        <v/>
      </c>
      <c r="G147" s="68" t="str">
        <f t="shared" si="10"/>
        <v/>
      </c>
      <c r="H147" s="59" t="str">
        <f>IF(B147="","",CONCATENATE(TEXT(Horarios!$B147,"hh:mm"),"-",TEXT(Horarios!$E147,"hh:mm")))</f>
        <v/>
      </c>
      <c r="I147" s="59" t="str">
        <f t="shared" si="11"/>
        <v/>
      </c>
    </row>
    <row r="148" spans="6:9" x14ac:dyDescent="0.4">
      <c r="F148" s="68" t="str">
        <f t="shared" si="9"/>
        <v/>
      </c>
      <c r="G148" s="68" t="str">
        <f t="shared" si="10"/>
        <v/>
      </c>
      <c r="H148" s="59" t="str">
        <f>IF(B148="","",CONCATENATE(TEXT(Horarios!$B148,"hh:mm"),"-",TEXT(Horarios!$E148,"hh:mm")))</f>
        <v/>
      </c>
      <c r="I148" s="59" t="str">
        <f t="shared" si="11"/>
        <v/>
      </c>
    </row>
    <row r="149" spans="6:9" x14ac:dyDescent="0.4">
      <c r="F149" s="68" t="str">
        <f t="shared" si="9"/>
        <v/>
      </c>
      <c r="G149" s="68" t="str">
        <f t="shared" si="10"/>
        <v/>
      </c>
      <c r="H149" s="59" t="str">
        <f>IF(B149="","",CONCATENATE(TEXT(Horarios!$B149,"hh:mm"),"-",TEXT(Horarios!$E149,"hh:mm")))</f>
        <v/>
      </c>
      <c r="I149" s="59" t="str">
        <f t="shared" si="11"/>
        <v/>
      </c>
    </row>
    <row r="150" spans="6:9" x14ac:dyDescent="0.4">
      <c r="F150" s="68" t="str">
        <f t="shared" si="9"/>
        <v/>
      </c>
      <c r="G150" s="68" t="str">
        <f t="shared" si="10"/>
        <v/>
      </c>
      <c r="H150" s="59" t="str">
        <f>IF(B150="","",CONCATENATE(TEXT(Horarios!$B150,"hh:mm"),"-",TEXT(Horarios!$E150,"hh:mm")))</f>
        <v/>
      </c>
      <c r="I150" s="59" t="str">
        <f t="shared" si="11"/>
        <v/>
      </c>
    </row>
    <row r="151" spans="6:9" x14ac:dyDescent="0.4">
      <c r="F151" s="68" t="str">
        <f t="shared" si="9"/>
        <v/>
      </c>
      <c r="G151" s="68" t="str">
        <f t="shared" si="10"/>
        <v/>
      </c>
      <c r="H151" s="59" t="str">
        <f>IF(B151="","",CONCATENATE(TEXT(Horarios!$B151,"hh:mm"),"-",TEXT(Horarios!$E151,"hh:mm")))</f>
        <v/>
      </c>
      <c r="I151" s="59" t="str">
        <f t="shared" si="11"/>
        <v/>
      </c>
    </row>
    <row r="152" spans="6:9" x14ac:dyDescent="0.4">
      <c r="F152" s="68" t="str">
        <f t="shared" si="9"/>
        <v/>
      </c>
      <c r="G152" s="68" t="str">
        <f t="shared" si="10"/>
        <v/>
      </c>
      <c r="H152" s="59" t="str">
        <f>IF(B152="","",CONCATENATE(TEXT(Horarios!$B152,"hh:mm"),"-",TEXT(Horarios!$E152,"hh:mm")))</f>
        <v/>
      </c>
      <c r="I152" s="59" t="str">
        <f t="shared" si="11"/>
        <v/>
      </c>
    </row>
    <row r="153" spans="6:9" x14ac:dyDescent="0.4">
      <c r="F153" s="68" t="str">
        <f t="shared" si="9"/>
        <v/>
      </c>
      <c r="G153" s="68" t="str">
        <f t="shared" si="10"/>
        <v/>
      </c>
      <c r="H153" s="59" t="str">
        <f>IF(B153="","",CONCATENATE(TEXT(Horarios!$B153,"hh:mm"),"-",TEXT(Horarios!$E153,"hh:mm")))</f>
        <v/>
      </c>
      <c r="I153" s="59" t="str">
        <f t="shared" si="11"/>
        <v/>
      </c>
    </row>
    <row r="154" spans="6:9" x14ac:dyDescent="0.4">
      <c r="F154" s="68" t="str">
        <f t="shared" si="9"/>
        <v/>
      </c>
      <c r="G154" s="68" t="str">
        <f t="shared" si="10"/>
        <v/>
      </c>
      <c r="H154" s="59" t="str">
        <f>IF(B154="","",CONCATENATE(TEXT(Horarios!$B154,"hh:mm"),"-",TEXT(Horarios!$E154,"hh:mm")))</f>
        <v/>
      </c>
      <c r="I154" s="59" t="str">
        <f t="shared" si="11"/>
        <v/>
      </c>
    </row>
    <row r="155" spans="6:9" x14ac:dyDescent="0.4">
      <c r="F155" s="68" t="str">
        <f t="shared" si="9"/>
        <v/>
      </c>
      <c r="G155" s="68" t="str">
        <f t="shared" si="10"/>
        <v/>
      </c>
      <c r="H155" s="59" t="str">
        <f>IF(B155="","",CONCATENATE(TEXT(Horarios!$B155,"hh:mm"),"-",TEXT(Horarios!$E155,"hh:mm")))</f>
        <v/>
      </c>
      <c r="I155" s="59" t="str">
        <f t="shared" si="11"/>
        <v/>
      </c>
    </row>
    <row r="156" spans="6:9" x14ac:dyDescent="0.4">
      <c r="F156" s="68" t="str">
        <f t="shared" si="9"/>
        <v/>
      </c>
      <c r="G156" s="68" t="str">
        <f t="shared" si="10"/>
        <v/>
      </c>
      <c r="H156" s="59" t="str">
        <f>IF(B156="","",CONCATENATE(TEXT(Horarios!$B156,"hh:mm"),"-",TEXT(Horarios!$E156,"hh:mm")))</f>
        <v/>
      </c>
      <c r="I156" s="59" t="str">
        <f t="shared" si="11"/>
        <v/>
      </c>
    </row>
    <row r="157" spans="6:9" x14ac:dyDescent="0.4">
      <c r="F157" s="68" t="str">
        <f t="shared" si="9"/>
        <v/>
      </c>
      <c r="G157" s="68" t="str">
        <f t="shared" si="10"/>
        <v/>
      </c>
      <c r="H157" s="59" t="str">
        <f>IF(B157="","",CONCATENATE(TEXT(Horarios!$B157,"hh:mm"),"-",TEXT(Horarios!$E157,"hh:mm")))</f>
        <v/>
      </c>
      <c r="I157" s="59" t="str">
        <f t="shared" si="11"/>
        <v/>
      </c>
    </row>
    <row r="158" spans="6:9" x14ac:dyDescent="0.4">
      <c r="F158" s="68" t="str">
        <f t="shared" si="9"/>
        <v/>
      </c>
      <c r="G158" s="68" t="str">
        <f t="shared" si="10"/>
        <v/>
      </c>
      <c r="H158" s="59" t="str">
        <f>IF(B158="","",CONCATENATE(TEXT(Horarios!$B158,"hh:mm"),"-",TEXT(Horarios!$E158,"hh:mm")))</f>
        <v/>
      </c>
      <c r="I158" s="59" t="str">
        <f t="shared" si="11"/>
        <v/>
      </c>
    </row>
    <row r="159" spans="6:9" x14ac:dyDescent="0.4">
      <c r="F159" s="68" t="str">
        <f t="shared" si="9"/>
        <v/>
      </c>
      <c r="G159" s="68" t="str">
        <f t="shared" si="10"/>
        <v/>
      </c>
      <c r="H159" s="59" t="str">
        <f>IF(B159="","",CONCATENATE(TEXT(Horarios!$B159,"hh:mm"),"-",TEXT(Horarios!$E159,"hh:mm")))</f>
        <v/>
      </c>
      <c r="I159" s="59" t="str">
        <f t="shared" si="11"/>
        <v/>
      </c>
    </row>
    <row r="160" spans="6:9" x14ac:dyDescent="0.4">
      <c r="F160" s="68" t="str">
        <f t="shared" si="9"/>
        <v/>
      </c>
      <c r="G160" s="68" t="str">
        <f t="shared" si="10"/>
        <v/>
      </c>
      <c r="H160" s="59" t="str">
        <f>IF(B160="","",CONCATENATE(TEXT(Horarios!$B160,"hh:mm"),"-",TEXT(Horarios!$E160,"hh:mm")))</f>
        <v/>
      </c>
      <c r="I160" s="59" t="str">
        <f t="shared" si="11"/>
        <v/>
      </c>
    </row>
    <row r="161" spans="6:9" x14ac:dyDescent="0.4">
      <c r="F161" s="68" t="str">
        <f t="shared" si="9"/>
        <v/>
      </c>
      <c r="G161" s="68" t="str">
        <f t="shared" si="10"/>
        <v/>
      </c>
      <c r="H161" s="59" t="str">
        <f>IF(B161="","",CONCATENATE(TEXT(Horarios!$B161,"hh:mm"),"-",TEXT(Horarios!$E161,"hh:mm")))</f>
        <v/>
      </c>
      <c r="I161" s="59" t="str">
        <f t="shared" si="11"/>
        <v/>
      </c>
    </row>
    <row r="162" spans="6:9" x14ac:dyDescent="0.4">
      <c r="F162" s="68" t="str">
        <f t="shared" si="9"/>
        <v/>
      </c>
      <c r="G162" s="68" t="str">
        <f t="shared" si="10"/>
        <v/>
      </c>
      <c r="H162" s="59" t="str">
        <f>IF(B162="","",CONCATENATE(TEXT(Horarios!$B162,"hh:mm"),"-",TEXT(Horarios!$E162,"hh:mm")))</f>
        <v/>
      </c>
      <c r="I162" s="59" t="str">
        <f t="shared" si="11"/>
        <v/>
      </c>
    </row>
    <row r="163" spans="6:9" x14ac:dyDescent="0.4">
      <c r="F163" s="68" t="str">
        <f t="shared" si="9"/>
        <v/>
      </c>
      <c r="G163" s="68" t="str">
        <f t="shared" si="10"/>
        <v/>
      </c>
      <c r="H163" s="59" t="str">
        <f>IF(B163="","",CONCATENATE(TEXT(Horarios!$B163,"hh:mm"),"-",TEXT(Horarios!$E163,"hh:mm")))</f>
        <v/>
      </c>
      <c r="I163" s="59" t="str">
        <f t="shared" si="11"/>
        <v/>
      </c>
    </row>
    <row r="164" spans="6:9" x14ac:dyDescent="0.4">
      <c r="F164" s="68" t="str">
        <f t="shared" si="9"/>
        <v/>
      </c>
      <c r="G164" s="68" t="str">
        <f t="shared" si="10"/>
        <v/>
      </c>
      <c r="H164" s="59" t="str">
        <f>IF(B164="","",CONCATENATE(TEXT(Horarios!$B164,"hh:mm"),"-",TEXT(Horarios!$E164,"hh:mm")))</f>
        <v/>
      </c>
      <c r="I164" s="59" t="str">
        <f t="shared" si="11"/>
        <v/>
      </c>
    </row>
    <row r="165" spans="6:9" x14ac:dyDescent="0.4">
      <c r="F165" s="68" t="str">
        <f t="shared" si="9"/>
        <v/>
      </c>
      <c r="G165" s="68" t="str">
        <f t="shared" si="10"/>
        <v/>
      </c>
      <c r="H165" s="59" t="str">
        <f>IF(B165="","",CONCATENATE(TEXT(Horarios!$B165,"hh:mm"),"-",TEXT(Horarios!$E165,"hh:mm")))</f>
        <v/>
      </c>
      <c r="I165" s="59" t="str">
        <f t="shared" si="11"/>
        <v/>
      </c>
    </row>
    <row r="166" spans="6:9" x14ac:dyDescent="0.4">
      <c r="F166" s="68" t="str">
        <f t="shared" si="9"/>
        <v/>
      </c>
      <c r="G166" s="68" t="str">
        <f t="shared" si="10"/>
        <v/>
      </c>
      <c r="H166" s="59" t="str">
        <f>IF(B166="","",CONCATENATE(TEXT(Horarios!$B166,"hh:mm"),"-",TEXT(Horarios!$E166,"hh:mm")))</f>
        <v/>
      </c>
      <c r="I166" s="59" t="str">
        <f t="shared" si="11"/>
        <v/>
      </c>
    </row>
    <row r="167" spans="6:9" x14ac:dyDescent="0.4">
      <c r="F167" s="68" t="str">
        <f t="shared" si="9"/>
        <v/>
      </c>
      <c r="G167" s="68" t="str">
        <f t="shared" si="10"/>
        <v/>
      </c>
      <c r="H167" s="59" t="str">
        <f>IF(B167="","",CONCATENATE(TEXT(Horarios!$B167,"hh:mm"),"-",TEXT(Horarios!$E167,"hh:mm")))</f>
        <v/>
      </c>
      <c r="I167" s="59" t="str">
        <f t="shared" si="11"/>
        <v/>
      </c>
    </row>
    <row r="168" spans="6:9" x14ac:dyDescent="0.4">
      <c r="F168" s="68" t="str">
        <f t="shared" si="9"/>
        <v/>
      </c>
      <c r="G168" s="68" t="str">
        <f t="shared" si="10"/>
        <v/>
      </c>
      <c r="H168" s="59" t="str">
        <f>IF(B168="","",CONCATENATE(TEXT(Horarios!$B168,"hh:mm"),"-",TEXT(Horarios!$E168,"hh:mm")))</f>
        <v/>
      </c>
      <c r="I168" s="59" t="str">
        <f t="shared" si="11"/>
        <v/>
      </c>
    </row>
    <row r="169" spans="6:9" x14ac:dyDescent="0.4">
      <c r="F169" s="68" t="str">
        <f t="shared" si="9"/>
        <v/>
      </c>
      <c r="G169" s="68" t="str">
        <f t="shared" si="10"/>
        <v/>
      </c>
      <c r="H169" s="59" t="str">
        <f>IF(B169="","",CONCATENATE(TEXT(Horarios!$B169,"hh:mm"),"-",TEXT(Horarios!$E169,"hh:mm")))</f>
        <v/>
      </c>
      <c r="I169" s="59" t="str">
        <f t="shared" si="11"/>
        <v/>
      </c>
    </row>
    <row r="170" spans="6:9" x14ac:dyDescent="0.4">
      <c r="F170" s="68" t="str">
        <f t="shared" si="9"/>
        <v/>
      </c>
      <c r="G170" s="68" t="str">
        <f t="shared" si="10"/>
        <v/>
      </c>
      <c r="H170" s="59" t="str">
        <f>IF(B170="","",CONCATENATE(TEXT(Horarios!$B170,"hh:mm"),"-",TEXT(Horarios!$E170,"hh:mm")))</f>
        <v/>
      </c>
      <c r="I170" s="59" t="str">
        <f t="shared" si="11"/>
        <v/>
      </c>
    </row>
    <row r="171" spans="6:9" x14ac:dyDescent="0.4">
      <c r="F171" s="68" t="str">
        <f t="shared" si="9"/>
        <v/>
      </c>
      <c r="G171" s="68" t="str">
        <f t="shared" si="10"/>
        <v/>
      </c>
      <c r="H171" s="59" t="str">
        <f>IF(B171="","",CONCATENATE(TEXT(Horarios!$B171,"hh:mm"),"-",TEXT(Horarios!$E171,"hh:mm")))</f>
        <v/>
      </c>
      <c r="I171" s="59" t="str">
        <f t="shared" si="11"/>
        <v/>
      </c>
    </row>
    <row r="172" spans="6:9" x14ac:dyDescent="0.4">
      <c r="F172" s="68" t="str">
        <f t="shared" si="9"/>
        <v/>
      </c>
      <c r="G172" s="68" t="str">
        <f t="shared" si="10"/>
        <v/>
      </c>
      <c r="H172" s="59" t="str">
        <f>IF(B172="","",CONCATENATE(TEXT(Horarios!$B172,"hh:mm"),"-",TEXT(Horarios!$E172,"hh:mm")))</f>
        <v/>
      </c>
      <c r="I172" s="59" t="str">
        <f t="shared" si="11"/>
        <v/>
      </c>
    </row>
    <row r="173" spans="6:9" x14ac:dyDescent="0.4">
      <c r="F173" s="68" t="str">
        <f t="shared" si="9"/>
        <v/>
      </c>
      <c r="G173" s="68" t="str">
        <f t="shared" si="10"/>
        <v/>
      </c>
      <c r="H173" s="59" t="str">
        <f>IF(B173="","",CONCATENATE(TEXT(Horarios!$B173,"hh:mm"),"-",TEXT(Horarios!$E173,"hh:mm")))</f>
        <v/>
      </c>
      <c r="I173" s="59" t="str">
        <f t="shared" si="11"/>
        <v/>
      </c>
    </row>
    <row r="174" spans="6:9" x14ac:dyDescent="0.4">
      <c r="F174" s="68" t="str">
        <f t="shared" si="9"/>
        <v/>
      </c>
      <c r="G174" s="68" t="str">
        <f t="shared" si="10"/>
        <v/>
      </c>
      <c r="H174" s="59" t="str">
        <f>IF(B174="","",CONCATENATE(TEXT(Horarios!$B174,"hh:mm"),"-",TEXT(Horarios!$E174,"hh:mm")))</f>
        <v/>
      </c>
      <c r="I174" s="59" t="str">
        <f t="shared" si="11"/>
        <v/>
      </c>
    </row>
    <row r="175" spans="6:9" x14ac:dyDescent="0.4">
      <c r="F175" s="68" t="str">
        <f t="shared" si="9"/>
        <v/>
      </c>
      <c r="G175" s="68" t="str">
        <f t="shared" si="10"/>
        <v/>
      </c>
      <c r="H175" s="59" t="str">
        <f>IF(B175="","",CONCATENATE(TEXT(Horarios!$B175,"hh:mm"),"-",TEXT(Horarios!$E175,"hh:mm")))</f>
        <v/>
      </c>
      <c r="I175" s="59" t="str">
        <f t="shared" si="11"/>
        <v/>
      </c>
    </row>
    <row r="176" spans="6:9" x14ac:dyDescent="0.4">
      <c r="F176" s="68" t="str">
        <f t="shared" si="9"/>
        <v/>
      </c>
      <c r="G176" s="68" t="str">
        <f t="shared" si="10"/>
        <v/>
      </c>
      <c r="H176" s="59" t="str">
        <f>IF(B176="","",CONCATENATE(TEXT(Horarios!$B176,"hh:mm"),"-",TEXT(Horarios!$E176,"hh:mm")))</f>
        <v/>
      </c>
      <c r="I176" s="59" t="str">
        <f t="shared" si="11"/>
        <v/>
      </c>
    </row>
    <row r="177" spans="6:9" x14ac:dyDescent="0.4">
      <c r="F177" s="68" t="str">
        <f t="shared" si="9"/>
        <v/>
      </c>
      <c r="G177" s="68" t="str">
        <f t="shared" si="10"/>
        <v/>
      </c>
      <c r="H177" s="59" t="str">
        <f>IF(B177="","",CONCATENATE(TEXT(Horarios!$B177,"hh:mm"),"-",TEXT(Horarios!$E177,"hh:mm")))</f>
        <v/>
      </c>
      <c r="I177" s="59" t="str">
        <f t="shared" si="11"/>
        <v/>
      </c>
    </row>
    <row r="178" spans="6:9" x14ac:dyDescent="0.4">
      <c r="F178" s="68" t="str">
        <f t="shared" si="9"/>
        <v/>
      </c>
      <c r="G178" s="68" t="str">
        <f t="shared" si="10"/>
        <v/>
      </c>
      <c r="H178" s="59" t="str">
        <f>IF(B178="","",CONCATENATE(TEXT(Horarios!$B178,"hh:mm"),"-",TEXT(Horarios!$E178,"hh:mm")))</f>
        <v/>
      </c>
      <c r="I178" s="59" t="str">
        <f t="shared" si="11"/>
        <v/>
      </c>
    </row>
    <row r="179" spans="6:9" x14ac:dyDescent="0.4">
      <c r="F179" s="68" t="str">
        <f t="shared" si="9"/>
        <v/>
      </c>
      <c r="G179" s="68" t="str">
        <f t="shared" si="10"/>
        <v/>
      </c>
      <c r="H179" s="59" t="str">
        <f>IF(B179="","",CONCATENATE(TEXT(Horarios!$B179,"hh:mm"),"-",TEXT(Horarios!$E179,"hh:mm")))</f>
        <v/>
      </c>
      <c r="I179" s="59" t="str">
        <f t="shared" si="11"/>
        <v/>
      </c>
    </row>
    <row r="180" spans="6:9" x14ac:dyDescent="0.4">
      <c r="F180" s="68" t="str">
        <f t="shared" si="9"/>
        <v/>
      </c>
      <c r="G180" s="68" t="str">
        <f t="shared" si="10"/>
        <v/>
      </c>
      <c r="H180" s="59" t="str">
        <f>IF(B180="","",CONCATENATE(TEXT(Horarios!$B180,"hh:mm"),"-",TEXT(Horarios!$E180,"hh:mm")))</f>
        <v/>
      </c>
      <c r="I180" s="59" t="str">
        <f t="shared" si="11"/>
        <v/>
      </c>
    </row>
    <row r="181" spans="6:9" x14ac:dyDescent="0.4">
      <c r="F181" s="68" t="str">
        <f t="shared" si="9"/>
        <v/>
      </c>
      <c r="G181" s="68" t="str">
        <f t="shared" si="10"/>
        <v/>
      </c>
      <c r="H181" s="59" t="str">
        <f>IF(B181="","",CONCATENATE(TEXT(Horarios!$B181,"hh:mm"),"-",TEXT(Horarios!$E181,"hh:mm")))</f>
        <v/>
      </c>
      <c r="I181" s="59" t="str">
        <f t="shared" si="11"/>
        <v/>
      </c>
    </row>
    <row r="182" spans="6:9" x14ac:dyDescent="0.4">
      <c r="F182" s="68" t="str">
        <f t="shared" si="9"/>
        <v/>
      </c>
      <c r="G182" s="68" t="str">
        <f t="shared" si="10"/>
        <v/>
      </c>
      <c r="H182" s="59" t="str">
        <f>IF(B182="","",CONCATENATE(TEXT(Horarios!$B182,"hh:mm"),"-",TEXT(Horarios!$E182,"hh:mm")))</f>
        <v/>
      </c>
      <c r="I182" s="59" t="str">
        <f t="shared" si="11"/>
        <v/>
      </c>
    </row>
    <row r="183" spans="6:9" x14ac:dyDescent="0.4">
      <c r="F183" s="68" t="str">
        <f t="shared" si="9"/>
        <v/>
      </c>
      <c r="G183" s="68" t="str">
        <f t="shared" si="10"/>
        <v/>
      </c>
      <c r="H183" s="59" t="str">
        <f>IF(B183="","",CONCATENATE(TEXT(Horarios!$B183,"hh:mm"),"-",TEXT(Horarios!$E183,"hh:mm")))</f>
        <v/>
      </c>
      <c r="I183" s="59" t="str">
        <f t="shared" si="11"/>
        <v/>
      </c>
    </row>
    <row r="184" spans="6:9" x14ac:dyDescent="0.4">
      <c r="F184" s="68" t="str">
        <f t="shared" si="9"/>
        <v/>
      </c>
      <c r="G184" s="68" t="str">
        <f t="shared" si="10"/>
        <v/>
      </c>
      <c r="H184" s="59" t="str">
        <f>IF(B184="","",CONCATENATE(TEXT(Horarios!$B184,"hh:mm"),"-",TEXT(Horarios!$E184,"hh:mm")))</f>
        <v/>
      </c>
      <c r="I184" s="59" t="str">
        <f t="shared" si="11"/>
        <v/>
      </c>
    </row>
    <row r="185" spans="6:9" x14ac:dyDescent="0.4">
      <c r="F185" s="68" t="str">
        <f t="shared" si="9"/>
        <v/>
      </c>
      <c r="G185" s="68" t="str">
        <f t="shared" si="10"/>
        <v/>
      </c>
      <c r="H185" s="59" t="str">
        <f>IF(B185="","",CONCATENATE(TEXT(Horarios!$B185,"hh:mm"),"-",TEXT(Horarios!$E185,"hh:mm")))</f>
        <v/>
      </c>
      <c r="I185" s="59" t="str">
        <f t="shared" si="11"/>
        <v/>
      </c>
    </row>
    <row r="186" spans="6:9" x14ac:dyDescent="0.4">
      <c r="F186" s="68" t="str">
        <f t="shared" si="9"/>
        <v/>
      </c>
      <c r="G186" s="68" t="str">
        <f t="shared" si="10"/>
        <v/>
      </c>
      <c r="H186" s="59" t="str">
        <f>IF(B186="","",CONCATENATE(TEXT(Horarios!$B186,"hh:mm"),"-",TEXT(Horarios!$E186,"hh:mm")))</f>
        <v/>
      </c>
      <c r="I186" s="59" t="str">
        <f t="shared" si="11"/>
        <v/>
      </c>
    </row>
    <row r="187" spans="6:9" x14ac:dyDescent="0.4">
      <c r="F187" s="68" t="str">
        <f t="shared" si="9"/>
        <v/>
      </c>
      <c r="G187" s="68" t="str">
        <f t="shared" si="10"/>
        <v/>
      </c>
      <c r="H187" s="59" t="str">
        <f>IF(B187="","",CONCATENATE(TEXT(Horarios!$B187,"hh:mm"),"-",TEXT(Horarios!$E187,"hh:mm")))</f>
        <v/>
      </c>
      <c r="I187" s="59" t="str">
        <f t="shared" si="11"/>
        <v/>
      </c>
    </row>
    <row r="188" spans="6:9" x14ac:dyDescent="0.4">
      <c r="F188" s="68" t="str">
        <f t="shared" si="9"/>
        <v/>
      </c>
      <c r="G188" s="68" t="str">
        <f t="shared" si="10"/>
        <v/>
      </c>
      <c r="H188" s="59" t="str">
        <f>IF(B188="","",CONCATENATE(TEXT(Horarios!$B188,"hh:mm"),"-",TEXT(Horarios!$E188,"hh:mm")))</f>
        <v/>
      </c>
      <c r="I188" s="59" t="str">
        <f t="shared" si="11"/>
        <v/>
      </c>
    </row>
    <row r="189" spans="6:9" x14ac:dyDescent="0.4">
      <c r="F189" s="68" t="str">
        <f t="shared" si="9"/>
        <v/>
      </c>
      <c r="G189" s="68" t="str">
        <f t="shared" si="10"/>
        <v/>
      </c>
      <c r="H189" s="59" t="str">
        <f>IF(B189="","",CONCATENATE(TEXT(Horarios!$B189,"hh:mm"),"-",TEXT(Horarios!$E189,"hh:mm")))</f>
        <v/>
      </c>
      <c r="I189" s="59" t="str">
        <f t="shared" si="11"/>
        <v/>
      </c>
    </row>
    <row r="190" spans="6:9" x14ac:dyDescent="0.4">
      <c r="F190" s="68" t="str">
        <f t="shared" si="9"/>
        <v/>
      </c>
      <c r="G190" s="68" t="str">
        <f t="shared" si="10"/>
        <v/>
      </c>
      <c r="H190" s="59" t="str">
        <f>IF(B190="","",CONCATENATE(TEXT(Horarios!$B190,"hh:mm"),"-",TEXT(Horarios!$E190,"hh:mm")))</f>
        <v/>
      </c>
      <c r="I190" s="59" t="str">
        <f t="shared" si="11"/>
        <v/>
      </c>
    </row>
    <row r="191" spans="6:9" x14ac:dyDescent="0.4">
      <c r="F191" s="68" t="str">
        <f t="shared" si="9"/>
        <v/>
      </c>
      <c r="G191" s="68" t="str">
        <f t="shared" si="10"/>
        <v/>
      </c>
      <c r="H191" s="59" t="str">
        <f>IF(B191="","",CONCATENATE(TEXT(Horarios!$B191,"hh:mm"),"-",TEXT(Horarios!$E191,"hh:mm")))</f>
        <v/>
      </c>
      <c r="I191" s="59" t="str">
        <f t="shared" si="11"/>
        <v/>
      </c>
    </row>
    <row r="192" spans="6:9" x14ac:dyDescent="0.4">
      <c r="F192" s="68" t="str">
        <f t="shared" si="9"/>
        <v/>
      </c>
      <c r="G192" s="68" t="str">
        <f t="shared" si="10"/>
        <v/>
      </c>
      <c r="H192" s="59" t="str">
        <f>IF(B192="","",CONCATENATE(TEXT(Horarios!$B192,"hh:mm"),"-",TEXT(Horarios!$E192,"hh:mm")))</f>
        <v/>
      </c>
      <c r="I192" s="59" t="str">
        <f t="shared" si="11"/>
        <v/>
      </c>
    </row>
    <row r="193" spans="6:9" x14ac:dyDescent="0.4">
      <c r="F193" s="68" t="str">
        <f t="shared" si="9"/>
        <v/>
      </c>
      <c r="G193" s="68" t="str">
        <f t="shared" si="10"/>
        <v/>
      </c>
      <c r="H193" s="59" t="str">
        <f>IF(B193="","",CONCATENATE(TEXT(Horarios!$B193,"hh:mm"),"-",TEXT(Horarios!$E193,"hh:mm")))</f>
        <v/>
      </c>
      <c r="I193" s="59" t="str">
        <f t="shared" si="11"/>
        <v/>
      </c>
    </row>
    <row r="194" spans="6:9" x14ac:dyDescent="0.4">
      <c r="F194" s="68" t="str">
        <f t="shared" si="9"/>
        <v/>
      </c>
      <c r="G194" s="68" t="str">
        <f t="shared" si="10"/>
        <v/>
      </c>
      <c r="H194" s="59" t="str">
        <f>IF(B194="","",CONCATENATE(TEXT(Horarios!$B194,"hh:mm"),"-",TEXT(Horarios!$E194,"hh:mm")))</f>
        <v/>
      </c>
      <c r="I194" s="59" t="str">
        <f t="shared" si="11"/>
        <v/>
      </c>
    </row>
    <row r="195" spans="6:9" x14ac:dyDescent="0.4">
      <c r="F195" s="68" t="str">
        <f t="shared" si="9"/>
        <v/>
      </c>
      <c r="G195" s="68" t="str">
        <f t="shared" si="10"/>
        <v/>
      </c>
      <c r="H195" s="59" t="str">
        <f>IF(B195="","",CONCATENATE(TEXT(Horarios!$B195,"hh:mm"),"-",TEXT(Horarios!$E195,"hh:mm")))</f>
        <v/>
      </c>
      <c r="I195" s="59" t="str">
        <f t="shared" si="11"/>
        <v/>
      </c>
    </row>
    <row r="196" spans="6:9" x14ac:dyDescent="0.4">
      <c r="F196" s="68" t="str">
        <f t="shared" si="9"/>
        <v/>
      </c>
      <c r="G196" s="68" t="str">
        <f t="shared" si="10"/>
        <v/>
      </c>
      <c r="H196" s="59" t="str">
        <f>IF(B196="","",CONCATENATE(TEXT(Horarios!$B196,"hh:mm"),"-",TEXT(Horarios!$E196,"hh:mm")))</f>
        <v/>
      </c>
      <c r="I196" s="59" t="str">
        <f t="shared" si="11"/>
        <v/>
      </c>
    </row>
    <row r="197" spans="6:9" x14ac:dyDescent="0.4">
      <c r="F197" s="68" t="str">
        <f t="shared" si="9"/>
        <v/>
      </c>
      <c r="G197" s="68" t="str">
        <f t="shared" si="10"/>
        <v/>
      </c>
      <c r="H197" s="59" t="str">
        <f>IF(B197="","",CONCATENATE(TEXT(Horarios!$B197,"hh:mm"),"-",TEXT(Horarios!$E197,"hh:mm")))</f>
        <v/>
      </c>
      <c r="I197" s="59" t="str">
        <f t="shared" si="11"/>
        <v/>
      </c>
    </row>
    <row r="198" spans="6:9" x14ac:dyDescent="0.4">
      <c r="F198" s="68" t="str">
        <f t="shared" si="9"/>
        <v/>
      </c>
      <c r="G198" s="68" t="str">
        <f t="shared" si="10"/>
        <v/>
      </c>
      <c r="H198" s="59" t="str">
        <f>IF(B198="","",CONCATENATE(TEXT(Horarios!$B198,"hh:mm"),"-",TEXT(Horarios!$E198,"hh:mm")))</f>
        <v/>
      </c>
      <c r="I198" s="59" t="str">
        <f t="shared" si="11"/>
        <v/>
      </c>
    </row>
    <row r="199" spans="6:9" x14ac:dyDescent="0.4">
      <c r="F199" s="68" t="str">
        <f t="shared" si="9"/>
        <v/>
      </c>
      <c r="G199" s="68" t="str">
        <f t="shared" si="10"/>
        <v/>
      </c>
      <c r="H199" s="59" t="str">
        <f>IF(B199="","",CONCATENATE(TEXT(Horarios!$B199,"hh:mm"),"-",TEXT(Horarios!$E199,"hh:mm")))</f>
        <v/>
      </c>
      <c r="I199" s="59" t="str">
        <f t="shared" si="11"/>
        <v/>
      </c>
    </row>
    <row r="200" spans="6:9" x14ac:dyDescent="0.4">
      <c r="F200" s="68" t="str">
        <f t="shared" si="9"/>
        <v/>
      </c>
      <c r="G200" s="68" t="str">
        <f t="shared" si="10"/>
        <v/>
      </c>
      <c r="H200" s="59" t="str">
        <f>IF(B200="","",CONCATENATE(TEXT(Horarios!$B200,"hh:mm"),"-",TEXT(Horarios!$E200,"hh:mm")))</f>
        <v/>
      </c>
      <c r="I200" s="59" t="str">
        <f t="shared" si="11"/>
        <v/>
      </c>
    </row>
    <row r="201" spans="6:9" x14ac:dyDescent="0.4">
      <c r="F201" s="68" t="str">
        <f t="shared" si="9"/>
        <v/>
      </c>
      <c r="G201" s="68" t="str">
        <f t="shared" si="10"/>
        <v/>
      </c>
      <c r="H201" s="59" t="str">
        <f>IF(B201="","",CONCATENATE(TEXT(Horarios!$B201,"hh:mm"),"-",TEXT(Horarios!$E201,"hh:mm")))</f>
        <v/>
      </c>
      <c r="I201" s="59" t="str">
        <f t="shared" si="11"/>
        <v/>
      </c>
    </row>
    <row r="202" spans="6:9" x14ac:dyDescent="0.4">
      <c r="F202" s="68" t="str">
        <f t="shared" si="9"/>
        <v/>
      </c>
      <c r="G202" s="68" t="str">
        <f t="shared" si="10"/>
        <v/>
      </c>
      <c r="H202" s="59" t="str">
        <f>IF(B202="","",CONCATENATE(TEXT(Horarios!$B202,"hh:mm"),"-",TEXT(Horarios!$E202,"hh:mm")))</f>
        <v/>
      </c>
      <c r="I202" s="59" t="str">
        <f t="shared" si="11"/>
        <v/>
      </c>
    </row>
    <row r="203" spans="6:9" x14ac:dyDescent="0.4">
      <c r="F203" s="68" t="str">
        <f t="shared" si="9"/>
        <v/>
      </c>
      <c r="G203" s="68" t="str">
        <f t="shared" si="10"/>
        <v/>
      </c>
      <c r="H203" s="59" t="str">
        <f>IF(B203="","",CONCATENATE(TEXT(Horarios!$B203,"hh:mm"),"-",TEXT(Horarios!$E203,"hh:mm")))</f>
        <v/>
      </c>
      <c r="I203" s="59" t="str">
        <f t="shared" si="11"/>
        <v/>
      </c>
    </row>
    <row r="204" spans="6:9" x14ac:dyDescent="0.4">
      <c r="F204" s="68" t="str">
        <f t="shared" ref="F204:F267" si="12">IF(B204="","",D204-C204)</f>
        <v/>
      </c>
      <c r="G204" s="68" t="str">
        <f t="shared" ref="G204:G267" si="13">IF(B204="","",MOD(E204-B204+24,1))</f>
        <v/>
      </c>
      <c r="H204" s="59" t="str">
        <f>IF(B204="","",CONCATENATE(TEXT(Horarios!$B204,"hh:mm"),"-",TEXT(Horarios!$E204,"hh:mm")))</f>
        <v/>
      </c>
      <c r="I204" s="59" t="str">
        <f t="shared" ref="I204:I267" si="14">IF(B204="","",G204-F204)</f>
        <v/>
      </c>
    </row>
    <row r="205" spans="6:9" x14ac:dyDescent="0.4">
      <c r="F205" s="68" t="str">
        <f t="shared" si="12"/>
        <v/>
      </c>
      <c r="G205" s="68" t="str">
        <f t="shared" si="13"/>
        <v/>
      </c>
      <c r="H205" s="59" t="str">
        <f>IF(B205="","",CONCATENATE(TEXT(Horarios!$B205,"hh:mm"),"-",TEXT(Horarios!$E205,"hh:mm")))</f>
        <v/>
      </c>
      <c r="I205" s="59" t="str">
        <f t="shared" si="14"/>
        <v/>
      </c>
    </row>
    <row r="206" spans="6:9" x14ac:dyDescent="0.4">
      <c r="F206" s="68" t="str">
        <f t="shared" si="12"/>
        <v/>
      </c>
      <c r="G206" s="68" t="str">
        <f t="shared" si="13"/>
        <v/>
      </c>
      <c r="H206" s="59" t="str">
        <f>IF(B206="","",CONCATENATE(TEXT(Horarios!$B206,"hh:mm"),"-",TEXT(Horarios!$E206,"hh:mm")))</f>
        <v/>
      </c>
      <c r="I206" s="59" t="str">
        <f t="shared" si="14"/>
        <v/>
      </c>
    </row>
    <row r="207" spans="6:9" x14ac:dyDescent="0.4">
      <c r="F207" s="68" t="str">
        <f t="shared" si="12"/>
        <v/>
      </c>
      <c r="G207" s="68" t="str">
        <f t="shared" si="13"/>
        <v/>
      </c>
      <c r="H207" s="59" t="str">
        <f>IF(B207="","",CONCATENATE(TEXT(Horarios!$B207,"hh:mm"),"-",TEXT(Horarios!$E207,"hh:mm")))</f>
        <v/>
      </c>
      <c r="I207" s="59" t="str">
        <f t="shared" si="14"/>
        <v/>
      </c>
    </row>
    <row r="208" spans="6:9" x14ac:dyDescent="0.4">
      <c r="F208" s="68" t="str">
        <f t="shared" si="12"/>
        <v/>
      </c>
      <c r="G208" s="68" t="str">
        <f t="shared" si="13"/>
        <v/>
      </c>
      <c r="H208" s="59" t="str">
        <f>IF(B208="","",CONCATENATE(TEXT(Horarios!$B208,"hh:mm"),"-",TEXT(Horarios!$E208,"hh:mm")))</f>
        <v/>
      </c>
      <c r="I208" s="59" t="str">
        <f t="shared" si="14"/>
        <v/>
      </c>
    </row>
    <row r="209" spans="6:9" x14ac:dyDescent="0.4">
      <c r="F209" s="68" t="str">
        <f t="shared" si="12"/>
        <v/>
      </c>
      <c r="G209" s="68" t="str">
        <f t="shared" si="13"/>
        <v/>
      </c>
      <c r="H209" s="59" t="str">
        <f>IF(B209="","",CONCATENATE(TEXT(Horarios!$B209,"hh:mm"),"-",TEXT(Horarios!$E209,"hh:mm")))</f>
        <v/>
      </c>
      <c r="I209" s="59" t="str">
        <f t="shared" si="14"/>
        <v/>
      </c>
    </row>
    <row r="210" spans="6:9" x14ac:dyDescent="0.4">
      <c r="F210" s="68" t="str">
        <f t="shared" si="12"/>
        <v/>
      </c>
      <c r="G210" s="68" t="str">
        <f t="shared" si="13"/>
        <v/>
      </c>
      <c r="H210" s="59" t="str">
        <f>IF(B210="","",CONCATENATE(TEXT(Horarios!$B210,"hh:mm"),"-",TEXT(Horarios!$E210,"hh:mm")))</f>
        <v/>
      </c>
      <c r="I210" s="59" t="str">
        <f t="shared" si="14"/>
        <v/>
      </c>
    </row>
    <row r="211" spans="6:9" x14ac:dyDescent="0.4">
      <c r="F211" s="68" t="str">
        <f t="shared" si="12"/>
        <v/>
      </c>
      <c r="G211" s="68" t="str">
        <f t="shared" si="13"/>
        <v/>
      </c>
      <c r="H211" s="59" t="str">
        <f>IF(B211="","",CONCATENATE(TEXT(Horarios!$B211,"hh:mm"),"-",TEXT(Horarios!$E211,"hh:mm")))</f>
        <v/>
      </c>
      <c r="I211" s="59" t="str">
        <f t="shared" si="14"/>
        <v/>
      </c>
    </row>
    <row r="212" spans="6:9" x14ac:dyDescent="0.4">
      <c r="F212" s="68" t="str">
        <f t="shared" si="12"/>
        <v/>
      </c>
      <c r="G212" s="68" t="str">
        <f t="shared" si="13"/>
        <v/>
      </c>
      <c r="H212" s="59" t="str">
        <f>IF(B212="","",CONCATENATE(TEXT(Horarios!$B212,"hh:mm"),"-",TEXT(Horarios!$E212,"hh:mm")))</f>
        <v/>
      </c>
      <c r="I212" s="59" t="str">
        <f t="shared" si="14"/>
        <v/>
      </c>
    </row>
    <row r="213" spans="6:9" x14ac:dyDescent="0.4">
      <c r="F213" s="68" t="str">
        <f t="shared" si="12"/>
        <v/>
      </c>
      <c r="G213" s="68" t="str">
        <f t="shared" si="13"/>
        <v/>
      </c>
      <c r="H213" s="59" t="str">
        <f>IF(B213="","",CONCATENATE(TEXT(Horarios!$B213,"hh:mm"),"-",TEXT(Horarios!$E213,"hh:mm")))</f>
        <v/>
      </c>
      <c r="I213" s="59" t="str">
        <f t="shared" si="14"/>
        <v/>
      </c>
    </row>
    <row r="214" spans="6:9" x14ac:dyDescent="0.4">
      <c r="F214" s="68" t="str">
        <f t="shared" si="12"/>
        <v/>
      </c>
      <c r="G214" s="68" t="str">
        <f t="shared" si="13"/>
        <v/>
      </c>
      <c r="H214" s="59" t="str">
        <f>IF(B214="","",CONCATENATE(TEXT(Horarios!$B214,"hh:mm"),"-",TEXT(Horarios!$E214,"hh:mm")))</f>
        <v/>
      </c>
      <c r="I214" s="59" t="str">
        <f t="shared" si="14"/>
        <v/>
      </c>
    </row>
    <row r="215" spans="6:9" x14ac:dyDescent="0.4">
      <c r="F215" s="68" t="str">
        <f t="shared" si="12"/>
        <v/>
      </c>
      <c r="G215" s="68" t="str">
        <f t="shared" si="13"/>
        <v/>
      </c>
      <c r="H215" s="59" t="str">
        <f>IF(B215="","",CONCATENATE(TEXT(Horarios!$B215,"hh:mm"),"-",TEXT(Horarios!$E215,"hh:mm")))</f>
        <v/>
      </c>
      <c r="I215" s="59" t="str">
        <f t="shared" si="14"/>
        <v/>
      </c>
    </row>
    <row r="216" spans="6:9" x14ac:dyDescent="0.4">
      <c r="F216" s="68" t="str">
        <f t="shared" si="12"/>
        <v/>
      </c>
      <c r="G216" s="68" t="str">
        <f t="shared" si="13"/>
        <v/>
      </c>
      <c r="H216" s="59" t="str">
        <f>IF(B216="","",CONCATENATE(TEXT(Horarios!$B216,"hh:mm"),"-",TEXT(Horarios!$E216,"hh:mm")))</f>
        <v/>
      </c>
      <c r="I216" s="59" t="str">
        <f t="shared" si="14"/>
        <v/>
      </c>
    </row>
    <row r="217" spans="6:9" x14ac:dyDescent="0.4">
      <c r="F217" s="68" t="str">
        <f t="shared" si="12"/>
        <v/>
      </c>
      <c r="G217" s="68" t="str">
        <f t="shared" si="13"/>
        <v/>
      </c>
      <c r="H217" s="59" t="str">
        <f>IF(B217="","",CONCATENATE(TEXT(Horarios!$B217,"hh:mm"),"-",TEXT(Horarios!$E217,"hh:mm")))</f>
        <v/>
      </c>
      <c r="I217" s="59" t="str">
        <f t="shared" si="14"/>
        <v/>
      </c>
    </row>
    <row r="218" spans="6:9" x14ac:dyDescent="0.4">
      <c r="F218" s="68" t="str">
        <f t="shared" si="12"/>
        <v/>
      </c>
      <c r="G218" s="68" t="str">
        <f t="shared" si="13"/>
        <v/>
      </c>
      <c r="H218" s="59" t="str">
        <f>IF(B218="","",CONCATENATE(TEXT(Horarios!$B218,"hh:mm"),"-",TEXT(Horarios!$E218,"hh:mm")))</f>
        <v/>
      </c>
      <c r="I218" s="59" t="str">
        <f t="shared" si="14"/>
        <v/>
      </c>
    </row>
    <row r="219" spans="6:9" x14ac:dyDescent="0.4">
      <c r="F219" s="68" t="str">
        <f t="shared" si="12"/>
        <v/>
      </c>
      <c r="G219" s="68" t="str">
        <f t="shared" si="13"/>
        <v/>
      </c>
      <c r="H219" s="59" t="str">
        <f>IF(B219="","",CONCATENATE(TEXT(Horarios!$B219,"hh:mm"),"-",TEXT(Horarios!$E219,"hh:mm")))</f>
        <v/>
      </c>
      <c r="I219" s="59" t="str">
        <f t="shared" si="14"/>
        <v/>
      </c>
    </row>
    <row r="220" spans="6:9" x14ac:dyDescent="0.4">
      <c r="F220" s="68" t="str">
        <f t="shared" si="12"/>
        <v/>
      </c>
      <c r="G220" s="68" t="str">
        <f t="shared" si="13"/>
        <v/>
      </c>
      <c r="H220" s="59" t="str">
        <f>IF(B220="","",CONCATENATE(TEXT(Horarios!$B220,"hh:mm"),"-",TEXT(Horarios!$E220,"hh:mm")))</f>
        <v/>
      </c>
      <c r="I220" s="59" t="str">
        <f t="shared" si="14"/>
        <v/>
      </c>
    </row>
    <row r="221" spans="6:9" x14ac:dyDescent="0.4">
      <c r="F221" s="68" t="str">
        <f t="shared" si="12"/>
        <v/>
      </c>
      <c r="G221" s="68" t="str">
        <f t="shared" si="13"/>
        <v/>
      </c>
      <c r="H221" s="59" t="str">
        <f>IF(B221="","",CONCATENATE(TEXT(Horarios!$B221,"hh:mm"),"-",TEXT(Horarios!$E221,"hh:mm")))</f>
        <v/>
      </c>
      <c r="I221" s="59" t="str">
        <f t="shared" si="14"/>
        <v/>
      </c>
    </row>
    <row r="222" spans="6:9" x14ac:dyDescent="0.4">
      <c r="F222" s="68" t="str">
        <f t="shared" si="12"/>
        <v/>
      </c>
      <c r="G222" s="68" t="str">
        <f t="shared" si="13"/>
        <v/>
      </c>
      <c r="H222" s="59" t="str">
        <f>IF(B222="","",CONCATENATE(TEXT(Horarios!$B222,"hh:mm"),"-",TEXT(Horarios!$E222,"hh:mm")))</f>
        <v/>
      </c>
      <c r="I222" s="59" t="str">
        <f t="shared" si="14"/>
        <v/>
      </c>
    </row>
    <row r="223" spans="6:9" x14ac:dyDescent="0.4">
      <c r="F223" s="68" t="str">
        <f t="shared" si="12"/>
        <v/>
      </c>
      <c r="G223" s="68" t="str">
        <f t="shared" si="13"/>
        <v/>
      </c>
      <c r="H223" s="59" t="str">
        <f>IF(B223="","",CONCATENATE(TEXT(Horarios!$B223,"hh:mm"),"-",TEXT(Horarios!$E223,"hh:mm")))</f>
        <v/>
      </c>
      <c r="I223" s="59" t="str">
        <f t="shared" si="14"/>
        <v/>
      </c>
    </row>
    <row r="224" spans="6:9" x14ac:dyDescent="0.4">
      <c r="F224" s="68" t="str">
        <f t="shared" si="12"/>
        <v/>
      </c>
      <c r="G224" s="68" t="str">
        <f t="shared" si="13"/>
        <v/>
      </c>
      <c r="H224" s="59" t="str">
        <f>IF(B224="","",CONCATENATE(TEXT(Horarios!$B224,"hh:mm"),"-",TEXT(Horarios!$E224,"hh:mm")))</f>
        <v/>
      </c>
      <c r="I224" s="59" t="str">
        <f t="shared" si="14"/>
        <v/>
      </c>
    </row>
    <row r="225" spans="6:9" x14ac:dyDescent="0.4">
      <c r="F225" s="68" t="str">
        <f t="shared" si="12"/>
        <v/>
      </c>
      <c r="G225" s="68" t="str">
        <f t="shared" si="13"/>
        <v/>
      </c>
      <c r="H225" s="59" t="str">
        <f>IF(B225="","",CONCATENATE(TEXT(Horarios!$B225,"hh:mm"),"-",TEXT(Horarios!$E225,"hh:mm")))</f>
        <v/>
      </c>
      <c r="I225" s="59" t="str">
        <f t="shared" si="14"/>
        <v/>
      </c>
    </row>
    <row r="226" spans="6:9" x14ac:dyDescent="0.4">
      <c r="F226" s="68" t="str">
        <f t="shared" si="12"/>
        <v/>
      </c>
      <c r="G226" s="68" t="str">
        <f t="shared" si="13"/>
        <v/>
      </c>
      <c r="H226" s="59" t="str">
        <f>IF(B226="","",CONCATENATE(TEXT(Horarios!$B226,"hh:mm"),"-",TEXT(Horarios!$E226,"hh:mm")))</f>
        <v/>
      </c>
      <c r="I226" s="59" t="str">
        <f t="shared" si="14"/>
        <v/>
      </c>
    </row>
    <row r="227" spans="6:9" x14ac:dyDescent="0.4">
      <c r="F227" s="68" t="str">
        <f t="shared" si="12"/>
        <v/>
      </c>
      <c r="G227" s="68" t="str">
        <f t="shared" si="13"/>
        <v/>
      </c>
      <c r="H227" s="59" t="str">
        <f>IF(B227="","",CONCATENATE(TEXT(Horarios!$B227,"hh:mm"),"-",TEXT(Horarios!$E227,"hh:mm")))</f>
        <v/>
      </c>
      <c r="I227" s="59" t="str">
        <f t="shared" si="14"/>
        <v/>
      </c>
    </row>
    <row r="228" spans="6:9" x14ac:dyDescent="0.4">
      <c r="F228" s="68" t="str">
        <f t="shared" si="12"/>
        <v/>
      </c>
      <c r="G228" s="68" t="str">
        <f t="shared" si="13"/>
        <v/>
      </c>
      <c r="H228" s="59" t="str">
        <f>IF(B228="","",CONCATENATE(TEXT(Horarios!$B228,"hh:mm"),"-",TEXT(Horarios!$E228,"hh:mm")))</f>
        <v/>
      </c>
      <c r="I228" s="59" t="str">
        <f t="shared" si="14"/>
        <v/>
      </c>
    </row>
    <row r="229" spans="6:9" x14ac:dyDescent="0.4">
      <c r="F229" s="68" t="str">
        <f t="shared" si="12"/>
        <v/>
      </c>
      <c r="G229" s="68" t="str">
        <f t="shared" si="13"/>
        <v/>
      </c>
      <c r="H229" s="59" t="str">
        <f>IF(B229="","",CONCATENATE(TEXT(Horarios!$B229,"hh:mm"),"-",TEXT(Horarios!$E229,"hh:mm")))</f>
        <v/>
      </c>
      <c r="I229" s="59" t="str">
        <f t="shared" si="14"/>
        <v/>
      </c>
    </row>
    <row r="230" spans="6:9" x14ac:dyDescent="0.4">
      <c r="F230" s="68" t="str">
        <f t="shared" si="12"/>
        <v/>
      </c>
      <c r="G230" s="68" t="str">
        <f t="shared" si="13"/>
        <v/>
      </c>
      <c r="H230" s="59" t="str">
        <f>IF(B230="","",CONCATENATE(TEXT(Horarios!$B230,"hh:mm"),"-",TEXT(Horarios!$E230,"hh:mm")))</f>
        <v/>
      </c>
      <c r="I230" s="59" t="str">
        <f t="shared" si="14"/>
        <v/>
      </c>
    </row>
    <row r="231" spans="6:9" x14ac:dyDescent="0.4">
      <c r="F231" s="68" t="str">
        <f t="shared" si="12"/>
        <v/>
      </c>
      <c r="G231" s="68" t="str">
        <f t="shared" si="13"/>
        <v/>
      </c>
      <c r="H231" s="59" t="str">
        <f>IF(B231="","",CONCATENATE(TEXT(Horarios!$B231,"hh:mm"),"-",TEXT(Horarios!$E231,"hh:mm")))</f>
        <v/>
      </c>
      <c r="I231" s="59" t="str">
        <f t="shared" si="14"/>
        <v/>
      </c>
    </row>
    <row r="232" spans="6:9" x14ac:dyDescent="0.4">
      <c r="F232" s="68" t="str">
        <f t="shared" si="12"/>
        <v/>
      </c>
      <c r="G232" s="68" t="str">
        <f t="shared" si="13"/>
        <v/>
      </c>
      <c r="H232" s="59" t="str">
        <f>IF(B232="","",CONCATENATE(TEXT(Horarios!$B232,"hh:mm"),"-",TEXT(Horarios!$E232,"hh:mm")))</f>
        <v/>
      </c>
      <c r="I232" s="59" t="str">
        <f t="shared" si="14"/>
        <v/>
      </c>
    </row>
    <row r="233" spans="6:9" x14ac:dyDescent="0.4">
      <c r="F233" s="68" t="str">
        <f t="shared" si="12"/>
        <v/>
      </c>
      <c r="G233" s="68" t="str">
        <f t="shared" si="13"/>
        <v/>
      </c>
      <c r="H233" s="59" t="str">
        <f>IF(B233="","",CONCATENATE(TEXT(Horarios!$B233,"hh:mm"),"-",TEXT(Horarios!$E233,"hh:mm")))</f>
        <v/>
      </c>
      <c r="I233" s="59" t="str">
        <f t="shared" si="14"/>
        <v/>
      </c>
    </row>
    <row r="234" spans="6:9" x14ac:dyDescent="0.4">
      <c r="F234" s="68" t="str">
        <f t="shared" si="12"/>
        <v/>
      </c>
      <c r="G234" s="68" t="str">
        <f t="shared" si="13"/>
        <v/>
      </c>
      <c r="H234" s="59" t="str">
        <f>IF(B234="","",CONCATENATE(TEXT(Horarios!$B234,"hh:mm"),"-",TEXT(Horarios!$E234,"hh:mm")))</f>
        <v/>
      </c>
      <c r="I234" s="59" t="str">
        <f t="shared" si="14"/>
        <v/>
      </c>
    </row>
    <row r="235" spans="6:9" x14ac:dyDescent="0.4">
      <c r="F235" s="68" t="str">
        <f t="shared" si="12"/>
        <v/>
      </c>
      <c r="G235" s="68" t="str">
        <f t="shared" si="13"/>
        <v/>
      </c>
      <c r="H235" s="59" t="str">
        <f>IF(B235="","",CONCATENATE(TEXT(Horarios!$B235,"hh:mm"),"-",TEXT(Horarios!$E235,"hh:mm")))</f>
        <v/>
      </c>
      <c r="I235" s="59" t="str">
        <f t="shared" si="14"/>
        <v/>
      </c>
    </row>
    <row r="236" spans="6:9" x14ac:dyDescent="0.4">
      <c r="F236" s="68" t="str">
        <f t="shared" si="12"/>
        <v/>
      </c>
      <c r="G236" s="68" t="str">
        <f t="shared" si="13"/>
        <v/>
      </c>
      <c r="H236" s="59" t="str">
        <f>IF(B236="","",CONCATENATE(TEXT(Horarios!$B236,"hh:mm"),"-",TEXT(Horarios!$E236,"hh:mm")))</f>
        <v/>
      </c>
      <c r="I236" s="59" t="str">
        <f t="shared" si="14"/>
        <v/>
      </c>
    </row>
    <row r="237" spans="6:9" x14ac:dyDescent="0.4">
      <c r="F237" s="68" t="str">
        <f t="shared" si="12"/>
        <v/>
      </c>
      <c r="G237" s="68" t="str">
        <f t="shared" si="13"/>
        <v/>
      </c>
      <c r="H237" s="59" t="str">
        <f>IF(B237="","",CONCATENATE(TEXT(Horarios!$B237,"hh:mm"),"-",TEXT(Horarios!$E237,"hh:mm")))</f>
        <v/>
      </c>
      <c r="I237" s="59" t="str">
        <f t="shared" si="14"/>
        <v/>
      </c>
    </row>
    <row r="238" spans="6:9" x14ac:dyDescent="0.4">
      <c r="F238" s="68" t="str">
        <f t="shared" si="12"/>
        <v/>
      </c>
      <c r="G238" s="68" t="str">
        <f t="shared" si="13"/>
        <v/>
      </c>
      <c r="H238" s="59" t="str">
        <f>IF(B238="","",CONCATENATE(TEXT(Horarios!$B238,"hh:mm"),"-",TEXT(Horarios!$E238,"hh:mm")))</f>
        <v/>
      </c>
      <c r="I238" s="59" t="str">
        <f t="shared" si="14"/>
        <v/>
      </c>
    </row>
    <row r="239" spans="6:9" x14ac:dyDescent="0.4">
      <c r="F239" s="68" t="str">
        <f t="shared" si="12"/>
        <v/>
      </c>
      <c r="G239" s="68" t="str">
        <f t="shared" si="13"/>
        <v/>
      </c>
      <c r="H239" s="59" t="str">
        <f>IF(B239="","",CONCATENATE(TEXT(Horarios!$B239,"hh:mm"),"-",TEXT(Horarios!$E239,"hh:mm")))</f>
        <v/>
      </c>
      <c r="I239" s="59" t="str">
        <f t="shared" si="14"/>
        <v/>
      </c>
    </row>
    <row r="240" spans="6:9" x14ac:dyDescent="0.4">
      <c r="F240" s="68" t="str">
        <f t="shared" si="12"/>
        <v/>
      </c>
      <c r="G240" s="68" t="str">
        <f t="shared" si="13"/>
        <v/>
      </c>
      <c r="H240" s="59" t="str">
        <f>IF(B240="","",CONCATENATE(TEXT(Horarios!$B240,"hh:mm"),"-",TEXT(Horarios!$E240,"hh:mm")))</f>
        <v/>
      </c>
      <c r="I240" s="59" t="str">
        <f t="shared" si="14"/>
        <v/>
      </c>
    </row>
    <row r="241" spans="6:9" x14ac:dyDescent="0.4">
      <c r="F241" s="68" t="str">
        <f t="shared" si="12"/>
        <v/>
      </c>
      <c r="G241" s="68" t="str">
        <f t="shared" si="13"/>
        <v/>
      </c>
      <c r="H241" s="59" t="str">
        <f>IF(B241="","",CONCATENATE(TEXT(Horarios!$B241,"hh:mm"),"-",TEXT(Horarios!$E241,"hh:mm")))</f>
        <v/>
      </c>
      <c r="I241" s="59" t="str">
        <f t="shared" si="14"/>
        <v/>
      </c>
    </row>
    <row r="242" spans="6:9" x14ac:dyDescent="0.4">
      <c r="F242" s="68" t="str">
        <f t="shared" si="12"/>
        <v/>
      </c>
      <c r="G242" s="68" t="str">
        <f t="shared" si="13"/>
        <v/>
      </c>
      <c r="H242" s="59" t="str">
        <f>IF(B242="","",CONCATENATE(TEXT(Horarios!$B242,"hh:mm"),"-",TEXT(Horarios!$E242,"hh:mm")))</f>
        <v/>
      </c>
      <c r="I242" s="59" t="str">
        <f t="shared" si="14"/>
        <v/>
      </c>
    </row>
    <row r="243" spans="6:9" x14ac:dyDescent="0.4">
      <c r="F243" s="68" t="str">
        <f t="shared" si="12"/>
        <v/>
      </c>
      <c r="G243" s="68" t="str">
        <f t="shared" si="13"/>
        <v/>
      </c>
      <c r="H243" s="59" t="str">
        <f>IF(B243="","",CONCATENATE(TEXT(Horarios!$B243,"hh:mm"),"-",TEXT(Horarios!$E243,"hh:mm")))</f>
        <v/>
      </c>
      <c r="I243" s="59" t="str">
        <f t="shared" si="14"/>
        <v/>
      </c>
    </row>
    <row r="244" spans="6:9" x14ac:dyDescent="0.4">
      <c r="F244" s="68" t="str">
        <f t="shared" si="12"/>
        <v/>
      </c>
      <c r="G244" s="68" t="str">
        <f t="shared" si="13"/>
        <v/>
      </c>
      <c r="H244" s="59" t="str">
        <f>IF(B244="","",CONCATENATE(TEXT(Horarios!$B244,"hh:mm"),"-",TEXT(Horarios!$E244,"hh:mm")))</f>
        <v/>
      </c>
      <c r="I244" s="59" t="str">
        <f t="shared" si="14"/>
        <v/>
      </c>
    </row>
    <row r="245" spans="6:9" x14ac:dyDescent="0.4">
      <c r="F245" s="68" t="str">
        <f t="shared" si="12"/>
        <v/>
      </c>
      <c r="G245" s="68" t="str">
        <f t="shared" si="13"/>
        <v/>
      </c>
      <c r="H245" s="59" t="str">
        <f>IF(B245="","",CONCATENATE(TEXT(Horarios!$B245,"hh:mm"),"-",TEXT(Horarios!$E245,"hh:mm")))</f>
        <v/>
      </c>
      <c r="I245" s="59" t="str">
        <f t="shared" si="14"/>
        <v/>
      </c>
    </row>
    <row r="246" spans="6:9" x14ac:dyDescent="0.4">
      <c r="F246" s="68" t="str">
        <f t="shared" si="12"/>
        <v/>
      </c>
      <c r="G246" s="68" t="str">
        <f t="shared" si="13"/>
        <v/>
      </c>
      <c r="H246" s="59" t="str">
        <f>IF(B246="","",CONCATENATE(TEXT(Horarios!$B246,"hh:mm"),"-",TEXT(Horarios!$E246,"hh:mm")))</f>
        <v/>
      </c>
      <c r="I246" s="59" t="str">
        <f t="shared" si="14"/>
        <v/>
      </c>
    </row>
    <row r="247" spans="6:9" x14ac:dyDescent="0.4">
      <c r="F247" s="68" t="str">
        <f t="shared" si="12"/>
        <v/>
      </c>
      <c r="G247" s="68" t="str">
        <f t="shared" si="13"/>
        <v/>
      </c>
      <c r="H247" s="59" t="str">
        <f>IF(B247="","",CONCATENATE(TEXT(Horarios!$B247,"hh:mm"),"-",TEXT(Horarios!$E247,"hh:mm")))</f>
        <v/>
      </c>
      <c r="I247" s="59" t="str">
        <f t="shared" si="14"/>
        <v/>
      </c>
    </row>
    <row r="248" spans="6:9" x14ac:dyDescent="0.4">
      <c r="F248" s="68" t="str">
        <f t="shared" si="12"/>
        <v/>
      </c>
      <c r="G248" s="68" t="str">
        <f t="shared" si="13"/>
        <v/>
      </c>
      <c r="H248" s="59" t="str">
        <f>IF(B248="","",CONCATENATE(TEXT(Horarios!$B248,"hh:mm"),"-",TEXT(Horarios!$E248,"hh:mm")))</f>
        <v/>
      </c>
      <c r="I248" s="59" t="str">
        <f t="shared" si="14"/>
        <v/>
      </c>
    </row>
    <row r="249" spans="6:9" x14ac:dyDescent="0.4">
      <c r="F249" s="68" t="str">
        <f t="shared" si="12"/>
        <v/>
      </c>
      <c r="G249" s="68" t="str">
        <f t="shared" si="13"/>
        <v/>
      </c>
      <c r="H249" s="59" t="str">
        <f>IF(B249="","",CONCATENATE(TEXT(Horarios!$B249,"hh:mm"),"-",TEXT(Horarios!$E249,"hh:mm")))</f>
        <v/>
      </c>
      <c r="I249" s="59" t="str">
        <f t="shared" si="14"/>
        <v/>
      </c>
    </row>
    <row r="250" spans="6:9" x14ac:dyDescent="0.4">
      <c r="F250" s="68" t="str">
        <f t="shared" si="12"/>
        <v/>
      </c>
      <c r="G250" s="68" t="str">
        <f t="shared" si="13"/>
        <v/>
      </c>
      <c r="H250" s="59" t="str">
        <f>IF(B250="","",CONCATENATE(TEXT(Horarios!$B250,"hh:mm"),"-",TEXT(Horarios!$E250,"hh:mm")))</f>
        <v/>
      </c>
      <c r="I250" s="59" t="str">
        <f t="shared" si="14"/>
        <v/>
      </c>
    </row>
    <row r="251" spans="6:9" x14ac:dyDescent="0.4">
      <c r="F251" s="68" t="str">
        <f t="shared" si="12"/>
        <v/>
      </c>
      <c r="G251" s="68" t="str">
        <f t="shared" si="13"/>
        <v/>
      </c>
      <c r="H251" s="59" t="str">
        <f>IF(B251="","",CONCATENATE(TEXT(Horarios!$B251,"hh:mm"),"-",TEXT(Horarios!$E251,"hh:mm")))</f>
        <v/>
      </c>
      <c r="I251" s="59" t="str">
        <f t="shared" si="14"/>
        <v/>
      </c>
    </row>
    <row r="252" spans="6:9" x14ac:dyDescent="0.4">
      <c r="F252" s="68" t="str">
        <f t="shared" si="12"/>
        <v/>
      </c>
      <c r="G252" s="68" t="str">
        <f t="shared" si="13"/>
        <v/>
      </c>
      <c r="H252" s="59" t="str">
        <f>IF(B252="","",CONCATENATE(TEXT(Horarios!$B252,"hh:mm"),"-",TEXT(Horarios!$E252,"hh:mm")))</f>
        <v/>
      </c>
      <c r="I252" s="59" t="str">
        <f t="shared" si="14"/>
        <v/>
      </c>
    </row>
    <row r="253" spans="6:9" x14ac:dyDescent="0.4">
      <c r="F253" s="68" t="str">
        <f t="shared" si="12"/>
        <v/>
      </c>
      <c r="G253" s="68" t="str">
        <f t="shared" si="13"/>
        <v/>
      </c>
      <c r="H253" s="59" t="str">
        <f>IF(B253="","",CONCATENATE(TEXT(Horarios!$B253,"hh:mm"),"-",TEXT(Horarios!$E253,"hh:mm")))</f>
        <v/>
      </c>
      <c r="I253" s="59" t="str">
        <f t="shared" si="14"/>
        <v/>
      </c>
    </row>
    <row r="254" spans="6:9" x14ac:dyDescent="0.4">
      <c r="F254" s="68" t="str">
        <f t="shared" si="12"/>
        <v/>
      </c>
      <c r="G254" s="68" t="str">
        <f t="shared" si="13"/>
        <v/>
      </c>
      <c r="H254" s="59" t="str">
        <f>IF(B254="","",CONCATENATE(TEXT(Horarios!$B254,"hh:mm"),"-",TEXT(Horarios!$E254,"hh:mm")))</f>
        <v/>
      </c>
      <c r="I254" s="59" t="str">
        <f t="shared" si="14"/>
        <v/>
      </c>
    </row>
    <row r="255" spans="6:9" x14ac:dyDescent="0.4">
      <c r="F255" s="68" t="str">
        <f t="shared" si="12"/>
        <v/>
      </c>
      <c r="G255" s="68" t="str">
        <f t="shared" si="13"/>
        <v/>
      </c>
      <c r="H255" s="59" t="str">
        <f>IF(B255="","",CONCATENATE(TEXT(Horarios!$B255,"hh:mm"),"-",TEXT(Horarios!$E255,"hh:mm")))</f>
        <v/>
      </c>
      <c r="I255" s="59" t="str">
        <f t="shared" si="14"/>
        <v/>
      </c>
    </row>
    <row r="256" spans="6:9" x14ac:dyDescent="0.4">
      <c r="F256" s="68" t="str">
        <f t="shared" si="12"/>
        <v/>
      </c>
      <c r="G256" s="68" t="str">
        <f t="shared" si="13"/>
        <v/>
      </c>
      <c r="H256" s="59" t="str">
        <f>IF(B256="","",CONCATENATE(TEXT(Horarios!$B256,"hh:mm"),"-",TEXT(Horarios!$E256,"hh:mm")))</f>
        <v/>
      </c>
      <c r="I256" s="59" t="str">
        <f t="shared" si="14"/>
        <v/>
      </c>
    </row>
    <row r="257" spans="6:9" x14ac:dyDescent="0.4">
      <c r="F257" s="68" t="str">
        <f t="shared" si="12"/>
        <v/>
      </c>
      <c r="G257" s="68" t="str">
        <f t="shared" si="13"/>
        <v/>
      </c>
      <c r="H257" s="59" t="str">
        <f>IF(B257="","",CONCATENATE(TEXT(Horarios!$B257,"hh:mm"),"-",TEXT(Horarios!$E257,"hh:mm")))</f>
        <v/>
      </c>
      <c r="I257" s="59" t="str">
        <f t="shared" si="14"/>
        <v/>
      </c>
    </row>
    <row r="258" spans="6:9" x14ac:dyDescent="0.4">
      <c r="F258" s="68" t="str">
        <f t="shared" si="12"/>
        <v/>
      </c>
      <c r="G258" s="68" t="str">
        <f t="shared" si="13"/>
        <v/>
      </c>
      <c r="H258" s="59" t="str">
        <f>IF(B258="","",CONCATENATE(TEXT(Horarios!$B258,"hh:mm"),"-",TEXT(Horarios!$E258,"hh:mm")))</f>
        <v/>
      </c>
      <c r="I258" s="59" t="str">
        <f t="shared" si="14"/>
        <v/>
      </c>
    </row>
    <row r="259" spans="6:9" x14ac:dyDescent="0.4">
      <c r="F259" s="68" t="str">
        <f t="shared" si="12"/>
        <v/>
      </c>
      <c r="G259" s="68" t="str">
        <f t="shared" si="13"/>
        <v/>
      </c>
      <c r="H259" s="59" t="str">
        <f>IF(B259="","",CONCATENATE(TEXT(Horarios!$B259,"hh:mm"),"-",TEXT(Horarios!$E259,"hh:mm")))</f>
        <v/>
      </c>
      <c r="I259" s="59" t="str">
        <f t="shared" si="14"/>
        <v/>
      </c>
    </row>
    <row r="260" spans="6:9" x14ac:dyDescent="0.4">
      <c r="F260" s="68" t="str">
        <f t="shared" si="12"/>
        <v/>
      </c>
      <c r="G260" s="68" t="str">
        <f t="shared" si="13"/>
        <v/>
      </c>
      <c r="H260" s="59" t="str">
        <f>IF(B260="","",CONCATENATE(TEXT(Horarios!$B260,"hh:mm"),"-",TEXT(Horarios!$E260,"hh:mm")))</f>
        <v/>
      </c>
      <c r="I260" s="59" t="str">
        <f t="shared" si="14"/>
        <v/>
      </c>
    </row>
    <row r="261" spans="6:9" x14ac:dyDescent="0.4">
      <c r="F261" s="68" t="str">
        <f t="shared" si="12"/>
        <v/>
      </c>
      <c r="G261" s="68" t="str">
        <f t="shared" si="13"/>
        <v/>
      </c>
      <c r="H261" s="59" t="str">
        <f>IF(B261="","",CONCATENATE(TEXT(Horarios!$B261,"hh:mm"),"-",TEXT(Horarios!$E261,"hh:mm")))</f>
        <v/>
      </c>
      <c r="I261" s="59" t="str">
        <f t="shared" si="14"/>
        <v/>
      </c>
    </row>
    <row r="262" spans="6:9" x14ac:dyDescent="0.4">
      <c r="F262" s="68" t="str">
        <f t="shared" si="12"/>
        <v/>
      </c>
      <c r="G262" s="68" t="str">
        <f t="shared" si="13"/>
        <v/>
      </c>
      <c r="H262" s="59" t="str">
        <f>IF(B262="","",CONCATENATE(TEXT(Horarios!$B262,"hh:mm"),"-",TEXT(Horarios!$E262,"hh:mm")))</f>
        <v/>
      </c>
      <c r="I262" s="59" t="str">
        <f t="shared" si="14"/>
        <v/>
      </c>
    </row>
    <row r="263" spans="6:9" x14ac:dyDescent="0.4">
      <c r="F263" s="68" t="str">
        <f t="shared" si="12"/>
        <v/>
      </c>
      <c r="G263" s="68" t="str">
        <f t="shared" si="13"/>
        <v/>
      </c>
      <c r="H263" s="59" t="str">
        <f>IF(B263="","",CONCATENATE(TEXT(Horarios!$B263,"hh:mm"),"-",TEXT(Horarios!$E263,"hh:mm")))</f>
        <v/>
      </c>
      <c r="I263" s="59" t="str">
        <f t="shared" si="14"/>
        <v/>
      </c>
    </row>
    <row r="264" spans="6:9" x14ac:dyDescent="0.4">
      <c r="F264" s="68" t="str">
        <f t="shared" si="12"/>
        <v/>
      </c>
      <c r="G264" s="68" t="str">
        <f t="shared" si="13"/>
        <v/>
      </c>
      <c r="H264" s="59" t="str">
        <f>IF(B264="","",CONCATENATE(TEXT(Horarios!$B264,"hh:mm"),"-",TEXT(Horarios!$E264,"hh:mm")))</f>
        <v/>
      </c>
      <c r="I264" s="59" t="str">
        <f t="shared" si="14"/>
        <v/>
      </c>
    </row>
    <row r="265" spans="6:9" x14ac:dyDescent="0.4">
      <c r="F265" s="68" t="str">
        <f t="shared" si="12"/>
        <v/>
      </c>
      <c r="G265" s="68" t="str">
        <f t="shared" si="13"/>
        <v/>
      </c>
      <c r="H265" s="59" t="str">
        <f>IF(B265="","",CONCATENATE(TEXT(Horarios!$B265,"hh:mm"),"-",TEXT(Horarios!$E265,"hh:mm")))</f>
        <v/>
      </c>
      <c r="I265" s="59" t="str">
        <f t="shared" si="14"/>
        <v/>
      </c>
    </row>
    <row r="266" spans="6:9" x14ac:dyDescent="0.4">
      <c r="F266" s="68" t="str">
        <f t="shared" si="12"/>
        <v/>
      </c>
      <c r="G266" s="68" t="str">
        <f t="shared" si="13"/>
        <v/>
      </c>
      <c r="H266" s="59" t="str">
        <f>IF(B266="","",CONCATENATE(TEXT(Horarios!$B266,"hh:mm"),"-",TEXT(Horarios!$E266,"hh:mm")))</f>
        <v/>
      </c>
      <c r="I266" s="59" t="str">
        <f t="shared" si="14"/>
        <v/>
      </c>
    </row>
    <row r="267" spans="6:9" x14ac:dyDescent="0.4">
      <c r="F267" s="68" t="str">
        <f t="shared" si="12"/>
        <v/>
      </c>
      <c r="G267" s="68" t="str">
        <f t="shared" si="13"/>
        <v/>
      </c>
      <c r="H267" s="59" t="str">
        <f>IF(B267="","",CONCATENATE(TEXT(Horarios!$B267,"hh:mm"),"-",TEXT(Horarios!$E267,"hh:mm")))</f>
        <v/>
      </c>
      <c r="I267" s="59" t="str">
        <f t="shared" si="14"/>
        <v/>
      </c>
    </row>
    <row r="268" spans="6:9" x14ac:dyDescent="0.4">
      <c r="F268" s="68" t="str">
        <f t="shared" ref="F268:F331" si="15">IF(B268="","",D268-C268)</f>
        <v/>
      </c>
      <c r="G268" s="68" t="str">
        <f t="shared" ref="G268:G331" si="16">IF(B268="","",MOD(E268-B268+24,1))</f>
        <v/>
      </c>
      <c r="H268" s="59" t="str">
        <f>IF(B268="","",CONCATENATE(TEXT(Horarios!$B268,"hh:mm"),"-",TEXT(Horarios!$E268,"hh:mm")))</f>
        <v/>
      </c>
      <c r="I268" s="59" t="str">
        <f t="shared" ref="I268:I331" si="17">IF(B268="","",G268-F268)</f>
        <v/>
      </c>
    </row>
    <row r="269" spans="6:9" x14ac:dyDescent="0.4">
      <c r="F269" s="68" t="str">
        <f t="shared" si="15"/>
        <v/>
      </c>
      <c r="G269" s="68" t="str">
        <f t="shared" si="16"/>
        <v/>
      </c>
      <c r="H269" s="59" t="str">
        <f>IF(B269="","",CONCATENATE(TEXT(Horarios!$B269,"hh:mm"),"-",TEXT(Horarios!$E269,"hh:mm")))</f>
        <v/>
      </c>
      <c r="I269" s="59" t="str">
        <f t="shared" si="17"/>
        <v/>
      </c>
    </row>
    <row r="270" spans="6:9" x14ac:dyDescent="0.4">
      <c r="F270" s="68" t="str">
        <f t="shared" si="15"/>
        <v/>
      </c>
      <c r="G270" s="68" t="str">
        <f t="shared" si="16"/>
        <v/>
      </c>
      <c r="H270" s="59" t="str">
        <f>IF(B270="","",CONCATENATE(TEXT(Horarios!$B270,"hh:mm"),"-",TEXT(Horarios!$E270,"hh:mm")))</f>
        <v/>
      </c>
      <c r="I270" s="59" t="str">
        <f t="shared" si="17"/>
        <v/>
      </c>
    </row>
    <row r="271" spans="6:9" x14ac:dyDescent="0.4">
      <c r="F271" s="68" t="str">
        <f t="shared" si="15"/>
        <v/>
      </c>
      <c r="G271" s="68" t="str">
        <f t="shared" si="16"/>
        <v/>
      </c>
      <c r="H271" s="59" t="str">
        <f>IF(B271="","",CONCATENATE(TEXT(Horarios!$B271,"hh:mm"),"-",TEXT(Horarios!$E271,"hh:mm")))</f>
        <v/>
      </c>
      <c r="I271" s="59" t="str">
        <f t="shared" si="17"/>
        <v/>
      </c>
    </row>
    <row r="272" spans="6:9" x14ac:dyDescent="0.4">
      <c r="F272" s="68" t="str">
        <f t="shared" si="15"/>
        <v/>
      </c>
      <c r="G272" s="68" t="str">
        <f t="shared" si="16"/>
        <v/>
      </c>
      <c r="H272" s="59" t="str">
        <f>IF(B272="","",CONCATENATE(TEXT(Horarios!$B272,"hh:mm"),"-",TEXT(Horarios!$E272,"hh:mm")))</f>
        <v/>
      </c>
      <c r="I272" s="59" t="str">
        <f t="shared" si="17"/>
        <v/>
      </c>
    </row>
    <row r="273" spans="6:9" x14ac:dyDescent="0.4">
      <c r="F273" s="68" t="str">
        <f t="shared" si="15"/>
        <v/>
      </c>
      <c r="G273" s="68" t="str">
        <f t="shared" si="16"/>
        <v/>
      </c>
      <c r="H273" s="59" t="str">
        <f>IF(B273="","",CONCATENATE(TEXT(Horarios!$B273,"hh:mm"),"-",TEXT(Horarios!$E273,"hh:mm")))</f>
        <v/>
      </c>
      <c r="I273" s="59" t="str">
        <f t="shared" si="17"/>
        <v/>
      </c>
    </row>
    <row r="274" spans="6:9" x14ac:dyDescent="0.4">
      <c r="F274" s="68" t="str">
        <f t="shared" si="15"/>
        <v/>
      </c>
      <c r="G274" s="68" t="str">
        <f t="shared" si="16"/>
        <v/>
      </c>
      <c r="H274" s="59" t="str">
        <f>IF(B274="","",CONCATENATE(TEXT(Horarios!$B274,"hh:mm"),"-",TEXT(Horarios!$E274,"hh:mm")))</f>
        <v/>
      </c>
      <c r="I274" s="59" t="str">
        <f t="shared" si="17"/>
        <v/>
      </c>
    </row>
    <row r="275" spans="6:9" x14ac:dyDescent="0.4">
      <c r="F275" s="68" t="str">
        <f t="shared" si="15"/>
        <v/>
      </c>
      <c r="G275" s="68" t="str">
        <f t="shared" si="16"/>
        <v/>
      </c>
      <c r="H275" s="59" t="str">
        <f>IF(B275="","",CONCATENATE(TEXT(Horarios!$B275,"hh:mm"),"-",TEXT(Horarios!$E275,"hh:mm")))</f>
        <v/>
      </c>
      <c r="I275" s="59" t="str">
        <f t="shared" si="17"/>
        <v/>
      </c>
    </row>
    <row r="276" spans="6:9" x14ac:dyDescent="0.4">
      <c r="F276" s="68" t="str">
        <f t="shared" si="15"/>
        <v/>
      </c>
      <c r="G276" s="68" t="str">
        <f t="shared" si="16"/>
        <v/>
      </c>
      <c r="H276" s="59" t="str">
        <f>IF(B276="","",CONCATENATE(TEXT(Horarios!$B276,"hh:mm"),"-",TEXT(Horarios!$E276,"hh:mm")))</f>
        <v/>
      </c>
      <c r="I276" s="59" t="str">
        <f t="shared" si="17"/>
        <v/>
      </c>
    </row>
    <row r="277" spans="6:9" x14ac:dyDescent="0.4">
      <c r="F277" s="68" t="str">
        <f t="shared" si="15"/>
        <v/>
      </c>
      <c r="G277" s="68" t="str">
        <f t="shared" si="16"/>
        <v/>
      </c>
      <c r="H277" s="59" t="str">
        <f>IF(B277="","",CONCATENATE(TEXT(Horarios!$B277,"hh:mm"),"-",TEXT(Horarios!$E277,"hh:mm")))</f>
        <v/>
      </c>
      <c r="I277" s="59" t="str">
        <f t="shared" si="17"/>
        <v/>
      </c>
    </row>
    <row r="278" spans="6:9" x14ac:dyDescent="0.4">
      <c r="F278" s="68" t="str">
        <f t="shared" si="15"/>
        <v/>
      </c>
      <c r="G278" s="68" t="str">
        <f t="shared" si="16"/>
        <v/>
      </c>
      <c r="H278" s="59" t="str">
        <f>IF(B278="","",CONCATENATE(TEXT(Horarios!$B278,"hh:mm"),"-",TEXT(Horarios!$E278,"hh:mm")))</f>
        <v/>
      </c>
      <c r="I278" s="59" t="str">
        <f t="shared" si="17"/>
        <v/>
      </c>
    </row>
    <row r="279" spans="6:9" x14ac:dyDescent="0.4">
      <c r="F279" s="68" t="str">
        <f t="shared" si="15"/>
        <v/>
      </c>
      <c r="G279" s="68" t="str">
        <f t="shared" si="16"/>
        <v/>
      </c>
      <c r="H279" s="59" t="str">
        <f>IF(B279="","",CONCATENATE(TEXT(Horarios!$B279,"hh:mm"),"-",TEXT(Horarios!$E279,"hh:mm")))</f>
        <v/>
      </c>
      <c r="I279" s="59" t="str">
        <f t="shared" si="17"/>
        <v/>
      </c>
    </row>
    <row r="280" spans="6:9" x14ac:dyDescent="0.4">
      <c r="F280" s="68" t="str">
        <f t="shared" si="15"/>
        <v/>
      </c>
      <c r="G280" s="68" t="str">
        <f t="shared" si="16"/>
        <v/>
      </c>
      <c r="H280" s="59" t="str">
        <f>IF(B280="","",CONCATENATE(TEXT(Horarios!$B280,"hh:mm"),"-",TEXT(Horarios!$E280,"hh:mm")))</f>
        <v/>
      </c>
      <c r="I280" s="59" t="str">
        <f t="shared" si="17"/>
        <v/>
      </c>
    </row>
    <row r="281" spans="6:9" x14ac:dyDescent="0.4">
      <c r="F281" s="68" t="str">
        <f t="shared" si="15"/>
        <v/>
      </c>
      <c r="G281" s="68" t="str">
        <f t="shared" si="16"/>
        <v/>
      </c>
      <c r="H281" s="59" t="str">
        <f>IF(B281="","",CONCATENATE(TEXT(Horarios!$B281,"hh:mm"),"-",TEXT(Horarios!$E281,"hh:mm")))</f>
        <v/>
      </c>
      <c r="I281" s="59" t="str">
        <f t="shared" si="17"/>
        <v/>
      </c>
    </row>
    <row r="282" spans="6:9" x14ac:dyDescent="0.4">
      <c r="F282" s="68" t="str">
        <f t="shared" si="15"/>
        <v/>
      </c>
      <c r="G282" s="68" t="str">
        <f t="shared" si="16"/>
        <v/>
      </c>
      <c r="H282" s="59" t="str">
        <f>IF(B282="","",CONCATENATE(TEXT(Horarios!$B282,"hh:mm"),"-",TEXT(Horarios!$E282,"hh:mm")))</f>
        <v/>
      </c>
      <c r="I282" s="59" t="str">
        <f t="shared" si="17"/>
        <v/>
      </c>
    </row>
    <row r="283" spans="6:9" x14ac:dyDescent="0.4">
      <c r="F283" s="68" t="str">
        <f t="shared" si="15"/>
        <v/>
      </c>
      <c r="G283" s="68" t="str">
        <f t="shared" si="16"/>
        <v/>
      </c>
      <c r="H283" s="59" t="str">
        <f>IF(B283="","",CONCATENATE(TEXT(Horarios!$B283,"hh:mm"),"-",TEXT(Horarios!$E283,"hh:mm")))</f>
        <v/>
      </c>
      <c r="I283" s="59" t="str">
        <f t="shared" si="17"/>
        <v/>
      </c>
    </row>
    <row r="284" spans="6:9" x14ac:dyDescent="0.4">
      <c r="F284" s="68" t="str">
        <f t="shared" si="15"/>
        <v/>
      </c>
      <c r="G284" s="68" t="str">
        <f t="shared" si="16"/>
        <v/>
      </c>
      <c r="H284" s="59" t="str">
        <f>IF(B284="","",CONCATENATE(TEXT(Horarios!$B284,"hh:mm"),"-",TEXT(Horarios!$E284,"hh:mm")))</f>
        <v/>
      </c>
      <c r="I284" s="59" t="str">
        <f t="shared" si="17"/>
        <v/>
      </c>
    </row>
    <row r="285" spans="6:9" x14ac:dyDescent="0.4">
      <c r="F285" s="68" t="str">
        <f t="shared" si="15"/>
        <v/>
      </c>
      <c r="G285" s="68" t="str">
        <f t="shared" si="16"/>
        <v/>
      </c>
      <c r="H285" s="59" t="str">
        <f>IF(B285="","",CONCATENATE(TEXT(Horarios!$B285,"hh:mm"),"-",TEXT(Horarios!$E285,"hh:mm")))</f>
        <v/>
      </c>
      <c r="I285" s="59" t="str">
        <f t="shared" si="17"/>
        <v/>
      </c>
    </row>
    <row r="286" spans="6:9" x14ac:dyDescent="0.4">
      <c r="F286" s="68" t="str">
        <f t="shared" si="15"/>
        <v/>
      </c>
      <c r="G286" s="68" t="str">
        <f t="shared" si="16"/>
        <v/>
      </c>
      <c r="H286" s="59" t="str">
        <f>IF(B286="","",CONCATENATE(TEXT(Horarios!$B286,"hh:mm"),"-",TEXT(Horarios!$E286,"hh:mm")))</f>
        <v/>
      </c>
      <c r="I286" s="59" t="str">
        <f t="shared" si="17"/>
        <v/>
      </c>
    </row>
    <row r="287" spans="6:9" x14ac:dyDescent="0.4">
      <c r="F287" s="68" t="str">
        <f t="shared" si="15"/>
        <v/>
      </c>
      <c r="G287" s="68" t="str">
        <f t="shared" si="16"/>
        <v/>
      </c>
      <c r="H287" s="59" t="str">
        <f>IF(B287="","",CONCATENATE(TEXT(Horarios!$B287,"hh:mm"),"-",TEXT(Horarios!$E287,"hh:mm")))</f>
        <v/>
      </c>
      <c r="I287" s="59" t="str">
        <f t="shared" si="17"/>
        <v/>
      </c>
    </row>
    <row r="288" spans="6:9" x14ac:dyDescent="0.4">
      <c r="F288" s="68" t="str">
        <f t="shared" si="15"/>
        <v/>
      </c>
      <c r="G288" s="68" t="str">
        <f t="shared" si="16"/>
        <v/>
      </c>
      <c r="H288" s="59" t="str">
        <f>IF(B288="","",CONCATENATE(TEXT(Horarios!$B288,"hh:mm"),"-",TEXT(Horarios!$E288,"hh:mm")))</f>
        <v/>
      </c>
      <c r="I288" s="59" t="str">
        <f t="shared" si="17"/>
        <v/>
      </c>
    </row>
    <row r="289" spans="6:9" x14ac:dyDescent="0.4">
      <c r="F289" s="68" t="str">
        <f t="shared" si="15"/>
        <v/>
      </c>
      <c r="G289" s="68" t="str">
        <f t="shared" si="16"/>
        <v/>
      </c>
      <c r="H289" s="59" t="str">
        <f>IF(B289="","",CONCATENATE(TEXT(Horarios!$B289,"hh:mm"),"-",TEXT(Horarios!$E289,"hh:mm")))</f>
        <v/>
      </c>
      <c r="I289" s="59" t="str">
        <f t="shared" si="17"/>
        <v/>
      </c>
    </row>
    <row r="290" spans="6:9" x14ac:dyDescent="0.4">
      <c r="F290" s="68" t="str">
        <f t="shared" si="15"/>
        <v/>
      </c>
      <c r="G290" s="68" t="str">
        <f t="shared" si="16"/>
        <v/>
      </c>
      <c r="H290" s="59" t="str">
        <f>IF(B290="","",CONCATENATE(TEXT(Horarios!$B290,"hh:mm"),"-",TEXT(Horarios!$E290,"hh:mm")))</f>
        <v/>
      </c>
      <c r="I290" s="59" t="str">
        <f t="shared" si="17"/>
        <v/>
      </c>
    </row>
    <row r="291" spans="6:9" x14ac:dyDescent="0.4">
      <c r="F291" s="68" t="str">
        <f t="shared" si="15"/>
        <v/>
      </c>
      <c r="G291" s="68" t="str">
        <f t="shared" si="16"/>
        <v/>
      </c>
      <c r="H291" s="59" t="str">
        <f>IF(B291="","",CONCATENATE(TEXT(Horarios!$B291,"hh:mm"),"-",TEXT(Horarios!$E291,"hh:mm")))</f>
        <v/>
      </c>
      <c r="I291" s="59" t="str">
        <f t="shared" si="17"/>
        <v/>
      </c>
    </row>
    <row r="292" spans="6:9" x14ac:dyDescent="0.4">
      <c r="F292" s="68" t="str">
        <f t="shared" si="15"/>
        <v/>
      </c>
      <c r="G292" s="68" t="str">
        <f t="shared" si="16"/>
        <v/>
      </c>
      <c r="H292" s="59" t="str">
        <f>IF(B292="","",CONCATENATE(TEXT(Horarios!$B292,"hh:mm"),"-",TEXT(Horarios!$E292,"hh:mm")))</f>
        <v/>
      </c>
      <c r="I292" s="59" t="str">
        <f t="shared" si="17"/>
        <v/>
      </c>
    </row>
    <row r="293" spans="6:9" x14ac:dyDescent="0.4">
      <c r="F293" s="68" t="str">
        <f t="shared" si="15"/>
        <v/>
      </c>
      <c r="G293" s="68" t="str">
        <f t="shared" si="16"/>
        <v/>
      </c>
      <c r="H293" s="59" t="str">
        <f>IF(B293="","",CONCATENATE(TEXT(Horarios!$B293,"hh:mm"),"-",TEXT(Horarios!$E293,"hh:mm")))</f>
        <v/>
      </c>
      <c r="I293" s="59" t="str">
        <f t="shared" si="17"/>
        <v/>
      </c>
    </row>
    <row r="294" spans="6:9" x14ac:dyDescent="0.4">
      <c r="F294" s="68" t="str">
        <f t="shared" si="15"/>
        <v/>
      </c>
      <c r="G294" s="68" t="str">
        <f t="shared" si="16"/>
        <v/>
      </c>
      <c r="H294" s="59" t="str">
        <f>IF(B294="","",CONCATENATE(TEXT(Horarios!$B294,"hh:mm"),"-",TEXT(Horarios!$E294,"hh:mm")))</f>
        <v/>
      </c>
      <c r="I294" s="59" t="str">
        <f t="shared" si="17"/>
        <v/>
      </c>
    </row>
    <row r="295" spans="6:9" x14ac:dyDescent="0.4">
      <c r="F295" s="68" t="str">
        <f t="shared" si="15"/>
        <v/>
      </c>
      <c r="G295" s="68" t="str">
        <f t="shared" si="16"/>
        <v/>
      </c>
      <c r="H295" s="59" t="str">
        <f>IF(B295="","",CONCATENATE(TEXT(Horarios!$B295,"hh:mm"),"-",TEXT(Horarios!$E295,"hh:mm")))</f>
        <v/>
      </c>
      <c r="I295" s="59" t="str">
        <f t="shared" si="17"/>
        <v/>
      </c>
    </row>
    <row r="296" spans="6:9" x14ac:dyDescent="0.4">
      <c r="F296" s="68" t="str">
        <f t="shared" si="15"/>
        <v/>
      </c>
      <c r="G296" s="68" t="str">
        <f t="shared" si="16"/>
        <v/>
      </c>
      <c r="H296" s="59" t="str">
        <f>IF(B296="","",CONCATENATE(TEXT(Horarios!$B296,"hh:mm"),"-",TEXT(Horarios!$E296,"hh:mm")))</f>
        <v/>
      </c>
      <c r="I296" s="59" t="str">
        <f t="shared" si="17"/>
        <v/>
      </c>
    </row>
    <row r="297" spans="6:9" x14ac:dyDescent="0.4">
      <c r="F297" s="68" t="str">
        <f t="shared" si="15"/>
        <v/>
      </c>
      <c r="G297" s="68" t="str">
        <f t="shared" si="16"/>
        <v/>
      </c>
      <c r="H297" s="59" t="str">
        <f>IF(B297="","",CONCATENATE(TEXT(Horarios!$B297,"hh:mm"),"-",TEXT(Horarios!$E297,"hh:mm")))</f>
        <v/>
      </c>
      <c r="I297" s="59" t="str">
        <f t="shared" si="17"/>
        <v/>
      </c>
    </row>
    <row r="298" spans="6:9" x14ac:dyDescent="0.4">
      <c r="F298" s="68" t="str">
        <f t="shared" si="15"/>
        <v/>
      </c>
      <c r="G298" s="68" t="str">
        <f t="shared" si="16"/>
        <v/>
      </c>
      <c r="H298" s="59" t="str">
        <f>IF(B298="","",CONCATENATE(TEXT(Horarios!$B298,"hh:mm"),"-",TEXT(Horarios!$E298,"hh:mm")))</f>
        <v/>
      </c>
      <c r="I298" s="59" t="str">
        <f t="shared" si="17"/>
        <v/>
      </c>
    </row>
    <row r="299" spans="6:9" x14ac:dyDescent="0.4">
      <c r="F299" s="68" t="str">
        <f t="shared" si="15"/>
        <v/>
      </c>
      <c r="G299" s="68" t="str">
        <f t="shared" si="16"/>
        <v/>
      </c>
      <c r="H299" s="59" t="str">
        <f>IF(B299="","",CONCATENATE(TEXT(Horarios!$B299,"hh:mm"),"-",TEXT(Horarios!$E299,"hh:mm")))</f>
        <v/>
      </c>
      <c r="I299" s="59" t="str">
        <f t="shared" si="17"/>
        <v/>
      </c>
    </row>
    <row r="300" spans="6:9" x14ac:dyDescent="0.4">
      <c r="F300" s="68" t="str">
        <f t="shared" si="15"/>
        <v/>
      </c>
      <c r="G300" s="68" t="str">
        <f t="shared" si="16"/>
        <v/>
      </c>
      <c r="H300" s="59" t="str">
        <f>IF(B300="","",CONCATENATE(TEXT(Horarios!$B300,"hh:mm"),"-",TEXT(Horarios!$E300,"hh:mm")))</f>
        <v/>
      </c>
      <c r="I300" s="59" t="str">
        <f t="shared" si="17"/>
        <v/>
      </c>
    </row>
    <row r="301" spans="6:9" x14ac:dyDescent="0.4">
      <c r="F301" s="68" t="str">
        <f t="shared" si="15"/>
        <v/>
      </c>
      <c r="G301" s="68" t="str">
        <f t="shared" si="16"/>
        <v/>
      </c>
      <c r="H301" s="59" t="str">
        <f>IF(B301="","",CONCATENATE(TEXT(Horarios!$B301,"hh:mm"),"-",TEXT(Horarios!$E301,"hh:mm")))</f>
        <v/>
      </c>
      <c r="I301" s="59" t="str">
        <f t="shared" si="17"/>
        <v/>
      </c>
    </row>
    <row r="302" spans="6:9" x14ac:dyDescent="0.4">
      <c r="F302" s="68" t="str">
        <f t="shared" si="15"/>
        <v/>
      </c>
      <c r="G302" s="68" t="str">
        <f t="shared" si="16"/>
        <v/>
      </c>
      <c r="H302" s="59" t="str">
        <f>IF(B302="","",CONCATENATE(TEXT(Horarios!$B302,"hh:mm"),"-",TEXT(Horarios!$E302,"hh:mm")))</f>
        <v/>
      </c>
      <c r="I302" s="59" t="str">
        <f t="shared" si="17"/>
        <v/>
      </c>
    </row>
    <row r="303" spans="6:9" x14ac:dyDescent="0.4">
      <c r="F303" s="68" t="str">
        <f t="shared" si="15"/>
        <v/>
      </c>
      <c r="G303" s="68" t="str">
        <f t="shared" si="16"/>
        <v/>
      </c>
      <c r="H303" s="59" t="str">
        <f>IF(B303="","",CONCATENATE(TEXT(Horarios!$B303,"hh:mm"),"-",TEXT(Horarios!$E303,"hh:mm")))</f>
        <v/>
      </c>
      <c r="I303" s="59" t="str">
        <f t="shared" si="17"/>
        <v/>
      </c>
    </row>
    <row r="304" spans="6:9" x14ac:dyDescent="0.4">
      <c r="F304" s="68" t="str">
        <f t="shared" si="15"/>
        <v/>
      </c>
      <c r="G304" s="68" t="str">
        <f t="shared" si="16"/>
        <v/>
      </c>
      <c r="H304" s="59" t="str">
        <f>IF(B304="","",CONCATENATE(TEXT(Horarios!$B304,"hh:mm"),"-",TEXT(Horarios!$E304,"hh:mm")))</f>
        <v/>
      </c>
      <c r="I304" s="59" t="str">
        <f t="shared" si="17"/>
        <v/>
      </c>
    </row>
    <row r="305" spans="6:9" x14ac:dyDescent="0.4">
      <c r="F305" s="68" t="str">
        <f t="shared" si="15"/>
        <v/>
      </c>
      <c r="G305" s="68" t="str">
        <f t="shared" si="16"/>
        <v/>
      </c>
      <c r="H305" s="59" t="str">
        <f>IF(B305="","",CONCATENATE(TEXT(Horarios!$B305,"hh:mm"),"-",TEXT(Horarios!$E305,"hh:mm")))</f>
        <v/>
      </c>
      <c r="I305" s="59" t="str">
        <f t="shared" si="17"/>
        <v/>
      </c>
    </row>
    <row r="306" spans="6:9" x14ac:dyDescent="0.4">
      <c r="F306" s="68" t="str">
        <f t="shared" si="15"/>
        <v/>
      </c>
      <c r="G306" s="68" t="str">
        <f t="shared" si="16"/>
        <v/>
      </c>
      <c r="H306" s="59" t="str">
        <f>IF(B306="","",CONCATENATE(TEXT(Horarios!$B306,"hh:mm"),"-",TEXT(Horarios!$E306,"hh:mm")))</f>
        <v/>
      </c>
      <c r="I306" s="59" t="str">
        <f t="shared" si="17"/>
        <v/>
      </c>
    </row>
    <row r="307" spans="6:9" x14ac:dyDescent="0.4">
      <c r="F307" s="68" t="str">
        <f t="shared" si="15"/>
        <v/>
      </c>
      <c r="G307" s="68" t="str">
        <f t="shared" si="16"/>
        <v/>
      </c>
      <c r="H307" s="59" t="str">
        <f>IF(B307="","",CONCATENATE(TEXT(Horarios!$B307,"hh:mm"),"-",TEXT(Horarios!$E307,"hh:mm")))</f>
        <v/>
      </c>
      <c r="I307" s="59" t="str">
        <f t="shared" si="17"/>
        <v/>
      </c>
    </row>
    <row r="308" spans="6:9" x14ac:dyDescent="0.4">
      <c r="F308" s="68" t="str">
        <f t="shared" si="15"/>
        <v/>
      </c>
      <c r="G308" s="68" t="str">
        <f t="shared" si="16"/>
        <v/>
      </c>
      <c r="H308" s="59" t="str">
        <f>IF(B308="","",CONCATENATE(TEXT(Horarios!$B308,"hh:mm"),"-",TEXT(Horarios!$E308,"hh:mm")))</f>
        <v/>
      </c>
      <c r="I308" s="59" t="str">
        <f t="shared" si="17"/>
        <v/>
      </c>
    </row>
    <row r="309" spans="6:9" x14ac:dyDescent="0.4">
      <c r="F309" s="68" t="str">
        <f t="shared" si="15"/>
        <v/>
      </c>
      <c r="G309" s="68" t="str">
        <f t="shared" si="16"/>
        <v/>
      </c>
      <c r="H309" s="59" t="str">
        <f>IF(B309="","",CONCATENATE(TEXT(Horarios!$B309,"hh:mm"),"-",TEXT(Horarios!$E309,"hh:mm")))</f>
        <v/>
      </c>
      <c r="I309" s="59" t="str">
        <f t="shared" si="17"/>
        <v/>
      </c>
    </row>
    <row r="310" spans="6:9" x14ac:dyDescent="0.4">
      <c r="F310" s="68" t="str">
        <f t="shared" si="15"/>
        <v/>
      </c>
      <c r="G310" s="68" t="str">
        <f t="shared" si="16"/>
        <v/>
      </c>
      <c r="H310" s="59" t="str">
        <f>IF(B310="","",CONCATENATE(TEXT(Horarios!$B310,"hh:mm"),"-",TEXT(Horarios!$E310,"hh:mm")))</f>
        <v/>
      </c>
      <c r="I310" s="59" t="str">
        <f t="shared" si="17"/>
        <v/>
      </c>
    </row>
    <row r="311" spans="6:9" x14ac:dyDescent="0.4">
      <c r="F311" s="68" t="str">
        <f t="shared" si="15"/>
        <v/>
      </c>
      <c r="G311" s="68" t="str">
        <f t="shared" si="16"/>
        <v/>
      </c>
      <c r="H311" s="59" t="str">
        <f>IF(B311="","",CONCATENATE(TEXT(Horarios!$B311,"hh:mm"),"-",TEXT(Horarios!$E311,"hh:mm")))</f>
        <v/>
      </c>
      <c r="I311" s="59" t="str">
        <f t="shared" si="17"/>
        <v/>
      </c>
    </row>
    <row r="312" spans="6:9" x14ac:dyDescent="0.4">
      <c r="F312" s="68" t="str">
        <f t="shared" si="15"/>
        <v/>
      </c>
      <c r="G312" s="68" t="str">
        <f t="shared" si="16"/>
        <v/>
      </c>
      <c r="H312" s="59" t="str">
        <f>IF(B312="","",CONCATENATE(TEXT(Horarios!$B312,"hh:mm"),"-",TEXT(Horarios!$E312,"hh:mm")))</f>
        <v/>
      </c>
      <c r="I312" s="59" t="str">
        <f t="shared" si="17"/>
        <v/>
      </c>
    </row>
    <row r="313" spans="6:9" x14ac:dyDescent="0.4">
      <c r="F313" s="68" t="str">
        <f t="shared" si="15"/>
        <v/>
      </c>
      <c r="G313" s="68" t="str">
        <f t="shared" si="16"/>
        <v/>
      </c>
      <c r="H313" s="59" t="str">
        <f>IF(B313="","",CONCATENATE(TEXT(Horarios!$B313,"hh:mm"),"-",TEXT(Horarios!$E313,"hh:mm")))</f>
        <v/>
      </c>
      <c r="I313" s="59" t="str">
        <f t="shared" si="17"/>
        <v/>
      </c>
    </row>
    <row r="314" spans="6:9" x14ac:dyDescent="0.4">
      <c r="F314" s="68" t="str">
        <f t="shared" si="15"/>
        <v/>
      </c>
      <c r="G314" s="68" t="str">
        <f t="shared" si="16"/>
        <v/>
      </c>
      <c r="H314" s="59" t="str">
        <f>IF(B314="","",CONCATENATE(TEXT(Horarios!$B314,"hh:mm"),"-",TEXT(Horarios!$E314,"hh:mm")))</f>
        <v/>
      </c>
      <c r="I314" s="59" t="str">
        <f t="shared" si="17"/>
        <v/>
      </c>
    </row>
    <row r="315" spans="6:9" x14ac:dyDescent="0.4">
      <c r="F315" s="68" t="str">
        <f t="shared" si="15"/>
        <v/>
      </c>
      <c r="G315" s="68" t="str">
        <f t="shared" si="16"/>
        <v/>
      </c>
      <c r="H315" s="59" t="str">
        <f>IF(B315="","",CONCATENATE(TEXT(Horarios!$B315,"hh:mm"),"-",TEXT(Horarios!$E315,"hh:mm")))</f>
        <v/>
      </c>
      <c r="I315" s="59" t="str">
        <f t="shared" si="17"/>
        <v/>
      </c>
    </row>
    <row r="316" spans="6:9" x14ac:dyDescent="0.4">
      <c r="F316" s="68" t="str">
        <f t="shared" si="15"/>
        <v/>
      </c>
      <c r="G316" s="68" t="str">
        <f t="shared" si="16"/>
        <v/>
      </c>
      <c r="H316" s="59" t="str">
        <f>IF(B316="","",CONCATENATE(TEXT(Horarios!$B316,"hh:mm"),"-",TEXT(Horarios!$E316,"hh:mm")))</f>
        <v/>
      </c>
      <c r="I316" s="59" t="str">
        <f t="shared" si="17"/>
        <v/>
      </c>
    </row>
    <row r="317" spans="6:9" x14ac:dyDescent="0.4">
      <c r="F317" s="68" t="str">
        <f t="shared" si="15"/>
        <v/>
      </c>
      <c r="G317" s="68" t="str">
        <f t="shared" si="16"/>
        <v/>
      </c>
      <c r="H317" s="59" t="str">
        <f>IF(B317="","",CONCATENATE(TEXT(Horarios!$B317,"hh:mm"),"-",TEXT(Horarios!$E317,"hh:mm")))</f>
        <v/>
      </c>
      <c r="I317" s="59" t="str">
        <f t="shared" si="17"/>
        <v/>
      </c>
    </row>
    <row r="318" spans="6:9" x14ac:dyDescent="0.4">
      <c r="F318" s="68" t="str">
        <f t="shared" si="15"/>
        <v/>
      </c>
      <c r="G318" s="68" t="str">
        <f t="shared" si="16"/>
        <v/>
      </c>
      <c r="H318" s="59" t="str">
        <f>IF(B318="","",CONCATENATE(TEXT(Horarios!$B318,"hh:mm"),"-",TEXT(Horarios!$E318,"hh:mm")))</f>
        <v/>
      </c>
      <c r="I318" s="59" t="str">
        <f t="shared" si="17"/>
        <v/>
      </c>
    </row>
    <row r="319" spans="6:9" x14ac:dyDescent="0.4">
      <c r="F319" s="68" t="str">
        <f t="shared" si="15"/>
        <v/>
      </c>
      <c r="G319" s="68" t="str">
        <f t="shared" si="16"/>
        <v/>
      </c>
      <c r="H319" s="59" t="str">
        <f>IF(B319="","",CONCATENATE(TEXT(Horarios!$B319,"hh:mm"),"-",TEXT(Horarios!$E319,"hh:mm")))</f>
        <v/>
      </c>
      <c r="I319" s="59" t="str">
        <f t="shared" si="17"/>
        <v/>
      </c>
    </row>
    <row r="320" spans="6:9" x14ac:dyDescent="0.4">
      <c r="F320" s="68" t="str">
        <f t="shared" si="15"/>
        <v/>
      </c>
      <c r="G320" s="68" t="str">
        <f t="shared" si="16"/>
        <v/>
      </c>
      <c r="H320" s="59" t="str">
        <f>IF(B320="","",CONCATENATE(TEXT(Horarios!$B320,"hh:mm"),"-",TEXT(Horarios!$E320,"hh:mm")))</f>
        <v/>
      </c>
      <c r="I320" s="59" t="str">
        <f t="shared" si="17"/>
        <v/>
      </c>
    </row>
    <row r="321" spans="6:9" x14ac:dyDescent="0.4">
      <c r="F321" s="68" t="str">
        <f t="shared" si="15"/>
        <v/>
      </c>
      <c r="G321" s="68" t="str">
        <f t="shared" si="16"/>
        <v/>
      </c>
      <c r="H321" s="59" t="str">
        <f>IF(B321="","",CONCATENATE(TEXT(Horarios!$B321,"hh:mm"),"-",TEXT(Horarios!$E321,"hh:mm")))</f>
        <v/>
      </c>
      <c r="I321" s="59" t="str">
        <f t="shared" si="17"/>
        <v/>
      </c>
    </row>
    <row r="322" spans="6:9" x14ac:dyDescent="0.4">
      <c r="F322" s="68" t="str">
        <f t="shared" si="15"/>
        <v/>
      </c>
      <c r="G322" s="68" t="str">
        <f t="shared" si="16"/>
        <v/>
      </c>
      <c r="H322" s="59" t="str">
        <f>IF(B322="","",CONCATENATE(TEXT(Horarios!$B322,"hh:mm"),"-",TEXT(Horarios!$E322,"hh:mm")))</f>
        <v/>
      </c>
      <c r="I322" s="59" t="str">
        <f t="shared" si="17"/>
        <v/>
      </c>
    </row>
    <row r="323" spans="6:9" x14ac:dyDescent="0.4">
      <c r="F323" s="68" t="str">
        <f t="shared" si="15"/>
        <v/>
      </c>
      <c r="G323" s="68" t="str">
        <f t="shared" si="16"/>
        <v/>
      </c>
      <c r="H323" s="59" t="str">
        <f>IF(B323="","",CONCATENATE(TEXT(Horarios!$B323,"hh:mm"),"-",TEXT(Horarios!$E323,"hh:mm")))</f>
        <v/>
      </c>
      <c r="I323" s="59" t="str">
        <f t="shared" si="17"/>
        <v/>
      </c>
    </row>
    <row r="324" spans="6:9" x14ac:dyDescent="0.4">
      <c r="F324" s="68" t="str">
        <f t="shared" si="15"/>
        <v/>
      </c>
      <c r="G324" s="68" t="str">
        <f t="shared" si="16"/>
        <v/>
      </c>
      <c r="H324" s="59" t="str">
        <f>IF(B324="","",CONCATENATE(TEXT(Horarios!$B324,"hh:mm"),"-",TEXT(Horarios!$E324,"hh:mm")))</f>
        <v/>
      </c>
      <c r="I324" s="59" t="str">
        <f t="shared" si="17"/>
        <v/>
      </c>
    </row>
    <row r="325" spans="6:9" x14ac:dyDescent="0.4">
      <c r="F325" s="68" t="str">
        <f t="shared" si="15"/>
        <v/>
      </c>
      <c r="G325" s="68" t="str">
        <f t="shared" si="16"/>
        <v/>
      </c>
      <c r="H325" s="59" t="str">
        <f>IF(B325="","",CONCATENATE(TEXT(Horarios!$B325,"hh:mm"),"-",TEXT(Horarios!$E325,"hh:mm")))</f>
        <v/>
      </c>
      <c r="I325" s="59" t="str">
        <f t="shared" si="17"/>
        <v/>
      </c>
    </row>
    <row r="326" spans="6:9" x14ac:dyDescent="0.4">
      <c r="F326" s="68" t="str">
        <f t="shared" si="15"/>
        <v/>
      </c>
      <c r="G326" s="68" t="str">
        <f t="shared" si="16"/>
        <v/>
      </c>
      <c r="H326" s="59" t="str">
        <f>IF(B326="","",CONCATENATE(TEXT(Horarios!$B326,"hh:mm"),"-",TEXT(Horarios!$E326,"hh:mm")))</f>
        <v/>
      </c>
      <c r="I326" s="59" t="str">
        <f t="shared" si="17"/>
        <v/>
      </c>
    </row>
    <row r="327" spans="6:9" x14ac:dyDescent="0.4">
      <c r="F327" s="68" t="str">
        <f t="shared" si="15"/>
        <v/>
      </c>
      <c r="G327" s="68" t="str">
        <f t="shared" si="16"/>
        <v/>
      </c>
      <c r="H327" s="59" t="str">
        <f>IF(B327="","",CONCATENATE(TEXT(Horarios!$B327,"hh:mm"),"-",TEXT(Horarios!$E327,"hh:mm")))</f>
        <v/>
      </c>
      <c r="I327" s="59" t="str">
        <f t="shared" si="17"/>
        <v/>
      </c>
    </row>
    <row r="328" spans="6:9" x14ac:dyDescent="0.4">
      <c r="F328" s="68" t="str">
        <f t="shared" si="15"/>
        <v/>
      </c>
      <c r="G328" s="68" t="str">
        <f t="shared" si="16"/>
        <v/>
      </c>
      <c r="H328" s="59" t="str">
        <f>IF(B328="","",CONCATENATE(TEXT(Horarios!$B328,"hh:mm"),"-",TEXT(Horarios!$E328,"hh:mm")))</f>
        <v/>
      </c>
      <c r="I328" s="59" t="str">
        <f t="shared" si="17"/>
        <v/>
      </c>
    </row>
    <row r="329" spans="6:9" x14ac:dyDescent="0.4">
      <c r="F329" s="68" t="str">
        <f t="shared" si="15"/>
        <v/>
      </c>
      <c r="G329" s="68" t="str">
        <f t="shared" si="16"/>
        <v/>
      </c>
      <c r="H329" s="59" t="str">
        <f>IF(B329="","",CONCATENATE(TEXT(Horarios!$B329,"hh:mm"),"-",TEXT(Horarios!$E329,"hh:mm")))</f>
        <v/>
      </c>
      <c r="I329" s="59" t="str">
        <f t="shared" si="17"/>
        <v/>
      </c>
    </row>
    <row r="330" spans="6:9" x14ac:dyDescent="0.4">
      <c r="F330" s="68" t="str">
        <f t="shared" si="15"/>
        <v/>
      </c>
      <c r="G330" s="68" t="str">
        <f t="shared" si="16"/>
        <v/>
      </c>
      <c r="H330" s="59" t="str">
        <f>IF(B330="","",CONCATENATE(TEXT(Horarios!$B330,"hh:mm"),"-",TEXT(Horarios!$E330,"hh:mm")))</f>
        <v/>
      </c>
      <c r="I330" s="59" t="str">
        <f t="shared" si="17"/>
        <v/>
      </c>
    </row>
    <row r="331" spans="6:9" x14ac:dyDescent="0.4">
      <c r="F331" s="68" t="str">
        <f t="shared" si="15"/>
        <v/>
      </c>
      <c r="G331" s="68" t="str">
        <f t="shared" si="16"/>
        <v/>
      </c>
      <c r="H331" s="59" t="str">
        <f>IF(B331="","",CONCATENATE(TEXT(Horarios!$B331,"hh:mm"),"-",TEXT(Horarios!$E331,"hh:mm")))</f>
        <v/>
      </c>
      <c r="I331" s="59" t="str">
        <f t="shared" si="17"/>
        <v/>
      </c>
    </row>
    <row r="332" spans="6:9" x14ac:dyDescent="0.4">
      <c r="F332" s="68" t="str">
        <f t="shared" ref="F332:F395" si="18">IF(B332="","",D332-C332)</f>
        <v/>
      </c>
      <c r="G332" s="68" t="str">
        <f t="shared" ref="G332:G395" si="19">IF(B332="","",MOD(E332-B332+24,1))</f>
        <v/>
      </c>
      <c r="H332" s="59" t="str">
        <f>IF(B332="","",CONCATENATE(TEXT(Horarios!$B332,"hh:mm"),"-",TEXT(Horarios!$E332,"hh:mm")))</f>
        <v/>
      </c>
      <c r="I332" s="59" t="str">
        <f t="shared" ref="I332:I395" si="20">IF(B332="","",G332-F332)</f>
        <v/>
      </c>
    </row>
    <row r="333" spans="6:9" x14ac:dyDescent="0.4">
      <c r="F333" s="68" t="str">
        <f t="shared" si="18"/>
        <v/>
      </c>
      <c r="G333" s="68" t="str">
        <f t="shared" si="19"/>
        <v/>
      </c>
      <c r="H333" s="59" t="str">
        <f>IF(B333="","",CONCATENATE(TEXT(Horarios!$B333,"hh:mm"),"-",TEXT(Horarios!$E333,"hh:mm")))</f>
        <v/>
      </c>
      <c r="I333" s="59" t="str">
        <f t="shared" si="20"/>
        <v/>
      </c>
    </row>
    <row r="334" spans="6:9" x14ac:dyDescent="0.4">
      <c r="F334" s="68" t="str">
        <f t="shared" si="18"/>
        <v/>
      </c>
      <c r="G334" s="68" t="str">
        <f t="shared" si="19"/>
        <v/>
      </c>
      <c r="H334" s="59" t="str">
        <f>IF(B334="","",CONCATENATE(TEXT(Horarios!$B334,"hh:mm"),"-",TEXT(Horarios!$E334,"hh:mm")))</f>
        <v/>
      </c>
      <c r="I334" s="59" t="str">
        <f t="shared" si="20"/>
        <v/>
      </c>
    </row>
    <row r="335" spans="6:9" x14ac:dyDescent="0.4">
      <c r="F335" s="68" t="str">
        <f t="shared" si="18"/>
        <v/>
      </c>
      <c r="G335" s="68" t="str">
        <f t="shared" si="19"/>
        <v/>
      </c>
      <c r="H335" s="59" t="str">
        <f>IF(B335="","",CONCATENATE(TEXT(Horarios!$B335,"hh:mm"),"-",TEXT(Horarios!$E335,"hh:mm")))</f>
        <v/>
      </c>
      <c r="I335" s="59" t="str">
        <f t="shared" si="20"/>
        <v/>
      </c>
    </row>
    <row r="336" spans="6:9" x14ac:dyDescent="0.4">
      <c r="F336" s="68" t="str">
        <f t="shared" si="18"/>
        <v/>
      </c>
      <c r="G336" s="68" t="str">
        <f t="shared" si="19"/>
        <v/>
      </c>
      <c r="H336" s="59" t="str">
        <f>IF(B336="","",CONCATENATE(TEXT(Horarios!$B336,"hh:mm"),"-",TEXT(Horarios!$E336,"hh:mm")))</f>
        <v/>
      </c>
      <c r="I336" s="59" t="str">
        <f t="shared" si="20"/>
        <v/>
      </c>
    </row>
    <row r="337" spans="6:9" x14ac:dyDescent="0.4">
      <c r="F337" s="68" t="str">
        <f t="shared" si="18"/>
        <v/>
      </c>
      <c r="G337" s="68" t="str">
        <f t="shared" si="19"/>
        <v/>
      </c>
      <c r="H337" s="59" t="str">
        <f>IF(B337="","",CONCATENATE(TEXT(Horarios!$B337,"hh:mm"),"-",TEXT(Horarios!$E337,"hh:mm")))</f>
        <v/>
      </c>
      <c r="I337" s="59" t="str">
        <f t="shared" si="20"/>
        <v/>
      </c>
    </row>
    <row r="338" spans="6:9" x14ac:dyDescent="0.4">
      <c r="F338" s="68" t="str">
        <f t="shared" si="18"/>
        <v/>
      </c>
      <c r="G338" s="68" t="str">
        <f t="shared" si="19"/>
        <v/>
      </c>
      <c r="H338" s="59" t="str">
        <f>IF(B338="","",CONCATENATE(TEXT(Horarios!$B338,"hh:mm"),"-",TEXT(Horarios!$E338,"hh:mm")))</f>
        <v/>
      </c>
      <c r="I338" s="59" t="str">
        <f t="shared" si="20"/>
        <v/>
      </c>
    </row>
    <row r="339" spans="6:9" x14ac:dyDescent="0.4">
      <c r="F339" s="68" t="str">
        <f t="shared" si="18"/>
        <v/>
      </c>
      <c r="G339" s="68" t="str">
        <f t="shared" si="19"/>
        <v/>
      </c>
      <c r="H339" s="59" t="str">
        <f>IF(B339="","",CONCATENATE(TEXT(Horarios!$B339,"hh:mm"),"-",TEXT(Horarios!$E339,"hh:mm")))</f>
        <v/>
      </c>
      <c r="I339" s="59" t="str">
        <f t="shared" si="20"/>
        <v/>
      </c>
    </row>
    <row r="340" spans="6:9" x14ac:dyDescent="0.4">
      <c r="F340" s="68" t="str">
        <f t="shared" si="18"/>
        <v/>
      </c>
      <c r="G340" s="68" t="str">
        <f t="shared" si="19"/>
        <v/>
      </c>
      <c r="H340" s="59" t="str">
        <f>IF(B340="","",CONCATENATE(TEXT(Horarios!$B340,"hh:mm"),"-",TEXT(Horarios!$E340,"hh:mm")))</f>
        <v/>
      </c>
      <c r="I340" s="59" t="str">
        <f t="shared" si="20"/>
        <v/>
      </c>
    </row>
    <row r="341" spans="6:9" x14ac:dyDescent="0.4">
      <c r="F341" s="68" t="str">
        <f t="shared" si="18"/>
        <v/>
      </c>
      <c r="G341" s="68" t="str">
        <f t="shared" si="19"/>
        <v/>
      </c>
      <c r="H341" s="59" t="str">
        <f>IF(B341="","",CONCATENATE(TEXT(Horarios!$B341,"hh:mm"),"-",TEXT(Horarios!$E341,"hh:mm")))</f>
        <v/>
      </c>
      <c r="I341" s="59" t="str">
        <f t="shared" si="20"/>
        <v/>
      </c>
    </row>
    <row r="342" spans="6:9" x14ac:dyDescent="0.4">
      <c r="F342" s="68" t="str">
        <f t="shared" si="18"/>
        <v/>
      </c>
      <c r="G342" s="68" t="str">
        <f t="shared" si="19"/>
        <v/>
      </c>
      <c r="H342" s="59" t="str">
        <f>IF(B342="","",CONCATENATE(TEXT(Horarios!$B342,"hh:mm"),"-",TEXT(Horarios!$E342,"hh:mm")))</f>
        <v/>
      </c>
      <c r="I342" s="59" t="str">
        <f t="shared" si="20"/>
        <v/>
      </c>
    </row>
    <row r="343" spans="6:9" x14ac:dyDescent="0.4">
      <c r="F343" s="68" t="str">
        <f t="shared" si="18"/>
        <v/>
      </c>
      <c r="G343" s="68" t="str">
        <f t="shared" si="19"/>
        <v/>
      </c>
      <c r="H343" s="59" t="str">
        <f>IF(B343="","",CONCATENATE(TEXT(Horarios!$B343,"hh:mm"),"-",TEXT(Horarios!$E343,"hh:mm")))</f>
        <v/>
      </c>
      <c r="I343" s="59" t="str">
        <f t="shared" si="20"/>
        <v/>
      </c>
    </row>
    <row r="344" spans="6:9" x14ac:dyDescent="0.4">
      <c r="F344" s="68" t="str">
        <f t="shared" si="18"/>
        <v/>
      </c>
      <c r="G344" s="68" t="str">
        <f t="shared" si="19"/>
        <v/>
      </c>
      <c r="H344" s="59" t="str">
        <f>IF(B344="","",CONCATENATE(TEXT(Horarios!$B344,"hh:mm"),"-",TEXT(Horarios!$E344,"hh:mm")))</f>
        <v/>
      </c>
      <c r="I344" s="59" t="str">
        <f t="shared" si="20"/>
        <v/>
      </c>
    </row>
    <row r="345" spans="6:9" x14ac:dyDescent="0.4">
      <c r="F345" s="68" t="str">
        <f t="shared" si="18"/>
        <v/>
      </c>
      <c r="G345" s="68" t="str">
        <f t="shared" si="19"/>
        <v/>
      </c>
      <c r="H345" s="59" t="str">
        <f>IF(B345="","",CONCATENATE(TEXT(Horarios!$B345,"hh:mm"),"-",TEXT(Horarios!$E345,"hh:mm")))</f>
        <v/>
      </c>
      <c r="I345" s="59" t="str">
        <f t="shared" si="20"/>
        <v/>
      </c>
    </row>
    <row r="346" spans="6:9" x14ac:dyDescent="0.4">
      <c r="F346" s="68" t="str">
        <f t="shared" si="18"/>
        <v/>
      </c>
      <c r="G346" s="68" t="str">
        <f t="shared" si="19"/>
        <v/>
      </c>
      <c r="H346" s="59" t="str">
        <f>IF(B346="","",CONCATENATE(TEXT(Horarios!$B346,"hh:mm"),"-",TEXT(Horarios!$E346,"hh:mm")))</f>
        <v/>
      </c>
      <c r="I346" s="59" t="str">
        <f t="shared" si="20"/>
        <v/>
      </c>
    </row>
    <row r="347" spans="6:9" x14ac:dyDescent="0.4">
      <c r="F347" s="68" t="str">
        <f t="shared" si="18"/>
        <v/>
      </c>
      <c r="G347" s="68" t="str">
        <f t="shared" si="19"/>
        <v/>
      </c>
      <c r="H347" s="59" t="str">
        <f>IF(B347="","",CONCATENATE(TEXT(Horarios!$B347,"hh:mm"),"-",TEXT(Horarios!$E347,"hh:mm")))</f>
        <v/>
      </c>
      <c r="I347" s="59" t="str">
        <f t="shared" si="20"/>
        <v/>
      </c>
    </row>
    <row r="348" spans="6:9" x14ac:dyDescent="0.4">
      <c r="F348" s="68" t="str">
        <f t="shared" si="18"/>
        <v/>
      </c>
      <c r="G348" s="68" t="str">
        <f t="shared" si="19"/>
        <v/>
      </c>
      <c r="H348" s="59" t="str">
        <f>IF(B348="","",CONCATENATE(TEXT(Horarios!$B348,"hh:mm"),"-",TEXT(Horarios!$E348,"hh:mm")))</f>
        <v/>
      </c>
      <c r="I348" s="59" t="str">
        <f t="shared" si="20"/>
        <v/>
      </c>
    </row>
    <row r="349" spans="6:9" x14ac:dyDescent="0.4">
      <c r="F349" s="68" t="str">
        <f t="shared" si="18"/>
        <v/>
      </c>
      <c r="G349" s="68" t="str">
        <f t="shared" si="19"/>
        <v/>
      </c>
      <c r="H349" s="59" t="str">
        <f>IF(B349="","",CONCATENATE(TEXT(Horarios!$B349,"hh:mm"),"-",TEXT(Horarios!$E349,"hh:mm")))</f>
        <v/>
      </c>
      <c r="I349" s="59" t="str">
        <f t="shared" si="20"/>
        <v/>
      </c>
    </row>
    <row r="350" spans="6:9" x14ac:dyDescent="0.4">
      <c r="F350" s="68" t="str">
        <f t="shared" si="18"/>
        <v/>
      </c>
      <c r="G350" s="68" t="str">
        <f t="shared" si="19"/>
        <v/>
      </c>
      <c r="H350" s="59" t="str">
        <f>IF(B350="","",CONCATENATE(TEXT(Horarios!$B350,"hh:mm"),"-",TEXT(Horarios!$E350,"hh:mm")))</f>
        <v/>
      </c>
      <c r="I350" s="59" t="str">
        <f t="shared" si="20"/>
        <v/>
      </c>
    </row>
    <row r="351" spans="6:9" x14ac:dyDescent="0.4">
      <c r="F351" s="68" t="str">
        <f t="shared" si="18"/>
        <v/>
      </c>
      <c r="G351" s="68" t="str">
        <f t="shared" si="19"/>
        <v/>
      </c>
      <c r="H351" s="59" t="str">
        <f>IF(B351="","",CONCATENATE(TEXT(Horarios!$B351,"hh:mm"),"-",TEXT(Horarios!$E351,"hh:mm")))</f>
        <v/>
      </c>
      <c r="I351" s="59" t="str">
        <f t="shared" si="20"/>
        <v/>
      </c>
    </row>
    <row r="352" spans="6:9" x14ac:dyDescent="0.4">
      <c r="F352" s="68" t="str">
        <f t="shared" si="18"/>
        <v/>
      </c>
      <c r="G352" s="68" t="str">
        <f t="shared" si="19"/>
        <v/>
      </c>
      <c r="H352" s="59" t="str">
        <f>IF(B352="","",CONCATENATE(TEXT(Horarios!$B352,"hh:mm"),"-",TEXT(Horarios!$E352,"hh:mm")))</f>
        <v/>
      </c>
      <c r="I352" s="59" t="str">
        <f t="shared" si="20"/>
        <v/>
      </c>
    </row>
    <row r="353" spans="6:9" x14ac:dyDescent="0.4">
      <c r="F353" s="68" t="str">
        <f t="shared" si="18"/>
        <v/>
      </c>
      <c r="G353" s="68" t="str">
        <f t="shared" si="19"/>
        <v/>
      </c>
      <c r="H353" s="59" t="str">
        <f>IF(B353="","",CONCATENATE(TEXT(Horarios!$B353,"hh:mm"),"-",TEXT(Horarios!$E353,"hh:mm")))</f>
        <v/>
      </c>
      <c r="I353" s="59" t="str">
        <f t="shared" si="20"/>
        <v/>
      </c>
    </row>
    <row r="354" spans="6:9" x14ac:dyDescent="0.4">
      <c r="F354" s="68" t="str">
        <f t="shared" si="18"/>
        <v/>
      </c>
      <c r="G354" s="68" t="str">
        <f t="shared" si="19"/>
        <v/>
      </c>
      <c r="H354" s="59" t="str">
        <f>IF(B354="","",CONCATENATE(TEXT(Horarios!$B354,"hh:mm"),"-",TEXT(Horarios!$E354,"hh:mm")))</f>
        <v/>
      </c>
      <c r="I354" s="59" t="str">
        <f t="shared" si="20"/>
        <v/>
      </c>
    </row>
    <row r="355" spans="6:9" x14ac:dyDescent="0.4">
      <c r="F355" s="68" t="str">
        <f t="shared" si="18"/>
        <v/>
      </c>
      <c r="G355" s="68" t="str">
        <f t="shared" si="19"/>
        <v/>
      </c>
      <c r="H355" s="59" t="str">
        <f>IF(B355="","",CONCATENATE(TEXT(Horarios!$B355,"hh:mm"),"-",TEXT(Horarios!$E355,"hh:mm")))</f>
        <v/>
      </c>
      <c r="I355" s="59" t="str">
        <f t="shared" si="20"/>
        <v/>
      </c>
    </row>
    <row r="356" spans="6:9" x14ac:dyDescent="0.4">
      <c r="F356" s="68" t="str">
        <f t="shared" si="18"/>
        <v/>
      </c>
      <c r="G356" s="68" t="str">
        <f t="shared" si="19"/>
        <v/>
      </c>
      <c r="H356" s="59" t="str">
        <f>IF(B356="","",CONCATENATE(TEXT(Horarios!$B356,"hh:mm"),"-",TEXT(Horarios!$E356,"hh:mm")))</f>
        <v/>
      </c>
      <c r="I356" s="59" t="str">
        <f t="shared" si="20"/>
        <v/>
      </c>
    </row>
    <row r="357" spans="6:9" x14ac:dyDescent="0.4">
      <c r="F357" s="68" t="str">
        <f t="shared" si="18"/>
        <v/>
      </c>
      <c r="G357" s="68" t="str">
        <f t="shared" si="19"/>
        <v/>
      </c>
      <c r="H357" s="59" t="str">
        <f>IF(B357="","",CONCATENATE(TEXT(Horarios!$B357,"hh:mm"),"-",TEXT(Horarios!$E357,"hh:mm")))</f>
        <v/>
      </c>
      <c r="I357" s="59" t="str">
        <f t="shared" si="20"/>
        <v/>
      </c>
    </row>
    <row r="358" spans="6:9" x14ac:dyDescent="0.4">
      <c r="F358" s="68" t="str">
        <f t="shared" si="18"/>
        <v/>
      </c>
      <c r="G358" s="68" t="str">
        <f t="shared" si="19"/>
        <v/>
      </c>
      <c r="H358" s="59" t="str">
        <f>IF(B358="","",CONCATENATE(TEXT(Horarios!$B358,"hh:mm"),"-",TEXT(Horarios!$E358,"hh:mm")))</f>
        <v/>
      </c>
      <c r="I358" s="59" t="str">
        <f t="shared" si="20"/>
        <v/>
      </c>
    </row>
    <row r="359" spans="6:9" x14ac:dyDescent="0.4">
      <c r="F359" s="68" t="str">
        <f t="shared" si="18"/>
        <v/>
      </c>
      <c r="G359" s="68" t="str">
        <f t="shared" si="19"/>
        <v/>
      </c>
      <c r="H359" s="59" t="str">
        <f>IF(B359="","",CONCATENATE(TEXT(Horarios!$B359,"hh:mm"),"-",TEXT(Horarios!$E359,"hh:mm")))</f>
        <v/>
      </c>
      <c r="I359" s="59" t="str">
        <f t="shared" si="20"/>
        <v/>
      </c>
    </row>
    <row r="360" spans="6:9" x14ac:dyDescent="0.4">
      <c r="F360" s="68" t="str">
        <f t="shared" si="18"/>
        <v/>
      </c>
      <c r="G360" s="68" t="str">
        <f t="shared" si="19"/>
        <v/>
      </c>
      <c r="H360" s="59" t="str">
        <f>IF(B360="","",CONCATENATE(TEXT(Horarios!$B360,"hh:mm"),"-",TEXT(Horarios!$E360,"hh:mm")))</f>
        <v/>
      </c>
      <c r="I360" s="59" t="str">
        <f t="shared" si="20"/>
        <v/>
      </c>
    </row>
    <row r="361" spans="6:9" x14ac:dyDescent="0.4">
      <c r="F361" s="68" t="str">
        <f t="shared" si="18"/>
        <v/>
      </c>
      <c r="G361" s="68" t="str">
        <f t="shared" si="19"/>
        <v/>
      </c>
      <c r="H361" s="59" t="str">
        <f>IF(B361="","",CONCATENATE(TEXT(Horarios!$B361,"hh:mm"),"-",TEXT(Horarios!$E361,"hh:mm")))</f>
        <v/>
      </c>
      <c r="I361" s="59" t="str">
        <f t="shared" si="20"/>
        <v/>
      </c>
    </row>
    <row r="362" spans="6:9" x14ac:dyDescent="0.4">
      <c r="F362" s="68" t="str">
        <f t="shared" si="18"/>
        <v/>
      </c>
      <c r="G362" s="68" t="str">
        <f t="shared" si="19"/>
        <v/>
      </c>
      <c r="H362" s="59" t="str">
        <f>IF(B362="","",CONCATENATE(TEXT(Horarios!$B362,"hh:mm"),"-",TEXT(Horarios!$E362,"hh:mm")))</f>
        <v/>
      </c>
      <c r="I362" s="59" t="str">
        <f t="shared" si="20"/>
        <v/>
      </c>
    </row>
    <row r="363" spans="6:9" x14ac:dyDescent="0.4">
      <c r="F363" s="68" t="str">
        <f t="shared" si="18"/>
        <v/>
      </c>
      <c r="G363" s="68" t="str">
        <f t="shared" si="19"/>
        <v/>
      </c>
      <c r="H363" s="59" t="str">
        <f>IF(B363="","",CONCATENATE(TEXT(Horarios!$B363,"hh:mm"),"-",TEXT(Horarios!$E363,"hh:mm")))</f>
        <v/>
      </c>
      <c r="I363" s="59" t="str">
        <f t="shared" si="20"/>
        <v/>
      </c>
    </row>
    <row r="364" spans="6:9" x14ac:dyDescent="0.4">
      <c r="F364" s="68" t="str">
        <f t="shared" si="18"/>
        <v/>
      </c>
      <c r="G364" s="68" t="str">
        <f t="shared" si="19"/>
        <v/>
      </c>
      <c r="H364" s="59" t="str">
        <f>IF(B364="","",CONCATENATE(TEXT(Horarios!$B364,"hh:mm"),"-",TEXT(Horarios!$E364,"hh:mm")))</f>
        <v/>
      </c>
      <c r="I364" s="59" t="str">
        <f t="shared" si="20"/>
        <v/>
      </c>
    </row>
    <row r="365" spans="6:9" x14ac:dyDescent="0.4">
      <c r="F365" s="68" t="str">
        <f t="shared" si="18"/>
        <v/>
      </c>
      <c r="G365" s="68" t="str">
        <f t="shared" si="19"/>
        <v/>
      </c>
      <c r="H365" s="59" t="str">
        <f>IF(B365="","",CONCATENATE(TEXT(Horarios!$B365,"hh:mm"),"-",TEXT(Horarios!$E365,"hh:mm")))</f>
        <v/>
      </c>
      <c r="I365" s="59" t="str">
        <f t="shared" si="20"/>
        <v/>
      </c>
    </row>
    <row r="366" spans="6:9" x14ac:dyDescent="0.4">
      <c r="F366" s="68" t="str">
        <f t="shared" si="18"/>
        <v/>
      </c>
      <c r="G366" s="68" t="str">
        <f t="shared" si="19"/>
        <v/>
      </c>
      <c r="H366" s="59" t="str">
        <f>IF(B366="","",CONCATENATE(TEXT(Horarios!$B366,"hh:mm"),"-",TEXT(Horarios!$E366,"hh:mm")))</f>
        <v/>
      </c>
      <c r="I366" s="59" t="str">
        <f t="shared" si="20"/>
        <v/>
      </c>
    </row>
    <row r="367" spans="6:9" x14ac:dyDescent="0.4">
      <c r="F367" s="68" t="str">
        <f t="shared" si="18"/>
        <v/>
      </c>
      <c r="G367" s="68" t="str">
        <f t="shared" si="19"/>
        <v/>
      </c>
      <c r="H367" s="59" t="str">
        <f>IF(B367="","",CONCATENATE(TEXT(Horarios!$B367,"hh:mm"),"-",TEXT(Horarios!$E367,"hh:mm")))</f>
        <v/>
      </c>
      <c r="I367" s="59" t="str">
        <f t="shared" si="20"/>
        <v/>
      </c>
    </row>
    <row r="368" spans="6:9" x14ac:dyDescent="0.4">
      <c r="F368" s="68" t="str">
        <f t="shared" si="18"/>
        <v/>
      </c>
      <c r="G368" s="68" t="str">
        <f t="shared" si="19"/>
        <v/>
      </c>
      <c r="H368" s="59" t="str">
        <f>IF(B368="","",CONCATENATE(TEXT(Horarios!$B368,"hh:mm"),"-",TEXT(Horarios!$E368,"hh:mm")))</f>
        <v/>
      </c>
      <c r="I368" s="59" t="str">
        <f t="shared" si="20"/>
        <v/>
      </c>
    </row>
    <row r="369" spans="6:9" x14ac:dyDescent="0.4">
      <c r="F369" s="68" t="str">
        <f t="shared" si="18"/>
        <v/>
      </c>
      <c r="G369" s="68" t="str">
        <f t="shared" si="19"/>
        <v/>
      </c>
      <c r="H369" s="59" t="str">
        <f>IF(B369="","",CONCATENATE(TEXT(Horarios!$B369,"hh:mm"),"-",TEXT(Horarios!$E369,"hh:mm")))</f>
        <v/>
      </c>
      <c r="I369" s="59" t="str">
        <f t="shared" si="20"/>
        <v/>
      </c>
    </row>
    <row r="370" spans="6:9" x14ac:dyDescent="0.4">
      <c r="F370" s="68" t="str">
        <f t="shared" si="18"/>
        <v/>
      </c>
      <c r="G370" s="68" t="str">
        <f t="shared" si="19"/>
        <v/>
      </c>
      <c r="H370" s="59" t="str">
        <f>IF(B370="","",CONCATENATE(TEXT(Horarios!$B370,"hh:mm"),"-",TEXT(Horarios!$E370,"hh:mm")))</f>
        <v/>
      </c>
      <c r="I370" s="59" t="str">
        <f t="shared" si="20"/>
        <v/>
      </c>
    </row>
    <row r="371" spans="6:9" x14ac:dyDescent="0.4">
      <c r="F371" s="68" t="str">
        <f t="shared" si="18"/>
        <v/>
      </c>
      <c r="G371" s="68" t="str">
        <f t="shared" si="19"/>
        <v/>
      </c>
      <c r="H371" s="59" t="str">
        <f>IF(B371="","",CONCATENATE(TEXT(Horarios!$B371,"hh:mm"),"-",TEXT(Horarios!$E371,"hh:mm")))</f>
        <v/>
      </c>
      <c r="I371" s="59" t="str">
        <f t="shared" si="20"/>
        <v/>
      </c>
    </row>
    <row r="372" spans="6:9" x14ac:dyDescent="0.4">
      <c r="F372" s="68" t="str">
        <f t="shared" si="18"/>
        <v/>
      </c>
      <c r="G372" s="68" t="str">
        <f t="shared" si="19"/>
        <v/>
      </c>
      <c r="H372" s="59" t="str">
        <f>IF(B372="","",CONCATENATE(TEXT(Horarios!$B372,"hh:mm"),"-",TEXT(Horarios!$E372,"hh:mm")))</f>
        <v/>
      </c>
      <c r="I372" s="59" t="str">
        <f t="shared" si="20"/>
        <v/>
      </c>
    </row>
    <row r="373" spans="6:9" x14ac:dyDescent="0.4">
      <c r="F373" s="68" t="str">
        <f t="shared" si="18"/>
        <v/>
      </c>
      <c r="G373" s="68" t="str">
        <f t="shared" si="19"/>
        <v/>
      </c>
      <c r="H373" s="59" t="str">
        <f>IF(B373="","",CONCATENATE(TEXT(Horarios!$B373,"hh:mm"),"-",TEXT(Horarios!$E373,"hh:mm")))</f>
        <v/>
      </c>
      <c r="I373" s="59" t="str">
        <f t="shared" si="20"/>
        <v/>
      </c>
    </row>
    <row r="374" spans="6:9" x14ac:dyDescent="0.4">
      <c r="F374" s="68" t="str">
        <f t="shared" si="18"/>
        <v/>
      </c>
      <c r="G374" s="68" t="str">
        <f t="shared" si="19"/>
        <v/>
      </c>
      <c r="H374" s="59" t="str">
        <f>IF(B374="","",CONCATENATE(TEXT(Horarios!$B374,"hh:mm"),"-",TEXT(Horarios!$E374,"hh:mm")))</f>
        <v/>
      </c>
      <c r="I374" s="59" t="str">
        <f t="shared" si="20"/>
        <v/>
      </c>
    </row>
    <row r="375" spans="6:9" x14ac:dyDescent="0.4">
      <c r="F375" s="68" t="str">
        <f t="shared" si="18"/>
        <v/>
      </c>
      <c r="G375" s="68" t="str">
        <f t="shared" si="19"/>
        <v/>
      </c>
      <c r="H375" s="59" t="str">
        <f>IF(B375="","",CONCATENATE(TEXT(Horarios!$B375,"hh:mm"),"-",TEXT(Horarios!$E375,"hh:mm")))</f>
        <v/>
      </c>
      <c r="I375" s="59" t="str">
        <f t="shared" si="20"/>
        <v/>
      </c>
    </row>
    <row r="376" spans="6:9" x14ac:dyDescent="0.4">
      <c r="F376" s="68" t="str">
        <f t="shared" si="18"/>
        <v/>
      </c>
      <c r="G376" s="68" t="str">
        <f t="shared" si="19"/>
        <v/>
      </c>
      <c r="H376" s="59" t="str">
        <f>IF(B376="","",CONCATENATE(TEXT(Horarios!$B376,"hh:mm"),"-",TEXT(Horarios!$E376,"hh:mm")))</f>
        <v/>
      </c>
      <c r="I376" s="59" t="str">
        <f t="shared" si="20"/>
        <v/>
      </c>
    </row>
    <row r="377" spans="6:9" x14ac:dyDescent="0.4">
      <c r="F377" s="68" t="str">
        <f t="shared" si="18"/>
        <v/>
      </c>
      <c r="G377" s="68" t="str">
        <f t="shared" si="19"/>
        <v/>
      </c>
      <c r="H377" s="59" t="str">
        <f>IF(B377="","",CONCATENATE(TEXT(Horarios!$B377,"hh:mm"),"-",TEXT(Horarios!$E377,"hh:mm")))</f>
        <v/>
      </c>
      <c r="I377" s="59" t="str">
        <f t="shared" si="20"/>
        <v/>
      </c>
    </row>
    <row r="378" spans="6:9" x14ac:dyDescent="0.4">
      <c r="F378" s="68" t="str">
        <f t="shared" si="18"/>
        <v/>
      </c>
      <c r="G378" s="68" t="str">
        <f t="shared" si="19"/>
        <v/>
      </c>
      <c r="H378" s="59" t="str">
        <f>IF(B378="","",CONCATENATE(TEXT(Horarios!$B378,"hh:mm"),"-",TEXT(Horarios!$E378,"hh:mm")))</f>
        <v/>
      </c>
      <c r="I378" s="59" t="str">
        <f t="shared" si="20"/>
        <v/>
      </c>
    </row>
    <row r="379" spans="6:9" x14ac:dyDescent="0.4">
      <c r="F379" s="68" t="str">
        <f t="shared" si="18"/>
        <v/>
      </c>
      <c r="G379" s="68" t="str">
        <f t="shared" si="19"/>
        <v/>
      </c>
      <c r="H379" s="59" t="str">
        <f>IF(B379="","",CONCATENATE(TEXT(Horarios!$B379,"hh:mm"),"-",TEXT(Horarios!$E379,"hh:mm")))</f>
        <v/>
      </c>
      <c r="I379" s="59" t="str">
        <f t="shared" si="20"/>
        <v/>
      </c>
    </row>
    <row r="380" spans="6:9" x14ac:dyDescent="0.4">
      <c r="F380" s="68" t="str">
        <f t="shared" si="18"/>
        <v/>
      </c>
      <c r="G380" s="68" t="str">
        <f t="shared" si="19"/>
        <v/>
      </c>
      <c r="H380" s="59" t="str">
        <f>IF(B380="","",CONCATENATE(TEXT(Horarios!$B380,"hh:mm"),"-",TEXT(Horarios!$E380,"hh:mm")))</f>
        <v/>
      </c>
      <c r="I380" s="59" t="str">
        <f t="shared" si="20"/>
        <v/>
      </c>
    </row>
    <row r="381" spans="6:9" x14ac:dyDescent="0.4">
      <c r="F381" s="68" t="str">
        <f t="shared" si="18"/>
        <v/>
      </c>
      <c r="G381" s="68" t="str">
        <f t="shared" si="19"/>
        <v/>
      </c>
      <c r="H381" s="59" t="str">
        <f>IF(B381="","",CONCATENATE(TEXT(Horarios!$B381,"hh:mm"),"-",TEXT(Horarios!$E381,"hh:mm")))</f>
        <v/>
      </c>
      <c r="I381" s="59" t="str">
        <f t="shared" si="20"/>
        <v/>
      </c>
    </row>
    <row r="382" spans="6:9" x14ac:dyDescent="0.4">
      <c r="F382" s="68" t="str">
        <f t="shared" si="18"/>
        <v/>
      </c>
      <c r="G382" s="68" t="str">
        <f t="shared" si="19"/>
        <v/>
      </c>
      <c r="H382" s="59" t="str">
        <f>IF(B382="","",CONCATENATE(TEXT(Horarios!$B382,"hh:mm"),"-",TEXT(Horarios!$E382,"hh:mm")))</f>
        <v/>
      </c>
      <c r="I382" s="59" t="str">
        <f t="shared" si="20"/>
        <v/>
      </c>
    </row>
    <row r="383" spans="6:9" x14ac:dyDescent="0.4">
      <c r="F383" s="68" t="str">
        <f t="shared" si="18"/>
        <v/>
      </c>
      <c r="G383" s="68" t="str">
        <f t="shared" si="19"/>
        <v/>
      </c>
      <c r="H383" s="59" t="str">
        <f>IF(B383="","",CONCATENATE(TEXT(Horarios!$B383,"hh:mm"),"-",TEXT(Horarios!$E383,"hh:mm")))</f>
        <v/>
      </c>
      <c r="I383" s="59" t="str">
        <f t="shared" si="20"/>
        <v/>
      </c>
    </row>
    <row r="384" spans="6:9" x14ac:dyDescent="0.4">
      <c r="F384" s="68" t="str">
        <f t="shared" si="18"/>
        <v/>
      </c>
      <c r="G384" s="68" t="str">
        <f t="shared" si="19"/>
        <v/>
      </c>
      <c r="H384" s="59" t="str">
        <f>IF(B384="","",CONCATENATE(TEXT(Horarios!$B384,"hh:mm"),"-",TEXT(Horarios!$E384,"hh:mm")))</f>
        <v/>
      </c>
      <c r="I384" s="59" t="str">
        <f t="shared" si="20"/>
        <v/>
      </c>
    </row>
    <row r="385" spans="6:9" x14ac:dyDescent="0.4">
      <c r="F385" s="68" t="str">
        <f t="shared" si="18"/>
        <v/>
      </c>
      <c r="G385" s="68" t="str">
        <f t="shared" si="19"/>
        <v/>
      </c>
      <c r="H385" s="59" t="str">
        <f>IF(B385="","",CONCATENATE(TEXT(Horarios!$B385,"hh:mm"),"-",TEXT(Horarios!$E385,"hh:mm")))</f>
        <v/>
      </c>
      <c r="I385" s="59" t="str">
        <f t="shared" si="20"/>
        <v/>
      </c>
    </row>
    <row r="386" spans="6:9" x14ac:dyDescent="0.4">
      <c r="F386" s="68" t="str">
        <f t="shared" si="18"/>
        <v/>
      </c>
      <c r="G386" s="68" t="str">
        <f t="shared" si="19"/>
        <v/>
      </c>
      <c r="H386" s="59" t="str">
        <f>IF(B386="","",CONCATENATE(TEXT(Horarios!$B386,"hh:mm"),"-",TEXT(Horarios!$E386,"hh:mm")))</f>
        <v/>
      </c>
      <c r="I386" s="59" t="str">
        <f t="shared" si="20"/>
        <v/>
      </c>
    </row>
    <row r="387" spans="6:9" x14ac:dyDescent="0.4">
      <c r="F387" s="68" t="str">
        <f t="shared" si="18"/>
        <v/>
      </c>
      <c r="G387" s="68" t="str">
        <f t="shared" si="19"/>
        <v/>
      </c>
      <c r="H387" s="59" t="str">
        <f>IF(B387="","",CONCATENATE(TEXT(Horarios!$B387,"hh:mm"),"-",TEXT(Horarios!$E387,"hh:mm")))</f>
        <v/>
      </c>
      <c r="I387" s="59" t="str">
        <f t="shared" si="20"/>
        <v/>
      </c>
    </row>
    <row r="388" spans="6:9" x14ac:dyDescent="0.4">
      <c r="F388" s="68" t="str">
        <f t="shared" si="18"/>
        <v/>
      </c>
      <c r="G388" s="68" t="str">
        <f t="shared" si="19"/>
        <v/>
      </c>
      <c r="H388" s="59" t="str">
        <f>IF(B388="","",CONCATENATE(TEXT(Horarios!$B388,"hh:mm"),"-",TEXT(Horarios!$E388,"hh:mm")))</f>
        <v/>
      </c>
      <c r="I388" s="59" t="str">
        <f t="shared" si="20"/>
        <v/>
      </c>
    </row>
    <row r="389" spans="6:9" x14ac:dyDescent="0.4">
      <c r="F389" s="68" t="str">
        <f t="shared" si="18"/>
        <v/>
      </c>
      <c r="G389" s="68" t="str">
        <f t="shared" si="19"/>
        <v/>
      </c>
      <c r="H389" s="59" t="str">
        <f>IF(B389="","",CONCATENATE(TEXT(Horarios!$B389,"hh:mm"),"-",TEXT(Horarios!$E389,"hh:mm")))</f>
        <v/>
      </c>
      <c r="I389" s="59" t="str">
        <f t="shared" si="20"/>
        <v/>
      </c>
    </row>
    <row r="390" spans="6:9" x14ac:dyDescent="0.4">
      <c r="F390" s="68" t="str">
        <f t="shared" si="18"/>
        <v/>
      </c>
      <c r="G390" s="68" t="str">
        <f t="shared" si="19"/>
        <v/>
      </c>
      <c r="H390" s="59" t="str">
        <f>IF(B390="","",CONCATENATE(TEXT(Horarios!$B390,"hh:mm"),"-",TEXT(Horarios!$E390,"hh:mm")))</f>
        <v/>
      </c>
      <c r="I390" s="59" t="str">
        <f t="shared" si="20"/>
        <v/>
      </c>
    </row>
    <row r="391" spans="6:9" x14ac:dyDescent="0.4">
      <c r="F391" s="68" t="str">
        <f t="shared" si="18"/>
        <v/>
      </c>
      <c r="G391" s="68" t="str">
        <f t="shared" si="19"/>
        <v/>
      </c>
      <c r="H391" s="59" t="str">
        <f>IF(B391="","",CONCATENATE(TEXT(Horarios!$B391,"hh:mm"),"-",TEXT(Horarios!$E391,"hh:mm")))</f>
        <v/>
      </c>
      <c r="I391" s="59" t="str">
        <f t="shared" si="20"/>
        <v/>
      </c>
    </row>
    <row r="392" spans="6:9" x14ac:dyDescent="0.4">
      <c r="F392" s="68" t="str">
        <f t="shared" si="18"/>
        <v/>
      </c>
      <c r="G392" s="68" t="str">
        <f t="shared" si="19"/>
        <v/>
      </c>
      <c r="H392" s="59" t="str">
        <f>IF(B392="","",CONCATENATE(TEXT(Horarios!$B392,"hh:mm"),"-",TEXT(Horarios!$E392,"hh:mm")))</f>
        <v/>
      </c>
      <c r="I392" s="59" t="str">
        <f t="shared" si="20"/>
        <v/>
      </c>
    </row>
    <row r="393" spans="6:9" x14ac:dyDescent="0.4">
      <c r="F393" s="68" t="str">
        <f t="shared" si="18"/>
        <v/>
      </c>
      <c r="G393" s="68" t="str">
        <f t="shared" si="19"/>
        <v/>
      </c>
      <c r="H393" s="59" t="str">
        <f>IF(B393="","",CONCATENATE(TEXT(Horarios!$B393,"hh:mm"),"-",TEXT(Horarios!$E393,"hh:mm")))</f>
        <v/>
      </c>
      <c r="I393" s="59" t="str">
        <f t="shared" si="20"/>
        <v/>
      </c>
    </row>
    <row r="394" spans="6:9" x14ac:dyDescent="0.4">
      <c r="F394" s="68" t="str">
        <f t="shared" si="18"/>
        <v/>
      </c>
      <c r="G394" s="68" t="str">
        <f t="shared" si="19"/>
        <v/>
      </c>
      <c r="H394" s="59" t="str">
        <f>IF(B394="","",CONCATENATE(TEXT(Horarios!$B394,"hh:mm"),"-",TEXT(Horarios!$E394,"hh:mm")))</f>
        <v/>
      </c>
      <c r="I394" s="59" t="str">
        <f t="shared" si="20"/>
        <v/>
      </c>
    </row>
    <row r="395" spans="6:9" x14ac:dyDescent="0.4">
      <c r="F395" s="68" t="str">
        <f t="shared" si="18"/>
        <v/>
      </c>
      <c r="G395" s="68" t="str">
        <f t="shared" si="19"/>
        <v/>
      </c>
      <c r="H395" s="59" t="str">
        <f>IF(B395="","",CONCATENATE(TEXT(Horarios!$B395,"hh:mm"),"-",TEXT(Horarios!$E395,"hh:mm")))</f>
        <v/>
      </c>
      <c r="I395" s="59" t="str">
        <f t="shared" si="20"/>
        <v/>
      </c>
    </row>
    <row r="396" spans="6:9" x14ac:dyDescent="0.4">
      <c r="F396" s="68" t="str">
        <f t="shared" ref="F396:F400" si="21">IF(B396="","",D396-C396)</f>
        <v/>
      </c>
      <c r="G396" s="68" t="str">
        <f t="shared" ref="G396:G400" si="22">IF(B396="","",MOD(E396-B396+24,1))</f>
        <v/>
      </c>
      <c r="H396" s="59" t="str">
        <f>IF(B396="","",CONCATENATE(TEXT(Horarios!$B396,"hh:mm"),"-",TEXT(Horarios!$E396,"hh:mm")))</f>
        <v/>
      </c>
      <c r="I396" s="59" t="str">
        <f t="shared" ref="I396:I400" si="23">IF(B396="","",G396-F396)</f>
        <v/>
      </c>
    </row>
    <row r="397" spans="6:9" x14ac:dyDescent="0.4">
      <c r="F397" s="68" t="str">
        <f t="shared" si="21"/>
        <v/>
      </c>
      <c r="G397" s="68" t="str">
        <f t="shared" si="22"/>
        <v/>
      </c>
      <c r="H397" s="59" t="str">
        <f>IF(B397="","",CONCATENATE(TEXT(Horarios!$B397,"hh:mm"),"-",TEXT(Horarios!$E397,"hh:mm")))</f>
        <v/>
      </c>
      <c r="I397" s="59" t="str">
        <f t="shared" si="23"/>
        <v/>
      </c>
    </row>
    <row r="398" spans="6:9" x14ac:dyDescent="0.4">
      <c r="F398" s="68" t="str">
        <f t="shared" si="21"/>
        <v/>
      </c>
      <c r="G398" s="68" t="str">
        <f t="shared" si="22"/>
        <v/>
      </c>
      <c r="H398" s="59" t="str">
        <f>IF(B398="","",CONCATENATE(TEXT(Horarios!$B398,"hh:mm"),"-",TEXT(Horarios!$E398,"hh:mm")))</f>
        <v/>
      </c>
      <c r="I398" s="59" t="str">
        <f t="shared" si="23"/>
        <v/>
      </c>
    </row>
    <row r="399" spans="6:9" x14ac:dyDescent="0.4">
      <c r="F399" s="68" t="str">
        <f t="shared" si="21"/>
        <v/>
      </c>
      <c r="G399" s="68" t="str">
        <f t="shared" si="22"/>
        <v/>
      </c>
      <c r="H399" s="59" t="str">
        <f>IF(B399="","",CONCATENATE(TEXT(Horarios!$B399,"hh:mm"),"-",TEXT(Horarios!$E399,"hh:mm")))</f>
        <v/>
      </c>
      <c r="I399" s="59" t="str">
        <f t="shared" si="23"/>
        <v/>
      </c>
    </row>
    <row r="400" spans="6:9" x14ac:dyDescent="0.4">
      <c r="F400" s="68" t="str">
        <f t="shared" si="21"/>
        <v/>
      </c>
      <c r="G400" s="68" t="str">
        <f t="shared" si="22"/>
        <v/>
      </c>
      <c r="H400" s="59" t="str">
        <f>IF(B400="","",CONCATENATE(TEXT(Horarios!$B400,"hh:mm"),"-",TEXT(Horarios!$E400,"hh:mm")))</f>
        <v/>
      </c>
      <c r="I400" s="59" t="str">
        <f t="shared" si="23"/>
        <v/>
      </c>
    </row>
  </sheetData>
  <sheetProtection algorithmName="SHA-512" hashValue="r/Ay02mTyGA9AAddfuHEnwN4e6UWVG/x123V4QHD7d0mAww+Yk3BAjfU2UdGpLkJpnjjAjwYZI0EpJ4XPj10jw==" saltValue="OTjvAVjBd+bl9L/h87qpnQ==" spinCount="100000" sheet="1" formatCells="0"/>
  <mergeCells count="1">
    <mergeCell ref="B2:I2"/>
  </mergeCells>
  <conditionalFormatting sqref="H3">
    <cfRule type="duplicateValues" dxfId="13" priority="7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002060"/>
    <pageSetUpPr fitToPage="1"/>
  </sheetPr>
  <dimension ref="A1:JA300"/>
  <sheetViews>
    <sheetView tabSelected="1" topLeftCell="A2" zoomScale="80" zoomScaleNormal="80" zoomScaleSheetLayoutView="84" workbookViewId="0">
      <pane xSplit="3" ySplit="8" topLeftCell="D10" activePane="bottomRight" state="frozen"/>
      <selection activeCell="A2" sqref="A2"/>
      <selection pane="topRight" activeCell="D2" sqref="D2"/>
      <selection pane="bottomLeft" activeCell="A10" sqref="A10"/>
      <selection pane="bottomRight" activeCell="B6" sqref="B6"/>
    </sheetView>
  </sheetViews>
  <sheetFormatPr baseColWidth="10" defaultColWidth="11" defaultRowHeight="13.8" x14ac:dyDescent="0.25"/>
  <cols>
    <col min="1" max="1" width="8.8984375" style="11" customWidth="1"/>
    <col min="2" max="2" width="36.19921875" style="12" customWidth="1"/>
    <col min="3" max="3" width="26.59765625" style="12" customWidth="1"/>
    <col min="4" max="4" width="14.19921875" style="13" customWidth="1"/>
    <col min="5" max="5" width="14.19921875" style="13" hidden="1" customWidth="1"/>
    <col min="6" max="7" width="6.19921875" style="14" hidden="1" customWidth="1"/>
    <col min="8" max="8" width="6.19921875" style="14" customWidth="1"/>
    <col min="9" max="9" width="0.59765625" style="10" customWidth="1"/>
    <col min="10" max="10" width="14.19921875" style="13" customWidth="1"/>
    <col min="11" max="11" width="14.19921875" style="13" hidden="1" customWidth="1"/>
    <col min="12" max="13" width="6.19921875" style="14" hidden="1" customWidth="1"/>
    <col min="14" max="14" width="6.19921875" style="14" customWidth="1"/>
    <col min="15" max="15" width="0.59765625" style="10" customWidth="1"/>
    <col min="16" max="16" width="14.19921875" style="13" customWidth="1"/>
    <col min="17" max="17" width="14.19921875" style="13" hidden="1" customWidth="1"/>
    <col min="18" max="19" width="6.19921875" style="14" hidden="1" customWidth="1"/>
    <col min="20" max="20" width="6.19921875" style="14" customWidth="1"/>
    <col min="21" max="21" width="0.59765625" style="10" customWidth="1"/>
    <col min="22" max="22" width="14.19921875" style="13" customWidth="1"/>
    <col min="23" max="23" width="14.19921875" style="13" hidden="1" customWidth="1"/>
    <col min="24" max="25" width="6.19921875" style="14" hidden="1" customWidth="1"/>
    <col min="26" max="26" width="6.19921875" style="14" customWidth="1"/>
    <col min="27" max="27" width="0.59765625" style="10" customWidth="1"/>
    <col min="28" max="28" width="14.19921875" style="13" customWidth="1"/>
    <col min="29" max="29" width="14.19921875" style="13" hidden="1" customWidth="1"/>
    <col min="30" max="31" width="6.19921875" style="14" hidden="1" customWidth="1"/>
    <col min="32" max="32" width="6.19921875" style="14" customWidth="1"/>
    <col min="33" max="33" width="0.59765625" style="10" customWidth="1"/>
    <col min="34" max="34" width="14.19921875" style="13" customWidth="1"/>
    <col min="35" max="35" width="14.19921875" style="13" hidden="1" customWidth="1"/>
    <col min="36" max="37" width="6.19921875" style="14" hidden="1" customWidth="1"/>
    <col min="38" max="38" width="6.19921875" style="14" customWidth="1"/>
    <col min="39" max="39" width="0.59765625" style="10" customWidth="1"/>
    <col min="40" max="40" width="14.19921875" style="13" customWidth="1"/>
    <col min="41" max="41" width="14.19921875" style="13" hidden="1" customWidth="1"/>
    <col min="42" max="43" width="6.19921875" style="14" hidden="1" customWidth="1"/>
    <col min="44" max="44" width="6.19921875" style="14" customWidth="1"/>
    <col min="45" max="45" width="0.59765625" style="10" customWidth="1"/>
    <col min="46" max="46" width="11" style="14" customWidth="1"/>
    <col min="47" max="48" width="14.19921875" style="13" hidden="1" customWidth="1"/>
    <col min="49" max="51" width="6.19921875" style="14" hidden="1" customWidth="1"/>
    <col min="52" max="52" width="0.59765625" style="10" hidden="1" customWidth="1"/>
    <col min="53" max="54" width="14.19921875" style="13" hidden="1" customWidth="1"/>
    <col min="55" max="57" width="6.19921875" style="14" hidden="1" customWidth="1"/>
    <col min="58" max="58" width="0.59765625" style="10" hidden="1" customWidth="1"/>
    <col min="59" max="60" width="14.19921875" style="13" hidden="1" customWidth="1"/>
    <col min="61" max="63" width="6.19921875" style="14" hidden="1" customWidth="1"/>
    <col min="64" max="64" width="0.59765625" style="10" hidden="1" customWidth="1"/>
    <col min="65" max="66" width="14.19921875" style="13" hidden="1" customWidth="1"/>
    <col min="67" max="69" width="6.19921875" style="14" hidden="1" customWidth="1"/>
    <col min="70" max="70" width="0.59765625" style="10" hidden="1" customWidth="1"/>
    <col min="71" max="72" width="14.19921875" style="13" hidden="1" customWidth="1"/>
    <col min="73" max="75" width="6.19921875" style="14" hidden="1" customWidth="1"/>
    <col min="76" max="76" width="0.59765625" style="10" hidden="1" customWidth="1"/>
    <col min="77" max="78" width="14.19921875" style="13" hidden="1" customWidth="1"/>
    <col min="79" max="81" width="6.19921875" style="14" hidden="1" customWidth="1"/>
    <col min="82" max="82" width="0.59765625" style="10" hidden="1" customWidth="1"/>
    <col min="83" max="84" width="14.19921875" style="13" hidden="1" customWidth="1"/>
    <col min="85" max="87" width="6.19921875" style="14" hidden="1" customWidth="1"/>
    <col min="88" max="88" width="0.59765625" style="10" hidden="1" customWidth="1"/>
    <col min="89" max="89" width="11" style="14" hidden="1" customWidth="1"/>
    <col min="90" max="91" width="14.19921875" style="13" hidden="1" customWidth="1"/>
    <col min="92" max="94" width="6.19921875" style="14" hidden="1" customWidth="1"/>
    <col min="95" max="95" width="0.59765625" style="10" hidden="1" customWidth="1"/>
    <col min="96" max="97" width="14.19921875" style="13" hidden="1" customWidth="1"/>
    <col min="98" max="100" width="6.19921875" style="14" hidden="1" customWidth="1"/>
    <col min="101" max="101" width="0.59765625" style="10" hidden="1" customWidth="1"/>
    <col min="102" max="103" width="14.19921875" style="13" hidden="1" customWidth="1"/>
    <col min="104" max="106" width="6.19921875" style="14" hidden="1" customWidth="1"/>
    <col min="107" max="107" width="0.59765625" style="10" hidden="1" customWidth="1"/>
    <col min="108" max="109" width="14.19921875" style="13" hidden="1" customWidth="1"/>
    <col min="110" max="112" width="6.19921875" style="14" hidden="1" customWidth="1"/>
    <col min="113" max="113" width="0.59765625" style="10" hidden="1" customWidth="1"/>
    <col min="114" max="115" width="14.19921875" style="13" hidden="1" customWidth="1"/>
    <col min="116" max="118" width="6.19921875" style="14" hidden="1" customWidth="1"/>
    <col min="119" max="119" width="0.59765625" style="10" hidden="1" customWidth="1"/>
    <col min="120" max="121" width="14.19921875" style="13" hidden="1" customWidth="1"/>
    <col min="122" max="124" width="6.19921875" style="14" hidden="1" customWidth="1"/>
    <col min="125" max="125" width="0.59765625" style="10" hidden="1" customWidth="1"/>
    <col min="126" max="127" width="14.19921875" style="13" hidden="1" customWidth="1"/>
    <col min="128" max="130" width="6.19921875" style="14" hidden="1" customWidth="1"/>
    <col min="131" max="131" width="0.59765625" style="10" hidden="1" customWidth="1"/>
    <col min="132" max="132" width="11" style="14" hidden="1" customWidth="1"/>
    <col min="133" max="134" width="14.19921875" style="13" hidden="1" customWidth="1"/>
    <col min="135" max="137" width="6.19921875" style="14" hidden="1" customWidth="1"/>
    <col min="138" max="138" width="0.59765625" style="10" hidden="1" customWidth="1"/>
    <col min="139" max="140" width="14.19921875" style="13" hidden="1" customWidth="1"/>
    <col min="141" max="143" width="6.19921875" style="14" hidden="1" customWidth="1"/>
    <col min="144" max="144" width="0.59765625" style="10" hidden="1" customWidth="1"/>
    <col min="145" max="146" width="14.19921875" style="13" hidden="1" customWidth="1"/>
    <col min="147" max="149" width="6.19921875" style="14" hidden="1" customWidth="1"/>
    <col min="150" max="150" width="0.59765625" style="10" hidden="1" customWidth="1"/>
    <col min="151" max="152" width="14.19921875" style="13" hidden="1" customWidth="1"/>
    <col min="153" max="155" width="6.19921875" style="14" hidden="1" customWidth="1"/>
    <col min="156" max="156" width="0.59765625" style="10" hidden="1" customWidth="1"/>
    <col min="157" max="158" width="14.19921875" style="13" hidden="1" customWidth="1"/>
    <col min="159" max="161" width="6.19921875" style="14" hidden="1" customWidth="1"/>
    <col min="162" max="162" width="0.59765625" style="10" hidden="1" customWidth="1"/>
    <col min="163" max="164" width="14.19921875" style="13" hidden="1" customWidth="1"/>
    <col min="165" max="167" width="6.19921875" style="14" hidden="1" customWidth="1"/>
    <col min="168" max="168" width="0.59765625" style="10" hidden="1" customWidth="1"/>
    <col min="169" max="170" width="14.19921875" style="13" hidden="1" customWidth="1"/>
    <col min="171" max="173" width="6.19921875" style="14" hidden="1" customWidth="1"/>
    <col min="174" max="174" width="0.59765625" style="10" hidden="1" customWidth="1"/>
    <col min="175" max="175" width="11" style="14" hidden="1" customWidth="1"/>
    <col min="176" max="177" width="14.19921875" style="13" hidden="1" customWidth="1"/>
    <col min="178" max="180" width="6.19921875" style="14" hidden="1" customWidth="1"/>
    <col min="181" max="181" width="0.59765625" style="10" hidden="1" customWidth="1"/>
    <col min="182" max="183" width="14.19921875" style="13" hidden="1" customWidth="1"/>
    <col min="184" max="186" width="6.19921875" style="14" hidden="1" customWidth="1"/>
    <col min="187" max="187" width="0.59765625" style="10" hidden="1" customWidth="1"/>
    <col min="188" max="189" width="14.19921875" style="13" hidden="1" customWidth="1"/>
    <col min="190" max="192" width="6.19921875" style="14" hidden="1" customWidth="1"/>
    <col min="193" max="193" width="0.59765625" style="10" hidden="1" customWidth="1"/>
    <col min="194" max="195" width="14.19921875" style="13" hidden="1" customWidth="1"/>
    <col min="196" max="198" width="6.19921875" style="14" hidden="1" customWidth="1"/>
    <col min="199" max="199" width="0.59765625" style="10" hidden="1" customWidth="1"/>
    <col min="200" max="201" width="14.19921875" style="13" hidden="1" customWidth="1"/>
    <col min="202" max="204" width="6.19921875" style="14" hidden="1" customWidth="1"/>
    <col min="205" max="205" width="0.59765625" style="10" hidden="1" customWidth="1"/>
    <col min="206" max="207" width="14.19921875" style="13" hidden="1" customWidth="1"/>
    <col min="208" max="210" width="6.19921875" style="14" hidden="1" customWidth="1"/>
    <col min="211" max="211" width="0.59765625" style="10" hidden="1" customWidth="1"/>
    <col min="212" max="213" width="14.19921875" style="13" hidden="1" customWidth="1"/>
    <col min="214" max="216" width="6.19921875" style="14" hidden="1" customWidth="1"/>
    <col min="217" max="217" width="0.59765625" style="10" hidden="1" customWidth="1"/>
    <col min="218" max="218" width="11" style="14" hidden="1" customWidth="1"/>
    <col min="219" max="220" width="14.19921875" style="13" hidden="1" customWidth="1"/>
    <col min="221" max="223" width="6.19921875" style="14" hidden="1" customWidth="1"/>
    <col min="224" max="224" width="0.59765625" style="10" hidden="1" customWidth="1"/>
    <col min="225" max="226" width="14.19921875" style="13" hidden="1" customWidth="1"/>
    <col min="227" max="229" width="6.19921875" style="14" hidden="1" customWidth="1"/>
    <col min="230" max="230" width="0.59765625" style="10" hidden="1" customWidth="1"/>
    <col min="231" max="232" width="14.19921875" style="13" hidden="1" customWidth="1"/>
    <col min="233" max="235" width="6.19921875" style="14" hidden="1" customWidth="1"/>
    <col min="236" max="236" width="0.59765625" style="10" hidden="1" customWidth="1"/>
    <col min="237" max="238" width="14.19921875" style="13" hidden="1" customWidth="1"/>
    <col min="239" max="241" width="6.19921875" style="14" hidden="1" customWidth="1"/>
    <col min="242" max="242" width="0.59765625" style="10" hidden="1" customWidth="1"/>
    <col min="243" max="244" width="14.19921875" style="13" hidden="1" customWidth="1"/>
    <col min="245" max="247" width="6.19921875" style="14" hidden="1" customWidth="1"/>
    <col min="248" max="248" width="0.59765625" style="10" hidden="1" customWidth="1"/>
    <col min="249" max="250" width="14.19921875" style="13" hidden="1" customWidth="1"/>
    <col min="251" max="253" width="6.19921875" style="14" hidden="1" customWidth="1"/>
    <col min="254" max="254" width="0.59765625" style="10" hidden="1" customWidth="1"/>
    <col min="255" max="256" width="14.19921875" style="13" hidden="1" customWidth="1"/>
    <col min="257" max="259" width="6.19921875" style="14" hidden="1" customWidth="1"/>
    <col min="260" max="260" width="0.59765625" style="10" hidden="1" customWidth="1"/>
    <col min="261" max="261" width="11" style="14" hidden="1" customWidth="1"/>
    <col min="262" max="16384" width="11" style="7"/>
  </cols>
  <sheetData>
    <row r="1" spans="1:261" ht="18" hidden="1" customHeight="1" thickBot="1" x14ac:dyDescent="0.3">
      <c r="A1" s="1"/>
      <c r="B1" s="2"/>
      <c r="C1" s="2"/>
      <c r="D1" s="3" t="s">
        <v>0</v>
      </c>
      <c r="E1" s="4"/>
      <c r="F1" s="4"/>
      <c r="G1" s="5"/>
      <c r="H1" s="5"/>
      <c r="I1" s="6"/>
      <c r="J1" s="3" t="s">
        <v>0</v>
      </c>
      <c r="K1" s="4"/>
      <c r="L1" s="4"/>
      <c r="M1" s="5"/>
      <c r="N1" s="5"/>
      <c r="O1" s="6"/>
      <c r="P1" s="3" t="s">
        <v>0</v>
      </c>
      <c r="Q1" s="4"/>
      <c r="R1" s="4"/>
      <c r="S1" s="5"/>
      <c r="T1" s="5"/>
      <c r="U1" s="6"/>
      <c r="V1" s="3" t="s">
        <v>0</v>
      </c>
      <c r="W1" s="4"/>
      <c r="X1" s="4"/>
      <c r="Y1" s="5"/>
      <c r="Z1" s="5"/>
      <c r="AA1" s="6"/>
      <c r="AB1" s="3" t="s">
        <v>0</v>
      </c>
      <c r="AC1" s="4"/>
      <c r="AD1" s="4"/>
      <c r="AE1" s="5"/>
      <c r="AF1" s="5"/>
      <c r="AG1" s="6"/>
      <c r="AH1" s="3" t="s">
        <v>0</v>
      </c>
      <c r="AI1" s="4"/>
      <c r="AJ1" s="4"/>
      <c r="AK1" s="5"/>
      <c r="AL1" s="5"/>
      <c r="AM1" s="6"/>
      <c r="AN1" s="3" t="s">
        <v>0</v>
      </c>
      <c r="AO1" s="4"/>
      <c r="AP1" s="4"/>
      <c r="AQ1" s="5"/>
      <c r="AR1" s="5"/>
      <c r="AS1" s="6"/>
      <c r="AT1" s="7"/>
      <c r="AU1" s="3" t="s">
        <v>0</v>
      </c>
      <c r="AV1" s="4"/>
      <c r="AW1" s="4"/>
      <c r="AX1" s="5"/>
      <c r="AY1" s="5"/>
      <c r="AZ1" s="6"/>
      <c r="BA1" s="3" t="s">
        <v>0</v>
      </c>
      <c r="BB1" s="4"/>
      <c r="BC1" s="4"/>
      <c r="BD1" s="5"/>
      <c r="BE1" s="5"/>
      <c r="BF1" s="6"/>
      <c r="BG1" s="3" t="s">
        <v>0</v>
      </c>
      <c r="BH1" s="4"/>
      <c r="BI1" s="4"/>
      <c r="BJ1" s="5"/>
      <c r="BK1" s="5"/>
      <c r="BL1" s="6"/>
      <c r="BM1" s="3" t="s">
        <v>0</v>
      </c>
      <c r="BN1" s="4"/>
      <c r="BO1" s="4"/>
      <c r="BP1" s="5"/>
      <c r="BQ1" s="5"/>
      <c r="BR1" s="6"/>
      <c r="BS1" s="3" t="s">
        <v>0</v>
      </c>
      <c r="BT1" s="4"/>
      <c r="BU1" s="4"/>
      <c r="BV1" s="5"/>
      <c r="BW1" s="5"/>
      <c r="BX1" s="6"/>
      <c r="BY1" s="3" t="s">
        <v>0</v>
      </c>
      <c r="BZ1" s="4"/>
      <c r="CA1" s="4"/>
      <c r="CB1" s="5"/>
      <c r="CC1" s="5"/>
      <c r="CD1" s="6"/>
      <c r="CE1" s="3" t="s">
        <v>0</v>
      </c>
      <c r="CF1" s="4"/>
      <c r="CG1" s="4"/>
      <c r="CH1" s="5"/>
      <c r="CI1" s="5"/>
      <c r="CJ1" s="6"/>
      <c r="CK1" s="7"/>
      <c r="CL1" s="3" t="s">
        <v>0</v>
      </c>
      <c r="CM1" s="4"/>
      <c r="CN1" s="4"/>
      <c r="CO1" s="5"/>
      <c r="CP1" s="5"/>
      <c r="CQ1" s="6"/>
      <c r="CR1" s="3" t="s">
        <v>0</v>
      </c>
      <c r="CS1" s="4"/>
      <c r="CT1" s="4"/>
      <c r="CU1" s="5"/>
      <c r="CV1" s="5"/>
      <c r="CW1" s="6"/>
      <c r="CX1" s="3" t="s">
        <v>0</v>
      </c>
      <c r="CY1" s="4"/>
      <c r="CZ1" s="4"/>
      <c r="DA1" s="5"/>
      <c r="DB1" s="5"/>
      <c r="DC1" s="6"/>
      <c r="DD1" s="3" t="s">
        <v>0</v>
      </c>
      <c r="DE1" s="4"/>
      <c r="DF1" s="4"/>
      <c r="DG1" s="5"/>
      <c r="DH1" s="5"/>
      <c r="DI1" s="6"/>
      <c r="DJ1" s="3" t="s">
        <v>0</v>
      </c>
      <c r="DK1" s="4"/>
      <c r="DL1" s="4"/>
      <c r="DM1" s="5"/>
      <c r="DN1" s="5"/>
      <c r="DO1" s="6"/>
      <c r="DP1" s="3" t="s">
        <v>0</v>
      </c>
      <c r="DQ1" s="4"/>
      <c r="DR1" s="4"/>
      <c r="DS1" s="5"/>
      <c r="DT1" s="5"/>
      <c r="DU1" s="6"/>
      <c r="DV1" s="3" t="s">
        <v>0</v>
      </c>
      <c r="DW1" s="4"/>
      <c r="DX1" s="4"/>
      <c r="DY1" s="5"/>
      <c r="DZ1" s="5"/>
      <c r="EA1" s="6"/>
      <c r="EB1" s="7"/>
      <c r="EC1" s="3" t="s">
        <v>0</v>
      </c>
      <c r="ED1" s="4"/>
      <c r="EE1" s="4"/>
      <c r="EF1" s="5"/>
      <c r="EG1" s="5"/>
      <c r="EH1" s="6"/>
      <c r="EI1" s="3" t="s">
        <v>0</v>
      </c>
      <c r="EJ1" s="4"/>
      <c r="EK1" s="4"/>
      <c r="EL1" s="5"/>
      <c r="EM1" s="5"/>
      <c r="EN1" s="6"/>
      <c r="EO1" s="3" t="s">
        <v>0</v>
      </c>
      <c r="EP1" s="4"/>
      <c r="EQ1" s="4"/>
      <c r="ER1" s="5"/>
      <c r="ES1" s="5"/>
      <c r="ET1" s="6"/>
      <c r="EU1" s="3" t="s">
        <v>0</v>
      </c>
      <c r="EV1" s="4"/>
      <c r="EW1" s="4"/>
      <c r="EX1" s="5"/>
      <c r="EY1" s="5"/>
      <c r="EZ1" s="6"/>
      <c r="FA1" s="3" t="s">
        <v>0</v>
      </c>
      <c r="FB1" s="4"/>
      <c r="FC1" s="4"/>
      <c r="FD1" s="5"/>
      <c r="FE1" s="5"/>
      <c r="FF1" s="6"/>
      <c r="FG1" s="3" t="s">
        <v>0</v>
      </c>
      <c r="FH1" s="4"/>
      <c r="FI1" s="4"/>
      <c r="FJ1" s="5"/>
      <c r="FK1" s="5"/>
      <c r="FL1" s="6"/>
      <c r="FM1" s="3" t="s">
        <v>0</v>
      </c>
      <c r="FN1" s="4"/>
      <c r="FO1" s="4"/>
      <c r="FP1" s="5"/>
      <c r="FQ1" s="5"/>
      <c r="FR1" s="6"/>
      <c r="FS1" s="7"/>
      <c r="FT1" s="3" t="s">
        <v>0</v>
      </c>
      <c r="FU1" s="4"/>
      <c r="FV1" s="4"/>
      <c r="FW1" s="5"/>
      <c r="FX1" s="5"/>
      <c r="FY1" s="6"/>
      <c r="FZ1" s="3" t="s">
        <v>0</v>
      </c>
      <c r="GA1" s="4"/>
      <c r="GB1" s="4"/>
      <c r="GC1" s="5"/>
      <c r="GD1" s="5"/>
      <c r="GE1" s="6"/>
      <c r="GF1" s="3" t="s">
        <v>0</v>
      </c>
      <c r="GG1" s="4"/>
      <c r="GH1" s="4"/>
      <c r="GI1" s="5"/>
      <c r="GJ1" s="5"/>
      <c r="GK1" s="6"/>
      <c r="GL1" s="3" t="s">
        <v>0</v>
      </c>
      <c r="GM1" s="4"/>
      <c r="GN1" s="4"/>
      <c r="GO1" s="5"/>
      <c r="GP1" s="5"/>
      <c r="GQ1" s="6"/>
      <c r="GR1" s="3" t="s">
        <v>0</v>
      </c>
      <c r="GS1" s="4"/>
      <c r="GT1" s="4"/>
      <c r="GU1" s="5"/>
      <c r="GV1" s="5"/>
      <c r="GW1" s="6"/>
      <c r="GX1" s="3" t="s">
        <v>0</v>
      </c>
      <c r="GY1" s="4"/>
      <c r="GZ1" s="4"/>
      <c r="HA1" s="5"/>
      <c r="HB1" s="5"/>
      <c r="HC1" s="6"/>
      <c r="HD1" s="3" t="s">
        <v>0</v>
      </c>
      <c r="HE1" s="4"/>
      <c r="HF1" s="4"/>
      <c r="HG1" s="5"/>
      <c r="HH1" s="5"/>
      <c r="HI1" s="6"/>
      <c r="HJ1" s="7"/>
      <c r="HK1" s="3" t="s">
        <v>0</v>
      </c>
      <c r="HL1" s="4"/>
      <c r="HM1" s="4"/>
      <c r="HN1" s="5"/>
      <c r="HO1" s="5"/>
      <c r="HP1" s="6"/>
      <c r="HQ1" s="3" t="s">
        <v>0</v>
      </c>
      <c r="HR1" s="4"/>
      <c r="HS1" s="4"/>
      <c r="HT1" s="5"/>
      <c r="HU1" s="5"/>
      <c r="HV1" s="6"/>
      <c r="HW1" s="3" t="s">
        <v>0</v>
      </c>
      <c r="HX1" s="4"/>
      <c r="HY1" s="4"/>
      <c r="HZ1" s="5"/>
      <c r="IA1" s="5"/>
      <c r="IB1" s="6"/>
      <c r="IC1" s="3" t="s">
        <v>0</v>
      </c>
      <c r="ID1" s="4"/>
      <c r="IE1" s="4"/>
      <c r="IF1" s="5"/>
      <c r="IG1" s="5"/>
      <c r="IH1" s="6"/>
      <c r="II1" s="3" t="s">
        <v>0</v>
      </c>
      <c r="IJ1" s="4"/>
      <c r="IK1" s="4"/>
      <c r="IL1" s="5"/>
      <c r="IM1" s="5"/>
      <c r="IN1" s="6"/>
      <c r="IO1" s="3" t="s">
        <v>0</v>
      </c>
      <c r="IP1" s="4"/>
      <c r="IQ1" s="4"/>
      <c r="IR1" s="5"/>
      <c r="IS1" s="5"/>
      <c r="IT1" s="6"/>
      <c r="IU1" s="3" t="s">
        <v>0</v>
      </c>
      <c r="IV1" s="4"/>
      <c r="IW1" s="4"/>
      <c r="IX1" s="5"/>
      <c r="IY1" s="5"/>
      <c r="IZ1" s="6"/>
      <c r="JA1" s="7"/>
    </row>
    <row r="2" spans="1:261" ht="18" customHeight="1" x14ac:dyDescent="0.25">
      <c r="A2" s="53" t="s">
        <v>30</v>
      </c>
      <c r="B2" s="33"/>
      <c r="C2" s="33"/>
      <c r="D2" s="45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42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42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42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3"/>
      <c r="ES2" s="33"/>
      <c r="ET2" s="33"/>
      <c r="EU2" s="33"/>
      <c r="EV2" s="33"/>
      <c r="EW2" s="33"/>
      <c r="EX2" s="33"/>
      <c r="EY2" s="33"/>
      <c r="EZ2" s="33"/>
      <c r="FA2" s="33"/>
      <c r="FB2" s="33"/>
      <c r="FC2" s="33"/>
      <c r="FD2" s="33"/>
      <c r="FE2" s="33"/>
      <c r="FF2" s="33"/>
      <c r="FG2" s="33"/>
      <c r="FH2" s="33"/>
      <c r="FI2" s="33"/>
      <c r="FJ2" s="33"/>
      <c r="FK2" s="33"/>
      <c r="FL2" s="33"/>
      <c r="FM2" s="33"/>
      <c r="FN2" s="33"/>
      <c r="FO2" s="33"/>
      <c r="FP2" s="33"/>
      <c r="FQ2" s="33"/>
      <c r="FR2" s="33"/>
      <c r="FS2" s="42"/>
      <c r="FT2" s="33"/>
      <c r="FU2" s="33"/>
      <c r="FV2" s="33"/>
      <c r="FW2" s="33"/>
      <c r="FX2" s="33"/>
      <c r="FY2" s="33"/>
      <c r="FZ2" s="33"/>
      <c r="GA2" s="33"/>
      <c r="GB2" s="33"/>
      <c r="GC2" s="33"/>
      <c r="GD2" s="33"/>
      <c r="GE2" s="33"/>
      <c r="GF2" s="33"/>
      <c r="GG2" s="33"/>
      <c r="GH2" s="33"/>
      <c r="GI2" s="33"/>
      <c r="GJ2" s="33"/>
      <c r="GK2" s="33"/>
      <c r="GL2" s="33"/>
      <c r="GM2" s="33"/>
      <c r="GN2" s="33"/>
      <c r="GO2" s="33"/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  <c r="HH2" s="33"/>
      <c r="HI2" s="33"/>
      <c r="HJ2" s="42"/>
      <c r="HK2" s="33"/>
      <c r="HL2" s="33"/>
      <c r="HM2" s="33"/>
      <c r="HN2" s="33"/>
      <c r="HO2" s="33"/>
      <c r="HP2" s="33"/>
      <c r="HQ2" s="33"/>
      <c r="HR2" s="33"/>
      <c r="HS2" s="33"/>
      <c r="HT2" s="33"/>
      <c r="HU2" s="33"/>
      <c r="HV2" s="33"/>
      <c r="HW2" s="33"/>
      <c r="HX2" s="33"/>
      <c r="HY2" s="33"/>
      <c r="HZ2" s="33"/>
      <c r="IA2" s="33"/>
      <c r="IB2" s="33"/>
      <c r="IC2" s="33"/>
      <c r="ID2" s="33"/>
      <c r="IE2" s="33"/>
      <c r="IF2" s="33"/>
      <c r="IG2" s="33"/>
      <c r="IH2" s="33"/>
      <c r="II2" s="33"/>
      <c r="IJ2" s="33"/>
      <c r="IK2" s="33"/>
      <c r="IL2" s="33"/>
      <c r="IM2" s="33"/>
      <c r="IN2" s="33"/>
      <c r="IO2" s="33"/>
      <c r="IP2" s="33"/>
      <c r="IQ2" s="33"/>
      <c r="IR2" s="33"/>
      <c r="IS2" s="33"/>
      <c r="IT2" s="33"/>
      <c r="IU2" s="33"/>
      <c r="IV2" s="33"/>
      <c r="IW2" s="33"/>
      <c r="IX2" s="33"/>
      <c r="IY2" s="33"/>
      <c r="IZ2" s="33"/>
      <c r="JA2" s="42"/>
    </row>
    <row r="3" spans="1:261" ht="18" customHeight="1" x14ac:dyDescent="0.25">
      <c r="A3" s="54" t="s">
        <v>31</v>
      </c>
      <c r="B3" s="34"/>
      <c r="C3" s="34"/>
      <c r="D3" s="45"/>
      <c r="E3" s="46"/>
      <c r="F3" s="46"/>
      <c r="G3" s="46"/>
      <c r="H3" s="46"/>
      <c r="I3" s="46"/>
      <c r="J3" s="46"/>
      <c r="K3" s="47"/>
      <c r="L3" s="34"/>
      <c r="M3" s="34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42"/>
      <c r="AU3" s="46"/>
      <c r="AV3" s="46"/>
      <c r="AW3" s="46"/>
      <c r="AX3" s="46"/>
      <c r="AY3" s="46"/>
      <c r="AZ3" s="46"/>
      <c r="BA3" s="46"/>
      <c r="BB3" s="34"/>
      <c r="BC3" s="34"/>
      <c r="BD3" s="34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47"/>
      <c r="BR3" s="38"/>
      <c r="BS3" s="38"/>
      <c r="BT3" s="38"/>
      <c r="BU3" s="38"/>
      <c r="BV3" s="38"/>
      <c r="BW3" s="38"/>
      <c r="BX3" s="38"/>
      <c r="BY3" s="38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42"/>
      <c r="CL3" s="46"/>
      <c r="CM3" s="46"/>
      <c r="CN3" s="46"/>
      <c r="CO3" s="46"/>
      <c r="CP3" s="46"/>
      <c r="CQ3" s="46"/>
      <c r="CR3" s="46"/>
      <c r="CS3" s="34"/>
      <c r="CT3" s="34"/>
      <c r="CU3" s="34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38"/>
      <c r="DM3" s="38"/>
      <c r="DN3" s="38"/>
      <c r="DO3" s="38"/>
      <c r="DP3" s="38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42"/>
      <c r="EC3" s="46"/>
      <c r="ED3" s="46"/>
      <c r="EE3" s="46"/>
      <c r="EF3" s="46"/>
      <c r="EG3" s="46"/>
      <c r="EH3" s="46"/>
      <c r="EI3" s="46"/>
      <c r="EJ3" s="34"/>
      <c r="EK3" s="34"/>
      <c r="EL3" s="34"/>
      <c r="EM3" s="38"/>
      <c r="EN3" s="38"/>
      <c r="EO3" s="38"/>
      <c r="EP3" s="38"/>
      <c r="EQ3" s="38"/>
      <c r="ER3" s="38"/>
      <c r="ES3" s="38"/>
      <c r="ET3" s="38"/>
      <c r="EU3" s="38"/>
      <c r="EV3" s="38"/>
      <c r="EW3" s="38"/>
      <c r="EX3" s="38"/>
      <c r="EY3" s="38"/>
      <c r="EZ3" s="38"/>
      <c r="FA3" s="38"/>
      <c r="FB3" s="38"/>
      <c r="FC3" s="38"/>
      <c r="FD3" s="38"/>
      <c r="FE3" s="38"/>
      <c r="FF3" s="38"/>
      <c r="FG3" s="48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42"/>
      <c r="FT3" s="46"/>
      <c r="FU3" s="46"/>
      <c r="FV3" s="46"/>
      <c r="FW3" s="46"/>
      <c r="FX3" s="46"/>
      <c r="FY3" s="46"/>
      <c r="FZ3" s="46"/>
      <c r="GA3" s="34"/>
      <c r="GB3" s="34"/>
      <c r="GC3" s="34"/>
      <c r="GD3" s="38"/>
      <c r="GE3" s="38"/>
      <c r="GF3" s="38"/>
      <c r="GG3" s="38"/>
      <c r="GH3" s="38"/>
      <c r="GI3" s="38"/>
      <c r="GJ3" s="38"/>
      <c r="GK3" s="38"/>
      <c r="GL3" s="38"/>
      <c r="GM3" s="38"/>
      <c r="GN3" s="38"/>
      <c r="GO3" s="38"/>
      <c r="GP3" s="38"/>
      <c r="GQ3" s="38"/>
      <c r="GR3" s="38"/>
      <c r="GS3" s="38"/>
      <c r="GT3" s="38"/>
      <c r="GU3" s="38"/>
      <c r="GV3" s="38"/>
      <c r="GW3" s="38"/>
      <c r="GX3" s="38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42"/>
      <c r="HK3" s="46"/>
      <c r="HL3" s="46"/>
      <c r="HM3" s="46"/>
      <c r="HN3" s="46"/>
      <c r="HO3" s="46"/>
      <c r="HP3" s="46"/>
      <c r="HQ3" s="46"/>
      <c r="HR3" s="34"/>
      <c r="HS3" s="34"/>
      <c r="HT3" s="34"/>
      <c r="HU3" s="38"/>
      <c r="HV3" s="38"/>
      <c r="HW3" s="38"/>
      <c r="HX3" s="38"/>
      <c r="HY3" s="38"/>
      <c r="HZ3" s="38"/>
      <c r="IA3" s="38"/>
      <c r="IB3" s="38"/>
      <c r="IC3" s="38"/>
      <c r="ID3" s="38"/>
      <c r="IE3" s="38"/>
      <c r="IF3" s="38"/>
      <c r="IG3" s="38"/>
      <c r="IH3" s="38"/>
      <c r="II3" s="38"/>
      <c r="IJ3" s="38"/>
      <c r="IK3" s="38"/>
      <c r="IL3" s="38"/>
      <c r="IM3" s="38"/>
      <c r="IN3" s="38"/>
      <c r="IO3" s="38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42"/>
    </row>
    <row r="4" spans="1:261" ht="38.25" customHeight="1" x14ac:dyDescent="0.25">
      <c r="A4" s="35"/>
      <c r="B4" s="36" t="s">
        <v>28</v>
      </c>
      <c r="C4" s="35"/>
      <c r="D4" s="35"/>
      <c r="E4" s="35"/>
      <c r="F4" s="35"/>
      <c r="G4" s="35"/>
      <c r="H4" s="35"/>
      <c r="I4" s="35"/>
      <c r="J4" s="35"/>
      <c r="K4" s="47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42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42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42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EQ4" s="35"/>
      <c r="ER4" s="35"/>
      <c r="ES4" s="35"/>
      <c r="ET4" s="35"/>
      <c r="EU4" s="35"/>
      <c r="EV4" s="35"/>
      <c r="EW4" s="35"/>
      <c r="EX4" s="35"/>
      <c r="EY4" s="35"/>
      <c r="EZ4" s="35"/>
      <c r="FA4" s="35"/>
      <c r="FB4" s="35"/>
      <c r="FC4" s="35"/>
      <c r="FD4" s="35"/>
      <c r="FE4" s="35"/>
      <c r="FF4" s="35"/>
      <c r="FG4" s="47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42"/>
      <c r="FT4" s="35"/>
      <c r="FU4" s="35"/>
      <c r="FV4" s="35"/>
      <c r="FW4" s="35"/>
      <c r="FX4" s="35"/>
      <c r="FY4" s="35"/>
      <c r="FZ4" s="35"/>
      <c r="GA4" s="35"/>
      <c r="GB4" s="35"/>
      <c r="GC4" s="35"/>
      <c r="GD4" s="35"/>
      <c r="GE4" s="35"/>
      <c r="GF4" s="35"/>
      <c r="GG4" s="35"/>
      <c r="GH4" s="35"/>
      <c r="GI4" s="35"/>
      <c r="GJ4" s="35"/>
      <c r="GK4" s="35"/>
      <c r="GL4" s="35"/>
      <c r="GM4" s="35"/>
      <c r="GN4" s="35"/>
      <c r="GO4" s="35"/>
      <c r="GP4" s="35"/>
      <c r="GQ4" s="35"/>
      <c r="GR4" s="35"/>
      <c r="GS4" s="35"/>
      <c r="GT4" s="35"/>
      <c r="GU4" s="35"/>
      <c r="GV4" s="35"/>
      <c r="GW4" s="35"/>
      <c r="GX4" s="49"/>
      <c r="GY4" s="49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42"/>
      <c r="HK4" s="35"/>
      <c r="HL4" s="35"/>
      <c r="HM4" s="35"/>
      <c r="HN4" s="35"/>
      <c r="HO4" s="35"/>
      <c r="HP4" s="35"/>
      <c r="HQ4" s="35"/>
      <c r="HR4" s="35"/>
      <c r="HS4" s="35"/>
      <c r="HT4" s="35"/>
      <c r="HU4" s="35"/>
      <c r="HV4" s="35"/>
      <c r="HW4" s="35"/>
      <c r="HX4" s="35"/>
      <c r="HY4" s="35"/>
      <c r="HZ4" s="35"/>
      <c r="IA4" s="35"/>
      <c r="IB4" s="35"/>
      <c r="IC4" s="35"/>
      <c r="ID4" s="35"/>
      <c r="IE4" s="35"/>
      <c r="IF4" s="35"/>
      <c r="IG4" s="35"/>
      <c r="IH4" s="35"/>
      <c r="II4" s="35"/>
      <c r="IJ4" s="35"/>
      <c r="IK4" s="35"/>
      <c r="IL4" s="35"/>
      <c r="IM4" s="35"/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42"/>
    </row>
    <row r="5" spans="1:261" ht="18" customHeight="1" thickBot="1" x14ac:dyDescent="0.3">
      <c r="A5" s="37" t="s">
        <v>12</v>
      </c>
      <c r="B5" s="38" t="s">
        <v>63</v>
      </c>
      <c r="C5" s="39"/>
      <c r="D5" s="50"/>
      <c r="E5" s="51"/>
      <c r="F5" s="34"/>
      <c r="G5" s="34"/>
      <c r="H5" s="42"/>
      <c r="I5" s="34"/>
      <c r="J5" s="51"/>
      <c r="K5" s="51"/>
      <c r="L5" s="34"/>
      <c r="M5" s="34"/>
      <c r="N5" s="37"/>
      <c r="O5" s="34"/>
      <c r="P5" s="50"/>
      <c r="Q5" s="51"/>
      <c r="R5" s="42"/>
      <c r="S5" s="42"/>
      <c r="T5" s="42"/>
      <c r="U5" s="42"/>
      <c r="V5" s="51"/>
      <c r="W5" s="38"/>
      <c r="X5" s="38"/>
      <c r="Y5" s="38"/>
      <c r="Z5" s="42"/>
      <c r="AA5" s="42"/>
      <c r="AB5" s="47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4"/>
      <c r="AN5" s="35"/>
      <c r="AO5" s="52"/>
      <c r="AP5" s="34"/>
      <c r="AQ5" s="34"/>
      <c r="AR5" s="35"/>
      <c r="AS5" s="34"/>
      <c r="AT5" s="42"/>
      <c r="AU5" s="50"/>
      <c r="AV5" s="51"/>
      <c r="AW5" s="34"/>
      <c r="AX5" s="34"/>
      <c r="AY5" s="42"/>
      <c r="AZ5" s="34"/>
      <c r="BA5" s="51"/>
      <c r="BB5" s="51"/>
      <c r="BC5" s="34"/>
      <c r="BD5" s="34"/>
      <c r="BE5" s="37"/>
      <c r="BF5" s="34"/>
      <c r="BG5" s="50"/>
      <c r="BH5" s="51"/>
      <c r="BI5" s="42"/>
      <c r="BJ5" s="42"/>
      <c r="BK5" s="42"/>
      <c r="BL5" s="42"/>
      <c r="BM5" s="51"/>
      <c r="BN5" s="38"/>
      <c r="BO5" s="38"/>
      <c r="BP5" s="38"/>
      <c r="BQ5" s="42"/>
      <c r="BR5" s="42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4"/>
      <c r="CE5" s="35"/>
      <c r="CF5" s="52"/>
      <c r="CG5" s="34"/>
      <c r="CH5" s="34"/>
      <c r="CI5" s="35"/>
      <c r="CJ5" s="34"/>
      <c r="CK5" s="42"/>
      <c r="CL5" s="50"/>
      <c r="CM5" s="51"/>
      <c r="CN5" s="34"/>
      <c r="CO5" s="34"/>
      <c r="CP5" s="42"/>
      <c r="CQ5" s="34"/>
      <c r="CR5" s="51"/>
      <c r="CS5" s="51"/>
      <c r="CT5" s="34"/>
      <c r="CU5" s="34"/>
      <c r="CV5" s="37"/>
      <c r="CW5" s="34"/>
      <c r="CX5" s="50"/>
      <c r="CY5" s="51"/>
      <c r="CZ5" s="42"/>
      <c r="DA5" s="42"/>
      <c r="DB5" s="42"/>
      <c r="DC5" s="42"/>
      <c r="DD5" s="51"/>
      <c r="DE5" s="38"/>
      <c r="DF5" s="38"/>
      <c r="DG5" s="38"/>
      <c r="DH5" s="42"/>
      <c r="DI5" s="42"/>
      <c r="DJ5" s="38"/>
      <c r="DK5" s="38"/>
      <c r="DL5" s="38"/>
      <c r="DM5" s="38"/>
      <c r="DN5" s="38"/>
      <c r="DO5" s="38"/>
      <c r="DP5" s="38"/>
      <c r="DQ5" s="38"/>
      <c r="DR5" s="38"/>
      <c r="DS5" s="38"/>
      <c r="DT5" s="38"/>
      <c r="DU5" s="34"/>
      <c r="DV5" s="35"/>
      <c r="DW5" s="52"/>
      <c r="DX5" s="34"/>
      <c r="DY5" s="34"/>
      <c r="DZ5" s="35"/>
      <c r="EA5" s="34"/>
      <c r="EB5" s="42"/>
      <c r="EC5" s="50"/>
      <c r="ED5" s="51"/>
      <c r="EE5" s="34"/>
      <c r="EF5" s="34"/>
      <c r="EG5" s="42"/>
      <c r="EH5" s="34"/>
      <c r="EI5" s="51"/>
      <c r="EJ5" s="51"/>
      <c r="EK5" s="34"/>
      <c r="EL5" s="34"/>
      <c r="EM5" s="37"/>
      <c r="EN5" s="34"/>
      <c r="EO5" s="50"/>
      <c r="EP5" s="51"/>
      <c r="EQ5" s="42"/>
      <c r="ER5" s="42"/>
      <c r="ES5" s="42"/>
      <c r="ET5" s="42"/>
      <c r="EU5" s="51"/>
      <c r="EV5" s="38"/>
      <c r="EW5" s="38"/>
      <c r="EX5" s="38"/>
      <c r="EY5" s="42"/>
      <c r="EZ5" s="42"/>
      <c r="FA5" s="38"/>
      <c r="FB5" s="38"/>
      <c r="FC5" s="38"/>
      <c r="FD5" s="38"/>
      <c r="FE5" s="38"/>
      <c r="FF5" s="38"/>
      <c r="FG5" s="38"/>
      <c r="FH5" s="38"/>
      <c r="FI5" s="38"/>
      <c r="FJ5" s="38"/>
      <c r="FK5" s="38"/>
      <c r="FL5" s="34"/>
      <c r="FM5" s="35"/>
      <c r="FN5" s="52"/>
      <c r="FO5" s="34"/>
      <c r="FP5" s="34"/>
      <c r="FQ5" s="35"/>
      <c r="FR5" s="34"/>
      <c r="FS5" s="42"/>
      <c r="FT5" s="50"/>
      <c r="FU5" s="51"/>
      <c r="FV5" s="34"/>
      <c r="FW5" s="34"/>
      <c r="FX5" s="42"/>
      <c r="FY5" s="34"/>
      <c r="FZ5" s="51"/>
      <c r="GA5" s="51"/>
      <c r="GB5" s="34"/>
      <c r="GC5" s="34"/>
      <c r="GD5" s="37"/>
      <c r="GE5" s="34"/>
      <c r="GF5" s="50"/>
      <c r="GG5" s="51"/>
      <c r="GH5" s="42"/>
      <c r="GI5" s="42"/>
      <c r="GJ5" s="42"/>
      <c r="GK5" s="42"/>
      <c r="GL5" s="51"/>
      <c r="GM5" s="38"/>
      <c r="GN5" s="38"/>
      <c r="GO5" s="38"/>
      <c r="GP5" s="42"/>
      <c r="GQ5" s="42"/>
      <c r="GR5" s="38"/>
      <c r="GS5" s="38"/>
      <c r="GT5" s="38"/>
      <c r="GU5" s="38"/>
      <c r="GV5" s="38"/>
      <c r="GW5" s="38"/>
      <c r="GX5" s="38"/>
      <c r="GY5" s="38"/>
      <c r="GZ5" s="38"/>
      <c r="HA5" s="38"/>
      <c r="HB5" s="38"/>
      <c r="HC5" s="34"/>
      <c r="HD5" s="35"/>
      <c r="HE5" s="52"/>
      <c r="HF5" s="34"/>
      <c r="HG5" s="34"/>
      <c r="HH5" s="35"/>
      <c r="HI5" s="34"/>
      <c r="HJ5" s="42"/>
      <c r="HK5" s="50"/>
      <c r="HL5" s="51"/>
      <c r="HM5" s="34"/>
      <c r="HN5" s="34"/>
      <c r="HO5" s="42"/>
      <c r="HP5" s="34"/>
      <c r="HQ5" s="51"/>
      <c r="HR5" s="51"/>
      <c r="HS5" s="34"/>
      <c r="HT5" s="34"/>
      <c r="HU5" s="37"/>
      <c r="HV5" s="34"/>
      <c r="HW5" s="51"/>
      <c r="HX5" s="51"/>
      <c r="HY5" s="42"/>
      <c r="HZ5" s="42"/>
      <c r="IA5" s="42"/>
      <c r="IB5" s="42"/>
      <c r="IC5" s="51"/>
      <c r="ID5" s="38"/>
      <c r="IE5" s="38"/>
      <c r="IF5" s="38"/>
      <c r="IG5" s="42"/>
      <c r="IH5" s="42"/>
      <c r="II5" s="51"/>
      <c r="IJ5" s="38"/>
      <c r="IK5" s="38"/>
      <c r="IL5" s="38"/>
      <c r="IM5" s="38"/>
      <c r="IN5" s="38"/>
      <c r="IO5" s="51"/>
      <c r="IP5" s="38"/>
      <c r="IQ5" s="38"/>
      <c r="IR5" s="38"/>
      <c r="IS5" s="38"/>
      <c r="IT5" s="34"/>
      <c r="IU5" s="35"/>
      <c r="IV5" s="52"/>
      <c r="IW5" s="34"/>
      <c r="IX5" s="34"/>
      <c r="IY5" s="35"/>
      <c r="IZ5" s="34"/>
      <c r="JA5" s="42"/>
    </row>
    <row r="6" spans="1:261" ht="18.600000000000001" customHeight="1" thickBot="1" x14ac:dyDescent="0.3">
      <c r="A6" s="37" t="s">
        <v>15</v>
      </c>
      <c r="B6" s="40">
        <v>2022</v>
      </c>
      <c r="C6" s="41"/>
      <c r="D6" s="84" t="s">
        <v>19</v>
      </c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6"/>
      <c r="AU6" s="87" t="s">
        <v>20</v>
      </c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  <c r="CD6" s="88"/>
      <c r="CE6" s="88"/>
      <c r="CF6" s="88"/>
      <c r="CG6" s="88"/>
      <c r="CH6" s="88"/>
      <c r="CI6" s="88"/>
      <c r="CJ6" s="88"/>
      <c r="CK6" s="89"/>
      <c r="CL6" s="90" t="s">
        <v>21</v>
      </c>
      <c r="CM6" s="91"/>
      <c r="CN6" s="91"/>
      <c r="CO6" s="91"/>
      <c r="CP6" s="91"/>
      <c r="CQ6" s="91"/>
      <c r="CR6" s="91"/>
      <c r="CS6" s="91"/>
      <c r="CT6" s="91"/>
      <c r="CU6" s="91"/>
      <c r="CV6" s="91"/>
      <c r="CW6" s="91"/>
      <c r="CX6" s="91"/>
      <c r="CY6" s="91"/>
      <c r="CZ6" s="91"/>
      <c r="DA6" s="91"/>
      <c r="DB6" s="91"/>
      <c r="DC6" s="91"/>
      <c r="DD6" s="91"/>
      <c r="DE6" s="91"/>
      <c r="DF6" s="91"/>
      <c r="DG6" s="91"/>
      <c r="DH6" s="91"/>
      <c r="DI6" s="91"/>
      <c r="DJ6" s="91"/>
      <c r="DK6" s="91"/>
      <c r="DL6" s="91"/>
      <c r="DM6" s="91"/>
      <c r="DN6" s="91"/>
      <c r="DO6" s="91"/>
      <c r="DP6" s="91"/>
      <c r="DQ6" s="91"/>
      <c r="DR6" s="91"/>
      <c r="DS6" s="91"/>
      <c r="DT6" s="91"/>
      <c r="DU6" s="91"/>
      <c r="DV6" s="91"/>
      <c r="DW6" s="91"/>
      <c r="DX6" s="91"/>
      <c r="DY6" s="91"/>
      <c r="DZ6" s="91"/>
      <c r="EA6" s="91"/>
      <c r="EB6" s="92"/>
      <c r="EC6" s="93" t="s">
        <v>22</v>
      </c>
      <c r="ED6" s="94"/>
      <c r="EE6" s="94"/>
      <c r="EF6" s="94"/>
      <c r="EG6" s="94"/>
      <c r="EH6" s="94"/>
      <c r="EI6" s="94"/>
      <c r="EJ6" s="94"/>
      <c r="EK6" s="94"/>
      <c r="EL6" s="94"/>
      <c r="EM6" s="94"/>
      <c r="EN6" s="94"/>
      <c r="EO6" s="94"/>
      <c r="EP6" s="94"/>
      <c r="EQ6" s="94"/>
      <c r="ER6" s="94"/>
      <c r="ES6" s="94"/>
      <c r="ET6" s="94"/>
      <c r="EU6" s="94"/>
      <c r="EV6" s="94"/>
      <c r="EW6" s="94"/>
      <c r="EX6" s="94"/>
      <c r="EY6" s="94"/>
      <c r="EZ6" s="94"/>
      <c r="FA6" s="94"/>
      <c r="FB6" s="94"/>
      <c r="FC6" s="94"/>
      <c r="FD6" s="94"/>
      <c r="FE6" s="94"/>
      <c r="FF6" s="94"/>
      <c r="FG6" s="94"/>
      <c r="FH6" s="94"/>
      <c r="FI6" s="94"/>
      <c r="FJ6" s="94"/>
      <c r="FK6" s="94"/>
      <c r="FL6" s="94"/>
      <c r="FM6" s="94"/>
      <c r="FN6" s="94"/>
      <c r="FO6" s="94"/>
      <c r="FP6" s="94"/>
      <c r="FQ6" s="94"/>
      <c r="FR6" s="94"/>
      <c r="FS6" s="95"/>
      <c r="FT6" s="78" t="s">
        <v>23</v>
      </c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80"/>
      <c r="HK6" s="81" t="s">
        <v>24</v>
      </c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3"/>
    </row>
    <row r="7" spans="1:261" ht="14.4" hidden="1" thickBot="1" x14ac:dyDescent="0.3">
      <c r="A7" s="42">
        <f>VLOOKUP(B5,Hoja1!A:B,2,0)</f>
        <v>10</v>
      </c>
      <c r="B7" s="72">
        <f>DATE(B6,A7,1)</f>
        <v>44835</v>
      </c>
      <c r="C7" s="9"/>
      <c r="D7" s="74" t="s">
        <v>1</v>
      </c>
      <c r="E7" s="74"/>
      <c r="F7" s="74"/>
      <c r="G7" s="74"/>
      <c r="H7" s="74"/>
      <c r="I7" s="8">
        <v>1</v>
      </c>
      <c r="J7" s="74" t="s">
        <v>2</v>
      </c>
      <c r="K7" s="74"/>
      <c r="L7" s="74"/>
      <c r="M7" s="74"/>
      <c r="N7" s="74"/>
      <c r="O7" s="74"/>
      <c r="P7" s="74" t="s">
        <v>3</v>
      </c>
      <c r="Q7" s="74"/>
      <c r="R7" s="74"/>
      <c r="S7" s="74"/>
      <c r="T7" s="74"/>
      <c r="U7" s="8"/>
      <c r="V7" s="74" t="s">
        <v>16</v>
      </c>
      <c r="W7" s="74"/>
      <c r="X7" s="74"/>
      <c r="Y7" s="74"/>
      <c r="Z7" s="74"/>
      <c r="AA7" s="8"/>
      <c r="AB7" s="74" t="s">
        <v>4</v>
      </c>
      <c r="AC7" s="74"/>
      <c r="AD7" s="74"/>
      <c r="AE7" s="74"/>
      <c r="AF7" s="74"/>
      <c r="AG7" s="8"/>
      <c r="AH7" s="74" t="s">
        <v>5</v>
      </c>
      <c r="AI7" s="74"/>
      <c r="AJ7" s="74"/>
      <c r="AK7" s="74"/>
      <c r="AL7" s="74"/>
      <c r="AM7" s="8"/>
      <c r="AN7" s="74" t="s">
        <v>17</v>
      </c>
      <c r="AO7" s="74"/>
      <c r="AP7" s="74"/>
      <c r="AQ7" s="74"/>
      <c r="AR7" s="74"/>
      <c r="AS7" s="8"/>
      <c r="AT7" s="7"/>
      <c r="AU7" s="74" t="s">
        <v>1</v>
      </c>
      <c r="AV7" s="74"/>
      <c r="AW7" s="74"/>
      <c r="AX7" s="74"/>
      <c r="AY7" s="74"/>
      <c r="AZ7" s="8">
        <v>1</v>
      </c>
      <c r="BA7" s="74" t="s">
        <v>2</v>
      </c>
      <c r="BB7" s="74"/>
      <c r="BC7" s="74"/>
      <c r="BD7" s="74"/>
      <c r="BE7" s="74"/>
      <c r="BF7" s="74"/>
      <c r="BG7" s="74" t="s">
        <v>3</v>
      </c>
      <c r="BH7" s="74"/>
      <c r="BI7" s="74"/>
      <c r="BJ7" s="74"/>
      <c r="BK7" s="74"/>
      <c r="BL7" s="8"/>
      <c r="BM7" s="74" t="s">
        <v>16</v>
      </c>
      <c r="BN7" s="74"/>
      <c r="BO7" s="74"/>
      <c r="BP7" s="74"/>
      <c r="BQ7" s="74"/>
      <c r="BR7" s="8"/>
      <c r="BS7" s="74" t="s">
        <v>4</v>
      </c>
      <c r="BT7" s="74"/>
      <c r="BU7" s="74"/>
      <c r="BV7" s="74"/>
      <c r="BW7" s="74"/>
      <c r="BX7" s="8"/>
      <c r="BY7" s="74" t="s">
        <v>5</v>
      </c>
      <c r="BZ7" s="74"/>
      <c r="CA7" s="74"/>
      <c r="CB7" s="74"/>
      <c r="CC7" s="74"/>
      <c r="CD7" s="8"/>
      <c r="CE7" s="74" t="s">
        <v>17</v>
      </c>
      <c r="CF7" s="74"/>
      <c r="CG7" s="74"/>
      <c r="CH7" s="74"/>
      <c r="CI7" s="74"/>
      <c r="CJ7" s="8"/>
      <c r="CK7" s="7"/>
      <c r="CL7" s="74" t="s">
        <v>1</v>
      </c>
      <c r="CM7" s="74"/>
      <c r="CN7" s="74"/>
      <c r="CO7" s="74"/>
      <c r="CP7" s="74"/>
      <c r="CQ7" s="8">
        <v>1</v>
      </c>
      <c r="CR7" s="74" t="s">
        <v>2</v>
      </c>
      <c r="CS7" s="74"/>
      <c r="CT7" s="74"/>
      <c r="CU7" s="74"/>
      <c r="CV7" s="74"/>
      <c r="CW7" s="74"/>
      <c r="CX7" s="74" t="s">
        <v>3</v>
      </c>
      <c r="CY7" s="74"/>
      <c r="CZ7" s="74"/>
      <c r="DA7" s="74"/>
      <c r="DB7" s="74"/>
      <c r="DC7" s="8"/>
      <c r="DD7" s="74" t="s">
        <v>16</v>
      </c>
      <c r="DE7" s="74"/>
      <c r="DF7" s="74"/>
      <c r="DG7" s="74"/>
      <c r="DH7" s="74"/>
      <c r="DI7" s="8"/>
      <c r="DJ7" s="74" t="s">
        <v>4</v>
      </c>
      <c r="DK7" s="74"/>
      <c r="DL7" s="74"/>
      <c r="DM7" s="74"/>
      <c r="DN7" s="74"/>
      <c r="DO7" s="8"/>
      <c r="DP7" s="74" t="s">
        <v>5</v>
      </c>
      <c r="DQ7" s="74"/>
      <c r="DR7" s="74"/>
      <c r="DS7" s="74"/>
      <c r="DT7" s="74"/>
      <c r="DU7" s="8"/>
      <c r="DV7" s="74" t="s">
        <v>17</v>
      </c>
      <c r="DW7" s="74"/>
      <c r="DX7" s="74"/>
      <c r="DY7" s="74"/>
      <c r="DZ7" s="74"/>
      <c r="EA7" s="8"/>
      <c r="EB7" s="7"/>
      <c r="EC7" s="74" t="s">
        <v>1</v>
      </c>
      <c r="ED7" s="74"/>
      <c r="EE7" s="74"/>
      <c r="EF7" s="74"/>
      <c r="EG7" s="74"/>
      <c r="EH7" s="8">
        <v>1</v>
      </c>
      <c r="EI7" s="74" t="s">
        <v>2</v>
      </c>
      <c r="EJ7" s="74"/>
      <c r="EK7" s="74"/>
      <c r="EL7" s="74"/>
      <c r="EM7" s="74"/>
      <c r="EN7" s="74"/>
      <c r="EO7" s="74" t="s">
        <v>3</v>
      </c>
      <c r="EP7" s="74"/>
      <c r="EQ7" s="74"/>
      <c r="ER7" s="74"/>
      <c r="ES7" s="74"/>
      <c r="ET7" s="8"/>
      <c r="EU7" s="74" t="s">
        <v>16</v>
      </c>
      <c r="EV7" s="74"/>
      <c r="EW7" s="74"/>
      <c r="EX7" s="74"/>
      <c r="EY7" s="74"/>
      <c r="EZ7" s="8"/>
      <c r="FA7" s="74" t="s">
        <v>4</v>
      </c>
      <c r="FB7" s="74"/>
      <c r="FC7" s="74"/>
      <c r="FD7" s="74"/>
      <c r="FE7" s="74"/>
      <c r="FF7" s="8"/>
      <c r="FG7" s="74" t="s">
        <v>5</v>
      </c>
      <c r="FH7" s="74"/>
      <c r="FI7" s="74"/>
      <c r="FJ7" s="74"/>
      <c r="FK7" s="74"/>
      <c r="FL7" s="8"/>
      <c r="FM7" s="74" t="s">
        <v>17</v>
      </c>
      <c r="FN7" s="74"/>
      <c r="FO7" s="74"/>
      <c r="FP7" s="74"/>
      <c r="FQ7" s="74"/>
      <c r="FR7" s="8"/>
      <c r="FS7" s="7"/>
      <c r="FT7" s="74" t="s">
        <v>1</v>
      </c>
      <c r="FU7" s="74"/>
      <c r="FV7" s="74"/>
      <c r="FW7" s="74"/>
      <c r="FX7" s="74"/>
      <c r="FY7" s="8">
        <v>1</v>
      </c>
      <c r="FZ7" s="74" t="s">
        <v>2</v>
      </c>
      <c r="GA7" s="74"/>
      <c r="GB7" s="74"/>
      <c r="GC7" s="74"/>
      <c r="GD7" s="74"/>
      <c r="GE7" s="74"/>
      <c r="GF7" s="74" t="s">
        <v>3</v>
      </c>
      <c r="GG7" s="74"/>
      <c r="GH7" s="74"/>
      <c r="GI7" s="74"/>
      <c r="GJ7" s="74"/>
      <c r="GK7" s="8"/>
      <c r="GL7" s="74" t="s">
        <v>16</v>
      </c>
      <c r="GM7" s="74"/>
      <c r="GN7" s="74"/>
      <c r="GO7" s="74"/>
      <c r="GP7" s="74"/>
      <c r="GQ7" s="8"/>
      <c r="GR7" s="74" t="s">
        <v>4</v>
      </c>
      <c r="GS7" s="74"/>
      <c r="GT7" s="74"/>
      <c r="GU7" s="74"/>
      <c r="GV7" s="74"/>
      <c r="GW7" s="8"/>
      <c r="GX7" s="74" t="s">
        <v>5</v>
      </c>
      <c r="GY7" s="74"/>
      <c r="GZ7" s="74"/>
      <c r="HA7" s="74"/>
      <c r="HB7" s="74"/>
      <c r="HC7" s="8"/>
      <c r="HD7" s="74" t="s">
        <v>17</v>
      </c>
      <c r="HE7" s="74"/>
      <c r="HF7" s="74"/>
      <c r="HG7" s="74"/>
      <c r="HH7" s="74"/>
      <c r="HI7" s="8"/>
      <c r="HJ7" s="7"/>
      <c r="HK7" s="74" t="s">
        <v>1</v>
      </c>
      <c r="HL7" s="74"/>
      <c r="HM7" s="74"/>
      <c r="HN7" s="74"/>
      <c r="HO7" s="74"/>
      <c r="HP7" s="8">
        <v>1</v>
      </c>
      <c r="HQ7" s="74" t="s">
        <v>2</v>
      </c>
      <c r="HR7" s="74"/>
      <c r="HS7" s="74"/>
      <c r="HT7" s="74"/>
      <c r="HU7" s="74"/>
      <c r="HV7" s="74"/>
      <c r="HW7" s="74" t="s">
        <v>3</v>
      </c>
      <c r="HX7" s="74"/>
      <c r="HY7" s="74"/>
      <c r="HZ7" s="74"/>
      <c r="IA7" s="74"/>
      <c r="IB7" s="8"/>
      <c r="IC7" s="74" t="s">
        <v>16</v>
      </c>
      <c r="ID7" s="74"/>
      <c r="IE7" s="74"/>
      <c r="IF7" s="74"/>
      <c r="IG7" s="74"/>
      <c r="IH7" s="8"/>
      <c r="II7" s="74" t="s">
        <v>4</v>
      </c>
      <c r="IJ7" s="74"/>
      <c r="IK7" s="74"/>
      <c r="IL7" s="74"/>
      <c r="IM7" s="74"/>
      <c r="IN7" s="8"/>
      <c r="IO7" s="74" t="s">
        <v>5</v>
      </c>
      <c r="IP7" s="74"/>
      <c r="IQ7" s="74"/>
      <c r="IR7" s="74"/>
      <c r="IS7" s="74"/>
      <c r="IT7" s="8"/>
      <c r="IU7" s="74" t="s">
        <v>17</v>
      </c>
      <c r="IV7" s="74"/>
      <c r="IW7" s="74"/>
      <c r="IX7" s="74"/>
      <c r="IY7" s="74"/>
      <c r="IZ7" s="8"/>
      <c r="JA7" s="7"/>
    </row>
    <row r="8" spans="1:261" s="19" customFormat="1" ht="15.6" thickBot="1" x14ac:dyDescent="0.3">
      <c r="A8" s="43" t="s">
        <v>18</v>
      </c>
      <c r="B8" s="69" t="s">
        <v>53</v>
      </c>
      <c r="C8" s="44"/>
      <c r="D8" s="75" t="str">
        <f>IF(TEXT($B$7,"DDDD")=D7,($B$7+1)-1,IF(TEXT(C8,"DDDD")=C7,C8+1,"Mes anterior"))</f>
        <v>Mes anterior</v>
      </c>
      <c r="E8" s="76"/>
      <c r="F8" s="76"/>
      <c r="G8" s="76"/>
      <c r="H8" s="77"/>
      <c r="I8" s="15"/>
      <c r="J8" s="75" t="str">
        <f>IF(TEXT($B$7,"DDDD")=J7,($B$7+1)-1,IF(TEXT(D8,"DDDD")=D7,D8+1,"Mes Anterior"))</f>
        <v>Mes Anterior</v>
      </c>
      <c r="K8" s="76"/>
      <c r="L8" s="76"/>
      <c r="M8" s="76"/>
      <c r="N8" s="77"/>
      <c r="O8" s="16"/>
      <c r="P8" s="75" t="str">
        <f>IF(TEXT($B$7,"DDDD")=P7,($B$7+1)-1,IF(TEXT(J8,"DDDD")=J7,J8+1,"Mes Anterior"))</f>
        <v>Mes Anterior</v>
      </c>
      <c r="Q8" s="76"/>
      <c r="R8" s="76"/>
      <c r="S8" s="76"/>
      <c r="T8" s="77"/>
      <c r="U8" s="15"/>
      <c r="V8" s="75" t="str">
        <f>IF(TEXT($B$7,"DDDD")=V7,($B$7+1)-1,IF(TEXT(P8,"DDDD")=P7,P8+1,"Mes Anterior"))</f>
        <v>Mes Anterior</v>
      </c>
      <c r="W8" s="76"/>
      <c r="X8" s="76"/>
      <c r="Y8" s="76"/>
      <c r="Z8" s="77"/>
      <c r="AA8" s="15"/>
      <c r="AB8" s="75" t="str">
        <f>IF(TEXT($B$7,"DDDD")=AB7,($B$7+1)-1,IF(TEXT(V8,"DDDD")=V7,V8+1,"Mes Anterior"))</f>
        <v>Mes Anterior</v>
      </c>
      <c r="AC8" s="76"/>
      <c r="AD8" s="76"/>
      <c r="AE8" s="76"/>
      <c r="AF8" s="77"/>
      <c r="AG8" s="15"/>
      <c r="AH8" s="75" t="str">
        <f>IF(TEXT($B$7,"DDDD")=AH7,($B$7+1)-1,IF(TEXT(AB8,"DDDD")=AB7,AB8+1,"Mes Anterior"))</f>
        <v>Mes Anterior</v>
      </c>
      <c r="AI8" s="76"/>
      <c r="AJ8" s="76"/>
      <c r="AK8" s="76"/>
      <c r="AL8" s="77"/>
      <c r="AM8" s="15"/>
      <c r="AN8" s="75">
        <f>IF(TEXT($B$7,"DDDD")=AN7,($B$7+1)-1,IF(TEXT(AH8,"DDDD")=AH7,AH8+1,"Mes Anterior"))</f>
        <v>44835</v>
      </c>
      <c r="AO8" s="76"/>
      <c r="AP8" s="76"/>
      <c r="AQ8" s="76"/>
      <c r="AR8" s="77"/>
      <c r="AS8" s="17"/>
      <c r="AT8" s="18"/>
      <c r="AU8" s="75">
        <f>+AN8+1</f>
        <v>44836</v>
      </c>
      <c r="AV8" s="76"/>
      <c r="AW8" s="76"/>
      <c r="AX8" s="76"/>
      <c r="AY8" s="77"/>
      <c r="AZ8" s="15"/>
      <c r="BA8" s="75">
        <f>+AU8+1</f>
        <v>44837</v>
      </c>
      <c r="BB8" s="76"/>
      <c r="BC8" s="76"/>
      <c r="BD8" s="76"/>
      <c r="BE8" s="77"/>
      <c r="BF8" s="16"/>
      <c r="BG8" s="75">
        <f>+BA8+1</f>
        <v>44838</v>
      </c>
      <c r="BH8" s="76"/>
      <c r="BI8" s="76"/>
      <c r="BJ8" s="76"/>
      <c r="BK8" s="77"/>
      <c r="BL8" s="15"/>
      <c r="BM8" s="75">
        <f>+BG8+1</f>
        <v>44839</v>
      </c>
      <c r="BN8" s="76"/>
      <c r="BO8" s="76"/>
      <c r="BP8" s="76"/>
      <c r="BQ8" s="77"/>
      <c r="BR8" s="15"/>
      <c r="BS8" s="75">
        <f>+BM8+1</f>
        <v>44840</v>
      </c>
      <c r="BT8" s="76"/>
      <c r="BU8" s="76"/>
      <c r="BV8" s="76"/>
      <c r="BW8" s="77"/>
      <c r="BX8" s="15"/>
      <c r="BY8" s="75">
        <f>+BS8+1</f>
        <v>44841</v>
      </c>
      <c r="BZ8" s="76"/>
      <c r="CA8" s="76"/>
      <c r="CB8" s="76"/>
      <c r="CC8" s="77"/>
      <c r="CD8" s="15"/>
      <c r="CE8" s="75">
        <f>+BY8+1</f>
        <v>44842</v>
      </c>
      <c r="CF8" s="76"/>
      <c r="CG8" s="76"/>
      <c r="CH8" s="76"/>
      <c r="CI8" s="77"/>
      <c r="CJ8" s="17"/>
      <c r="CK8" s="18"/>
      <c r="CL8" s="75">
        <f>+CE8+1</f>
        <v>44843</v>
      </c>
      <c r="CM8" s="76"/>
      <c r="CN8" s="76"/>
      <c r="CO8" s="76"/>
      <c r="CP8" s="77"/>
      <c r="CQ8" s="15"/>
      <c r="CR8" s="75">
        <f>+CL8+1</f>
        <v>44844</v>
      </c>
      <c r="CS8" s="76"/>
      <c r="CT8" s="76"/>
      <c r="CU8" s="76"/>
      <c r="CV8" s="77"/>
      <c r="CW8" s="16"/>
      <c r="CX8" s="75">
        <f>+CR8+1</f>
        <v>44845</v>
      </c>
      <c r="CY8" s="76"/>
      <c r="CZ8" s="76"/>
      <c r="DA8" s="76"/>
      <c r="DB8" s="77"/>
      <c r="DC8" s="15"/>
      <c r="DD8" s="75">
        <f>+CX8+1</f>
        <v>44846</v>
      </c>
      <c r="DE8" s="76"/>
      <c r="DF8" s="76"/>
      <c r="DG8" s="76"/>
      <c r="DH8" s="77"/>
      <c r="DI8" s="15"/>
      <c r="DJ8" s="75">
        <f>+DD8+1</f>
        <v>44847</v>
      </c>
      <c r="DK8" s="76"/>
      <c r="DL8" s="76"/>
      <c r="DM8" s="76"/>
      <c r="DN8" s="77"/>
      <c r="DO8" s="15"/>
      <c r="DP8" s="75">
        <f>+DJ8+1</f>
        <v>44848</v>
      </c>
      <c r="DQ8" s="76"/>
      <c r="DR8" s="76"/>
      <c r="DS8" s="76"/>
      <c r="DT8" s="77"/>
      <c r="DU8" s="15"/>
      <c r="DV8" s="75">
        <f>+DP8+1</f>
        <v>44849</v>
      </c>
      <c r="DW8" s="76"/>
      <c r="DX8" s="76"/>
      <c r="DY8" s="76"/>
      <c r="DZ8" s="77"/>
      <c r="EA8" s="17"/>
      <c r="EB8" s="18"/>
      <c r="EC8" s="75">
        <f>IFERROR(IF(DAY(DV8)=DAY(EOMONTH($B$7,0)),"Mes Siguiente",DV8+1),"Mes Siguiente")</f>
        <v>44850</v>
      </c>
      <c r="ED8" s="76"/>
      <c r="EE8" s="76"/>
      <c r="EF8" s="76"/>
      <c r="EG8" s="77"/>
      <c r="EH8" s="15"/>
      <c r="EI8" s="75">
        <f>IFERROR(IF(DAY(EC8)=DAY(EOMONTH($B$7,0)),"Mes Siguiente",EC8+1),"Mes Siguiente")</f>
        <v>44851</v>
      </c>
      <c r="EJ8" s="76"/>
      <c r="EK8" s="76"/>
      <c r="EL8" s="76"/>
      <c r="EM8" s="77"/>
      <c r="EN8" s="16"/>
      <c r="EO8" s="75">
        <f>IFERROR(IF(DAY(EI8)=DAY(EOMONTH($B$7,0)),"Mes Siguiente",EI8+1),"Mes Siguiente")</f>
        <v>44852</v>
      </c>
      <c r="EP8" s="76"/>
      <c r="EQ8" s="76"/>
      <c r="ER8" s="76"/>
      <c r="ES8" s="77"/>
      <c r="ET8" s="15"/>
      <c r="EU8" s="75">
        <f>IFERROR(IF(DAY(EO8)=DAY(EOMONTH($B$7,0)),"Mes Siguiente",EO8+1),"Mes Siguiente")</f>
        <v>44853</v>
      </c>
      <c r="EV8" s="76"/>
      <c r="EW8" s="76"/>
      <c r="EX8" s="76"/>
      <c r="EY8" s="77"/>
      <c r="EZ8" s="15"/>
      <c r="FA8" s="75">
        <f>IFERROR(IF(DAY(EU8)=DAY(EOMONTH($B$7,0)),"Mes Siguiente",EU8+1),"Mes Siguiente")</f>
        <v>44854</v>
      </c>
      <c r="FB8" s="76"/>
      <c r="FC8" s="76"/>
      <c r="FD8" s="76"/>
      <c r="FE8" s="77"/>
      <c r="FF8" s="15"/>
      <c r="FG8" s="75">
        <f>IFERROR(IF(DAY(FA8)=DAY(EOMONTH($B$7,0)),"Mes Siguiente",FA8+1),"Mes Siguiente")</f>
        <v>44855</v>
      </c>
      <c r="FH8" s="76"/>
      <c r="FI8" s="76"/>
      <c r="FJ8" s="76"/>
      <c r="FK8" s="77"/>
      <c r="FL8" s="15"/>
      <c r="FM8" s="75">
        <f>IFERROR(IF(DAY(FG8)=DAY(EOMONTH($B$7,0)),"Mes Siguiente",FG8+1),"Mes Siguiente")</f>
        <v>44856</v>
      </c>
      <c r="FN8" s="76"/>
      <c r="FO8" s="76"/>
      <c r="FP8" s="76"/>
      <c r="FQ8" s="77"/>
      <c r="FR8" s="17"/>
      <c r="FS8" s="18"/>
      <c r="FT8" s="75">
        <f>IFERROR(IF(DAY(FM8)=DAY(EOMONTH($B$7,0)),"Mes Siguiente",FM8+1),"Mes Siguiente")</f>
        <v>44857</v>
      </c>
      <c r="FU8" s="76"/>
      <c r="FV8" s="76"/>
      <c r="FW8" s="76"/>
      <c r="FX8" s="77"/>
      <c r="FY8" s="15"/>
      <c r="FZ8" s="75">
        <f>IFERROR(IF(DAY(FT8)=DAY(EOMONTH($B$7,0)),"Mes Siguiente",FT8+1),"Mes Siguiente")</f>
        <v>44858</v>
      </c>
      <c r="GA8" s="76"/>
      <c r="GB8" s="76"/>
      <c r="GC8" s="76"/>
      <c r="GD8" s="77"/>
      <c r="GE8" s="16"/>
      <c r="GF8" s="75">
        <f>IFERROR(IF(DAY(FZ8)=DAY(EOMONTH($B$7,0)),"Mes Siguiente",FZ8+1),"Mes Siguiente")</f>
        <v>44859</v>
      </c>
      <c r="GG8" s="76"/>
      <c r="GH8" s="76"/>
      <c r="GI8" s="76"/>
      <c r="GJ8" s="77"/>
      <c r="GK8" s="15"/>
      <c r="GL8" s="75">
        <f>IFERROR(IF(DAY(GF8)=DAY(EOMONTH($B$7,0)),"Mes Siguiente",GF8+1),"Mes Siguiente")</f>
        <v>44860</v>
      </c>
      <c r="GM8" s="76"/>
      <c r="GN8" s="76"/>
      <c r="GO8" s="76"/>
      <c r="GP8" s="77"/>
      <c r="GQ8" s="15"/>
      <c r="GR8" s="75">
        <f>IFERROR(IF(DAY(GL8)=DAY(EOMONTH($B$7,0)),"Mes Siguiente",GL8+1),"Mes Siguiente")</f>
        <v>44861</v>
      </c>
      <c r="GS8" s="76"/>
      <c r="GT8" s="76"/>
      <c r="GU8" s="76"/>
      <c r="GV8" s="77"/>
      <c r="GW8" s="15"/>
      <c r="GX8" s="75">
        <f>IFERROR(IF(DAY(GR8)=DAY(EOMONTH($B$7,0)),"Mes Siguiente",GR8+1),"Mes Siguiente")</f>
        <v>44862</v>
      </c>
      <c r="GY8" s="76"/>
      <c r="GZ8" s="76"/>
      <c r="HA8" s="76"/>
      <c r="HB8" s="77"/>
      <c r="HC8" s="15"/>
      <c r="HD8" s="75">
        <f>IFERROR(IF(DAY(GX8)=DAY(EOMONTH($B$7,0)),"Mes Siguiente",GX8+1),"Mes Siguiente")</f>
        <v>44863</v>
      </c>
      <c r="HE8" s="76"/>
      <c r="HF8" s="76"/>
      <c r="HG8" s="76"/>
      <c r="HH8" s="77"/>
      <c r="HI8" s="17"/>
      <c r="HJ8" s="18"/>
      <c r="HK8" s="75">
        <f>IFERROR(IF(DAY(HD8)=DAY(EOMONTH($B$7,0)),"Mes Siguiente",HD8+1),"Mes Siguiente")</f>
        <v>44864</v>
      </c>
      <c r="HL8" s="76"/>
      <c r="HM8" s="76"/>
      <c r="HN8" s="76"/>
      <c r="HO8" s="77"/>
      <c r="HP8" s="15"/>
      <c r="HQ8" s="75">
        <f>IFERROR(IF(DAY(HK8)=DAY(EOMONTH($B$7,0)),"Mes Siguiente",HK8+1),"Mes Siguiente")</f>
        <v>44865</v>
      </c>
      <c r="HR8" s="76"/>
      <c r="HS8" s="76"/>
      <c r="HT8" s="76"/>
      <c r="HU8" s="77"/>
      <c r="HV8" s="16"/>
      <c r="HW8" s="75" t="str">
        <f>IFERROR(IF(DAY(HQ8)=DAY(EOMONTH($B$7,0)),"Mes Siguiente",HQ8+1),"Mes Siguiente")</f>
        <v>Mes Siguiente</v>
      </c>
      <c r="HX8" s="76"/>
      <c r="HY8" s="76"/>
      <c r="HZ8" s="76"/>
      <c r="IA8" s="77"/>
      <c r="IB8" s="15"/>
      <c r="IC8" s="75" t="str">
        <f>IFERROR(IF(DAY(HW8)=DAY(EOMONTH($B$7,0)),"Mes Siguiente",HW8+1),"Mes Siguiente")</f>
        <v>Mes Siguiente</v>
      </c>
      <c r="ID8" s="76"/>
      <c r="IE8" s="76"/>
      <c r="IF8" s="76"/>
      <c r="IG8" s="77"/>
      <c r="IH8" s="15"/>
      <c r="II8" s="75" t="str">
        <f>IFERROR(IF(DAY(IC8)=DAY(EOMONTH($B$7,0)),"Mes Siguiente",IC8+1),"Mes Siguiente")</f>
        <v>Mes Siguiente</v>
      </c>
      <c r="IJ8" s="76"/>
      <c r="IK8" s="76"/>
      <c r="IL8" s="76"/>
      <c r="IM8" s="77"/>
      <c r="IN8" s="15"/>
      <c r="IO8" s="75" t="str">
        <f>IFERROR(IF(DAY(II8)=DAY(EOMONTH($B$7,0)),"Mes Siguiente",II8+1),"Mes Siguiente")</f>
        <v>Mes Siguiente</v>
      </c>
      <c r="IP8" s="76"/>
      <c r="IQ8" s="76"/>
      <c r="IR8" s="76"/>
      <c r="IS8" s="77"/>
      <c r="IT8" s="15"/>
      <c r="IU8" s="75" t="str">
        <f>IFERROR(IF(DAY(IO8)=DAY(EOMONTH($B$7,0)),"Mes Siguiente",IO8+1),"Mes Siguiente")</f>
        <v>Mes Siguiente</v>
      </c>
      <c r="IV8" s="76"/>
      <c r="IW8" s="76"/>
      <c r="IX8" s="76"/>
      <c r="IY8" s="77"/>
      <c r="IZ8" s="17"/>
      <c r="JA8" s="18"/>
    </row>
    <row r="9" spans="1:261" s="24" customFormat="1" ht="24.75" customHeight="1" x14ac:dyDescent="0.25">
      <c r="A9" s="20" t="s">
        <v>6</v>
      </c>
      <c r="B9" s="20" t="s">
        <v>7</v>
      </c>
      <c r="C9" s="20" t="s">
        <v>13</v>
      </c>
      <c r="D9" s="21" t="s">
        <v>25</v>
      </c>
      <c r="E9" s="21" t="s">
        <v>26</v>
      </c>
      <c r="F9" s="21" t="s">
        <v>8</v>
      </c>
      <c r="G9" s="21" t="s">
        <v>8</v>
      </c>
      <c r="H9" s="21" t="s">
        <v>8</v>
      </c>
      <c r="I9" s="22"/>
      <c r="J9" s="21" t="s">
        <v>25</v>
      </c>
      <c r="K9" s="21" t="s">
        <v>26</v>
      </c>
      <c r="L9" s="21" t="s">
        <v>8</v>
      </c>
      <c r="M9" s="21" t="s">
        <v>8</v>
      </c>
      <c r="N9" s="21" t="s">
        <v>8</v>
      </c>
      <c r="O9" s="22"/>
      <c r="P9" s="21" t="s">
        <v>25</v>
      </c>
      <c r="Q9" s="21" t="s">
        <v>26</v>
      </c>
      <c r="R9" s="21" t="s">
        <v>8</v>
      </c>
      <c r="S9" s="21" t="s">
        <v>8</v>
      </c>
      <c r="T9" s="21" t="s">
        <v>8</v>
      </c>
      <c r="U9" s="22"/>
      <c r="V9" s="21" t="s">
        <v>25</v>
      </c>
      <c r="W9" s="21" t="s">
        <v>26</v>
      </c>
      <c r="X9" s="21" t="s">
        <v>8</v>
      </c>
      <c r="Y9" s="21" t="s">
        <v>8</v>
      </c>
      <c r="Z9" s="21" t="s">
        <v>8</v>
      </c>
      <c r="AA9" s="22"/>
      <c r="AB9" s="21" t="s">
        <v>25</v>
      </c>
      <c r="AC9" s="21" t="s">
        <v>26</v>
      </c>
      <c r="AD9" s="21" t="s">
        <v>8</v>
      </c>
      <c r="AE9" s="21" t="s">
        <v>8</v>
      </c>
      <c r="AF9" s="21" t="s">
        <v>8</v>
      </c>
      <c r="AG9" s="22"/>
      <c r="AH9" s="21" t="s">
        <v>25</v>
      </c>
      <c r="AI9" s="21" t="s">
        <v>26</v>
      </c>
      <c r="AJ9" s="21" t="s">
        <v>8</v>
      </c>
      <c r="AK9" s="21" t="s">
        <v>8</v>
      </c>
      <c r="AL9" s="21" t="s">
        <v>8</v>
      </c>
      <c r="AM9" s="22"/>
      <c r="AN9" s="21" t="s">
        <v>25</v>
      </c>
      <c r="AO9" s="21" t="s">
        <v>26</v>
      </c>
      <c r="AP9" s="21" t="s">
        <v>8</v>
      </c>
      <c r="AQ9" s="21" t="s">
        <v>8</v>
      </c>
      <c r="AR9" s="21" t="s">
        <v>8</v>
      </c>
      <c r="AS9" s="22"/>
      <c r="AT9" s="23" t="s">
        <v>9</v>
      </c>
      <c r="AU9" s="21" t="s">
        <v>25</v>
      </c>
      <c r="AV9" s="21" t="s">
        <v>26</v>
      </c>
      <c r="AW9" s="21" t="s">
        <v>8</v>
      </c>
      <c r="AX9" s="21" t="s">
        <v>8</v>
      </c>
      <c r="AY9" s="21" t="s">
        <v>8</v>
      </c>
      <c r="AZ9" s="22"/>
      <c r="BA9" s="21" t="s">
        <v>25</v>
      </c>
      <c r="BB9" s="21" t="s">
        <v>26</v>
      </c>
      <c r="BC9" s="21" t="s">
        <v>8</v>
      </c>
      <c r="BD9" s="21" t="s">
        <v>8</v>
      </c>
      <c r="BE9" s="21" t="s">
        <v>8</v>
      </c>
      <c r="BF9" s="22"/>
      <c r="BG9" s="21" t="s">
        <v>25</v>
      </c>
      <c r="BH9" s="21" t="s">
        <v>26</v>
      </c>
      <c r="BI9" s="21" t="s">
        <v>8</v>
      </c>
      <c r="BJ9" s="21" t="s">
        <v>8</v>
      </c>
      <c r="BK9" s="21" t="s">
        <v>8</v>
      </c>
      <c r="BL9" s="22"/>
      <c r="BM9" s="21" t="s">
        <v>25</v>
      </c>
      <c r="BN9" s="21" t="s">
        <v>26</v>
      </c>
      <c r="BO9" s="21" t="s">
        <v>8</v>
      </c>
      <c r="BP9" s="21" t="s">
        <v>8</v>
      </c>
      <c r="BQ9" s="21" t="s">
        <v>8</v>
      </c>
      <c r="BR9" s="22"/>
      <c r="BS9" s="21" t="s">
        <v>25</v>
      </c>
      <c r="BT9" s="21" t="s">
        <v>26</v>
      </c>
      <c r="BU9" s="21" t="s">
        <v>8</v>
      </c>
      <c r="BV9" s="21" t="s">
        <v>8</v>
      </c>
      <c r="BW9" s="21" t="s">
        <v>8</v>
      </c>
      <c r="BX9" s="22"/>
      <c r="BY9" s="21" t="s">
        <v>25</v>
      </c>
      <c r="BZ9" s="21" t="s">
        <v>26</v>
      </c>
      <c r="CA9" s="21" t="s">
        <v>8</v>
      </c>
      <c r="CB9" s="21" t="s">
        <v>8</v>
      </c>
      <c r="CC9" s="21" t="s">
        <v>8</v>
      </c>
      <c r="CD9" s="22"/>
      <c r="CE9" s="21" t="s">
        <v>25</v>
      </c>
      <c r="CF9" s="21" t="s">
        <v>26</v>
      </c>
      <c r="CG9" s="21" t="s">
        <v>8</v>
      </c>
      <c r="CH9" s="21" t="s">
        <v>8</v>
      </c>
      <c r="CI9" s="21" t="s">
        <v>8</v>
      </c>
      <c r="CJ9" s="22"/>
      <c r="CK9" s="23" t="s">
        <v>9</v>
      </c>
      <c r="CL9" s="21" t="s">
        <v>25</v>
      </c>
      <c r="CM9" s="21" t="s">
        <v>26</v>
      </c>
      <c r="CN9" s="21" t="s">
        <v>8</v>
      </c>
      <c r="CO9" s="21" t="s">
        <v>8</v>
      </c>
      <c r="CP9" s="21" t="s">
        <v>8</v>
      </c>
      <c r="CQ9" s="22"/>
      <c r="CR9" s="21" t="s">
        <v>25</v>
      </c>
      <c r="CS9" s="21" t="s">
        <v>26</v>
      </c>
      <c r="CT9" s="21" t="s">
        <v>8</v>
      </c>
      <c r="CU9" s="21" t="s">
        <v>8</v>
      </c>
      <c r="CV9" s="21" t="s">
        <v>8</v>
      </c>
      <c r="CW9" s="22"/>
      <c r="CX9" s="21" t="s">
        <v>25</v>
      </c>
      <c r="CY9" s="21" t="s">
        <v>26</v>
      </c>
      <c r="CZ9" s="21" t="s">
        <v>8</v>
      </c>
      <c r="DA9" s="21" t="s">
        <v>8</v>
      </c>
      <c r="DB9" s="21" t="s">
        <v>8</v>
      </c>
      <c r="DC9" s="22"/>
      <c r="DD9" s="21" t="s">
        <v>25</v>
      </c>
      <c r="DE9" s="21" t="s">
        <v>26</v>
      </c>
      <c r="DF9" s="21" t="s">
        <v>8</v>
      </c>
      <c r="DG9" s="21" t="s">
        <v>8</v>
      </c>
      <c r="DH9" s="21" t="s">
        <v>8</v>
      </c>
      <c r="DI9" s="22"/>
      <c r="DJ9" s="21" t="s">
        <v>25</v>
      </c>
      <c r="DK9" s="21" t="s">
        <v>26</v>
      </c>
      <c r="DL9" s="21" t="s">
        <v>8</v>
      </c>
      <c r="DM9" s="21" t="s">
        <v>8</v>
      </c>
      <c r="DN9" s="21" t="s">
        <v>8</v>
      </c>
      <c r="DO9" s="22"/>
      <c r="DP9" s="21" t="s">
        <v>25</v>
      </c>
      <c r="DQ9" s="21" t="s">
        <v>26</v>
      </c>
      <c r="DR9" s="21" t="s">
        <v>8</v>
      </c>
      <c r="DS9" s="21" t="s">
        <v>8</v>
      </c>
      <c r="DT9" s="21" t="s">
        <v>8</v>
      </c>
      <c r="DU9" s="22"/>
      <c r="DV9" s="21" t="s">
        <v>25</v>
      </c>
      <c r="DW9" s="21" t="s">
        <v>26</v>
      </c>
      <c r="DX9" s="21" t="s">
        <v>8</v>
      </c>
      <c r="DY9" s="21" t="s">
        <v>8</v>
      </c>
      <c r="DZ9" s="21" t="s">
        <v>8</v>
      </c>
      <c r="EA9" s="22"/>
      <c r="EB9" s="23" t="s">
        <v>9</v>
      </c>
      <c r="EC9" s="21" t="s">
        <v>25</v>
      </c>
      <c r="ED9" s="21" t="s">
        <v>26</v>
      </c>
      <c r="EE9" s="21" t="s">
        <v>8</v>
      </c>
      <c r="EF9" s="21" t="s">
        <v>8</v>
      </c>
      <c r="EG9" s="21" t="s">
        <v>8</v>
      </c>
      <c r="EH9" s="22"/>
      <c r="EI9" s="21" t="s">
        <v>25</v>
      </c>
      <c r="EJ9" s="21" t="s">
        <v>26</v>
      </c>
      <c r="EK9" s="21" t="s">
        <v>8</v>
      </c>
      <c r="EL9" s="21" t="s">
        <v>8</v>
      </c>
      <c r="EM9" s="21" t="s">
        <v>8</v>
      </c>
      <c r="EN9" s="22"/>
      <c r="EO9" s="21" t="s">
        <v>25</v>
      </c>
      <c r="EP9" s="21" t="s">
        <v>26</v>
      </c>
      <c r="EQ9" s="21" t="s">
        <v>8</v>
      </c>
      <c r="ER9" s="21" t="s">
        <v>8</v>
      </c>
      <c r="ES9" s="21" t="s">
        <v>8</v>
      </c>
      <c r="ET9" s="22"/>
      <c r="EU9" s="21" t="s">
        <v>25</v>
      </c>
      <c r="EV9" s="21" t="s">
        <v>26</v>
      </c>
      <c r="EW9" s="21" t="s">
        <v>8</v>
      </c>
      <c r="EX9" s="21" t="s">
        <v>8</v>
      </c>
      <c r="EY9" s="21" t="s">
        <v>8</v>
      </c>
      <c r="EZ9" s="22"/>
      <c r="FA9" s="21" t="s">
        <v>25</v>
      </c>
      <c r="FB9" s="21" t="s">
        <v>26</v>
      </c>
      <c r="FC9" s="21" t="s">
        <v>8</v>
      </c>
      <c r="FD9" s="21" t="s">
        <v>8</v>
      </c>
      <c r="FE9" s="21" t="s">
        <v>8</v>
      </c>
      <c r="FF9" s="22"/>
      <c r="FG9" s="21" t="s">
        <v>25</v>
      </c>
      <c r="FH9" s="21" t="s">
        <v>26</v>
      </c>
      <c r="FI9" s="21" t="s">
        <v>8</v>
      </c>
      <c r="FJ9" s="21" t="s">
        <v>8</v>
      </c>
      <c r="FK9" s="21" t="s">
        <v>8</v>
      </c>
      <c r="FL9" s="22"/>
      <c r="FM9" s="21" t="s">
        <v>25</v>
      </c>
      <c r="FN9" s="21" t="s">
        <v>26</v>
      </c>
      <c r="FO9" s="21" t="s">
        <v>8</v>
      </c>
      <c r="FP9" s="21" t="s">
        <v>8</v>
      </c>
      <c r="FQ9" s="21" t="s">
        <v>8</v>
      </c>
      <c r="FR9" s="22"/>
      <c r="FS9" s="23" t="s">
        <v>9</v>
      </c>
      <c r="FT9" s="21" t="s">
        <v>25</v>
      </c>
      <c r="FU9" s="21" t="s">
        <v>26</v>
      </c>
      <c r="FV9" s="21" t="s">
        <v>8</v>
      </c>
      <c r="FW9" s="21" t="s">
        <v>8</v>
      </c>
      <c r="FX9" s="21" t="s">
        <v>8</v>
      </c>
      <c r="FY9" s="22"/>
      <c r="FZ9" s="21" t="s">
        <v>25</v>
      </c>
      <c r="GA9" s="21" t="s">
        <v>26</v>
      </c>
      <c r="GB9" s="21" t="s">
        <v>8</v>
      </c>
      <c r="GC9" s="21" t="s">
        <v>8</v>
      </c>
      <c r="GD9" s="21" t="s">
        <v>8</v>
      </c>
      <c r="GE9" s="22"/>
      <c r="GF9" s="21" t="s">
        <v>25</v>
      </c>
      <c r="GG9" s="21" t="s">
        <v>26</v>
      </c>
      <c r="GH9" s="21" t="s">
        <v>8</v>
      </c>
      <c r="GI9" s="21" t="s">
        <v>8</v>
      </c>
      <c r="GJ9" s="21" t="s">
        <v>8</v>
      </c>
      <c r="GK9" s="22"/>
      <c r="GL9" s="21" t="s">
        <v>25</v>
      </c>
      <c r="GM9" s="21" t="s">
        <v>26</v>
      </c>
      <c r="GN9" s="21" t="s">
        <v>8</v>
      </c>
      <c r="GO9" s="21" t="s">
        <v>8</v>
      </c>
      <c r="GP9" s="21" t="s">
        <v>8</v>
      </c>
      <c r="GQ9" s="22"/>
      <c r="GR9" s="21" t="s">
        <v>25</v>
      </c>
      <c r="GS9" s="21" t="s">
        <v>26</v>
      </c>
      <c r="GT9" s="21" t="s">
        <v>8</v>
      </c>
      <c r="GU9" s="21" t="s">
        <v>8</v>
      </c>
      <c r="GV9" s="21" t="s">
        <v>29</v>
      </c>
      <c r="GW9" s="22"/>
      <c r="GX9" s="21" t="s">
        <v>25</v>
      </c>
      <c r="GY9" s="21" t="s">
        <v>26</v>
      </c>
      <c r="GZ9" s="21" t="s">
        <v>8</v>
      </c>
      <c r="HA9" s="21" t="s">
        <v>8</v>
      </c>
      <c r="HB9" s="21" t="s">
        <v>8</v>
      </c>
      <c r="HC9" s="22"/>
      <c r="HD9" s="21" t="s">
        <v>25</v>
      </c>
      <c r="HE9" s="21" t="s">
        <v>26</v>
      </c>
      <c r="HF9" s="21" t="s">
        <v>8</v>
      </c>
      <c r="HG9" s="21" t="s">
        <v>8</v>
      </c>
      <c r="HH9" s="21" t="s">
        <v>8</v>
      </c>
      <c r="HI9" s="22"/>
      <c r="HJ9" s="23" t="s">
        <v>9</v>
      </c>
      <c r="HK9" s="21" t="s">
        <v>25</v>
      </c>
      <c r="HL9" s="21" t="s">
        <v>26</v>
      </c>
      <c r="HM9" s="21" t="s">
        <v>8</v>
      </c>
      <c r="HN9" s="21" t="s">
        <v>8</v>
      </c>
      <c r="HO9" s="21" t="s">
        <v>8</v>
      </c>
      <c r="HP9" s="22"/>
      <c r="HQ9" s="21" t="s">
        <v>25</v>
      </c>
      <c r="HR9" s="21" t="s">
        <v>26</v>
      </c>
      <c r="HS9" s="21" t="s">
        <v>8</v>
      </c>
      <c r="HT9" s="21" t="s">
        <v>8</v>
      </c>
      <c r="HU9" s="21" t="s">
        <v>8</v>
      </c>
      <c r="HV9" s="22"/>
      <c r="HW9" s="21" t="s">
        <v>25</v>
      </c>
      <c r="HX9" s="21" t="s">
        <v>26</v>
      </c>
      <c r="HY9" s="21" t="s">
        <v>8</v>
      </c>
      <c r="HZ9" s="21" t="s">
        <v>8</v>
      </c>
      <c r="IA9" s="21" t="s">
        <v>8</v>
      </c>
      <c r="IB9" s="22"/>
      <c r="IC9" s="21" t="s">
        <v>25</v>
      </c>
      <c r="ID9" s="21" t="s">
        <v>26</v>
      </c>
      <c r="IE9" s="21" t="s">
        <v>8</v>
      </c>
      <c r="IF9" s="21" t="s">
        <v>8</v>
      </c>
      <c r="IG9" s="21" t="s">
        <v>8</v>
      </c>
      <c r="IH9" s="22"/>
      <c r="II9" s="21" t="s">
        <v>25</v>
      </c>
      <c r="IJ9" s="21" t="s">
        <v>26</v>
      </c>
      <c r="IK9" s="21" t="s">
        <v>8</v>
      </c>
      <c r="IL9" s="21" t="s">
        <v>8</v>
      </c>
      <c r="IM9" s="21" t="s">
        <v>8</v>
      </c>
      <c r="IN9" s="22"/>
      <c r="IO9" s="21" t="s">
        <v>25</v>
      </c>
      <c r="IP9" s="21" t="s">
        <v>26</v>
      </c>
      <c r="IQ9" s="21" t="s">
        <v>8</v>
      </c>
      <c r="IR9" s="21" t="s">
        <v>8</v>
      </c>
      <c r="IS9" s="21" t="s">
        <v>8</v>
      </c>
      <c r="IT9" s="22"/>
      <c r="IU9" s="21" t="s">
        <v>25</v>
      </c>
      <c r="IV9" s="21" t="s">
        <v>26</v>
      </c>
      <c r="IW9" s="21" t="s">
        <v>8</v>
      </c>
      <c r="IX9" s="21" t="s">
        <v>8</v>
      </c>
      <c r="IY9" s="21" t="s">
        <v>8</v>
      </c>
      <c r="IZ9" s="22"/>
      <c r="JA9" s="23" t="s">
        <v>9</v>
      </c>
    </row>
    <row r="10" spans="1:261" s="24" customFormat="1" ht="17.399999999999999" x14ac:dyDescent="0.25">
      <c r="A10" s="25"/>
      <c r="B10" s="26" t="str">
        <f>IFERROR(VLOOKUP(A10,BaseNombres!A:B,2,0),"")</f>
        <v/>
      </c>
      <c r="C10" s="26" t="str">
        <f>IFERROR(VLOOKUP(A10,BaseNombres!A:C,3,0),"")</f>
        <v/>
      </c>
      <c r="D10" s="27"/>
      <c r="E10" s="27"/>
      <c r="F10" s="28" t="str">
        <f>IFERROR(VLOOKUP(D10,Horarios!$H:$I,2,0),"")</f>
        <v/>
      </c>
      <c r="G10" s="28" t="str">
        <f>IFERROR(VLOOKUP(E10,Horarios!$H:$I,2,0),"")</f>
        <v/>
      </c>
      <c r="H10" s="28" t="str">
        <f>IF(SUM(F10,G10)=0,"00:00",SUM(F10,G10))</f>
        <v>00:00</v>
      </c>
      <c r="I10" s="29"/>
      <c r="J10" s="27"/>
      <c r="K10" s="27"/>
      <c r="L10" s="28" t="str">
        <f>IFERROR(VLOOKUP(J10,Horarios!$H:$I,2,0),"")</f>
        <v/>
      </c>
      <c r="M10" s="28" t="str">
        <f>IFERROR(VLOOKUP(K10,Horarios!$H:$I,2,0),"")</f>
        <v/>
      </c>
      <c r="N10" s="28" t="str">
        <f>IF(SUM(L10,M10)=0,"00:00",SUM(L10,M10))</f>
        <v>00:00</v>
      </c>
      <c r="O10" s="29"/>
      <c r="P10" s="27"/>
      <c r="Q10" s="27"/>
      <c r="R10" s="28" t="str">
        <f>IFERROR(VLOOKUP(P10,Horarios!$H:$I,2,0),"")</f>
        <v/>
      </c>
      <c r="S10" s="28" t="str">
        <f>IFERROR(VLOOKUP(Q10,Horarios!$H:$I,2,0),"")</f>
        <v/>
      </c>
      <c r="T10" s="28" t="str">
        <f>IF(SUM(R10,S10)=0,"00:00",SUM(R10,S10))</f>
        <v>00:00</v>
      </c>
      <c r="U10" s="29"/>
      <c r="V10" s="27"/>
      <c r="W10" s="27"/>
      <c r="X10" s="28" t="str">
        <f>IFERROR(VLOOKUP(V10,Horarios!$H:$I,2,0),"")</f>
        <v/>
      </c>
      <c r="Y10" s="28" t="str">
        <f>IFERROR(VLOOKUP(W10,Horarios!$H:$I,2,0),"")</f>
        <v/>
      </c>
      <c r="Z10" s="28" t="str">
        <f>IF(SUM(X10,Y10)=0,"00:00",SUM(X10,Y10))</f>
        <v>00:00</v>
      </c>
      <c r="AA10" s="29"/>
      <c r="AB10" s="27"/>
      <c r="AC10" s="27"/>
      <c r="AD10" s="28" t="str">
        <f>IFERROR(VLOOKUP(AB10,Horarios!$H:$I,2,0),"")</f>
        <v/>
      </c>
      <c r="AE10" s="28" t="str">
        <f>IFERROR(VLOOKUP(AC10,Horarios!$H:$I,2,0),"")</f>
        <v/>
      </c>
      <c r="AF10" s="28" t="str">
        <f>IF(SUM(AD10,AE10)=0,"00:00",SUM(AD10,AE10))</f>
        <v>00:00</v>
      </c>
      <c r="AG10" s="29"/>
      <c r="AH10" s="27"/>
      <c r="AI10" s="27"/>
      <c r="AJ10" s="28" t="str">
        <f>IFERROR(VLOOKUP(AH10,Horarios!$H:$I,2,0),"")</f>
        <v/>
      </c>
      <c r="AK10" s="28" t="str">
        <f>IFERROR(VLOOKUP(AI10,Horarios!$H:$I,2,0),"")</f>
        <v/>
      </c>
      <c r="AL10" s="28" t="str">
        <f>IF(SUM(AJ10,AK10)=0,"00:00",SUM(AJ10,AK10))</f>
        <v>00:00</v>
      </c>
      <c r="AM10" s="29"/>
      <c r="AN10" s="27"/>
      <c r="AO10" s="27"/>
      <c r="AP10" s="28" t="str">
        <f>IFERROR(VLOOKUP(AN10,Horarios!$H:$I,2,0),"")</f>
        <v/>
      </c>
      <c r="AQ10" s="28" t="str">
        <f>IFERROR(VLOOKUP(AO10,Horarios!$H:$I,2,0),"")</f>
        <v/>
      </c>
      <c r="AR10" s="28" t="str">
        <f>IF(SUM(AP10,AQ10)=0,"00:00",SUM(AP10,AQ10))</f>
        <v>00:00</v>
      </c>
      <c r="AS10" s="29"/>
      <c r="AT10" s="31" t="str">
        <f>IFERROR(IF(SUM(H10,N10,T10,Z10,AF10,AL10,AR10)=0,"",SUM(TEXT(H10,"HH:MM"),TEXT(N10,"HH:MM"),TEXT(T10,"HH:MM"),TEXT(Z10,"HH:MM"),TEXT(AF10,"HH:MM"),TEXT(AL10,"HH:MM"),TEXT(AR10,"HH:MM")))*24,"")</f>
        <v/>
      </c>
      <c r="AU10" s="27"/>
      <c r="AV10" s="27"/>
      <c r="AW10" s="28" t="str">
        <f>IFERROR(VLOOKUP(AU10,Horarios!$H:$I,2,0),"")</f>
        <v/>
      </c>
      <c r="AX10" s="28" t="str">
        <f>IFERROR(VLOOKUP(AV10,Horarios!$H:$I,2,0),"")</f>
        <v/>
      </c>
      <c r="AY10" s="28" t="str">
        <f>IF(SUM(AW10,AX10)=0,"00:00",SUM(AW10,AX10))</f>
        <v>00:00</v>
      </c>
      <c r="AZ10" s="29"/>
      <c r="BA10" s="27"/>
      <c r="BB10" s="27"/>
      <c r="BC10" s="28" t="str">
        <f>IFERROR(VLOOKUP(BA10,Horarios!$H:$I,2,0),"")</f>
        <v/>
      </c>
      <c r="BD10" s="28" t="str">
        <f>IFERROR(VLOOKUP(BB10,Horarios!$H:$I,2,0),"")</f>
        <v/>
      </c>
      <c r="BE10" s="28" t="str">
        <f>IF(SUM(BC10,BD10)=0,"00:00",SUM(BC10,BD10))</f>
        <v>00:00</v>
      </c>
      <c r="BF10" s="29"/>
      <c r="BG10" s="27"/>
      <c r="BH10" s="27"/>
      <c r="BI10" s="28" t="str">
        <f>IFERROR(VLOOKUP(BG10,Horarios!$H:$I,2,0),"")</f>
        <v/>
      </c>
      <c r="BJ10" s="28" t="str">
        <f>IFERROR(VLOOKUP(BH10,Horarios!$H:$I,2,0),"")</f>
        <v/>
      </c>
      <c r="BK10" s="28" t="str">
        <f>IF(SUM(BI10,BJ10)=0,"00:00",SUM(BI10,BJ10))</f>
        <v>00:00</v>
      </c>
      <c r="BL10" s="29"/>
      <c r="BM10" s="27"/>
      <c r="BN10" s="27"/>
      <c r="BO10" s="28" t="str">
        <f>IFERROR(VLOOKUP(BM10,Horarios!$H:$I,2,0),"")</f>
        <v/>
      </c>
      <c r="BP10" s="28" t="str">
        <f>IFERROR(VLOOKUP(BN10,Horarios!$H:$I,2,0),"")</f>
        <v/>
      </c>
      <c r="BQ10" s="28" t="str">
        <f>IF(SUM(BO10,BP10)=0,"00:00",SUM(BO10,BP10))</f>
        <v>00:00</v>
      </c>
      <c r="BR10" s="29"/>
      <c r="BS10" s="27"/>
      <c r="BT10" s="27"/>
      <c r="BU10" s="28" t="str">
        <f>IFERROR(VLOOKUP(BS10,Horarios!$H:$I,2,0),"")</f>
        <v/>
      </c>
      <c r="BV10" s="28" t="str">
        <f>IFERROR(VLOOKUP(BT10,Horarios!$H:$I,2,0),"")</f>
        <v/>
      </c>
      <c r="BW10" s="28" t="str">
        <f>IF(SUM(BU10,BV10)=0,"00:00",SUM(BU10,BV10))</f>
        <v>00:00</v>
      </c>
      <c r="BX10" s="29"/>
      <c r="BY10" s="27"/>
      <c r="BZ10" s="27"/>
      <c r="CA10" s="28" t="str">
        <f>IFERROR(VLOOKUP(BY10,Horarios!$H:$I,2,0),"")</f>
        <v/>
      </c>
      <c r="CB10" s="28" t="str">
        <f>IFERROR(VLOOKUP(BZ10,Horarios!$H:$I,2,0),"")</f>
        <v/>
      </c>
      <c r="CC10" s="28" t="str">
        <f>IF(SUM(CA10,CB10)=0,"00:00",SUM(CA10,CB10))</f>
        <v>00:00</v>
      </c>
      <c r="CD10" s="29"/>
      <c r="CE10" s="27"/>
      <c r="CF10" s="27"/>
      <c r="CG10" s="28" t="str">
        <f>IFERROR(VLOOKUP(CE10,Horarios!$H:$I,2,0),"")</f>
        <v/>
      </c>
      <c r="CH10" s="28" t="str">
        <f>IFERROR(VLOOKUP(CF10,Horarios!$H:$I,2,0),"")</f>
        <v/>
      </c>
      <c r="CI10" s="28" t="str">
        <f>IF(SUM(CG10,CH10)=0,"00:00",SUM(CG10,CH10))</f>
        <v>00:00</v>
      </c>
      <c r="CJ10" s="29"/>
      <c r="CK10" s="31" t="str">
        <f>IFERROR(IF(SUM(AY10,BE10,BK10,BQ10,BW10,CC10,CI10)=0,"",SUM(TEXT(AY10,"HH:MM"),TEXT(BE10,"HH:MM"),TEXT(BK10,"HH:MM"),TEXT(BQ10,"HH:MM"),TEXT(BW10,"HH:MM"),TEXT(CC10,"HH:MM"),TEXT(CI10,"HH:MM")))*24,"")</f>
        <v/>
      </c>
      <c r="CL10" s="27"/>
      <c r="CM10" s="27"/>
      <c r="CN10" s="28" t="str">
        <f>IFERROR(VLOOKUP(CL10,Horarios!$H:$I,2,0),"")</f>
        <v/>
      </c>
      <c r="CO10" s="28" t="str">
        <f>IFERROR(VLOOKUP(CM10,Horarios!$H:$I,2,0),"")</f>
        <v/>
      </c>
      <c r="CP10" s="28" t="str">
        <f>IF(SUM(CN10,CO10)=0,"00:00",SUM(CN10,CO10))</f>
        <v>00:00</v>
      </c>
      <c r="CQ10" s="29"/>
      <c r="CR10" s="27"/>
      <c r="CS10" s="27"/>
      <c r="CT10" s="28" t="str">
        <f>IFERROR(VLOOKUP(CR10,Horarios!$H:$I,2,0),"")</f>
        <v/>
      </c>
      <c r="CU10" s="28" t="str">
        <f>IFERROR(VLOOKUP(CS10,Horarios!$H:$I,2,0),"")</f>
        <v/>
      </c>
      <c r="CV10" s="28" t="str">
        <f>IF(SUM(CT10,CU10)=0,"00:00",SUM(CT10,CU10))</f>
        <v>00:00</v>
      </c>
      <c r="CW10" s="29"/>
      <c r="CX10" s="27"/>
      <c r="CY10" s="27"/>
      <c r="CZ10" s="28" t="str">
        <f>IFERROR(VLOOKUP(CX10,Horarios!$H:$I,2,0),"")</f>
        <v/>
      </c>
      <c r="DA10" s="28" t="str">
        <f>IFERROR(VLOOKUP(CY10,Horarios!$H:$I,2,0),"")</f>
        <v/>
      </c>
      <c r="DB10" s="28" t="str">
        <f>IF(SUM(CZ10,DA10)=0,"00:00",SUM(CZ10,DA10))</f>
        <v>00:00</v>
      </c>
      <c r="DC10" s="29"/>
      <c r="DD10" s="27"/>
      <c r="DE10" s="27"/>
      <c r="DF10" s="28" t="str">
        <f>IFERROR(VLOOKUP(DD10,Horarios!$H:$I,2,0),"")</f>
        <v/>
      </c>
      <c r="DG10" s="28" t="str">
        <f>IFERROR(VLOOKUP(DE10,Horarios!$H:$I,2,0),"")</f>
        <v/>
      </c>
      <c r="DH10" s="28" t="str">
        <f>IF(SUM(DF10,DG10)=0,"00:00",SUM(DF10,DG10))</f>
        <v>00:00</v>
      </c>
      <c r="DI10" s="29"/>
      <c r="DJ10" s="27"/>
      <c r="DK10" s="27"/>
      <c r="DL10" s="28" t="str">
        <f>IFERROR(VLOOKUP(DJ10,Horarios!$H:$I,2,0),"")</f>
        <v/>
      </c>
      <c r="DM10" s="28" t="str">
        <f>IFERROR(VLOOKUP(DK10,Horarios!$H:$I,2,0),"")</f>
        <v/>
      </c>
      <c r="DN10" s="28" t="str">
        <f>IF(SUM(DL10,DM10)=0,"00:00",SUM(DL10,DM10))</f>
        <v>00:00</v>
      </c>
      <c r="DO10" s="29"/>
      <c r="DP10" s="27"/>
      <c r="DQ10" s="27"/>
      <c r="DR10" s="28" t="str">
        <f>IFERROR(VLOOKUP(DP10,Horarios!$H:$I,2,0),"")</f>
        <v/>
      </c>
      <c r="DS10" s="28" t="str">
        <f>IFERROR(VLOOKUP(DQ10,Horarios!$H:$I,2,0),"")</f>
        <v/>
      </c>
      <c r="DT10" s="28" t="str">
        <f>IF(SUM(DR10,DS10)=0,"00:00",SUM(DR10,DS10))</f>
        <v>00:00</v>
      </c>
      <c r="DU10" s="29"/>
      <c r="DV10" s="27"/>
      <c r="DW10" s="27"/>
      <c r="DX10" s="28" t="str">
        <f>IFERROR(VLOOKUP(DV10,Horarios!$H:$I,2,0),"")</f>
        <v/>
      </c>
      <c r="DY10" s="28" t="str">
        <f>IFERROR(VLOOKUP(DW10,Horarios!$H:$I,2,0),"")</f>
        <v/>
      </c>
      <c r="DZ10" s="28" t="str">
        <f>IF(SUM(DX10,DY10)=0,"00:00",SUM(DX10,DY10))</f>
        <v>00:00</v>
      </c>
      <c r="EA10" s="29"/>
      <c r="EB10" s="31" t="str">
        <f>IFERROR(IF(SUM(CP10,CV10,DB10,DH10,DN10,DT10,DZ10)=0,"",SUM(TEXT(CP10,"HH:MM"),TEXT(CV10,"HH:MM"),TEXT(DB10,"HH:MM"),TEXT(DH10,"HH:MM"),TEXT(DN10,"HH:MM"),TEXT(DT10,"HH:MM"),TEXT(DZ10,"HH:MM")))*24,"")</f>
        <v/>
      </c>
      <c r="EC10" s="27"/>
      <c r="ED10" s="27"/>
      <c r="EE10" s="28" t="str">
        <f>IFERROR(VLOOKUP(EC10,Horarios!$H:$I,2,0),"")</f>
        <v/>
      </c>
      <c r="EF10" s="28" t="str">
        <f>IFERROR(VLOOKUP(ED10,Horarios!$H:$I,2,0),"")</f>
        <v/>
      </c>
      <c r="EG10" s="28" t="str">
        <f>IF(SUM(EE10,EF10)=0,"00:00",SUM(EE10,EF10))</f>
        <v>00:00</v>
      </c>
      <c r="EH10" s="29"/>
      <c r="EI10" s="27"/>
      <c r="EJ10" s="27"/>
      <c r="EK10" s="28" t="str">
        <f>IFERROR(VLOOKUP(EI10,Horarios!$H:$I,2,0),"")</f>
        <v/>
      </c>
      <c r="EL10" s="28" t="str">
        <f>IFERROR(VLOOKUP(EJ10,Horarios!$H:$I,2,0),"")</f>
        <v/>
      </c>
      <c r="EM10" s="28" t="str">
        <f>IF(SUM(EK10,EL10)=0,"00:00",SUM(EK10,EL10))</f>
        <v>00:00</v>
      </c>
      <c r="EN10" s="29"/>
      <c r="EO10" s="27"/>
      <c r="EP10" s="27"/>
      <c r="EQ10" s="28" t="str">
        <f>IFERROR(VLOOKUP(EO10,Horarios!$H:$I,2,0),"")</f>
        <v/>
      </c>
      <c r="ER10" s="28" t="str">
        <f>IFERROR(VLOOKUP(EP10,Horarios!$H:$I,2,0),"")</f>
        <v/>
      </c>
      <c r="ES10" s="28" t="str">
        <f>IF(SUM(EQ10,ER10)=0,"00:00",SUM(EQ10,ER10))</f>
        <v>00:00</v>
      </c>
      <c r="ET10" s="29"/>
      <c r="EU10" s="27"/>
      <c r="EV10" s="27"/>
      <c r="EW10" s="28" t="str">
        <f>IFERROR(VLOOKUP(EU10,Horarios!$H:$I,2,0),"")</f>
        <v/>
      </c>
      <c r="EX10" s="28" t="str">
        <f>IFERROR(VLOOKUP(EV10,Horarios!$H:$I,2,0),"")</f>
        <v/>
      </c>
      <c r="EY10" s="28" t="str">
        <f>IF(SUM(EW10,EX10)=0,"00:00",SUM(EW10,EX10))</f>
        <v>00:00</v>
      </c>
      <c r="EZ10" s="29"/>
      <c r="FA10" s="27"/>
      <c r="FB10" s="27"/>
      <c r="FC10" s="28" t="str">
        <f>IFERROR(VLOOKUP(FA10,Horarios!$H:$I,2,0),"")</f>
        <v/>
      </c>
      <c r="FD10" s="28" t="str">
        <f>IFERROR(VLOOKUP(FB10,Horarios!$H:$I,2,0),"")</f>
        <v/>
      </c>
      <c r="FE10" s="28" t="str">
        <f>IF(SUM(FC10,FD10)=0,"00:00",SUM(FC10,FD10))</f>
        <v>00:00</v>
      </c>
      <c r="FF10" s="29"/>
      <c r="FG10" s="27"/>
      <c r="FH10" s="27"/>
      <c r="FI10" s="28" t="str">
        <f>IFERROR(VLOOKUP(FG10,Horarios!$H:$I,2,0),"")</f>
        <v/>
      </c>
      <c r="FJ10" s="28" t="str">
        <f>IFERROR(VLOOKUP(FH10,Horarios!$H:$I,2,0),"")</f>
        <v/>
      </c>
      <c r="FK10" s="28" t="str">
        <f>IF(SUM(FI10,FJ10)=0,"00:00",SUM(FI10,FJ10))</f>
        <v>00:00</v>
      </c>
      <c r="FL10" s="29"/>
      <c r="FM10" s="27"/>
      <c r="FN10" s="27"/>
      <c r="FO10" s="28" t="str">
        <f>IFERROR(VLOOKUP(FM10,Horarios!$H:$I,2,0),"")</f>
        <v/>
      </c>
      <c r="FP10" s="28" t="str">
        <f>IFERROR(VLOOKUP(FN10,Horarios!$H:$I,2,0),"")</f>
        <v/>
      </c>
      <c r="FQ10" s="28" t="str">
        <f>IF(SUM(FO10,FP10)=0,"00:00",SUM(FO10,FP10))</f>
        <v>00:00</v>
      </c>
      <c r="FR10" s="29"/>
      <c r="FS10" s="31" t="str">
        <f>IFERROR(IF(SUM(EG10,EM10,ES10,EY10,FE10,FK10,FQ10)=0,"",SUM(TEXT(EG10,"HH:MM"),TEXT(EM10,"HH:MM"),TEXT(ES10,"HH:MM"),TEXT(EY10,"HH:MM"),TEXT(FE10,"HH:MM"),TEXT(FK10,"HH:MM"),TEXT(FQ10,"HH:MM")))*24,"")</f>
        <v/>
      </c>
      <c r="FT10" s="27"/>
      <c r="FU10" s="27"/>
      <c r="FV10" s="28" t="str">
        <f>IFERROR(VLOOKUP(FT10,Horarios!$H:$I,2,0),"")</f>
        <v/>
      </c>
      <c r="FW10" s="28" t="str">
        <f>IFERROR(VLOOKUP(FU10,Horarios!$H:$I,2,0),"")</f>
        <v/>
      </c>
      <c r="FX10" s="28" t="str">
        <f>IF(SUM(FV10,FW10)=0,"00:00",SUM(FV10,FW10))</f>
        <v>00:00</v>
      </c>
      <c r="FY10" s="29"/>
      <c r="FZ10" s="27"/>
      <c r="GA10" s="27"/>
      <c r="GB10" s="28" t="str">
        <f>IFERROR(VLOOKUP(FZ10,Horarios!$H:$I,2,0),"")</f>
        <v/>
      </c>
      <c r="GC10" s="28" t="str">
        <f>IFERROR(VLOOKUP(GA10,Horarios!$H:$I,2,0),"")</f>
        <v/>
      </c>
      <c r="GD10" s="28" t="str">
        <f>IF(SUM(GB10,GC10)=0,"00:00",SUM(GB10,GC10))</f>
        <v>00:00</v>
      </c>
      <c r="GE10" s="29"/>
      <c r="GF10" s="27"/>
      <c r="GG10" s="27"/>
      <c r="GH10" s="28" t="str">
        <f>IFERROR(VLOOKUP(GF10,Horarios!$H:$I,2,0),"")</f>
        <v/>
      </c>
      <c r="GI10" s="28" t="str">
        <f>IFERROR(VLOOKUP(GG10,Horarios!$H:$I,2,0),"")</f>
        <v/>
      </c>
      <c r="GJ10" s="28" t="str">
        <f>IF(SUM(GH10,GI10)=0,"00:00",SUM(GH10,GI10))</f>
        <v>00:00</v>
      </c>
      <c r="GK10" s="29"/>
      <c r="GL10" s="27"/>
      <c r="GM10" s="27"/>
      <c r="GN10" s="28" t="str">
        <f>IFERROR(VLOOKUP(GL10,Horarios!$H:$I,2,0),"")</f>
        <v/>
      </c>
      <c r="GO10" s="28" t="str">
        <f>IFERROR(VLOOKUP(GM10,Horarios!$H:$I,2,0),"")</f>
        <v/>
      </c>
      <c r="GP10" s="28" t="str">
        <f>IF(SUM(GN10,GO10)=0,"00:00",SUM(GN10,GO10))</f>
        <v>00:00</v>
      </c>
      <c r="GQ10" s="29"/>
      <c r="GR10" s="27"/>
      <c r="GS10" s="27"/>
      <c r="GT10" s="28" t="str">
        <f>IFERROR(VLOOKUP(GR10,Horarios!$H:$I,2,0),"")</f>
        <v/>
      </c>
      <c r="GU10" s="28" t="str">
        <f>IFERROR(VLOOKUP(GS10,Horarios!$H:$I,2,0),"")</f>
        <v/>
      </c>
      <c r="GV10" s="28" t="str">
        <f>IF(SUM(GT10,GU10)=0,"00:00",SUM(GT10,GU10))</f>
        <v>00:00</v>
      </c>
      <c r="GW10" s="29"/>
      <c r="GX10" s="27"/>
      <c r="GY10" s="27"/>
      <c r="GZ10" s="28" t="str">
        <f>IFERROR(VLOOKUP(GX10,Horarios!$H:$I,2,0),"")</f>
        <v/>
      </c>
      <c r="HA10" s="28" t="str">
        <f>IFERROR(VLOOKUP(GY10,Horarios!$H:$I,2,0),"")</f>
        <v/>
      </c>
      <c r="HB10" s="28" t="str">
        <f>IF(SUM(GZ10,HA10)=0,"00:00",SUM(GZ10,HA10))</f>
        <v>00:00</v>
      </c>
      <c r="HC10" s="29"/>
      <c r="HD10" s="27"/>
      <c r="HE10" s="27"/>
      <c r="HF10" s="28" t="str">
        <f>IFERROR(VLOOKUP(HD10,Horarios!$H:$I,2,0),"")</f>
        <v/>
      </c>
      <c r="HG10" s="28" t="str">
        <f>IFERROR(VLOOKUP(HE10,Horarios!$H:$I,2,0),"")</f>
        <v/>
      </c>
      <c r="HH10" s="28" t="str">
        <f>IF(SUM(HF10,HG10)=0,"00:00",SUM(HF10,HG10))</f>
        <v>00:00</v>
      </c>
      <c r="HI10" s="29"/>
      <c r="HJ10" s="31" t="str">
        <f>IFERROR(IF(SUM(FX10,GD10,GJ10,GP10,GV10,HB10,HH10)=0,"",SUM(TEXT(FX10,"HH:MM"),TEXT(GD10,"HH:MM"),TEXT(GJ10,"HH:MM"),TEXT(GP10,"HH:MM"),TEXT(GV10,"HH:MM"),TEXT(HB10,"HH:MM"),TEXT(HH10,"HH:MM")))*24,"")</f>
        <v/>
      </c>
      <c r="HK10" s="27"/>
      <c r="HL10" s="27"/>
      <c r="HM10" s="28" t="str">
        <f>IFERROR(VLOOKUP(HK10,Horarios!$H:$I,2,0),"")</f>
        <v/>
      </c>
      <c r="HN10" s="28" t="str">
        <f>IFERROR(VLOOKUP(HL10,Horarios!$H:$I,2,0),"")</f>
        <v/>
      </c>
      <c r="HO10" s="28" t="str">
        <f>IF(SUM(HM10,HN10)=0,"00:00",SUM(HM10,HN10))</f>
        <v>00:00</v>
      </c>
      <c r="HP10" s="29"/>
      <c r="HQ10" s="27"/>
      <c r="HR10" s="27"/>
      <c r="HS10" s="28" t="str">
        <f>IFERROR(VLOOKUP(HQ10,Horarios!$H:$I,2,0),"")</f>
        <v/>
      </c>
      <c r="HT10" s="28" t="str">
        <f>IFERROR(VLOOKUP(HR10,Horarios!$H:$I,2,0),"")</f>
        <v/>
      </c>
      <c r="HU10" s="28" t="str">
        <f>IF(SUM(HS10,HT10)=0,"00:00",SUM(HS10,HT10))</f>
        <v>00:00</v>
      </c>
      <c r="HV10" s="29"/>
      <c r="HW10" s="27"/>
      <c r="HX10" s="27"/>
      <c r="HY10" s="28" t="str">
        <f>IFERROR(VLOOKUP(HW10,Horarios!$H:$I,2,0),"")</f>
        <v/>
      </c>
      <c r="HZ10" s="28" t="str">
        <f>IFERROR(VLOOKUP(HX10,Horarios!$H:$I,2,0),"")</f>
        <v/>
      </c>
      <c r="IA10" s="28" t="str">
        <f>IF(SUM(HY10,HZ10)=0,"00:00",SUM(HY10,HZ10))</f>
        <v>00:00</v>
      </c>
      <c r="IB10" s="29"/>
      <c r="IC10" s="27"/>
      <c r="ID10" s="27"/>
      <c r="IE10" s="28" t="str">
        <f>IFERROR(VLOOKUP(IC10,Horarios!$H:$I,2,0),"")</f>
        <v/>
      </c>
      <c r="IF10" s="28" t="str">
        <f>IFERROR(VLOOKUP(ID10,Horarios!$H:$I,2,0),"")</f>
        <v/>
      </c>
      <c r="IG10" s="28" t="str">
        <f>IF(SUM(IE10,IF10)=0,"00:00",SUM(IE10,IF10))</f>
        <v>00:00</v>
      </c>
      <c r="IH10" s="29"/>
      <c r="II10" s="27"/>
      <c r="IJ10" s="27"/>
      <c r="IK10" s="28" t="str">
        <f>IFERROR(VLOOKUP(II10,Horarios!$H:$I,2,0),"")</f>
        <v/>
      </c>
      <c r="IL10" s="28" t="str">
        <f>IFERROR(VLOOKUP(IJ10,Horarios!$H:$I,2,0),"")</f>
        <v/>
      </c>
      <c r="IM10" s="28" t="str">
        <f>IF(SUM(IK10,IL10)=0,"00:00",SUM(IK10,IL10))</f>
        <v>00:00</v>
      </c>
      <c r="IN10" s="29"/>
      <c r="IO10" s="27"/>
      <c r="IP10" s="27"/>
      <c r="IQ10" s="28" t="str">
        <f>IFERROR(VLOOKUP(IO10,Horarios!$H:$I,2,0),"")</f>
        <v/>
      </c>
      <c r="IR10" s="28" t="str">
        <f>IFERROR(VLOOKUP(IP10,Horarios!$H:$I,2,0),"")</f>
        <v/>
      </c>
      <c r="IS10" s="28" t="str">
        <f>IF(SUM(IQ10,IR10)=0,"00:00",SUM(IQ10,IR10))</f>
        <v>00:00</v>
      </c>
      <c r="IT10" s="29"/>
      <c r="IU10" s="27"/>
      <c r="IV10" s="27"/>
      <c r="IW10" s="28" t="str">
        <f>IFERROR(VLOOKUP(IU10,Horarios!$H:$I,2,0),"")</f>
        <v/>
      </c>
      <c r="IX10" s="28" t="str">
        <f>IFERROR(VLOOKUP(IV10,Horarios!$H:$I,2,0),"")</f>
        <v/>
      </c>
      <c r="IY10" s="28" t="str">
        <f>IF(SUM(IW10,IX10)=0,"00:00",SUM(IW10,IX10))</f>
        <v>00:00</v>
      </c>
      <c r="IZ10" s="29"/>
      <c r="JA10" s="31" t="str">
        <f>IFERROR(IF(SUM(HO10,HU10,IA10,IG10,IM10,IS10,IY10)=0,"",SUM(TEXT(HO10,"HH:MM"),TEXT(HU10,"HH:MM"),TEXT(IA10,"HH:MM"),TEXT(IG10,"HH:MM"),TEXT(IM10,"HH:MM"),TEXT(IS10,"HH:MM"),TEXT(IY10,"HH:MM")))*24,"")</f>
        <v/>
      </c>
    </row>
    <row r="11" spans="1:261" s="24" customFormat="1" ht="17.399999999999999" x14ac:dyDescent="0.25">
      <c r="A11" s="25"/>
      <c r="B11" s="26" t="str">
        <f>IFERROR(VLOOKUP(A11,BaseNombres!A:B,2,0),"")</f>
        <v/>
      </c>
      <c r="C11" s="26" t="str">
        <f>IFERROR(VLOOKUP(A11,BaseNombres!A:C,3,0),"")</f>
        <v/>
      </c>
      <c r="D11" s="27"/>
      <c r="E11" s="27"/>
      <c r="F11" s="28" t="str">
        <f>IFERROR(VLOOKUP(D11,Horarios!$H:$I,2,0),"")</f>
        <v/>
      </c>
      <c r="G11" s="28" t="str">
        <f>IFERROR(VLOOKUP(E11,Horarios!$H:$I,2,0),"")</f>
        <v/>
      </c>
      <c r="H11" s="28" t="str">
        <f t="shared" ref="H11:H74" si="0">IF(SUM(F11,G11)=0,"00:00",SUM(F11,G11))</f>
        <v>00:00</v>
      </c>
      <c r="I11" s="29"/>
      <c r="J11" s="27"/>
      <c r="K11" s="27"/>
      <c r="L11" s="28" t="str">
        <f>IFERROR(VLOOKUP(J11,Horarios!$H:$I,2,0),"")</f>
        <v/>
      </c>
      <c r="M11" s="28" t="str">
        <f>IFERROR(VLOOKUP(K11,Horarios!$H:$I,2,0),"")</f>
        <v/>
      </c>
      <c r="N11" s="28" t="str">
        <f t="shared" ref="N11:N74" si="1">IF(SUM(L11,M11)=0,"00:00",SUM(L11,M11))</f>
        <v>00:00</v>
      </c>
      <c r="O11" s="29"/>
      <c r="P11" s="27"/>
      <c r="Q11" s="27"/>
      <c r="R11" s="28" t="str">
        <f>IFERROR(VLOOKUP(P11,Horarios!$H:$I,2,0),"")</f>
        <v/>
      </c>
      <c r="S11" s="28" t="str">
        <f>IFERROR(VLOOKUP(Q11,Horarios!$H:$I,2,0),"")</f>
        <v/>
      </c>
      <c r="T11" s="28" t="str">
        <f t="shared" ref="T11:T74" si="2">IF(SUM(R11,S11)=0,"00:00",SUM(R11,S11))</f>
        <v>00:00</v>
      </c>
      <c r="U11" s="29"/>
      <c r="V11" s="27"/>
      <c r="W11" s="27"/>
      <c r="X11" s="28" t="str">
        <f>IFERROR(VLOOKUP(V11,Horarios!$H:$I,2,0),"")</f>
        <v/>
      </c>
      <c r="Y11" s="28" t="str">
        <f>IFERROR(VLOOKUP(W11,Horarios!$H:$I,2,0),"")</f>
        <v/>
      </c>
      <c r="Z11" s="28" t="str">
        <f t="shared" ref="Z11:Z74" si="3">IF(SUM(X11,Y11)=0,"00:00",SUM(X11,Y11))</f>
        <v>00:00</v>
      </c>
      <c r="AA11" s="29"/>
      <c r="AB11" s="27"/>
      <c r="AC11" s="27"/>
      <c r="AD11" s="28" t="str">
        <f>IFERROR(VLOOKUP(AB11,Horarios!$H:$I,2,0),"")</f>
        <v/>
      </c>
      <c r="AE11" s="28" t="str">
        <f>IFERROR(VLOOKUP(AC11,Horarios!$H:$I,2,0),"")</f>
        <v/>
      </c>
      <c r="AF11" s="28" t="str">
        <f t="shared" ref="AF11:AF74" si="4">IF(SUM(AD11,AE11)=0,"00:00",SUM(AD11,AE11))</f>
        <v>00:00</v>
      </c>
      <c r="AG11" s="29"/>
      <c r="AH11" s="27"/>
      <c r="AI11" s="27"/>
      <c r="AJ11" s="28" t="str">
        <f>IFERROR(VLOOKUP(AH11,Horarios!$H:$I,2,0),"")</f>
        <v/>
      </c>
      <c r="AK11" s="28" t="str">
        <f>IFERROR(VLOOKUP(AI11,Horarios!$H:$I,2,0),"")</f>
        <v/>
      </c>
      <c r="AL11" s="28" t="str">
        <f t="shared" ref="AL11:AL74" si="5">IF(SUM(AJ11,AK11)=0,"00:00",SUM(AJ11,AK11))</f>
        <v>00:00</v>
      </c>
      <c r="AM11" s="29"/>
      <c r="AN11" s="27"/>
      <c r="AO11" s="27"/>
      <c r="AP11" s="28" t="str">
        <f>IFERROR(VLOOKUP(AN11,Horarios!$H:$I,2,0),"")</f>
        <v/>
      </c>
      <c r="AQ11" s="28" t="str">
        <f>IFERROR(VLOOKUP(AO11,Horarios!$H:$I,2,0),"")</f>
        <v/>
      </c>
      <c r="AR11" s="28" t="str">
        <f t="shared" ref="AR11:AR74" si="6">IF(SUM(AP11,AQ11)=0,"00:00",SUM(AP11,AQ11))</f>
        <v>00:00</v>
      </c>
      <c r="AS11" s="29"/>
      <c r="AT11" s="31" t="str">
        <f t="shared" ref="AT11:AT74" si="7">IFERROR(IF(SUM(H11,N11,T11,Z11,AF11,AL11,AR11)=0,"",SUM(TEXT(H11,"HH:MM"),TEXT(N11,"HH:MM"),TEXT(T11,"HH:MM"),TEXT(Z11,"HH:MM"),TEXT(AF11,"HH:MM"),TEXT(AL11,"HH:MM"),TEXT(AR11,"HH:MM")))*24,"")</f>
        <v/>
      </c>
      <c r="AU11" s="27"/>
      <c r="AV11" s="27"/>
      <c r="AW11" s="28" t="str">
        <f>IFERROR(VLOOKUP(AU11,Horarios!$H:$I,2,0),"")</f>
        <v/>
      </c>
      <c r="AX11" s="28" t="str">
        <f>IFERROR(VLOOKUP(AV11,Horarios!$H:$I,2,0),"")</f>
        <v/>
      </c>
      <c r="AY11" s="28" t="str">
        <f t="shared" ref="AY11:AY74" si="8">IF(SUM(AW11,AX11)=0,"00:00",SUM(AW11,AX11))</f>
        <v>00:00</v>
      </c>
      <c r="AZ11" s="29"/>
      <c r="BA11" s="27"/>
      <c r="BB11" s="27"/>
      <c r="BC11" s="28" t="str">
        <f>IFERROR(VLOOKUP(BA11,Horarios!$H:$I,2,0),"")</f>
        <v/>
      </c>
      <c r="BD11" s="28" t="str">
        <f>IFERROR(VLOOKUP(BB11,Horarios!$H:$I,2,0),"")</f>
        <v/>
      </c>
      <c r="BE11" s="28" t="str">
        <f t="shared" ref="BE11:BE74" si="9">IF(SUM(BC11,BD11)=0,"00:00",SUM(BC11,BD11))</f>
        <v>00:00</v>
      </c>
      <c r="BF11" s="29"/>
      <c r="BG11" s="27"/>
      <c r="BH11" s="27"/>
      <c r="BI11" s="28" t="str">
        <f>IFERROR(VLOOKUP(BG11,Horarios!$H:$I,2,0),"")</f>
        <v/>
      </c>
      <c r="BJ11" s="28" t="str">
        <f>IFERROR(VLOOKUP(BH11,Horarios!$H:$I,2,0),"")</f>
        <v/>
      </c>
      <c r="BK11" s="28" t="str">
        <f t="shared" ref="BK11:BK74" si="10">IF(SUM(BI11,BJ11)=0,"00:00",SUM(BI11,BJ11))</f>
        <v>00:00</v>
      </c>
      <c r="BL11" s="29"/>
      <c r="BM11" s="27"/>
      <c r="BN11" s="27"/>
      <c r="BO11" s="28" t="str">
        <f>IFERROR(VLOOKUP(BM11,Horarios!$H:$I,2,0),"")</f>
        <v/>
      </c>
      <c r="BP11" s="28" t="str">
        <f>IFERROR(VLOOKUP(BN11,Horarios!$H:$I,2,0),"")</f>
        <v/>
      </c>
      <c r="BQ11" s="28" t="str">
        <f t="shared" ref="BQ11:BQ74" si="11">IF(SUM(BO11,BP11)=0,"00:00",SUM(BO11,BP11))</f>
        <v>00:00</v>
      </c>
      <c r="BR11" s="29"/>
      <c r="BS11" s="27"/>
      <c r="BT11" s="27"/>
      <c r="BU11" s="28" t="str">
        <f>IFERROR(VLOOKUP(BS11,Horarios!$H:$I,2,0),"")</f>
        <v/>
      </c>
      <c r="BV11" s="28" t="str">
        <f>IFERROR(VLOOKUP(BT11,Horarios!$H:$I,2,0),"")</f>
        <v/>
      </c>
      <c r="BW11" s="28" t="str">
        <f t="shared" ref="BW11:BW74" si="12">IF(SUM(BU11,BV11)=0,"00:00",SUM(BU11,BV11))</f>
        <v>00:00</v>
      </c>
      <c r="BX11" s="29"/>
      <c r="BY11" s="27"/>
      <c r="BZ11" s="27"/>
      <c r="CA11" s="28" t="str">
        <f>IFERROR(VLOOKUP(BY11,Horarios!$H:$I,2,0),"")</f>
        <v/>
      </c>
      <c r="CB11" s="28" t="str">
        <f>IFERROR(VLOOKUP(BZ11,Horarios!$H:$I,2,0),"")</f>
        <v/>
      </c>
      <c r="CC11" s="28" t="str">
        <f t="shared" ref="CC11:CC74" si="13">IF(SUM(CA11,CB11)=0,"00:00",SUM(CA11,CB11))</f>
        <v>00:00</v>
      </c>
      <c r="CD11" s="29"/>
      <c r="CE11" s="27"/>
      <c r="CF11" s="27"/>
      <c r="CG11" s="28" t="str">
        <f>IFERROR(VLOOKUP(CE11,Horarios!$H:$I,2,0),"")</f>
        <v/>
      </c>
      <c r="CH11" s="28" t="str">
        <f>IFERROR(VLOOKUP(CF11,Horarios!$H:$I,2,0),"")</f>
        <v/>
      </c>
      <c r="CI11" s="28" t="str">
        <f t="shared" ref="CI11:CI74" si="14">IF(SUM(CG11,CH11)=0,"00:00",SUM(CG11,CH11))</f>
        <v>00:00</v>
      </c>
      <c r="CJ11" s="29"/>
      <c r="CK11" s="31" t="str">
        <f t="shared" ref="CK11:CK74" si="15">IFERROR(IF(SUM(AY11,BE11,BK11,BQ11,BW11,CC11,CI11)=0,"",SUM(TEXT(AY11,"HH:MM"),TEXT(BE11,"HH:MM"),TEXT(BK11,"HH:MM"),TEXT(BQ11,"HH:MM"),TEXT(BW11,"HH:MM"),TEXT(CC11,"HH:MM"),TEXT(CI11,"HH:MM")))*24,"")</f>
        <v/>
      </c>
      <c r="CL11" s="27"/>
      <c r="CM11" s="27"/>
      <c r="CN11" s="28" t="str">
        <f>IFERROR(VLOOKUP(CL11,Horarios!$H:$I,2,0),"")</f>
        <v/>
      </c>
      <c r="CO11" s="28" t="str">
        <f>IFERROR(VLOOKUP(CM11,Horarios!$H:$I,2,0),"")</f>
        <v/>
      </c>
      <c r="CP11" s="28" t="str">
        <f t="shared" ref="CP11:CP74" si="16">IF(SUM(CN11,CO11)=0,"00:00",SUM(CN11,CO11))</f>
        <v>00:00</v>
      </c>
      <c r="CQ11" s="29"/>
      <c r="CR11" s="27"/>
      <c r="CS11" s="27"/>
      <c r="CT11" s="28" t="str">
        <f>IFERROR(VLOOKUP(CR11,Horarios!$H:$I,2,0),"")</f>
        <v/>
      </c>
      <c r="CU11" s="28" t="str">
        <f>IFERROR(VLOOKUP(CS11,Horarios!$H:$I,2,0),"")</f>
        <v/>
      </c>
      <c r="CV11" s="28" t="str">
        <f t="shared" ref="CV11:CV74" si="17">IF(SUM(CT11,CU11)=0,"00:00",SUM(CT11,CU11))</f>
        <v>00:00</v>
      </c>
      <c r="CW11" s="29"/>
      <c r="CX11" s="27"/>
      <c r="CY11" s="27"/>
      <c r="CZ11" s="28" t="str">
        <f>IFERROR(VLOOKUP(CX11,Horarios!$H:$I,2,0),"")</f>
        <v/>
      </c>
      <c r="DA11" s="28" t="str">
        <f>IFERROR(VLOOKUP(CY11,Horarios!$H:$I,2,0),"")</f>
        <v/>
      </c>
      <c r="DB11" s="28" t="str">
        <f t="shared" ref="DB11:DB74" si="18">IF(SUM(CZ11,DA11)=0,"00:00",SUM(CZ11,DA11))</f>
        <v>00:00</v>
      </c>
      <c r="DC11" s="29"/>
      <c r="DD11" s="27"/>
      <c r="DE11" s="27"/>
      <c r="DF11" s="28" t="str">
        <f>IFERROR(VLOOKUP(DD11,Horarios!$H:$I,2,0),"")</f>
        <v/>
      </c>
      <c r="DG11" s="28" t="str">
        <f>IFERROR(VLOOKUP(DE11,Horarios!$H:$I,2,0),"")</f>
        <v/>
      </c>
      <c r="DH11" s="28" t="str">
        <f t="shared" ref="DH11:DH74" si="19">IF(SUM(DF11,DG11)=0,"00:00",SUM(DF11,DG11))</f>
        <v>00:00</v>
      </c>
      <c r="DI11" s="29"/>
      <c r="DJ11" s="27"/>
      <c r="DK11" s="27"/>
      <c r="DL11" s="28" t="str">
        <f>IFERROR(VLOOKUP(DJ11,Horarios!$H:$I,2,0),"")</f>
        <v/>
      </c>
      <c r="DM11" s="28" t="str">
        <f>IFERROR(VLOOKUP(DK11,Horarios!$H:$I,2,0),"")</f>
        <v/>
      </c>
      <c r="DN11" s="28" t="str">
        <f t="shared" ref="DN11:DN74" si="20">IF(SUM(DL11,DM11)=0,"00:00",SUM(DL11,DM11))</f>
        <v>00:00</v>
      </c>
      <c r="DO11" s="29"/>
      <c r="DP11" s="27"/>
      <c r="DQ11" s="27"/>
      <c r="DR11" s="28" t="str">
        <f>IFERROR(VLOOKUP(DP11,Horarios!$H:$I,2,0),"")</f>
        <v/>
      </c>
      <c r="DS11" s="28" t="str">
        <f>IFERROR(VLOOKUP(DQ11,Horarios!$H:$I,2,0),"")</f>
        <v/>
      </c>
      <c r="DT11" s="28" t="str">
        <f t="shared" ref="DT11:DT74" si="21">IF(SUM(DR11,DS11)=0,"00:00",SUM(DR11,DS11))</f>
        <v>00:00</v>
      </c>
      <c r="DU11" s="29"/>
      <c r="DV11" s="27"/>
      <c r="DW11" s="27"/>
      <c r="DX11" s="28" t="str">
        <f>IFERROR(VLOOKUP(DV11,Horarios!$H:$I,2,0),"")</f>
        <v/>
      </c>
      <c r="DY11" s="28" t="str">
        <f>IFERROR(VLOOKUP(DW11,Horarios!$H:$I,2,0),"")</f>
        <v/>
      </c>
      <c r="DZ11" s="28" t="str">
        <f t="shared" ref="DZ11:DZ74" si="22">IF(SUM(DX11,DY11)=0,"00:00",SUM(DX11,DY11))</f>
        <v>00:00</v>
      </c>
      <c r="EA11" s="29"/>
      <c r="EB11" s="31" t="str">
        <f t="shared" ref="EB11:EB74" si="23">IFERROR(IF(SUM(CP11,CV11,DB11,DH11,DN11,DT11,DZ11)=0,"",SUM(TEXT(CP11,"HH:MM"),TEXT(CV11,"HH:MM"),TEXT(DB11,"HH:MM"),TEXT(DH11,"HH:MM"),TEXT(DN11,"HH:MM"),TEXT(DT11,"HH:MM"),TEXT(DZ11,"HH:MM")))*24,"")</f>
        <v/>
      </c>
      <c r="EC11" s="27"/>
      <c r="ED11" s="27"/>
      <c r="EE11" s="28" t="str">
        <f>IFERROR(VLOOKUP(EC11,Horarios!$H:$I,2,0),"")</f>
        <v/>
      </c>
      <c r="EF11" s="28" t="str">
        <f>IFERROR(VLOOKUP(ED11,Horarios!$H:$I,2,0),"")</f>
        <v/>
      </c>
      <c r="EG11" s="28" t="str">
        <f t="shared" ref="EG11:EG74" si="24">IF(SUM(EE11,EF11)=0,"00:00",SUM(EE11,EF11))</f>
        <v>00:00</v>
      </c>
      <c r="EH11" s="29"/>
      <c r="EI11" s="27"/>
      <c r="EJ11" s="27"/>
      <c r="EK11" s="28" t="str">
        <f>IFERROR(VLOOKUP(EI11,Horarios!$H:$I,2,0),"")</f>
        <v/>
      </c>
      <c r="EL11" s="28" t="str">
        <f>IFERROR(VLOOKUP(EJ11,Horarios!$H:$I,2,0),"")</f>
        <v/>
      </c>
      <c r="EM11" s="28" t="str">
        <f t="shared" ref="EM11:EM74" si="25">IF(SUM(EK11,EL11)=0,"00:00",SUM(EK11,EL11))</f>
        <v>00:00</v>
      </c>
      <c r="EN11" s="29"/>
      <c r="EO11" s="27"/>
      <c r="EP11" s="27"/>
      <c r="EQ11" s="28" t="str">
        <f>IFERROR(VLOOKUP(EO11,Horarios!$H:$I,2,0),"")</f>
        <v/>
      </c>
      <c r="ER11" s="28" t="str">
        <f>IFERROR(VLOOKUP(EP11,Horarios!$H:$I,2,0),"")</f>
        <v/>
      </c>
      <c r="ES11" s="28" t="str">
        <f t="shared" ref="ES11:ES74" si="26">IF(SUM(EQ11,ER11)=0,"00:00",SUM(EQ11,ER11))</f>
        <v>00:00</v>
      </c>
      <c r="ET11" s="29"/>
      <c r="EU11" s="27"/>
      <c r="EV11" s="27"/>
      <c r="EW11" s="28" t="str">
        <f>IFERROR(VLOOKUP(EU11,Horarios!$H:$I,2,0),"")</f>
        <v/>
      </c>
      <c r="EX11" s="28" t="str">
        <f>IFERROR(VLOOKUP(EV11,Horarios!$H:$I,2,0),"")</f>
        <v/>
      </c>
      <c r="EY11" s="28" t="str">
        <f t="shared" ref="EY11:EY74" si="27">IF(SUM(EW11,EX11)=0,"00:00",SUM(EW11,EX11))</f>
        <v>00:00</v>
      </c>
      <c r="EZ11" s="29"/>
      <c r="FA11" s="27"/>
      <c r="FB11" s="27"/>
      <c r="FC11" s="28" t="str">
        <f>IFERROR(VLOOKUP(FA11,Horarios!$H:$I,2,0),"")</f>
        <v/>
      </c>
      <c r="FD11" s="28" t="str">
        <f>IFERROR(VLOOKUP(FB11,Horarios!$H:$I,2,0),"")</f>
        <v/>
      </c>
      <c r="FE11" s="28" t="str">
        <f t="shared" ref="FE11:FE74" si="28">IF(SUM(FC11,FD11)=0,"00:00",SUM(FC11,FD11))</f>
        <v>00:00</v>
      </c>
      <c r="FF11" s="29"/>
      <c r="FG11" s="27"/>
      <c r="FH11" s="27"/>
      <c r="FI11" s="28" t="str">
        <f>IFERROR(VLOOKUP(FG11,Horarios!$H:$I,2,0),"")</f>
        <v/>
      </c>
      <c r="FJ11" s="28" t="str">
        <f>IFERROR(VLOOKUP(FH11,Horarios!$H:$I,2,0),"")</f>
        <v/>
      </c>
      <c r="FK11" s="28" t="str">
        <f t="shared" ref="FK11:FK74" si="29">IF(SUM(FI11,FJ11)=0,"00:00",SUM(FI11,FJ11))</f>
        <v>00:00</v>
      </c>
      <c r="FL11" s="29"/>
      <c r="FM11" s="27"/>
      <c r="FN11" s="27"/>
      <c r="FO11" s="28" t="str">
        <f>IFERROR(VLOOKUP(FM11,Horarios!$H:$I,2,0),"")</f>
        <v/>
      </c>
      <c r="FP11" s="28" t="str">
        <f>IFERROR(VLOOKUP(FN11,Horarios!$H:$I,2,0),"")</f>
        <v/>
      </c>
      <c r="FQ11" s="28" t="str">
        <f t="shared" ref="FQ11:FQ74" si="30">IF(SUM(FO11,FP11)=0,"00:00",SUM(FO11,FP11))</f>
        <v>00:00</v>
      </c>
      <c r="FR11" s="29"/>
      <c r="FS11" s="31" t="str">
        <f t="shared" ref="FS11:FS74" si="31">IFERROR(IF(SUM(EG11,EM11,ES11,EY11,FE11,FK11,FQ11)=0,"",SUM(TEXT(EG11,"HH:MM"),TEXT(EM11,"HH:MM"),TEXT(ES11,"HH:MM"),TEXT(EY11,"HH:MM"),TEXT(FE11,"HH:MM"),TEXT(FK11,"HH:MM"),TEXT(FQ11,"HH:MM")))*24,"")</f>
        <v/>
      </c>
      <c r="FT11" s="27"/>
      <c r="FU11" s="27"/>
      <c r="FV11" s="28" t="str">
        <f>IFERROR(VLOOKUP(FT11,Horarios!$H:$I,2,0),"")</f>
        <v/>
      </c>
      <c r="FW11" s="28" t="str">
        <f>IFERROR(VLOOKUP(FU11,Horarios!$H:$I,2,0),"")</f>
        <v/>
      </c>
      <c r="FX11" s="28" t="str">
        <f t="shared" ref="FX11:FX74" si="32">IF(SUM(FV11,FW11)=0,"00:00",SUM(FV11,FW11))</f>
        <v>00:00</v>
      </c>
      <c r="FY11" s="29"/>
      <c r="FZ11" s="27"/>
      <c r="GA11" s="27"/>
      <c r="GB11" s="28" t="str">
        <f>IFERROR(VLOOKUP(FZ11,Horarios!$H:$I,2,0),"")</f>
        <v/>
      </c>
      <c r="GC11" s="28" t="str">
        <f>IFERROR(VLOOKUP(GA11,Horarios!$H:$I,2,0),"")</f>
        <v/>
      </c>
      <c r="GD11" s="28" t="str">
        <f t="shared" ref="GD11:GD74" si="33">IF(SUM(GB11,GC11)=0,"00:00",SUM(GB11,GC11))</f>
        <v>00:00</v>
      </c>
      <c r="GE11" s="29"/>
      <c r="GF11" s="27"/>
      <c r="GG11" s="27"/>
      <c r="GH11" s="28" t="str">
        <f>IFERROR(VLOOKUP(GF11,Horarios!$H:$I,2,0),"")</f>
        <v/>
      </c>
      <c r="GI11" s="28" t="str">
        <f>IFERROR(VLOOKUP(GG11,Horarios!$H:$I,2,0),"")</f>
        <v/>
      </c>
      <c r="GJ11" s="28" t="str">
        <f t="shared" ref="GJ11:GJ74" si="34">IF(SUM(GH11,GI11)=0,"00:00",SUM(GH11,GI11))</f>
        <v>00:00</v>
      </c>
      <c r="GK11" s="29"/>
      <c r="GL11" s="27"/>
      <c r="GM11" s="27"/>
      <c r="GN11" s="28" t="str">
        <f>IFERROR(VLOOKUP(GL11,Horarios!$H:$I,2,0),"")</f>
        <v/>
      </c>
      <c r="GO11" s="28" t="str">
        <f>IFERROR(VLOOKUP(GM11,Horarios!$H:$I,2,0),"")</f>
        <v/>
      </c>
      <c r="GP11" s="28" t="str">
        <f t="shared" ref="GP11:GP74" si="35">IF(SUM(GN11,GO11)=0,"00:00",SUM(GN11,GO11))</f>
        <v>00:00</v>
      </c>
      <c r="GQ11" s="29"/>
      <c r="GR11" s="27"/>
      <c r="GS11" s="27"/>
      <c r="GT11" s="28" t="str">
        <f>IFERROR(VLOOKUP(GR11,Horarios!$H:$I,2,0),"")</f>
        <v/>
      </c>
      <c r="GU11" s="28" t="str">
        <f>IFERROR(VLOOKUP(GS11,Horarios!$H:$I,2,0),"")</f>
        <v/>
      </c>
      <c r="GV11" s="28" t="str">
        <f t="shared" ref="GV11:GV74" si="36">IF(SUM(GT11,GU11)=0,"00:00",SUM(GT11,GU11))</f>
        <v>00:00</v>
      </c>
      <c r="GW11" s="29"/>
      <c r="GX11" s="27"/>
      <c r="GY11" s="27"/>
      <c r="GZ11" s="28" t="str">
        <f>IFERROR(VLOOKUP(GX11,Horarios!$H:$I,2,0),"")</f>
        <v/>
      </c>
      <c r="HA11" s="28" t="str">
        <f>IFERROR(VLOOKUP(GY11,Horarios!$H:$I,2,0),"")</f>
        <v/>
      </c>
      <c r="HB11" s="28" t="str">
        <f t="shared" ref="HB11:HB74" si="37">IF(SUM(GZ11,HA11)=0,"00:00",SUM(GZ11,HA11))</f>
        <v>00:00</v>
      </c>
      <c r="HC11" s="29"/>
      <c r="HD11" s="27"/>
      <c r="HE11" s="27"/>
      <c r="HF11" s="28" t="str">
        <f>IFERROR(VLOOKUP(HD11,Horarios!$H:$I,2,0),"")</f>
        <v/>
      </c>
      <c r="HG11" s="28" t="str">
        <f>IFERROR(VLOOKUP(HE11,Horarios!$H:$I,2,0),"")</f>
        <v/>
      </c>
      <c r="HH11" s="28" t="str">
        <f t="shared" ref="HH11:HH74" si="38">IF(SUM(HF11,HG11)=0,"00:00",SUM(HF11,HG11))</f>
        <v>00:00</v>
      </c>
      <c r="HI11" s="29"/>
      <c r="HJ11" s="31" t="str">
        <f t="shared" ref="HJ11:HJ74" si="39">IFERROR(IF(SUM(FX11,GD11,GJ11,GP11,GV11,HB11,HH11)=0,"",SUM(TEXT(FX11,"HH:MM"),TEXT(GD11,"HH:MM"),TEXT(GJ11,"HH:MM"),TEXT(GP11,"HH:MM"),TEXT(GV11,"HH:MM"),TEXT(HB11,"HH:MM"),TEXT(HH11,"HH:MM")))*24,"")</f>
        <v/>
      </c>
      <c r="HK11" s="27"/>
      <c r="HL11" s="27"/>
      <c r="HM11" s="28" t="str">
        <f>IFERROR(VLOOKUP(HK11,Horarios!$H:$I,2,0),"")</f>
        <v/>
      </c>
      <c r="HN11" s="28" t="str">
        <f>IFERROR(VLOOKUP(HL11,Horarios!$H:$I,2,0),"")</f>
        <v/>
      </c>
      <c r="HO11" s="28" t="str">
        <f t="shared" ref="HO11:HO74" si="40">IF(SUM(HM11,HN11)=0,"00:00",SUM(HM11,HN11))</f>
        <v>00:00</v>
      </c>
      <c r="HP11" s="29"/>
      <c r="HQ11" s="27"/>
      <c r="HR11" s="27"/>
      <c r="HS11" s="28" t="str">
        <f>IFERROR(VLOOKUP(HQ11,Horarios!$H:$I,2,0),"")</f>
        <v/>
      </c>
      <c r="HT11" s="28" t="str">
        <f>IFERROR(VLOOKUP(HR11,Horarios!$H:$I,2,0),"")</f>
        <v/>
      </c>
      <c r="HU11" s="28" t="str">
        <f t="shared" ref="HU11:HU74" si="41">IF(SUM(HS11,HT11)=0,"00:00",SUM(HS11,HT11))</f>
        <v>00:00</v>
      </c>
      <c r="HV11" s="29"/>
      <c r="HW11" s="27"/>
      <c r="HX11" s="27"/>
      <c r="HY11" s="28" t="str">
        <f>IFERROR(VLOOKUP(HW11,Horarios!$H:$I,2,0),"")</f>
        <v/>
      </c>
      <c r="HZ11" s="28" t="str">
        <f>IFERROR(VLOOKUP(HX11,Horarios!$H:$I,2,0),"")</f>
        <v/>
      </c>
      <c r="IA11" s="28" t="str">
        <f t="shared" ref="IA11:IA74" si="42">IF(SUM(HY11,HZ11)=0,"00:00",SUM(HY11,HZ11))</f>
        <v>00:00</v>
      </c>
      <c r="IB11" s="29"/>
      <c r="IC11" s="27"/>
      <c r="ID11" s="27"/>
      <c r="IE11" s="28" t="str">
        <f>IFERROR(VLOOKUP(IC11,Horarios!$H:$I,2,0),"")</f>
        <v/>
      </c>
      <c r="IF11" s="28" t="str">
        <f>IFERROR(VLOOKUP(ID11,Horarios!$H:$I,2,0),"")</f>
        <v/>
      </c>
      <c r="IG11" s="28" t="str">
        <f t="shared" ref="IG11:IG74" si="43">IF(SUM(IE11,IF11)=0,"00:00",SUM(IE11,IF11))</f>
        <v>00:00</v>
      </c>
      <c r="IH11" s="29"/>
      <c r="II11" s="27"/>
      <c r="IJ11" s="27"/>
      <c r="IK11" s="28" t="str">
        <f>IFERROR(VLOOKUP(II11,Horarios!$H:$I,2,0),"")</f>
        <v/>
      </c>
      <c r="IL11" s="28" t="str">
        <f>IFERROR(VLOOKUP(IJ11,Horarios!$H:$I,2,0),"")</f>
        <v/>
      </c>
      <c r="IM11" s="28" t="str">
        <f t="shared" ref="IM11:IM74" si="44">IF(SUM(IK11,IL11)=0,"00:00",SUM(IK11,IL11))</f>
        <v>00:00</v>
      </c>
      <c r="IN11" s="29"/>
      <c r="IO11" s="27"/>
      <c r="IP11" s="27"/>
      <c r="IQ11" s="28" t="str">
        <f>IFERROR(VLOOKUP(IO11,Horarios!$H:$I,2,0),"")</f>
        <v/>
      </c>
      <c r="IR11" s="28" t="str">
        <f>IFERROR(VLOOKUP(IP11,Horarios!$H:$I,2,0),"")</f>
        <v/>
      </c>
      <c r="IS11" s="28" t="str">
        <f t="shared" ref="IS11:IS74" si="45">IF(SUM(IQ11,IR11)=0,"00:00",SUM(IQ11,IR11))</f>
        <v>00:00</v>
      </c>
      <c r="IT11" s="29"/>
      <c r="IU11" s="27"/>
      <c r="IV11" s="27"/>
      <c r="IW11" s="28" t="str">
        <f>IFERROR(VLOOKUP(IU11,Horarios!$H:$I,2,0),"")</f>
        <v/>
      </c>
      <c r="IX11" s="28" t="str">
        <f>IFERROR(VLOOKUP(IV11,Horarios!$H:$I,2,0),"")</f>
        <v/>
      </c>
      <c r="IY11" s="28" t="str">
        <f t="shared" ref="IY11:IY74" si="46">IF(SUM(IW11,IX11)=0,"00:00",SUM(IW11,IX11))</f>
        <v>00:00</v>
      </c>
      <c r="IZ11" s="29"/>
      <c r="JA11" s="31" t="str">
        <f t="shared" ref="JA11:JA74" si="47">IFERROR(IF(SUM(HO11,HU11,IA11,IG11,IM11,IS11,IY11)=0,"",SUM(TEXT(HO11,"HH:MM"),TEXT(HU11,"HH:MM"),TEXT(IA11,"HH:MM"),TEXT(IG11,"HH:MM"),TEXT(IM11,"HH:MM"),TEXT(IS11,"HH:MM"),TEXT(IY11,"HH:MM")))*24,"")</f>
        <v/>
      </c>
    </row>
    <row r="12" spans="1:261" s="24" customFormat="1" ht="17.399999999999999" x14ac:dyDescent="0.25">
      <c r="A12" s="25"/>
      <c r="B12" s="26" t="str">
        <f>IFERROR(VLOOKUP(A12,BaseNombres!A:B,2,0),"")</f>
        <v/>
      </c>
      <c r="C12" s="26" t="str">
        <f>IFERROR(VLOOKUP(A12,BaseNombres!A:C,3,0),"")</f>
        <v/>
      </c>
      <c r="D12" s="27"/>
      <c r="E12" s="27"/>
      <c r="F12" s="28" t="str">
        <f>IFERROR(VLOOKUP(D12,Horarios!$H:$I,2,0),"")</f>
        <v/>
      </c>
      <c r="G12" s="28" t="str">
        <f>IFERROR(VLOOKUP(E12,Horarios!$H:$I,2,0),"")</f>
        <v/>
      </c>
      <c r="H12" s="28" t="str">
        <f t="shared" si="0"/>
        <v>00:00</v>
      </c>
      <c r="I12" s="29"/>
      <c r="J12" s="27"/>
      <c r="K12" s="27"/>
      <c r="L12" s="28" t="str">
        <f>IFERROR(VLOOKUP(J12,Horarios!$H:$I,2,0),"")</f>
        <v/>
      </c>
      <c r="M12" s="28" t="str">
        <f>IFERROR(VLOOKUP(K12,Horarios!$H:$I,2,0),"")</f>
        <v/>
      </c>
      <c r="N12" s="28" t="str">
        <f t="shared" si="1"/>
        <v>00:00</v>
      </c>
      <c r="O12" s="29"/>
      <c r="P12" s="27"/>
      <c r="Q12" s="27"/>
      <c r="R12" s="28" t="str">
        <f>IFERROR(VLOOKUP(P12,Horarios!$H:$I,2,0),"")</f>
        <v/>
      </c>
      <c r="S12" s="28" t="str">
        <f>IFERROR(VLOOKUP(Q12,Horarios!$H:$I,2,0),"")</f>
        <v/>
      </c>
      <c r="T12" s="28" t="str">
        <f t="shared" si="2"/>
        <v>00:00</v>
      </c>
      <c r="U12" s="29"/>
      <c r="V12" s="27"/>
      <c r="W12" s="27"/>
      <c r="X12" s="28" t="str">
        <f>IFERROR(VLOOKUP(V12,Horarios!$H:$I,2,0),"")</f>
        <v/>
      </c>
      <c r="Y12" s="28" t="str">
        <f>IFERROR(VLOOKUP(W12,Horarios!$H:$I,2,0),"")</f>
        <v/>
      </c>
      <c r="Z12" s="28" t="str">
        <f t="shared" si="3"/>
        <v>00:00</v>
      </c>
      <c r="AA12" s="29"/>
      <c r="AB12" s="27"/>
      <c r="AC12" s="27"/>
      <c r="AD12" s="28" t="str">
        <f>IFERROR(VLOOKUP(AB12,Horarios!$H:$I,2,0),"")</f>
        <v/>
      </c>
      <c r="AE12" s="28" t="str">
        <f>IFERROR(VLOOKUP(AC12,Horarios!$H:$I,2,0),"")</f>
        <v/>
      </c>
      <c r="AF12" s="28" t="str">
        <f t="shared" si="4"/>
        <v>00:00</v>
      </c>
      <c r="AG12" s="29"/>
      <c r="AH12" s="27"/>
      <c r="AI12" s="27"/>
      <c r="AJ12" s="28" t="str">
        <f>IFERROR(VLOOKUP(AH12,Horarios!$H:$I,2,0),"")</f>
        <v/>
      </c>
      <c r="AK12" s="28" t="str">
        <f>IFERROR(VLOOKUP(AI12,Horarios!$H:$I,2,0),"")</f>
        <v/>
      </c>
      <c r="AL12" s="28" t="str">
        <f t="shared" si="5"/>
        <v>00:00</v>
      </c>
      <c r="AM12" s="29"/>
      <c r="AN12" s="27"/>
      <c r="AO12" s="27"/>
      <c r="AP12" s="28" t="str">
        <f>IFERROR(VLOOKUP(AN12,Horarios!$H:$I,2,0),"")</f>
        <v/>
      </c>
      <c r="AQ12" s="28" t="str">
        <f>IFERROR(VLOOKUP(AO12,Horarios!$H:$I,2,0),"")</f>
        <v/>
      </c>
      <c r="AR12" s="28" t="str">
        <f t="shared" si="6"/>
        <v>00:00</v>
      </c>
      <c r="AS12" s="29"/>
      <c r="AT12" s="31" t="str">
        <f t="shared" si="7"/>
        <v/>
      </c>
      <c r="AU12" s="27"/>
      <c r="AV12" s="27"/>
      <c r="AW12" s="28" t="str">
        <f>IFERROR(VLOOKUP(AU12,Horarios!$H:$I,2,0),"")</f>
        <v/>
      </c>
      <c r="AX12" s="28" t="str">
        <f>IFERROR(VLOOKUP(AV12,Horarios!$H:$I,2,0),"")</f>
        <v/>
      </c>
      <c r="AY12" s="28" t="str">
        <f t="shared" si="8"/>
        <v>00:00</v>
      </c>
      <c r="AZ12" s="29"/>
      <c r="BA12" s="27"/>
      <c r="BB12" s="27"/>
      <c r="BC12" s="28" t="str">
        <f>IFERROR(VLOOKUP(BA12,Horarios!$H:$I,2,0),"")</f>
        <v/>
      </c>
      <c r="BD12" s="28" t="str">
        <f>IFERROR(VLOOKUP(BB12,Horarios!$H:$I,2,0),"")</f>
        <v/>
      </c>
      <c r="BE12" s="28" t="str">
        <f t="shared" si="9"/>
        <v>00:00</v>
      </c>
      <c r="BF12" s="29"/>
      <c r="BG12" s="27"/>
      <c r="BH12" s="27"/>
      <c r="BI12" s="28" t="str">
        <f>IFERROR(VLOOKUP(BG12,Horarios!$H:$I,2,0),"")</f>
        <v/>
      </c>
      <c r="BJ12" s="28" t="str">
        <f>IFERROR(VLOOKUP(BH12,Horarios!$H:$I,2,0),"")</f>
        <v/>
      </c>
      <c r="BK12" s="28" t="str">
        <f t="shared" si="10"/>
        <v>00:00</v>
      </c>
      <c r="BL12" s="29"/>
      <c r="BM12" s="27"/>
      <c r="BN12" s="27"/>
      <c r="BO12" s="28" t="str">
        <f>IFERROR(VLOOKUP(BM12,Horarios!$H:$I,2,0),"")</f>
        <v/>
      </c>
      <c r="BP12" s="28" t="str">
        <f>IFERROR(VLOOKUP(BN12,Horarios!$H:$I,2,0),"")</f>
        <v/>
      </c>
      <c r="BQ12" s="28" t="str">
        <f t="shared" si="11"/>
        <v>00:00</v>
      </c>
      <c r="BR12" s="29"/>
      <c r="BS12" s="27"/>
      <c r="BT12" s="27"/>
      <c r="BU12" s="28" t="str">
        <f>IFERROR(VLOOKUP(BS12,Horarios!$H:$I,2,0),"")</f>
        <v/>
      </c>
      <c r="BV12" s="28" t="str">
        <f>IFERROR(VLOOKUP(BT12,Horarios!$H:$I,2,0),"")</f>
        <v/>
      </c>
      <c r="BW12" s="28" t="str">
        <f t="shared" si="12"/>
        <v>00:00</v>
      </c>
      <c r="BX12" s="29"/>
      <c r="BY12" s="27"/>
      <c r="BZ12" s="27"/>
      <c r="CA12" s="28" t="str">
        <f>IFERROR(VLOOKUP(BY12,Horarios!$H:$I,2,0),"")</f>
        <v/>
      </c>
      <c r="CB12" s="28" t="str">
        <f>IFERROR(VLOOKUP(BZ12,Horarios!$H:$I,2,0),"")</f>
        <v/>
      </c>
      <c r="CC12" s="28" t="str">
        <f t="shared" si="13"/>
        <v>00:00</v>
      </c>
      <c r="CD12" s="29"/>
      <c r="CE12" s="27"/>
      <c r="CF12" s="27"/>
      <c r="CG12" s="28" t="str">
        <f>IFERROR(VLOOKUP(CE12,Horarios!$H:$I,2,0),"")</f>
        <v/>
      </c>
      <c r="CH12" s="28" t="str">
        <f>IFERROR(VLOOKUP(CF12,Horarios!$H:$I,2,0),"")</f>
        <v/>
      </c>
      <c r="CI12" s="28" t="str">
        <f t="shared" si="14"/>
        <v>00:00</v>
      </c>
      <c r="CJ12" s="29"/>
      <c r="CK12" s="31" t="str">
        <f t="shared" si="15"/>
        <v/>
      </c>
      <c r="CL12" s="27"/>
      <c r="CM12" s="27"/>
      <c r="CN12" s="28" t="str">
        <f>IFERROR(VLOOKUP(CL12,Horarios!$H:$I,2,0),"")</f>
        <v/>
      </c>
      <c r="CO12" s="28" t="str">
        <f>IFERROR(VLOOKUP(CM12,Horarios!$H:$I,2,0),"")</f>
        <v/>
      </c>
      <c r="CP12" s="28" t="str">
        <f t="shared" si="16"/>
        <v>00:00</v>
      </c>
      <c r="CQ12" s="29"/>
      <c r="CR12" s="27"/>
      <c r="CS12" s="27"/>
      <c r="CT12" s="28" t="str">
        <f>IFERROR(VLOOKUP(CR12,Horarios!$H:$I,2,0),"")</f>
        <v/>
      </c>
      <c r="CU12" s="28" t="str">
        <f>IFERROR(VLOOKUP(CS12,Horarios!$H:$I,2,0),"")</f>
        <v/>
      </c>
      <c r="CV12" s="28" t="str">
        <f t="shared" si="17"/>
        <v>00:00</v>
      </c>
      <c r="CW12" s="29"/>
      <c r="CX12" s="27"/>
      <c r="CY12" s="27"/>
      <c r="CZ12" s="28" t="str">
        <f>IFERROR(VLOOKUP(CX12,Horarios!$H:$I,2,0),"")</f>
        <v/>
      </c>
      <c r="DA12" s="28" t="str">
        <f>IFERROR(VLOOKUP(CY12,Horarios!$H:$I,2,0),"")</f>
        <v/>
      </c>
      <c r="DB12" s="28" t="str">
        <f t="shared" si="18"/>
        <v>00:00</v>
      </c>
      <c r="DC12" s="29"/>
      <c r="DD12" s="27"/>
      <c r="DE12" s="27"/>
      <c r="DF12" s="28" t="str">
        <f>IFERROR(VLOOKUP(DD12,Horarios!$H:$I,2,0),"")</f>
        <v/>
      </c>
      <c r="DG12" s="28" t="str">
        <f>IFERROR(VLOOKUP(DE12,Horarios!$H:$I,2,0),"")</f>
        <v/>
      </c>
      <c r="DH12" s="28" t="str">
        <f t="shared" si="19"/>
        <v>00:00</v>
      </c>
      <c r="DI12" s="29"/>
      <c r="DJ12" s="27"/>
      <c r="DK12" s="27"/>
      <c r="DL12" s="28" t="str">
        <f>IFERROR(VLOOKUP(DJ12,Horarios!$H:$I,2,0),"")</f>
        <v/>
      </c>
      <c r="DM12" s="28" t="str">
        <f>IFERROR(VLOOKUP(DK12,Horarios!$H:$I,2,0),"")</f>
        <v/>
      </c>
      <c r="DN12" s="28" t="str">
        <f t="shared" si="20"/>
        <v>00:00</v>
      </c>
      <c r="DO12" s="29"/>
      <c r="DP12" s="27"/>
      <c r="DQ12" s="27"/>
      <c r="DR12" s="28" t="str">
        <f>IFERROR(VLOOKUP(DP12,Horarios!$H:$I,2,0),"")</f>
        <v/>
      </c>
      <c r="DS12" s="28" t="str">
        <f>IFERROR(VLOOKUP(DQ12,Horarios!$H:$I,2,0),"")</f>
        <v/>
      </c>
      <c r="DT12" s="28" t="str">
        <f t="shared" si="21"/>
        <v>00:00</v>
      </c>
      <c r="DU12" s="29"/>
      <c r="DV12" s="27"/>
      <c r="DW12" s="27"/>
      <c r="DX12" s="28" t="str">
        <f>IFERROR(VLOOKUP(DV12,Horarios!$H:$I,2,0),"")</f>
        <v/>
      </c>
      <c r="DY12" s="28" t="str">
        <f>IFERROR(VLOOKUP(DW12,Horarios!$H:$I,2,0),"")</f>
        <v/>
      </c>
      <c r="DZ12" s="28" t="str">
        <f t="shared" si="22"/>
        <v>00:00</v>
      </c>
      <c r="EA12" s="29"/>
      <c r="EB12" s="31" t="str">
        <f t="shared" si="23"/>
        <v/>
      </c>
      <c r="EC12" s="27"/>
      <c r="ED12" s="27"/>
      <c r="EE12" s="28" t="str">
        <f>IFERROR(VLOOKUP(EC12,Horarios!$H:$I,2,0),"")</f>
        <v/>
      </c>
      <c r="EF12" s="28" t="str">
        <f>IFERROR(VLOOKUP(ED12,Horarios!$H:$I,2,0),"")</f>
        <v/>
      </c>
      <c r="EG12" s="28" t="str">
        <f t="shared" si="24"/>
        <v>00:00</v>
      </c>
      <c r="EH12" s="29"/>
      <c r="EI12" s="27"/>
      <c r="EJ12" s="27"/>
      <c r="EK12" s="28" t="str">
        <f>IFERROR(VLOOKUP(EI12,Horarios!$H:$I,2,0),"")</f>
        <v/>
      </c>
      <c r="EL12" s="28" t="str">
        <f>IFERROR(VLOOKUP(EJ12,Horarios!$H:$I,2,0),"")</f>
        <v/>
      </c>
      <c r="EM12" s="28" t="str">
        <f t="shared" si="25"/>
        <v>00:00</v>
      </c>
      <c r="EN12" s="29"/>
      <c r="EO12" s="27"/>
      <c r="EP12" s="27"/>
      <c r="EQ12" s="28" t="str">
        <f>IFERROR(VLOOKUP(EO12,Horarios!$H:$I,2,0),"")</f>
        <v/>
      </c>
      <c r="ER12" s="28" t="str">
        <f>IFERROR(VLOOKUP(EP12,Horarios!$H:$I,2,0),"")</f>
        <v/>
      </c>
      <c r="ES12" s="28" t="str">
        <f t="shared" si="26"/>
        <v>00:00</v>
      </c>
      <c r="ET12" s="29"/>
      <c r="EU12" s="27"/>
      <c r="EV12" s="27"/>
      <c r="EW12" s="28" t="str">
        <f>IFERROR(VLOOKUP(EU12,Horarios!$H:$I,2,0),"")</f>
        <v/>
      </c>
      <c r="EX12" s="28" t="str">
        <f>IFERROR(VLOOKUP(EV12,Horarios!$H:$I,2,0),"")</f>
        <v/>
      </c>
      <c r="EY12" s="28" t="str">
        <f t="shared" si="27"/>
        <v>00:00</v>
      </c>
      <c r="EZ12" s="29"/>
      <c r="FA12" s="27"/>
      <c r="FB12" s="27"/>
      <c r="FC12" s="28" t="str">
        <f>IFERROR(VLOOKUP(FA12,Horarios!$H:$I,2,0),"")</f>
        <v/>
      </c>
      <c r="FD12" s="28" t="str">
        <f>IFERROR(VLOOKUP(FB12,Horarios!$H:$I,2,0),"")</f>
        <v/>
      </c>
      <c r="FE12" s="28" t="str">
        <f t="shared" si="28"/>
        <v>00:00</v>
      </c>
      <c r="FF12" s="29"/>
      <c r="FG12" s="27"/>
      <c r="FH12" s="27"/>
      <c r="FI12" s="28" t="str">
        <f>IFERROR(VLOOKUP(FG12,Horarios!$H:$I,2,0),"")</f>
        <v/>
      </c>
      <c r="FJ12" s="28" t="str">
        <f>IFERROR(VLOOKUP(FH12,Horarios!$H:$I,2,0),"")</f>
        <v/>
      </c>
      <c r="FK12" s="28" t="str">
        <f t="shared" si="29"/>
        <v>00:00</v>
      </c>
      <c r="FL12" s="29"/>
      <c r="FM12" s="27"/>
      <c r="FN12" s="27"/>
      <c r="FO12" s="28" t="str">
        <f>IFERROR(VLOOKUP(FM12,Horarios!$H:$I,2,0),"")</f>
        <v/>
      </c>
      <c r="FP12" s="28" t="str">
        <f>IFERROR(VLOOKUP(FN12,Horarios!$H:$I,2,0),"")</f>
        <v/>
      </c>
      <c r="FQ12" s="28" t="str">
        <f t="shared" si="30"/>
        <v>00:00</v>
      </c>
      <c r="FR12" s="29"/>
      <c r="FS12" s="31" t="str">
        <f t="shared" si="31"/>
        <v/>
      </c>
      <c r="FT12" s="27"/>
      <c r="FU12" s="27"/>
      <c r="FV12" s="28" t="str">
        <f>IFERROR(VLOOKUP(FT12,Horarios!$H:$I,2,0),"")</f>
        <v/>
      </c>
      <c r="FW12" s="28" t="str">
        <f>IFERROR(VLOOKUP(FU12,Horarios!$H:$I,2,0),"")</f>
        <v/>
      </c>
      <c r="FX12" s="28" t="str">
        <f t="shared" si="32"/>
        <v>00:00</v>
      </c>
      <c r="FY12" s="29"/>
      <c r="FZ12" s="27"/>
      <c r="GA12" s="27"/>
      <c r="GB12" s="28" t="str">
        <f>IFERROR(VLOOKUP(FZ12,Horarios!$H:$I,2,0),"")</f>
        <v/>
      </c>
      <c r="GC12" s="28" t="str">
        <f>IFERROR(VLOOKUP(GA12,Horarios!$H:$I,2,0),"")</f>
        <v/>
      </c>
      <c r="GD12" s="28" t="str">
        <f t="shared" si="33"/>
        <v>00:00</v>
      </c>
      <c r="GE12" s="29"/>
      <c r="GF12" s="27"/>
      <c r="GG12" s="27"/>
      <c r="GH12" s="28" t="str">
        <f>IFERROR(VLOOKUP(GF12,Horarios!$H:$I,2,0),"")</f>
        <v/>
      </c>
      <c r="GI12" s="28" t="str">
        <f>IFERROR(VLOOKUP(GG12,Horarios!$H:$I,2,0),"")</f>
        <v/>
      </c>
      <c r="GJ12" s="28" t="str">
        <f t="shared" si="34"/>
        <v>00:00</v>
      </c>
      <c r="GK12" s="29"/>
      <c r="GL12" s="27"/>
      <c r="GM12" s="27"/>
      <c r="GN12" s="28" t="str">
        <f>IFERROR(VLOOKUP(GL12,Horarios!$H:$I,2,0),"")</f>
        <v/>
      </c>
      <c r="GO12" s="28" t="str">
        <f>IFERROR(VLOOKUP(GM12,Horarios!$H:$I,2,0),"")</f>
        <v/>
      </c>
      <c r="GP12" s="28" t="str">
        <f t="shared" si="35"/>
        <v>00:00</v>
      </c>
      <c r="GQ12" s="29"/>
      <c r="GR12" s="27"/>
      <c r="GS12" s="27"/>
      <c r="GT12" s="28" t="str">
        <f>IFERROR(VLOOKUP(GR12,Horarios!$H:$I,2,0),"")</f>
        <v/>
      </c>
      <c r="GU12" s="28" t="str">
        <f>IFERROR(VLOOKUP(GS12,Horarios!$H:$I,2,0),"")</f>
        <v/>
      </c>
      <c r="GV12" s="28" t="str">
        <f t="shared" si="36"/>
        <v>00:00</v>
      </c>
      <c r="GW12" s="29"/>
      <c r="GX12" s="27"/>
      <c r="GY12" s="27"/>
      <c r="GZ12" s="28" t="str">
        <f>IFERROR(VLOOKUP(GX12,Horarios!$H:$I,2,0),"")</f>
        <v/>
      </c>
      <c r="HA12" s="28" t="str">
        <f>IFERROR(VLOOKUP(GY12,Horarios!$H:$I,2,0),"")</f>
        <v/>
      </c>
      <c r="HB12" s="28" t="str">
        <f t="shared" si="37"/>
        <v>00:00</v>
      </c>
      <c r="HC12" s="29"/>
      <c r="HD12" s="27"/>
      <c r="HE12" s="27"/>
      <c r="HF12" s="28" t="str">
        <f>IFERROR(VLOOKUP(HD12,Horarios!$H:$I,2,0),"")</f>
        <v/>
      </c>
      <c r="HG12" s="28" t="str">
        <f>IFERROR(VLOOKUP(HE12,Horarios!$H:$I,2,0),"")</f>
        <v/>
      </c>
      <c r="HH12" s="28" t="str">
        <f t="shared" si="38"/>
        <v>00:00</v>
      </c>
      <c r="HI12" s="29"/>
      <c r="HJ12" s="31" t="str">
        <f t="shared" si="39"/>
        <v/>
      </c>
      <c r="HK12" s="27"/>
      <c r="HL12" s="27"/>
      <c r="HM12" s="28" t="str">
        <f>IFERROR(VLOOKUP(HK12,Horarios!$H:$I,2,0),"")</f>
        <v/>
      </c>
      <c r="HN12" s="28" t="str">
        <f>IFERROR(VLOOKUP(HL12,Horarios!$H:$I,2,0),"")</f>
        <v/>
      </c>
      <c r="HO12" s="28" t="str">
        <f t="shared" si="40"/>
        <v>00:00</v>
      </c>
      <c r="HP12" s="29"/>
      <c r="HQ12" s="27"/>
      <c r="HR12" s="27"/>
      <c r="HS12" s="28" t="str">
        <f>IFERROR(VLOOKUP(HQ12,Horarios!$H:$I,2,0),"")</f>
        <v/>
      </c>
      <c r="HT12" s="28" t="str">
        <f>IFERROR(VLOOKUP(HR12,Horarios!$H:$I,2,0),"")</f>
        <v/>
      </c>
      <c r="HU12" s="28" t="str">
        <f t="shared" si="41"/>
        <v>00:00</v>
      </c>
      <c r="HV12" s="29"/>
      <c r="HW12" s="27"/>
      <c r="HX12" s="27"/>
      <c r="HY12" s="28" t="str">
        <f>IFERROR(VLOOKUP(HW12,Horarios!$H:$I,2,0),"")</f>
        <v/>
      </c>
      <c r="HZ12" s="28" t="str">
        <f>IFERROR(VLOOKUP(HX12,Horarios!$H:$I,2,0),"")</f>
        <v/>
      </c>
      <c r="IA12" s="28" t="str">
        <f t="shared" si="42"/>
        <v>00:00</v>
      </c>
      <c r="IB12" s="29"/>
      <c r="IC12" s="27"/>
      <c r="ID12" s="27"/>
      <c r="IE12" s="28" t="str">
        <f>IFERROR(VLOOKUP(IC12,Horarios!$H:$I,2,0),"")</f>
        <v/>
      </c>
      <c r="IF12" s="28" t="str">
        <f>IFERROR(VLOOKUP(ID12,Horarios!$H:$I,2,0),"")</f>
        <v/>
      </c>
      <c r="IG12" s="28" t="str">
        <f t="shared" si="43"/>
        <v>00:00</v>
      </c>
      <c r="IH12" s="29"/>
      <c r="II12" s="27"/>
      <c r="IJ12" s="27"/>
      <c r="IK12" s="28" t="str">
        <f>IFERROR(VLOOKUP(II12,Horarios!$H:$I,2,0),"")</f>
        <v/>
      </c>
      <c r="IL12" s="28" t="str">
        <f>IFERROR(VLOOKUP(IJ12,Horarios!$H:$I,2,0),"")</f>
        <v/>
      </c>
      <c r="IM12" s="28" t="str">
        <f t="shared" si="44"/>
        <v>00:00</v>
      </c>
      <c r="IN12" s="29"/>
      <c r="IO12" s="27"/>
      <c r="IP12" s="27"/>
      <c r="IQ12" s="28" t="str">
        <f>IFERROR(VLOOKUP(IO12,Horarios!$H:$I,2,0),"")</f>
        <v/>
      </c>
      <c r="IR12" s="28" t="str">
        <f>IFERROR(VLOOKUP(IP12,Horarios!$H:$I,2,0),"")</f>
        <v/>
      </c>
      <c r="IS12" s="28" t="str">
        <f t="shared" si="45"/>
        <v>00:00</v>
      </c>
      <c r="IT12" s="29"/>
      <c r="IU12" s="27"/>
      <c r="IV12" s="27"/>
      <c r="IW12" s="28" t="str">
        <f>IFERROR(VLOOKUP(IU12,Horarios!$H:$I,2,0),"")</f>
        <v/>
      </c>
      <c r="IX12" s="28" t="str">
        <f>IFERROR(VLOOKUP(IV12,Horarios!$H:$I,2,0),"")</f>
        <v/>
      </c>
      <c r="IY12" s="28" t="str">
        <f t="shared" si="46"/>
        <v>00:00</v>
      </c>
      <c r="IZ12" s="29"/>
      <c r="JA12" s="31" t="str">
        <f t="shared" si="47"/>
        <v/>
      </c>
    </row>
    <row r="13" spans="1:261" s="24" customFormat="1" ht="17.399999999999999" x14ac:dyDescent="0.25">
      <c r="A13" s="25"/>
      <c r="B13" s="26" t="str">
        <f>IFERROR(VLOOKUP(A13,BaseNombres!A:B,2,0),"")</f>
        <v/>
      </c>
      <c r="C13" s="26" t="str">
        <f>IFERROR(VLOOKUP(A13,BaseNombres!A:C,3,0),"")</f>
        <v/>
      </c>
      <c r="D13" s="27"/>
      <c r="E13" s="27"/>
      <c r="F13" s="28" t="str">
        <f>IFERROR(VLOOKUP(D13,Horarios!$H:$I,2,0),"")</f>
        <v/>
      </c>
      <c r="G13" s="28" t="str">
        <f>IFERROR(VLOOKUP(E13,Horarios!$H:$I,2,0),"")</f>
        <v/>
      </c>
      <c r="H13" s="28" t="str">
        <f t="shared" si="0"/>
        <v>00:00</v>
      </c>
      <c r="I13" s="29"/>
      <c r="J13" s="27"/>
      <c r="K13" s="27"/>
      <c r="L13" s="28" t="str">
        <f>IFERROR(VLOOKUP(J13,Horarios!$H:$I,2,0),"")</f>
        <v/>
      </c>
      <c r="M13" s="28" t="str">
        <f>IFERROR(VLOOKUP(K13,Horarios!$H:$I,2,0),"")</f>
        <v/>
      </c>
      <c r="N13" s="32" t="str">
        <f t="shared" si="1"/>
        <v>00:00</v>
      </c>
      <c r="O13" s="29"/>
      <c r="P13" s="27"/>
      <c r="Q13" s="27"/>
      <c r="R13" s="28" t="str">
        <f>IFERROR(VLOOKUP(P13,Horarios!$H:$I,2,0),"")</f>
        <v/>
      </c>
      <c r="S13" s="28" t="str">
        <f>IFERROR(VLOOKUP(Q13,Horarios!$H:$I,2,0),"")</f>
        <v/>
      </c>
      <c r="T13" s="28" t="str">
        <f t="shared" si="2"/>
        <v>00:00</v>
      </c>
      <c r="U13" s="29"/>
      <c r="V13" s="27"/>
      <c r="W13" s="27"/>
      <c r="X13" s="28" t="str">
        <f>IFERROR(VLOOKUP(V13,Horarios!$H:$I,2,0),"")</f>
        <v/>
      </c>
      <c r="Y13" s="28" t="str">
        <f>IFERROR(VLOOKUP(W13,Horarios!$H:$I,2,0),"")</f>
        <v/>
      </c>
      <c r="Z13" s="28" t="str">
        <f t="shared" si="3"/>
        <v>00:00</v>
      </c>
      <c r="AA13" s="29"/>
      <c r="AB13" s="27"/>
      <c r="AC13" s="27"/>
      <c r="AD13" s="28" t="str">
        <f>IFERROR(VLOOKUP(AB13,Horarios!$H:$I,2,0),"")</f>
        <v/>
      </c>
      <c r="AE13" s="28" t="str">
        <f>IFERROR(VLOOKUP(AC13,Horarios!$H:$I,2,0),"")</f>
        <v/>
      </c>
      <c r="AF13" s="28" t="str">
        <f t="shared" si="4"/>
        <v>00:00</v>
      </c>
      <c r="AG13" s="29"/>
      <c r="AH13" s="27"/>
      <c r="AI13" s="27"/>
      <c r="AJ13" s="28" t="str">
        <f>IFERROR(VLOOKUP(AH13,Horarios!$H:$I,2,0),"")</f>
        <v/>
      </c>
      <c r="AK13" s="28" t="str">
        <f>IFERROR(VLOOKUP(AI13,Horarios!$H:$I,2,0),"")</f>
        <v/>
      </c>
      <c r="AL13" s="28" t="str">
        <f t="shared" si="5"/>
        <v>00:00</v>
      </c>
      <c r="AM13" s="29"/>
      <c r="AN13" s="27"/>
      <c r="AO13" s="27"/>
      <c r="AP13" s="28" t="str">
        <f>IFERROR(VLOOKUP(AN13,Horarios!$H:$I,2,0),"")</f>
        <v/>
      </c>
      <c r="AQ13" s="28" t="str">
        <f>IFERROR(VLOOKUP(AO13,Horarios!$H:$I,2,0),"")</f>
        <v/>
      </c>
      <c r="AR13" s="28" t="str">
        <f t="shared" si="6"/>
        <v>00:00</v>
      </c>
      <c r="AS13" s="29"/>
      <c r="AT13" s="31" t="str">
        <f t="shared" si="7"/>
        <v/>
      </c>
      <c r="AU13" s="27"/>
      <c r="AV13" s="27"/>
      <c r="AW13" s="28" t="str">
        <f>IFERROR(VLOOKUP(AU13,Horarios!$H:$I,2,0),"")</f>
        <v/>
      </c>
      <c r="AX13" s="28" t="str">
        <f>IFERROR(VLOOKUP(AV13,Horarios!$H:$I,2,0),"")</f>
        <v/>
      </c>
      <c r="AY13" s="28" t="str">
        <f t="shared" si="8"/>
        <v>00:00</v>
      </c>
      <c r="AZ13" s="29"/>
      <c r="BA13" s="27"/>
      <c r="BB13" s="27"/>
      <c r="BC13" s="28" t="str">
        <f>IFERROR(VLOOKUP(BA13,Horarios!$H:$I,2,0),"")</f>
        <v/>
      </c>
      <c r="BD13" s="28" t="str">
        <f>IFERROR(VLOOKUP(BB13,Horarios!$H:$I,2,0),"")</f>
        <v/>
      </c>
      <c r="BE13" s="28" t="str">
        <f t="shared" si="9"/>
        <v>00:00</v>
      </c>
      <c r="BF13" s="29"/>
      <c r="BG13" s="27"/>
      <c r="BH13" s="27"/>
      <c r="BI13" s="28" t="str">
        <f>IFERROR(VLOOKUP(BG13,Horarios!$H:$I,2,0),"")</f>
        <v/>
      </c>
      <c r="BJ13" s="28" t="str">
        <f>IFERROR(VLOOKUP(BH13,Horarios!$H:$I,2,0),"")</f>
        <v/>
      </c>
      <c r="BK13" s="28" t="str">
        <f t="shared" si="10"/>
        <v>00:00</v>
      </c>
      <c r="BL13" s="29"/>
      <c r="BM13" s="27"/>
      <c r="BN13" s="27"/>
      <c r="BO13" s="28" t="str">
        <f>IFERROR(VLOOKUP(BM13,Horarios!$H:$I,2,0),"")</f>
        <v/>
      </c>
      <c r="BP13" s="28" t="str">
        <f>IFERROR(VLOOKUP(BN13,Horarios!$H:$I,2,0),"")</f>
        <v/>
      </c>
      <c r="BQ13" s="28" t="str">
        <f t="shared" si="11"/>
        <v>00:00</v>
      </c>
      <c r="BR13" s="29"/>
      <c r="BS13" s="27"/>
      <c r="BT13" s="27"/>
      <c r="BU13" s="28" t="str">
        <f>IFERROR(VLOOKUP(BS13,Horarios!$H:$I,2,0),"")</f>
        <v/>
      </c>
      <c r="BV13" s="28" t="str">
        <f>IFERROR(VLOOKUP(BT13,Horarios!$H:$I,2,0),"")</f>
        <v/>
      </c>
      <c r="BW13" s="28" t="str">
        <f t="shared" si="12"/>
        <v>00:00</v>
      </c>
      <c r="BX13" s="29"/>
      <c r="BY13" s="27"/>
      <c r="BZ13" s="27"/>
      <c r="CA13" s="28" t="str">
        <f>IFERROR(VLOOKUP(BY13,Horarios!$H:$I,2,0),"")</f>
        <v/>
      </c>
      <c r="CB13" s="28" t="str">
        <f>IFERROR(VLOOKUP(BZ13,Horarios!$H:$I,2,0),"")</f>
        <v/>
      </c>
      <c r="CC13" s="28" t="str">
        <f t="shared" si="13"/>
        <v>00:00</v>
      </c>
      <c r="CD13" s="29"/>
      <c r="CE13" s="27"/>
      <c r="CF13" s="27"/>
      <c r="CG13" s="28" t="str">
        <f>IFERROR(VLOOKUP(CE13,Horarios!$H:$I,2,0),"")</f>
        <v/>
      </c>
      <c r="CH13" s="28" t="str">
        <f>IFERROR(VLOOKUP(CF13,Horarios!$H:$I,2,0),"")</f>
        <v/>
      </c>
      <c r="CI13" s="28" t="str">
        <f t="shared" si="14"/>
        <v>00:00</v>
      </c>
      <c r="CJ13" s="29"/>
      <c r="CK13" s="31" t="str">
        <f t="shared" si="15"/>
        <v/>
      </c>
      <c r="CL13" s="27"/>
      <c r="CM13" s="27"/>
      <c r="CN13" s="28" t="str">
        <f>IFERROR(VLOOKUP(CL13,Horarios!$H:$I,2,0),"")</f>
        <v/>
      </c>
      <c r="CO13" s="28" t="str">
        <f>IFERROR(VLOOKUP(CM13,Horarios!$H:$I,2,0),"")</f>
        <v/>
      </c>
      <c r="CP13" s="28" t="str">
        <f t="shared" si="16"/>
        <v>00:00</v>
      </c>
      <c r="CQ13" s="29"/>
      <c r="CR13" s="27"/>
      <c r="CS13" s="27"/>
      <c r="CT13" s="28" t="str">
        <f>IFERROR(VLOOKUP(CR13,Horarios!$H:$I,2,0),"")</f>
        <v/>
      </c>
      <c r="CU13" s="28" t="str">
        <f>IFERROR(VLOOKUP(CS13,Horarios!$H:$I,2,0),"")</f>
        <v/>
      </c>
      <c r="CV13" s="28" t="str">
        <f t="shared" si="17"/>
        <v>00:00</v>
      </c>
      <c r="CW13" s="29"/>
      <c r="CX13" s="27"/>
      <c r="CY13" s="27"/>
      <c r="CZ13" s="28" t="str">
        <f>IFERROR(VLOOKUP(CX13,Horarios!$H:$I,2,0),"")</f>
        <v/>
      </c>
      <c r="DA13" s="28" t="str">
        <f>IFERROR(VLOOKUP(CY13,Horarios!$H:$I,2,0),"")</f>
        <v/>
      </c>
      <c r="DB13" s="28" t="str">
        <f t="shared" si="18"/>
        <v>00:00</v>
      </c>
      <c r="DC13" s="29"/>
      <c r="DD13" s="27"/>
      <c r="DE13" s="27"/>
      <c r="DF13" s="28" t="str">
        <f>IFERROR(VLOOKUP(DD13,Horarios!$H:$I,2,0),"")</f>
        <v/>
      </c>
      <c r="DG13" s="28" t="str">
        <f>IFERROR(VLOOKUP(DE13,Horarios!$H:$I,2,0),"")</f>
        <v/>
      </c>
      <c r="DH13" s="28" t="str">
        <f t="shared" si="19"/>
        <v>00:00</v>
      </c>
      <c r="DI13" s="29"/>
      <c r="DJ13" s="27"/>
      <c r="DK13" s="27"/>
      <c r="DL13" s="28" t="str">
        <f>IFERROR(VLOOKUP(DJ13,Horarios!$H:$I,2,0),"")</f>
        <v/>
      </c>
      <c r="DM13" s="28" t="str">
        <f>IFERROR(VLOOKUP(DK13,Horarios!$H:$I,2,0),"")</f>
        <v/>
      </c>
      <c r="DN13" s="28" t="str">
        <f t="shared" si="20"/>
        <v>00:00</v>
      </c>
      <c r="DO13" s="29"/>
      <c r="DP13" s="27"/>
      <c r="DQ13" s="27"/>
      <c r="DR13" s="28" t="str">
        <f>IFERROR(VLOOKUP(DP13,Horarios!$H:$I,2,0),"")</f>
        <v/>
      </c>
      <c r="DS13" s="28" t="str">
        <f>IFERROR(VLOOKUP(DQ13,Horarios!$H:$I,2,0),"")</f>
        <v/>
      </c>
      <c r="DT13" s="28" t="str">
        <f t="shared" si="21"/>
        <v>00:00</v>
      </c>
      <c r="DU13" s="29"/>
      <c r="DV13" s="27"/>
      <c r="DW13" s="27"/>
      <c r="DX13" s="28" t="str">
        <f>IFERROR(VLOOKUP(DV13,Horarios!$H:$I,2,0),"")</f>
        <v/>
      </c>
      <c r="DY13" s="28" t="str">
        <f>IFERROR(VLOOKUP(DW13,Horarios!$H:$I,2,0),"")</f>
        <v/>
      </c>
      <c r="DZ13" s="28" t="str">
        <f t="shared" si="22"/>
        <v>00:00</v>
      </c>
      <c r="EA13" s="29"/>
      <c r="EB13" s="31" t="str">
        <f t="shared" si="23"/>
        <v/>
      </c>
      <c r="EC13" s="27"/>
      <c r="ED13" s="27"/>
      <c r="EE13" s="28" t="str">
        <f>IFERROR(VLOOKUP(EC13,Horarios!$H:$I,2,0),"")</f>
        <v/>
      </c>
      <c r="EF13" s="28" t="str">
        <f>IFERROR(VLOOKUP(ED13,Horarios!$H:$I,2,0),"")</f>
        <v/>
      </c>
      <c r="EG13" s="28" t="str">
        <f t="shared" si="24"/>
        <v>00:00</v>
      </c>
      <c r="EH13" s="29"/>
      <c r="EI13" s="27"/>
      <c r="EJ13" s="27"/>
      <c r="EK13" s="28" t="str">
        <f>IFERROR(VLOOKUP(EI13,Horarios!$H:$I,2,0),"")</f>
        <v/>
      </c>
      <c r="EL13" s="28" t="str">
        <f>IFERROR(VLOOKUP(EJ13,Horarios!$H:$I,2,0),"")</f>
        <v/>
      </c>
      <c r="EM13" s="28" t="str">
        <f t="shared" si="25"/>
        <v>00:00</v>
      </c>
      <c r="EN13" s="29"/>
      <c r="EO13" s="27"/>
      <c r="EP13" s="27"/>
      <c r="EQ13" s="28" t="str">
        <f>IFERROR(VLOOKUP(EO13,Horarios!$H:$I,2,0),"")</f>
        <v/>
      </c>
      <c r="ER13" s="28" t="str">
        <f>IFERROR(VLOOKUP(EP13,Horarios!$H:$I,2,0),"")</f>
        <v/>
      </c>
      <c r="ES13" s="28" t="str">
        <f t="shared" si="26"/>
        <v>00:00</v>
      </c>
      <c r="ET13" s="29"/>
      <c r="EU13" s="27"/>
      <c r="EV13" s="27"/>
      <c r="EW13" s="28" t="str">
        <f>IFERROR(VLOOKUP(EU13,Horarios!$H:$I,2,0),"")</f>
        <v/>
      </c>
      <c r="EX13" s="28" t="str">
        <f>IFERROR(VLOOKUP(EV13,Horarios!$H:$I,2,0),"")</f>
        <v/>
      </c>
      <c r="EY13" s="28" t="str">
        <f t="shared" si="27"/>
        <v>00:00</v>
      </c>
      <c r="EZ13" s="29"/>
      <c r="FA13" s="27"/>
      <c r="FB13" s="27"/>
      <c r="FC13" s="28" t="str">
        <f>IFERROR(VLOOKUP(FA13,Horarios!$H:$I,2,0),"")</f>
        <v/>
      </c>
      <c r="FD13" s="28" t="str">
        <f>IFERROR(VLOOKUP(FB13,Horarios!$H:$I,2,0),"")</f>
        <v/>
      </c>
      <c r="FE13" s="28" t="str">
        <f t="shared" si="28"/>
        <v>00:00</v>
      </c>
      <c r="FF13" s="29"/>
      <c r="FG13" s="27"/>
      <c r="FH13" s="27"/>
      <c r="FI13" s="28" t="str">
        <f>IFERROR(VLOOKUP(FG13,Horarios!$H:$I,2,0),"")</f>
        <v/>
      </c>
      <c r="FJ13" s="28" t="str">
        <f>IFERROR(VLOOKUP(FH13,Horarios!$H:$I,2,0),"")</f>
        <v/>
      </c>
      <c r="FK13" s="28" t="str">
        <f t="shared" si="29"/>
        <v>00:00</v>
      </c>
      <c r="FL13" s="29"/>
      <c r="FM13" s="27"/>
      <c r="FN13" s="27"/>
      <c r="FO13" s="28" t="str">
        <f>IFERROR(VLOOKUP(FM13,Horarios!$H:$I,2,0),"")</f>
        <v/>
      </c>
      <c r="FP13" s="28" t="str">
        <f>IFERROR(VLOOKUP(FN13,Horarios!$H:$I,2,0),"")</f>
        <v/>
      </c>
      <c r="FQ13" s="28" t="str">
        <f t="shared" si="30"/>
        <v>00:00</v>
      </c>
      <c r="FR13" s="29"/>
      <c r="FS13" s="31" t="str">
        <f t="shared" si="31"/>
        <v/>
      </c>
      <c r="FT13" s="27"/>
      <c r="FU13" s="27"/>
      <c r="FV13" s="28" t="str">
        <f>IFERROR(VLOOKUP(FT13,Horarios!$H:$I,2,0),"")</f>
        <v/>
      </c>
      <c r="FW13" s="28" t="str">
        <f>IFERROR(VLOOKUP(FU13,Horarios!$H:$I,2,0),"")</f>
        <v/>
      </c>
      <c r="FX13" s="28" t="str">
        <f t="shared" si="32"/>
        <v>00:00</v>
      </c>
      <c r="FY13" s="29"/>
      <c r="FZ13" s="27"/>
      <c r="GA13" s="27"/>
      <c r="GB13" s="28" t="str">
        <f>IFERROR(VLOOKUP(FZ13,Horarios!$H:$I,2,0),"")</f>
        <v/>
      </c>
      <c r="GC13" s="28" t="str">
        <f>IFERROR(VLOOKUP(GA13,Horarios!$H:$I,2,0),"")</f>
        <v/>
      </c>
      <c r="GD13" s="28" t="str">
        <f t="shared" si="33"/>
        <v>00:00</v>
      </c>
      <c r="GE13" s="29"/>
      <c r="GF13" s="27"/>
      <c r="GG13" s="27"/>
      <c r="GH13" s="28" t="str">
        <f>IFERROR(VLOOKUP(GF13,Horarios!$H:$I,2,0),"")</f>
        <v/>
      </c>
      <c r="GI13" s="28" t="str">
        <f>IFERROR(VLOOKUP(GG13,Horarios!$H:$I,2,0),"")</f>
        <v/>
      </c>
      <c r="GJ13" s="28" t="str">
        <f t="shared" si="34"/>
        <v>00:00</v>
      </c>
      <c r="GK13" s="29"/>
      <c r="GL13" s="27"/>
      <c r="GM13" s="27"/>
      <c r="GN13" s="28" t="str">
        <f>IFERROR(VLOOKUP(GL13,Horarios!$H:$I,2,0),"")</f>
        <v/>
      </c>
      <c r="GO13" s="28" t="str">
        <f>IFERROR(VLOOKUP(GM13,Horarios!$H:$I,2,0),"")</f>
        <v/>
      </c>
      <c r="GP13" s="28" t="str">
        <f t="shared" si="35"/>
        <v>00:00</v>
      </c>
      <c r="GQ13" s="29"/>
      <c r="GR13" s="27"/>
      <c r="GS13" s="27"/>
      <c r="GT13" s="28" t="str">
        <f>IFERROR(VLOOKUP(GR13,Horarios!$H:$I,2,0),"")</f>
        <v/>
      </c>
      <c r="GU13" s="28" t="str">
        <f>IFERROR(VLOOKUP(GS13,Horarios!$H:$I,2,0),"")</f>
        <v/>
      </c>
      <c r="GV13" s="28" t="str">
        <f t="shared" si="36"/>
        <v>00:00</v>
      </c>
      <c r="GW13" s="29"/>
      <c r="GX13" s="27"/>
      <c r="GY13" s="27"/>
      <c r="GZ13" s="28" t="str">
        <f>IFERROR(VLOOKUP(GX13,Horarios!$H:$I,2,0),"")</f>
        <v/>
      </c>
      <c r="HA13" s="28" t="str">
        <f>IFERROR(VLOOKUP(GY13,Horarios!$H:$I,2,0),"")</f>
        <v/>
      </c>
      <c r="HB13" s="28" t="str">
        <f t="shared" si="37"/>
        <v>00:00</v>
      </c>
      <c r="HC13" s="29"/>
      <c r="HD13" s="27"/>
      <c r="HE13" s="27"/>
      <c r="HF13" s="28" t="str">
        <f>IFERROR(VLOOKUP(HD13,Horarios!$H:$I,2,0),"")</f>
        <v/>
      </c>
      <c r="HG13" s="28" t="str">
        <f>IFERROR(VLOOKUP(HE13,Horarios!$H:$I,2,0),"")</f>
        <v/>
      </c>
      <c r="HH13" s="28" t="str">
        <f t="shared" si="38"/>
        <v>00:00</v>
      </c>
      <c r="HI13" s="29"/>
      <c r="HJ13" s="31" t="str">
        <f t="shared" si="39"/>
        <v/>
      </c>
      <c r="HK13" s="27"/>
      <c r="HL13" s="27"/>
      <c r="HM13" s="28" t="str">
        <f>IFERROR(VLOOKUP(HK13,Horarios!$H:$I,2,0),"")</f>
        <v/>
      </c>
      <c r="HN13" s="28" t="str">
        <f>IFERROR(VLOOKUP(HL13,Horarios!$H:$I,2,0),"")</f>
        <v/>
      </c>
      <c r="HO13" s="28" t="str">
        <f t="shared" si="40"/>
        <v>00:00</v>
      </c>
      <c r="HP13" s="29"/>
      <c r="HQ13" s="27"/>
      <c r="HR13" s="27"/>
      <c r="HS13" s="28" t="str">
        <f>IFERROR(VLOOKUP(HQ13,Horarios!$H:$I,2,0),"")</f>
        <v/>
      </c>
      <c r="HT13" s="28" t="str">
        <f>IFERROR(VLOOKUP(HR13,Horarios!$H:$I,2,0),"")</f>
        <v/>
      </c>
      <c r="HU13" s="28" t="str">
        <f t="shared" si="41"/>
        <v>00:00</v>
      </c>
      <c r="HV13" s="29"/>
      <c r="HW13" s="27"/>
      <c r="HX13" s="27"/>
      <c r="HY13" s="28" t="str">
        <f>IFERROR(VLOOKUP(HW13,Horarios!$H:$I,2,0),"")</f>
        <v/>
      </c>
      <c r="HZ13" s="28" t="str">
        <f>IFERROR(VLOOKUP(HX13,Horarios!$H:$I,2,0),"")</f>
        <v/>
      </c>
      <c r="IA13" s="28" t="str">
        <f t="shared" si="42"/>
        <v>00:00</v>
      </c>
      <c r="IB13" s="29"/>
      <c r="IC13" s="27"/>
      <c r="ID13" s="27"/>
      <c r="IE13" s="28" t="str">
        <f>IFERROR(VLOOKUP(IC13,Horarios!$H:$I,2,0),"")</f>
        <v/>
      </c>
      <c r="IF13" s="28" t="str">
        <f>IFERROR(VLOOKUP(ID13,Horarios!$H:$I,2,0),"")</f>
        <v/>
      </c>
      <c r="IG13" s="28" t="str">
        <f t="shared" si="43"/>
        <v>00:00</v>
      </c>
      <c r="IH13" s="29"/>
      <c r="II13" s="27"/>
      <c r="IJ13" s="27"/>
      <c r="IK13" s="28" t="str">
        <f>IFERROR(VLOOKUP(II13,Horarios!$H:$I,2,0),"")</f>
        <v/>
      </c>
      <c r="IL13" s="28" t="str">
        <f>IFERROR(VLOOKUP(IJ13,Horarios!$H:$I,2,0),"")</f>
        <v/>
      </c>
      <c r="IM13" s="28" t="str">
        <f t="shared" si="44"/>
        <v>00:00</v>
      </c>
      <c r="IN13" s="29"/>
      <c r="IO13" s="27"/>
      <c r="IP13" s="27"/>
      <c r="IQ13" s="28" t="str">
        <f>IFERROR(VLOOKUP(IO13,Horarios!$H:$I,2,0),"")</f>
        <v/>
      </c>
      <c r="IR13" s="28" t="str">
        <f>IFERROR(VLOOKUP(IP13,Horarios!$H:$I,2,0),"")</f>
        <v/>
      </c>
      <c r="IS13" s="28" t="str">
        <f t="shared" si="45"/>
        <v>00:00</v>
      </c>
      <c r="IT13" s="29"/>
      <c r="IU13" s="27"/>
      <c r="IV13" s="27"/>
      <c r="IW13" s="28" t="str">
        <f>IFERROR(VLOOKUP(IU13,Horarios!$H:$I,2,0),"")</f>
        <v/>
      </c>
      <c r="IX13" s="28" t="str">
        <f>IFERROR(VLOOKUP(IV13,Horarios!$H:$I,2,0),"")</f>
        <v/>
      </c>
      <c r="IY13" s="28" t="str">
        <f t="shared" si="46"/>
        <v>00:00</v>
      </c>
      <c r="IZ13" s="29"/>
      <c r="JA13" s="31" t="str">
        <f t="shared" si="47"/>
        <v/>
      </c>
    </row>
    <row r="14" spans="1:261" s="24" customFormat="1" ht="17.399999999999999" x14ac:dyDescent="0.25">
      <c r="A14" s="25"/>
      <c r="B14" s="26" t="str">
        <f>IFERROR(VLOOKUP(A14,BaseNombres!A:B,2,0),"")</f>
        <v/>
      </c>
      <c r="C14" s="26" t="str">
        <f>IFERROR(VLOOKUP(A14,BaseNombres!A:C,3,0),"")</f>
        <v/>
      </c>
      <c r="D14" s="27"/>
      <c r="E14" s="27"/>
      <c r="F14" s="28" t="str">
        <f>IFERROR(VLOOKUP(D14,Horarios!$H:$I,2,0),"")</f>
        <v/>
      </c>
      <c r="G14" s="28" t="str">
        <f>IFERROR(VLOOKUP(E14,Horarios!$H:$I,2,0),"")</f>
        <v/>
      </c>
      <c r="H14" s="32" t="str">
        <f t="shared" si="0"/>
        <v>00:00</v>
      </c>
      <c r="I14" s="29"/>
      <c r="J14" s="27"/>
      <c r="K14" s="27"/>
      <c r="L14" s="28" t="str">
        <f>IFERROR(VLOOKUP(J14,Horarios!$H:$I,2,0),"")</f>
        <v/>
      </c>
      <c r="M14" s="28" t="str">
        <f>IFERROR(VLOOKUP(K14,Horarios!$H:$I,2,0),"")</f>
        <v/>
      </c>
      <c r="N14" s="32" t="str">
        <f t="shared" si="1"/>
        <v>00:00</v>
      </c>
      <c r="O14" s="29"/>
      <c r="P14" s="27"/>
      <c r="Q14" s="27"/>
      <c r="R14" s="28" t="str">
        <f>IFERROR(VLOOKUP(P14,Horarios!$H:$I,2,0),"")</f>
        <v/>
      </c>
      <c r="S14" s="28" t="str">
        <f>IFERROR(VLOOKUP(Q14,Horarios!$H:$I,2,0),"")</f>
        <v/>
      </c>
      <c r="T14" s="28" t="str">
        <f t="shared" si="2"/>
        <v>00:00</v>
      </c>
      <c r="U14" s="29"/>
      <c r="V14" s="27"/>
      <c r="W14" s="27"/>
      <c r="X14" s="28" t="str">
        <f>IFERROR(VLOOKUP(V14,Horarios!$H:$I,2,0),"")</f>
        <v/>
      </c>
      <c r="Y14" s="28" t="str">
        <f>IFERROR(VLOOKUP(W14,Horarios!$H:$I,2,0),"")</f>
        <v/>
      </c>
      <c r="Z14" s="28" t="str">
        <f t="shared" si="3"/>
        <v>00:00</v>
      </c>
      <c r="AA14" s="29"/>
      <c r="AB14" s="27"/>
      <c r="AC14" s="27"/>
      <c r="AD14" s="28" t="str">
        <f>IFERROR(VLOOKUP(AB14,Horarios!$H:$I,2,0),"")</f>
        <v/>
      </c>
      <c r="AE14" s="28" t="str">
        <f>IFERROR(VLOOKUP(AC14,Horarios!$H:$I,2,0),"")</f>
        <v/>
      </c>
      <c r="AF14" s="28" t="str">
        <f t="shared" si="4"/>
        <v>00:00</v>
      </c>
      <c r="AG14" s="29"/>
      <c r="AH14" s="27"/>
      <c r="AI14" s="27"/>
      <c r="AJ14" s="28" t="str">
        <f>IFERROR(VLOOKUP(AH14,Horarios!$H:$I,2,0),"")</f>
        <v/>
      </c>
      <c r="AK14" s="28" t="str">
        <f>IFERROR(VLOOKUP(AI14,Horarios!$H:$I,2,0),"")</f>
        <v/>
      </c>
      <c r="AL14" s="28" t="str">
        <f t="shared" si="5"/>
        <v>00:00</v>
      </c>
      <c r="AM14" s="29"/>
      <c r="AN14" s="27"/>
      <c r="AO14" s="27"/>
      <c r="AP14" s="28" t="str">
        <f>IFERROR(VLOOKUP(AN14,Horarios!$H:$I,2,0),"")</f>
        <v/>
      </c>
      <c r="AQ14" s="28" t="str">
        <f>IFERROR(VLOOKUP(AO14,Horarios!$H:$I,2,0),"")</f>
        <v/>
      </c>
      <c r="AR14" s="28" t="str">
        <f t="shared" si="6"/>
        <v>00:00</v>
      </c>
      <c r="AS14" s="29"/>
      <c r="AT14" s="31" t="str">
        <f t="shared" si="7"/>
        <v/>
      </c>
      <c r="AU14" s="27"/>
      <c r="AV14" s="27"/>
      <c r="AW14" s="28" t="str">
        <f>IFERROR(VLOOKUP(AU14,Horarios!$H:$I,2,0),"")</f>
        <v/>
      </c>
      <c r="AX14" s="28" t="str">
        <f>IFERROR(VLOOKUP(AV14,Horarios!$H:$I,2,0),"")</f>
        <v/>
      </c>
      <c r="AY14" s="28" t="str">
        <f t="shared" si="8"/>
        <v>00:00</v>
      </c>
      <c r="AZ14" s="29"/>
      <c r="BA14" s="27"/>
      <c r="BB14" s="27"/>
      <c r="BC14" s="28" t="str">
        <f>IFERROR(VLOOKUP(BA14,Horarios!$H:$I,2,0),"")</f>
        <v/>
      </c>
      <c r="BD14" s="28" t="str">
        <f>IFERROR(VLOOKUP(BB14,Horarios!$H:$I,2,0),"")</f>
        <v/>
      </c>
      <c r="BE14" s="28" t="str">
        <f t="shared" si="9"/>
        <v>00:00</v>
      </c>
      <c r="BF14" s="29"/>
      <c r="BG14" s="27"/>
      <c r="BH14" s="27"/>
      <c r="BI14" s="28" t="str">
        <f>IFERROR(VLOOKUP(BG14,Horarios!$H:$I,2,0),"")</f>
        <v/>
      </c>
      <c r="BJ14" s="28" t="str">
        <f>IFERROR(VLOOKUP(BH14,Horarios!$H:$I,2,0),"")</f>
        <v/>
      </c>
      <c r="BK14" s="28" t="str">
        <f t="shared" si="10"/>
        <v>00:00</v>
      </c>
      <c r="BL14" s="29"/>
      <c r="BM14" s="27"/>
      <c r="BN14" s="27"/>
      <c r="BO14" s="28" t="str">
        <f>IFERROR(VLOOKUP(BM14,Horarios!$H:$I,2,0),"")</f>
        <v/>
      </c>
      <c r="BP14" s="28" t="str">
        <f>IFERROR(VLOOKUP(BN14,Horarios!$H:$I,2,0),"")</f>
        <v/>
      </c>
      <c r="BQ14" s="28" t="str">
        <f t="shared" si="11"/>
        <v>00:00</v>
      </c>
      <c r="BR14" s="29"/>
      <c r="BS14" s="27"/>
      <c r="BT14" s="27"/>
      <c r="BU14" s="28" t="str">
        <f>IFERROR(VLOOKUP(BS14,Horarios!$H:$I,2,0),"")</f>
        <v/>
      </c>
      <c r="BV14" s="28" t="str">
        <f>IFERROR(VLOOKUP(BT14,Horarios!$H:$I,2,0),"")</f>
        <v/>
      </c>
      <c r="BW14" s="28" t="str">
        <f t="shared" si="12"/>
        <v>00:00</v>
      </c>
      <c r="BX14" s="29"/>
      <c r="BY14" s="27"/>
      <c r="BZ14" s="27"/>
      <c r="CA14" s="28" t="str">
        <f>IFERROR(VLOOKUP(BY14,Horarios!$H:$I,2,0),"")</f>
        <v/>
      </c>
      <c r="CB14" s="28" t="str">
        <f>IFERROR(VLOOKUP(BZ14,Horarios!$H:$I,2,0),"")</f>
        <v/>
      </c>
      <c r="CC14" s="28" t="str">
        <f t="shared" si="13"/>
        <v>00:00</v>
      </c>
      <c r="CD14" s="29"/>
      <c r="CE14" s="27"/>
      <c r="CF14" s="27"/>
      <c r="CG14" s="28" t="str">
        <f>IFERROR(VLOOKUP(CE14,Horarios!$H:$I,2,0),"")</f>
        <v/>
      </c>
      <c r="CH14" s="28" t="str">
        <f>IFERROR(VLOOKUP(CF14,Horarios!$H:$I,2,0),"")</f>
        <v/>
      </c>
      <c r="CI14" s="28" t="str">
        <f t="shared" si="14"/>
        <v>00:00</v>
      </c>
      <c r="CJ14" s="29"/>
      <c r="CK14" s="31" t="str">
        <f t="shared" si="15"/>
        <v/>
      </c>
      <c r="CL14" s="27"/>
      <c r="CM14" s="27"/>
      <c r="CN14" s="28" t="str">
        <f>IFERROR(VLOOKUP(CL14,Horarios!$H:$I,2,0),"")</f>
        <v/>
      </c>
      <c r="CO14" s="28" t="str">
        <f>IFERROR(VLOOKUP(CM14,Horarios!$H:$I,2,0),"")</f>
        <v/>
      </c>
      <c r="CP14" s="28" t="str">
        <f t="shared" si="16"/>
        <v>00:00</v>
      </c>
      <c r="CQ14" s="29"/>
      <c r="CR14" s="27"/>
      <c r="CS14" s="27"/>
      <c r="CT14" s="28" t="str">
        <f>IFERROR(VLOOKUP(CR14,Horarios!$H:$I,2,0),"")</f>
        <v/>
      </c>
      <c r="CU14" s="28" t="str">
        <f>IFERROR(VLOOKUP(CS14,Horarios!$H:$I,2,0),"")</f>
        <v/>
      </c>
      <c r="CV14" s="28" t="str">
        <f t="shared" si="17"/>
        <v>00:00</v>
      </c>
      <c r="CW14" s="29"/>
      <c r="CX14" s="27"/>
      <c r="CY14" s="27"/>
      <c r="CZ14" s="28" t="str">
        <f>IFERROR(VLOOKUP(CX14,Horarios!$H:$I,2,0),"")</f>
        <v/>
      </c>
      <c r="DA14" s="28" t="str">
        <f>IFERROR(VLOOKUP(CY14,Horarios!$H:$I,2,0),"")</f>
        <v/>
      </c>
      <c r="DB14" s="28" t="str">
        <f t="shared" si="18"/>
        <v>00:00</v>
      </c>
      <c r="DC14" s="29"/>
      <c r="DD14" s="27"/>
      <c r="DE14" s="27"/>
      <c r="DF14" s="28" t="str">
        <f>IFERROR(VLOOKUP(DD14,Horarios!$H:$I,2,0),"")</f>
        <v/>
      </c>
      <c r="DG14" s="28" t="str">
        <f>IFERROR(VLOOKUP(DE14,Horarios!$H:$I,2,0),"")</f>
        <v/>
      </c>
      <c r="DH14" s="28" t="str">
        <f t="shared" si="19"/>
        <v>00:00</v>
      </c>
      <c r="DI14" s="29"/>
      <c r="DJ14" s="27"/>
      <c r="DK14" s="27"/>
      <c r="DL14" s="28" t="str">
        <f>IFERROR(VLOOKUP(DJ14,Horarios!$H:$I,2,0),"")</f>
        <v/>
      </c>
      <c r="DM14" s="28" t="str">
        <f>IFERROR(VLOOKUP(DK14,Horarios!$H:$I,2,0),"")</f>
        <v/>
      </c>
      <c r="DN14" s="28" t="str">
        <f t="shared" si="20"/>
        <v>00:00</v>
      </c>
      <c r="DO14" s="29"/>
      <c r="DP14" s="27"/>
      <c r="DQ14" s="27"/>
      <c r="DR14" s="28" t="str">
        <f>IFERROR(VLOOKUP(DP14,Horarios!$H:$I,2,0),"")</f>
        <v/>
      </c>
      <c r="DS14" s="28" t="str">
        <f>IFERROR(VLOOKUP(DQ14,Horarios!$H:$I,2,0),"")</f>
        <v/>
      </c>
      <c r="DT14" s="28" t="str">
        <f t="shared" si="21"/>
        <v>00:00</v>
      </c>
      <c r="DU14" s="29"/>
      <c r="DV14" s="27"/>
      <c r="DW14" s="27"/>
      <c r="DX14" s="28" t="str">
        <f>IFERROR(VLOOKUP(DV14,Horarios!$H:$I,2,0),"")</f>
        <v/>
      </c>
      <c r="DY14" s="28" t="str">
        <f>IFERROR(VLOOKUP(DW14,Horarios!$H:$I,2,0),"")</f>
        <v/>
      </c>
      <c r="DZ14" s="28" t="str">
        <f t="shared" si="22"/>
        <v>00:00</v>
      </c>
      <c r="EA14" s="29"/>
      <c r="EB14" s="31" t="str">
        <f t="shared" si="23"/>
        <v/>
      </c>
      <c r="EC14" s="27"/>
      <c r="ED14" s="27"/>
      <c r="EE14" s="28" t="str">
        <f>IFERROR(VLOOKUP(EC14,Horarios!$H:$I,2,0),"")</f>
        <v/>
      </c>
      <c r="EF14" s="28" t="str">
        <f>IFERROR(VLOOKUP(ED14,Horarios!$H:$I,2,0),"")</f>
        <v/>
      </c>
      <c r="EG14" s="28" t="str">
        <f t="shared" si="24"/>
        <v>00:00</v>
      </c>
      <c r="EH14" s="29"/>
      <c r="EI14" s="27"/>
      <c r="EJ14" s="27"/>
      <c r="EK14" s="28" t="str">
        <f>IFERROR(VLOOKUP(EI14,Horarios!$H:$I,2,0),"")</f>
        <v/>
      </c>
      <c r="EL14" s="28" t="str">
        <f>IFERROR(VLOOKUP(EJ14,Horarios!$H:$I,2,0),"")</f>
        <v/>
      </c>
      <c r="EM14" s="28" t="str">
        <f t="shared" si="25"/>
        <v>00:00</v>
      </c>
      <c r="EN14" s="29"/>
      <c r="EO14" s="27"/>
      <c r="EP14" s="27"/>
      <c r="EQ14" s="28" t="str">
        <f>IFERROR(VLOOKUP(EO14,Horarios!$H:$I,2,0),"")</f>
        <v/>
      </c>
      <c r="ER14" s="28" t="str">
        <f>IFERROR(VLOOKUP(EP14,Horarios!$H:$I,2,0),"")</f>
        <v/>
      </c>
      <c r="ES14" s="28" t="str">
        <f t="shared" si="26"/>
        <v>00:00</v>
      </c>
      <c r="ET14" s="29"/>
      <c r="EU14" s="27"/>
      <c r="EV14" s="27"/>
      <c r="EW14" s="28" t="str">
        <f>IFERROR(VLOOKUP(EU14,Horarios!$H:$I,2,0),"")</f>
        <v/>
      </c>
      <c r="EX14" s="28" t="str">
        <f>IFERROR(VLOOKUP(EV14,Horarios!$H:$I,2,0),"")</f>
        <v/>
      </c>
      <c r="EY14" s="28" t="str">
        <f t="shared" si="27"/>
        <v>00:00</v>
      </c>
      <c r="EZ14" s="29"/>
      <c r="FA14" s="27"/>
      <c r="FB14" s="27"/>
      <c r="FC14" s="28" t="str">
        <f>IFERROR(VLOOKUP(FA14,Horarios!$H:$I,2,0),"")</f>
        <v/>
      </c>
      <c r="FD14" s="28" t="str">
        <f>IFERROR(VLOOKUP(FB14,Horarios!$H:$I,2,0),"")</f>
        <v/>
      </c>
      <c r="FE14" s="28" t="str">
        <f t="shared" si="28"/>
        <v>00:00</v>
      </c>
      <c r="FF14" s="29"/>
      <c r="FG14" s="27"/>
      <c r="FH14" s="27"/>
      <c r="FI14" s="28" t="str">
        <f>IFERROR(VLOOKUP(FG14,Horarios!$H:$I,2,0),"")</f>
        <v/>
      </c>
      <c r="FJ14" s="28" t="str">
        <f>IFERROR(VLOOKUP(FH14,Horarios!$H:$I,2,0),"")</f>
        <v/>
      </c>
      <c r="FK14" s="28" t="str">
        <f t="shared" si="29"/>
        <v>00:00</v>
      </c>
      <c r="FL14" s="29"/>
      <c r="FM14" s="27"/>
      <c r="FN14" s="27"/>
      <c r="FO14" s="28" t="str">
        <f>IFERROR(VLOOKUP(FM14,Horarios!$H:$I,2,0),"")</f>
        <v/>
      </c>
      <c r="FP14" s="28" t="str">
        <f>IFERROR(VLOOKUP(FN14,Horarios!$H:$I,2,0),"")</f>
        <v/>
      </c>
      <c r="FQ14" s="28" t="str">
        <f t="shared" si="30"/>
        <v>00:00</v>
      </c>
      <c r="FR14" s="29"/>
      <c r="FS14" s="31" t="str">
        <f t="shared" si="31"/>
        <v/>
      </c>
      <c r="FT14" s="27"/>
      <c r="FU14" s="27"/>
      <c r="FV14" s="28" t="str">
        <f>IFERROR(VLOOKUP(FT14,Horarios!$H:$I,2,0),"")</f>
        <v/>
      </c>
      <c r="FW14" s="28" t="str">
        <f>IFERROR(VLOOKUP(FU14,Horarios!$H:$I,2,0),"")</f>
        <v/>
      </c>
      <c r="FX14" s="28" t="str">
        <f t="shared" si="32"/>
        <v>00:00</v>
      </c>
      <c r="FY14" s="29"/>
      <c r="FZ14" s="27"/>
      <c r="GA14" s="27"/>
      <c r="GB14" s="28" t="str">
        <f>IFERROR(VLOOKUP(FZ14,Horarios!$H:$I,2,0),"")</f>
        <v/>
      </c>
      <c r="GC14" s="28" t="str">
        <f>IFERROR(VLOOKUP(GA14,Horarios!$H:$I,2,0),"")</f>
        <v/>
      </c>
      <c r="GD14" s="28" t="str">
        <f t="shared" si="33"/>
        <v>00:00</v>
      </c>
      <c r="GE14" s="29"/>
      <c r="GF14" s="27"/>
      <c r="GG14" s="27"/>
      <c r="GH14" s="28" t="str">
        <f>IFERROR(VLOOKUP(GF14,Horarios!$H:$I,2,0),"")</f>
        <v/>
      </c>
      <c r="GI14" s="28" t="str">
        <f>IFERROR(VLOOKUP(GG14,Horarios!$H:$I,2,0),"")</f>
        <v/>
      </c>
      <c r="GJ14" s="28" t="str">
        <f t="shared" si="34"/>
        <v>00:00</v>
      </c>
      <c r="GK14" s="29"/>
      <c r="GL14" s="27"/>
      <c r="GM14" s="27"/>
      <c r="GN14" s="28" t="str">
        <f>IFERROR(VLOOKUP(GL14,Horarios!$H:$I,2,0),"")</f>
        <v/>
      </c>
      <c r="GO14" s="28" t="str">
        <f>IFERROR(VLOOKUP(GM14,Horarios!$H:$I,2,0),"")</f>
        <v/>
      </c>
      <c r="GP14" s="28" t="str">
        <f t="shared" si="35"/>
        <v>00:00</v>
      </c>
      <c r="GQ14" s="29"/>
      <c r="GR14" s="27"/>
      <c r="GS14" s="27"/>
      <c r="GT14" s="28" t="str">
        <f>IFERROR(VLOOKUP(GR14,Horarios!$H:$I,2,0),"")</f>
        <v/>
      </c>
      <c r="GU14" s="28" t="str">
        <f>IFERROR(VLOOKUP(GS14,Horarios!$H:$I,2,0),"")</f>
        <v/>
      </c>
      <c r="GV14" s="28" t="str">
        <f t="shared" si="36"/>
        <v>00:00</v>
      </c>
      <c r="GW14" s="29"/>
      <c r="GX14" s="27"/>
      <c r="GY14" s="27"/>
      <c r="GZ14" s="28" t="str">
        <f>IFERROR(VLOOKUP(GX14,Horarios!$H:$I,2,0),"")</f>
        <v/>
      </c>
      <c r="HA14" s="28" t="str">
        <f>IFERROR(VLOOKUP(GY14,Horarios!$H:$I,2,0),"")</f>
        <v/>
      </c>
      <c r="HB14" s="28" t="str">
        <f t="shared" si="37"/>
        <v>00:00</v>
      </c>
      <c r="HC14" s="29"/>
      <c r="HD14" s="27"/>
      <c r="HE14" s="27"/>
      <c r="HF14" s="28" t="str">
        <f>IFERROR(VLOOKUP(HD14,Horarios!$H:$I,2,0),"")</f>
        <v/>
      </c>
      <c r="HG14" s="28" t="str">
        <f>IFERROR(VLOOKUP(HE14,Horarios!$H:$I,2,0),"")</f>
        <v/>
      </c>
      <c r="HH14" s="28" t="str">
        <f t="shared" si="38"/>
        <v>00:00</v>
      </c>
      <c r="HI14" s="29"/>
      <c r="HJ14" s="31" t="str">
        <f t="shared" si="39"/>
        <v/>
      </c>
      <c r="HK14" s="27"/>
      <c r="HL14" s="27"/>
      <c r="HM14" s="28" t="str">
        <f>IFERROR(VLOOKUP(HK14,Horarios!$H:$I,2,0),"")</f>
        <v/>
      </c>
      <c r="HN14" s="28" t="str">
        <f>IFERROR(VLOOKUP(HL14,Horarios!$H:$I,2,0),"")</f>
        <v/>
      </c>
      <c r="HO14" s="28" t="str">
        <f t="shared" si="40"/>
        <v>00:00</v>
      </c>
      <c r="HP14" s="29"/>
      <c r="HQ14" s="27"/>
      <c r="HR14" s="27"/>
      <c r="HS14" s="28" t="str">
        <f>IFERROR(VLOOKUP(HQ14,Horarios!$H:$I,2,0),"")</f>
        <v/>
      </c>
      <c r="HT14" s="28" t="str">
        <f>IFERROR(VLOOKUP(HR14,Horarios!$H:$I,2,0),"")</f>
        <v/>
      </c>
      <c r="HU14" s="28" t="str">
        <f t="shared" si="41"/>
        <v>00:00</v>
      </c>
      <c r="HV14" s="29"/>
      <c r="HW14" s="27"/>
      <c r="HX14" s="27"/>
      <c r="HY14" s="28" t="str">
        <f>IFERROR(VLOOKUP(HW14,Horarios!$H:$I,2,0),"")</f>
        <v/>
      </c>
      <c r="HZ14" s="28" t="str">
        <f>IFERROR(VLOOKUP(HX14,Horarios!$H:$I,2,0),"")</f>
        <v/>
      </c>
      <c r="IA14" s="28" t="str">
        <f t="shared" si="42"/>
        <v>00:00</v>
      </c>
      <c r="IB14" s="29"/>
      <c r="IC14" s="27"/>
      <c r="ID14" s="27"/>
      <c r="IE14" s="28" t="str">
        <f>IFERROR(VLOOKUP(IC14,Horarios!$H:$I,2,0),"")</f>
        <v/>
      </c>
      <c r="IF14" s="28" t="str">
        <f>IFERROR(VLOOKUP(ID14,Horarios!$H:$I,2,0),"")</f>
        <v/>
      </c>
      <c r="IG14" s="28" t="str">
        <f t="shared" si="43"/>
        <v>00:00</v>
      </c>
      <c r="IH14" s="29"/>
      <c r="II14" s="27"/>
      <c r="IJ14" s="27"/>
      <c r="IK14" s="28" t="str">
        <f>IFERROR(VLOOKUP(II14,Horarios!$H:$I,2,0),"")</f>
        <v/>
      </c>
      <c r="IL14" s="28" t="str">
        <f>IFERROR(VLOOKUP(IJ14,Horarios!$H:$I,2,0),"")</f>
        <v/>
      </c>
      <c r="IM14" s="28" t="str">
        <f t="shared" si="44"/>
        <v>00:00</v>
      </c>
      <c r="IN14" s="29"/>
      <c r="IO14" s="27"/>
      <c r="IP14" s="27"/>
      <c r="IQ14" s="28" t="str">
        <f>IFERROR(VLOOKUP(IO14,Horarios!$H:$I,2,0),"")</f>
        <v/>
      </c>
      <c r="IR14" s="28" t="str">
        <f>IFERROR(VLOOKUP(IP14,Horarios!$H:$I,2,0),"")</f>
        <v/>
      </c>
      <c r="IS14" s="28" t="str">
        <f t="shared" si="45"/>
        <v>00:00</v>
      </c>
      <c r="IT14" s="29"/>
      <c r="IU14" s="27"/>
      <c r="IV14" s="27"/>
      <c r="IW14" s="28" t="str">
        <f>IFERROR(VLOOKUP(IU14,Horarios!$H:$I,2,0),"")</f>
        <v/>
      </c>
      <c r="IX14" s="28" t="str">
        <f>IFERROR(VLOOKUP(IV14,Horarios!$H:$I,2,0),"")</f>
        <v/>
      </c>
      <c r="IY14" s="28" t="str">
        <f t="shared" si="46"/>
        <v>00:00</v>
      </c>
      <c r="IZ14" s="29"/>
      <c r="JA14" s="31" t="str">
        <f t="shared" si="47"/>
        <v/>
      </c>
    </row>
    <row r="15" spans="1:261" s="24" customFormat="1" ht="17.399999999999999" x14ac:dyDescent="0.25">
      <c r="A15" s="25"/>
      <c r="B15" s="26" t="str">
        <f>IFERROR(VLOOKUP(A15,BaseNombres!A:B,2,0),"")</f>
        <v/>
      </c>
      <c r="C15" s="26" t="str">
        <f>IFERROR(VLOOKUP(A15,BaseNombres!A:C,3,0),"")</f>
        <v/>
      </c>
      <c r="D15" s="27"/>
      <c r="E15" s="27"/>
      <c r="F15" s="28" t="str">
        <f>IFERROR(VLOOKUP(D15,Horarios!$H:$I,2,0),"")</f>
        <v/>
      </c>
      <c r="G15" s="28" t="str">
        <f>IFERROR(VLOOKUP(E15,Horarios!$H:$I,2,0),"")</f>
        <v/>
      </c>
      <c r="H15" s="32" t="str">
        <f t="shared" si="0"/>
        <v>00:00</v>
      </c>
      <c r="I15" s="29"/>
      <c r="J15" s="27"/>
      <c r="K15" s="27"/>
      <c r="L15" s="28" t="str">
        <f>IFERROR(VLOOKUP(J15,Horarios!$H:$I,2,0),"")</f>
        <v/>
      </c>
      <c r="M15" s="28" t="str">
        <f>IFERROR(VLOOKUP(K15,Horarios!$H:$I,2,0),"")</f>
        <v/>
      </c>
      <c r="N15" s="32" t="str">
        <f t="shared" si="1"/>
        <v>00:00</v>
      </c>
      <c r="O15" s="29"/>
      <c r="P15" s="27"/>
      <c r="Q15" s="27"/>
      <c r="R15" s="28" t="str">
        <f>IFERROR(VLOOKUP(P15,Horarios!$H:$I,2,0),"")</f>
        <v/>
      </c>
      <c r="S15" s="28" t="str">
        <f>IFERROR(VLOOKUP(Q15,Horarios!$H:$I,2,0),"")</f>
        <v/>
      </c>
      <c r="T15" s="28" t="str">
        <f t="shared" si="2"/>
        <v>00:00</v>
      </c>
      <c r="U15" s="29"/>
      <c r="V15" s="27"/>
      <c r="W15" s="27"/>
      <c r="X15" s="28" t="str">
        <f>IFERROR(VLOOKUP(V15,Horarios!$H:$I,2,0),"")</f>
        <v/>
      </c>
      <c r="Y15" s="28" t="str">
        <f>IFERROR(VLOOKUP(W15,Horarios!$H:$I,2,0),"")</f>
        <v/>
      </c>
      <c r="Z15" s="28" t="str">
        <f t="shared" si="3"/>
        <v>00:00</v>
      </c>
      <c r="AA15" s="29"/>
      <c r="AB15" s="27"/>
      <c r="AC15" s="27"/>
      <c r="AD15" s="28" t="str">
        <f>IFERROR(VLOOKUP(AB15,Horarios!$H:$I,2,0),"")</f>
        <v/>
      </c>
      <c r="AE15" s="28" t="str">
        <f>IFERROR(VLOOKUP(AC15,Horarios!$H:$I,2,0),"")</f>
        <v/>
      </c>
      <c r="AF15" s="28" t="str">
        <f t="shared" si="4"/>
        <v>00:00</v>
      </c>
      <c r="AG15" s="29"/>
      <c r="AH15" s="27"/>
      <c r="AI15" s="27"/>
      <c r="AJ15" s="28" t="str">
        <f>IFERROR(VLOOKUP(AH15,Horarios!$H:$I,2,0),"")</f>
        <v/>
      </c>
      <c r="AK15" s="28" t="str">
        <f>IFERROR(VLOOKUP(AI15,Horarios!$H:$I,2,0),"")</f>
        <v/>
      </c>
      <c r="AL15" s="28" t="str">
        <f t="shared" si="5"/>
        <v>00:00</v>
      </c>
      <c r="AM15" s="29"/>
      <c r="AN15" s="27"/>
      <c r="AO15" s="27"/>
      <c r="AP15" s="28" t="str">
        <f>IFERROR(VLOOKUP(AN15,Horarios!$H:$I,2,0),"")</f>
        <v/>
      </c>
      <c r="AQ15" s="28" t="str">
        <f>IFERROR(VLOOKUP(AO15,Horarios!$H:$I,2,0),"")</f>
        <v/>
      </c>
      <c r="AR15" s="28" t="str">
        <f t="shared" si="6"/>
        <v>00:00</v>
      </c>
      <c r="AS15" s="29"/>
      <c r="AT15" s="31" t="str">
        <f t="shared" si="7"/>
        <v/>
      </c>
      <c r="AU15" s="27"/>
      <c r="AV15" s="27"/>
      <c r="AW15" s="28" t="str">
        <f>IFERROR(VLOOKUP(AU15,Horarios!$H:$I,2,0),"")</f>
        <v/>
      </c>
      <c r="AX15" s="28" t="str">
        <f>IFERROR(VLOOKUP(AV15,Horarios!$H:$I,2,0),"")</f>
        <v/>
      </c>
      <c r="AY15" s="28" t="str">
        <f t="shared" si="8"/>
        <v>00:00</v>
      </c>
      <c r="AZ15" s="29"/>
      <c r="BA15" s="27"/>
      <c r="BB15" s="27"/>
      <c r="BC15" s="28" t="str">
        <f>IFERROR(VLOOKUP(BA15,Horarios!$H:$I,2,0),"")</f>
        <v/>
      </c>
      <c r="BD15" s="28" t="str">
        <f>IFERROR(VLOOKUP(BB15,Horarios!$H:$I,2,0),"")</f>
        <v/>
      </c>
      <c r="BE15" s="28" t="str">
        <f t="shared" si="9"/>
        <v>00:00</v>
      </c>
      <c r="BF15" s="29"/>
      <c r="BG15" s="27"/>
      <c r="BH15" s="27"/>
      <c r="BI15" s="28" t="str">
        <f>IFERROR(VLOOKUP(BG15,Horarios!$H:$I,2,0),"")</f>
        <v/>
      </c>
      <c r="BJ15" s="28" t="str">
        <f>IFERROR(VLOOKUP(BH15,Horarios!$H:$I,2,0),"")</f>
        <v/>
      </c>
      <c r="BK15" s="28" t="str">
        <f t="shared" si="10"/>
        <v>00:00</v>
      </c>
      <c r="BL15" s="29"/>
      <c r="BM15" s="27"/>
      <c r="BN15" s="27"/>
      <c r="BO15" s="28" t="str">
        <f>IFERROR(VLOOKUP(BM15,Horarios!$H:$I,2,0),"")</f>
        <v/>
      </c>
      <c r="BP15" s="28" t="str">
        <f>IFERROR(VLOOKUP(BN15,Horarios!$H:$I,2,0),"")</f>
        <v/>
      </c>
      <c r="BQ15" s="28" t="str">
        <f t="shared" si="11"/>
        <v>00:00</v>
      </c>
      <c r="BR15" s="29"/>
      <c r="BS15" s="27"/>
      <c r="BT15" s="27"/>
      <c r="BU15" s="28" t="str">
        <f>IFERROR(VLOOKUP(BS15,Horarios!$H:$I,2,0),"")</f>
        <v/>
      </c>
      <c r="BV15" s="28" t="str">
        <f>IFERROR(VLOOKUP(BT15,Horarios!$H:$I,2,0),"")</f>
        <v/>
      </c>
      <c r="BW15" s="28" t="str">
        <f t="shared" si="12"/>
        <v>00:00</v>
      </c>
      <c r="BX15" s="29"/>
      <c r="BY15" s="27"/>
      <c r="BZ15" s="27"/>
      <c r="CA15" s="28" t="str">
        <f>IFERROR(VLOOKUP(BY15,Horarios!$H:$I,2,0),"")</f>
        <v/>
      </c>
      <c r="CB15" s="28" t="str">
        <f>IFERROR(VLOOKUP(BZ15,Horarios!$H:$I,2,0),"")</f>
        <v/>
      </c>
      <c r="CC15" s="28" t="str">
        <f t="shared" si="13"/>
        <v>00:00</v>
      </c>
      <c r="CD15" s="29"/>
      <c r="CE15" s="27"/>
      <c r="CF15" s="27"/>
      <c r="CG15" s="28" t="str">
        <f>IFERROR(VLOOKUP(CE15,Horarios!$H:$I,2,0),"")</f>
        <v/>
      </c>
      <c r="CH15" s="28" t="str">
        <f>IFERROR(VLOOKUP(CF15,Horarios!$H:$I,2,0),"")</f>
        <v/>
      </c>
      <c r="CI15" s="28" t="str">
        <f t="shared" si="14"/>
        <v>00:00</v>
      </c>
      <c r="CJ15" s="29"/>
      <c r="CK15" s="31" t="str">
        <f t="shared" si="15"/>
        <v/>
      </c>
      <c r="CL15" s="27"/>
      <c r="CM15" s="27"/>
      <c r="CN15" s="28" t="str">
        <f>IFERROR(VLOOKUP(CL15,Horarios!$H:$I,2,0),"")</f>
        <v/>
      </c>
      <c r="CO15" s="28" t="str">
        <f>IFERROR(VLOOKUP(CM15,Horarios!$H:$I,2,0),"")</f>
        <v/>
      </c>
      <c r="CP15" s="28" t="str">
        <f t="shared" si="16"/>
        <v>00:00</v>
      </c>
      <c r="CQ15" s="29"/>
      <c r="CR15" s="27"/>
      <c r="CS15" s="27"/>
      <c r="CT15" s="28" t="str">
        <f>IFERROR(VLOOKUP(CR15,Horarios!$H:$I,2,0),"")</f>
        <v/>
      </c>
      <c r="CU15" s="28" t="str">
        <f>IFERROR(VLOOKUP(CS15,Horarios!$H:$I,2,0),"")</f>
        <v/>
      </c>
      <c r="CV15" s="28" t="str">
        <f t="shared" si="17"/>
        <v>00:00</v>
      </c>
      <c r="CW15" s="29"/>
      <c r="CX15" s="27"/>
      <c r="CY15" s="27"/>
      <c r="CZ15" s="28" t="str">
        <f>IFERROR(VLOOKUP(CX15,Horarios!$H:$I,2,0),"")</f>
        <v/>
      </c>
      <c r="DA15" s="28" t="str">
        <f>IFERROR(VLOOKUP(CY15,Horarios!$H:$I,2,0),"")</f>
        <v/>
      </c>
      <c r="DB15" s="28" t="str">
        <f t="shared" si="18"/>
        <v>00:00</v>
      </c>
      <c r="DC15" s="29"/>
      <c r="DD15" s="27"/>
      <c r="DE15" s="27"/>
      <c r="DF15" s="28" t="str">
        <f>IFERROR(VLOOKUP(DD15,Horarios!$H:$I,2,0),"")</f>
        <v/>
      </c>
      <c r="DG15" s="28" t="str">
        <f>IFERROR(VLOOKUP(DE15,Horarios!$H:$I,2,0),"")</f>
        <v/>
      </c>
      <c r="DH15" s="28" t="str">
        <f t="shared" si="19"/>
        <v>00:00</v>
      </c>
      <c r="DI15" s="29"/>
      <c r="DJ15" s="27"/>
      <c r="DK15" s="27"/>
      <c r="DL15" s="28" t="str">
        <f>IFERROR(VLOOKUP(DJ15,Horarios!$H:$I,2,0),"")</f>
        <v/>
      </c>
      <c r="DM15" s="28" t="str">
        <f>IFERROR(VLOOKUP(DK15,Horarios!$H:$I,2,0),"")</f>
        <v/>
      </c>
      <c r="DN15" s="28" t="str">
        <f t="shared" si="20"/>
        <v>00:00</v>
      </c>
      <c r="DO15" s="29"/>
      <c r="DP15" s="27"/>
      <c r="DQ15" s="27"/>
      <c r="DR15" s="28" t="str">
        <f>IFERROR(VLOOKUP(DP15,Horarios!$H:$I,2,0),"")</f>
        <v/>
      </c>
      <c r="DS15" s="28" t="str">
        <f>IFERROR(VLOOKUP(DQ15,Horarios!$H:$I,2,0),"")</f>
        <v/>
      </c>
      <c r="DT15" s="28" t="str">
        <f t="shared" si="21"/>
        <v>00:00</v>
      </c>
      <c r="DU15" s="29"/>
      <c r="DV15" s="27"/>
      <c r="DW15" s="27"/>
      <c r="DX15" s="28" t="str">
        <f>IFERROR(VLOOKUP(DV15,Horarios!$H:$I,2,0),"")</f>
        <v/>
      </c>
      <c r="DY15" s="28" t="str">
        <f>IFERROR(VLOOKUP(DW15,Horarios!$H:$I,2,0),"")</f>
        <v/>
      </c>
      <c r="DZ15" s="28" t="str">
        <f t="shared" si="22"/>
        <v>00:00</v>
      </c>
      <c r="EA15" s="29"/>
      <c r="EB15" s="31" t="str">
        <f t="shared" si="23"/>
        <v/>
      </c>
      <c r="EC15" s="27"/>
      <c r="ED15" s="27"/>
      <c r="EE15" s="28" t="str">
        <f>IFERROR(VLOOKUP(EC15,Horarios!$H:$I,2,0),"")</f>
        <v/>
      </c>
      <c r="EF15" s="28" t="str">
        <f>IFERROR(VLOOKUP(ED15,Horarios!$H:$I,2,0),"")</f>
        <v/>
      </c>
      <c r="EG15" s="28" t="str">
        <f t="shared" si="24"/>
        <v>00:00</v>
      </c>
      <c r="EH15" s="29"/>
      <c r="EI15" s="27"/>
      <c r="EJ15" s="27"/>
      <c r="EK15" s="28" t="str">
        <f>IFERROR(VLOOKUP(EI15,Horarios!$H:$I,2,0),"")</f>
        <v/>
      </c>
      <c r="EL15" s="28" t="str">
        <f>IFERROR(VLOOKUP(EJ15,Horarios!$H:$I,2,0),"")</f>
        <v/>
      </c>
      <c r="EM15" s="28" t="str">
        <f t="shared" si="25"/>
        <v>00:00</v>
      </c>
      <c r="EN15" s="29"/>
      <c r="EO15" s="27"/>
      <c r="EP15" s="27"/>
      <c r="EQ15" s="28" t="str">
        <f>IFERROR(VLOOKUP(EO15,Horarios!$H:$I,2,0),"")</f>
        <v/>
      </c>
      <c r="ER15" s="28" t="str">
        <f>IFERROR(VLOOKUP(EP15,Horarios!$H:$I,2,0),"")</f>
        <v/>
      </c>
      <c r="ES15" s="28" t="str">
        <f t="shared" si="26"/>
        <v>00:00</v>
      </c>
      <c r="ET15" s="29"/>
      <c r="EU15" s="27"/>
      <c r="EV15" s="27"/>
      <c r="EW15" s="28" t="str">
        <f>IFERROR(VLOOKUP(EU15,Horarios!$H:$I,2,0),"")</f>
        <v/>
      </c>
      <c r="EX15" s="28" t="str">
        <f>IFERROR(VLOOKUP(EV15,Horarios!$H:$I,2,0),"")</f>
        <v/>
      </c>
      <c r="EY15" s="28" t="str">
        <f t="shared" si="27"/>
        <v>00:00</v>
      </c>
      <c r="EZ15" s="29"/>
      <c r="FA15" s="27"/>
      <c r="FB15" s="27"/>
      <c r="FC15" s="28" t="str">
        <f>IFERROR(VLOOKUP(FA15,Horarios!$H:$I,2,0),"")</f>
        <v/>
      </c>
      <c r="FD15" s="28" t="str">
        <f>IFERROR(VLOOKUP(FB15,Horarios!$H:$I,2,0),"")</f>
        <v/>
      </c>
      <c r="FE15" s="28" t="str">
        <f t="shared" si="28"/>
        <v>00:00</v>
      </c>
      <c r="FF15" s="29"/>
      <c r="FG15" s="27"/>
      <c r="FH15" s="27"/>
      <c r="FI15" s="28" t="str">
        <f>IFERROR(VLOOKUP(FG15,Horarios!$H:$I,2,0),"")</f>
        <v/>
      </c>
      <c r="FJ15" s="28" t="str">
        <f>IFERROR(VLOOKUP(FH15,Horarios!$H:$I,2,0),"")</f>
        <v/>
      </c>
      <c r="FK15" s="28" t="str">
        <f t="shared" si="29"/>
        <v>00:00</v>
      </c>
      <c r="FL15" s="29"/>
      <c r="FM15" s="27"/>
      <c r="FN15" s="27"/>
      <c r="FO15" s="28" t="str">
        <f>IFERROR(VLOOKUP(FM15,Horarios!$H:$I,2,0),"")</f>
        <v/>
      </c>
      <c r="FP15" s="28" t="str">
        <f>IFERROR(VLOOKUP(FN15,Horarios!$H:$I,2,0),"")</f>
        <v/>
      </c>
      <c r="FQ15" s="28" t="str">
        <f t="shared" si="30"/>
        <v>00:00</v>
      </c>
      <c r="FR15" s="29"/>
      <c r="FS15" s="31" t="str">
        <f t="shared" si="31"/>
        <v/>
      </c>
      <c r="FT15" s="27"/>
      <c r="FU15" s="27"/>
      <c r="FV15" s="28" t="str">
        <f>IFERROR(VLOOKUP(FT15,Horarios!$H:$I,2,0),"")</f>
        <v/>
      </c>
      <c r="FW15" s="28" t="str">
        <f>IFERROR(VLOOKUP(FU15,Horarios!$H:$I,2,0),"")</f>
        <v/>
      </c>
      <c r="FX15" s="28" t="str">
        <f t="shared" si="32"/>
        <v>00:00</v>
      </c>
      <c r="FY15" s="29"/>
      <c r="FZ15" s="27"/>
      <c r="GA15" s="27"/>
      <c r="GB15" s="28" t="str">
        <f>IFERROR(VLOOKUP(FZ15,Horarios!$H:$I,2,0),"")</f>
        <v/>
      </c>
      <c r="GC15" s="28" t="str">
        <f>IFERROR(VLOOKUP(GA15,Horarios!$H:$I,2,0),"")</f>
        <v/>
      </c>
      <c r="GD15" s="28" t="str">
        <f t="shared" si="33"/>
        <v>00:00</v>
      </c>
      <c r="GE15" s="29"/>
      <c r="GF15" s="27"/>
      <c r="GG15" s="27"/>
      <c r="GH15" s="28" t="str">
        <f>IFERROR(VLOOKUP(GF15,Horarios!$H:$I,2,0),"")</f>
        <v/>
      </c>
      <c r="GI15" s="28" t="str">
        <f>IFERROR(VLOOKUP(GG15,Horarios!$H:$I,2,0),"")</f>
        <v/>
      </c>
      <c r="GJ15" s="28" t="str">
        <f t="shared" si="34"/>
        <v>00:00</v>
      </c>
      <c r="GK15" s="29"/>
      <c r="GL15" s="27"/>
      <c r="GM15" s="27"/>
      <c r="GN15" s="28" t="str">
        <f>IFERROR(VLOOKUP(GL15,Horarios!$H:$I,2,0),"")</f>
        <v/>
      </c>
      <c r="GO15" s="28" t="str">
        <f>IFERROR(VLOOKUP(GM15,Horarios!$H:$I,2,0),"")</f>
        <v/>
      </c>
      <c r="GP15" s="28" t="str">
        <f t="shared" si="35"/>
        <v>00:00</v>
      </c>
      <c r="GQ15" s="29"/>
      <c r="GR15" s="27"/>
      <c r="GS15" s="27"/>
      <c r="GT15" s="28" t="str">
        <f>IFERROR(VLOOKUP(GR15,Horarios!$H:$I,2,0),"")</f>
        <v/>
      </c>
      <c r="GU15" s="28" t="str">
        <f>IFERROR(VLOOKUP(GS15,Horarios!$H:$I,2,0),"")</f>
        <v/>
      </c>
      <c r="GV15" s="28" t="str">
        <f t="shared" si="36"/>
        <v>00:00</v>
      </c>
      <c r="GW15" s="29"/>
      <c r="GX15" s="27"/>
      <c r="GY15" s="27"/>
      <c r="GZ15" s="28" t="str">
        <f>IFERROR(VLOOKUP(GX15,Horarios!$H:$I,2,0),"")</f>
        <v/>
      </c>
      <c r="HA15" s="28" t="str">
        <f>IFERROR(VLOOKUP(GY15,Horarios!$H:$I,2,0),"")</f>
        <v/>
      </c>
      <c r="HB15" s="28" t="str">
        <f t="shared" si="37"/>
        <v>00:00</v>
      </c>
      <c r="HC15" s="29"/>
      <c r="HD15" s="27"/>
      <c r="HE15" s="27"/>
      <c r="HF15" s="28" t="str">
        <f>IFERROR(VLOOKUP(HD15,Horarios!$H:$I,2,0),"")</f>
        <v/>
      </c>
      <c r="HG15" s="28" t="str">
        <f>IFERROR(VLOOKUP(HE15,Horarios!$H:$I,2,0),"")</f>
        <v/>
      </c>
      <c r="HH15" s="28" t="str">
        <f t="shared" si="38"/>
        <v>00:00</v>
      </c>
      <c r="HI15" s="29"/>
      <c r="HJ15" s="31" t="str">
        <f t="shared" si="39"/>
        <v/>
      </c>
      <c r="HK15" s="27"/>
      <c r="HL15" s="27"/>
      <c r="HM15" s="28" t="str">
        <f>IFERROR(VLOOKUP(HK15,Horarios!$H:$I,2,0),"")</f>
        <v/>
      </c>
      <c r="HN15" s="28" t="str">
        <f>IFERROR(VLOOKUP(HL15,Horarios!$H:$I,2,0),"")</f>
        <v/>
      </c>
      <c r="HO15" s="28" t="str">
        <f t="shared" si="40"/>
        <v>00:00</v>
      </c>
      <c r="HP15" s="29"/>
      <c r="HQ15" s="27"/>
      <c r="HR15" s="27"/>
      <c r="HS15" s="28" t="str">
        <f>IFERROR(VLOOKUP(HQ15,Horarios!$H:$I,2,0),"")</f>
        <v/>
      </c>
      <c r="HT15" s="28" t="str">
        <f>IFERROR(VLOOKUP(HR15,Horarios!$H:$I,2,0),"")</f>
        <v/>
      </c>
      <c r="HU15" s="28" t="str">
        <f t="shared" si="41"/>
        <v>00:00</v>
      </c>
      <c r="HV15" s="29"/>
      <c r="HW15" s="27"/>
      <c r="HX15" s="27"/>
      <c r="HY15" s="28" t="str">
        <f>IFERROR(VLOOKUP(HW15,Horarios!$H:$I,2,0),"")</f>
        <v/>
      </c>
      <c r="HZ15" s="28" t="str">
        <f>IFERROR(VLOOKUP(HX15,Horarios!$H:$I,2,0),"")</f>
        <v/>
      </c>
      <c r="IA15" s="28" t="str">
        <f t="shared" si="42"/>
        <v>00:00</v>
      </c>
      <c r="IB15" s="29"/>
      <c r="IC15" s="27"/>
      <c r="ID15" s="27"/>
      <c r="IE15" s="28" t="str">
        <f>IFERROR(VLOOKUP(IC15,Horarios!$H:$I,2,0),"")</f>
        <v/>
      </c>
      <c r="IF15" s="28" t="str">
        <f>IFERROR(VLOOKUP(ID15,Horarios!$H:$I,2,0),"")</f>
        <v/>
      </c>
      <c r="IG15" s="28" t="str">
        <f t="shared" si="43"/>
        <v>00:00</v>
      </c>
      <c r="IH15" s="29"/>
      <c r="II15" s="27"/>
      <c r="IJ15" s="27"/>
      <c r="IK15" s="28" t="str">
        <f>IFERROR(VLOOKUP(II15,Horarios!$H:$I,2,0),"")</f>
        <v/>
      </c>
      <c r="IL15" s="28" t="str">
        <f>IFERROR(VLOOKUP(IJ15,Horarios!$H:$I,2,0),"")</f>
        <v/>
      </c>
      <c r="IM15" s="28" t="str">
        <f t="shared" si="44"/>
        <v>00:00</v>
      </c>
      <c r="IN15" s="29"/>
      <c r="IO15" s="27"/>
      <c r="IP15" s="27"/>
      <c r="IQ15" s="28" t="str">
        <f>IFERROR(VLOOKUP(IO15,Horarios!$H:$I,2,0),"")</f>
        <v/>
      </c>
      <c r="IR15" s="28" t="str">
        <f>IFERROR(VLOOKUP(IP15,Horarios!$H:$I,2,0),"")</f>
        <v/>
      </c>
      <c r="IS15" s="28" t="str">
        <f t="shared" si="45"/>
        <v>00:00</v>
      </c>
      <c r="IT15" s="29"/>
      <c r="IU15" s="27"/>
      <c r="IV15" s="27"/>
      <c r="IW15" s="28" t="str">
        <f>IFERROR(VLOOKUP(IU15,Horarios!$H:$I,2,0),"")</f>
        <v/>
      </c>
      <c r="IX15" s="28" t="str">
        <f>IFERROR(VLOOKUP(IV15,Horarios!$H:$I,2,0),"")</f>
        <v/>
      </c>
      <c r="IY15" s="28" t="str">
        <f t="shared" si="46"/>
        <v>00:00</v>
      </c>
      <c r="IZ15" s="29"/>
      <c r="JA15" s="31" t="str">
        <f t="shared" si="47"/>
        <v/>
      </c>
    </row>
    <row r="16" spans="1:261" s="24" customFormat="1" ht="17.399999999999999" x14ac:dyDescent="0.25">
      <c r="A16" s="25"/>
      <c r="B16" s="26" t="str">
        <f>IFERROR(VLOOKUP(A16,BaseNombres!A:B,2,0),"")</f>
        <v/>
      </c>
      <c r="C16" s="26" t="str">
        <f>IFERROR(VLOOKUP(A16,BaseNombres!A:C,3,0),"")</f>
        <v/>
      </c>
      <c r="D16" s="27"/>
      <c r="E16" s="27"/>
      <c r="F16" s="28" t="str">
        <f>IFERROR(VLOOKUP(D16,Horarios!$H:$I,2,0),"")</f>
        <v/>
      </c>
      <c r="G16" s="28" t="str">
        <f>IFERROR(VLOOKUP(E16,Horarios!$H:$I,2,0),"")</f>
        <v/>
      </c>
      <c r="H16" s="28" t="str">
        <f t="shared" si="0"/>
        <v>00:00</v>
      </c>
      <c r="I16" s="29"/>
      <c r="J16" s="27"/>
      <c r="K16" s="27"/>
      <c r="L16" s="28" t="str">
        <f>IFERROR(VLOOKUP(J16,Horarios!$H:$I,2,0),"")</f>
        <v/>
      </c>
      <c r="M16" s="28" t="str">
        <f>IFERROR(VLOOKUP(K16,Horarios!$H:$I,2,0),"")</f>
        <v/>
      </c>
      <c r="N16" s="28" t="str">
        <f t="shared" si="1"/>
        <v>00:00</v>
      </c>
      <c r="O16" s="29"/>
      <c r="P16" s="27"/>
      <c r="Q16" s="27"/>
      <c r="R16" s="28" t="str">
        <f>IFERROR(VLOOKUP(P16,Horarios!$H:$I,2,0),"")</f>
        <v/>
      </c>
      <c r="S16" s="28" t="str">
        <f>IFERROR(VLOOKUP(Q16,Horarios!$H:$I,2,0),"")</f>
        <v/>
      </c>
      <c r="T16" s="28" t="str">
        <f t="shared" si="2"/>
        <v>00:00</v>
      </c>
      <c r="U16" s="29"/>
      <c r="V16" s="27"/>
      <c r="W16" s="27"/>
      <c r="X16" s="28" t="str">
        <f>IFERROR(VLOOKUP(V16,Horarios!$H:$I,2,0),"")</f>
        <v/>
      </c>
      <c r="Y16" s="28" t="str">
        <f>IFERROR(VLOOKUP(W16,Horarios!$H:$I,2,0),"")</f>
        <v/>
      </c>
      <c r="Z16" s="28" t="str">
        <f t="shared" si="3"/>
        <v>00:00</v>
      </c>
      <c r="AA16" s="29"/>
      <c r="AB16" s="27"/>
      <c r="AC16" s="27"/>
      <c r="AD16" s="28" t="str">
        <f>IFERROR(VLOOKUP(AB16,Horarios!$H:$I,2,0),"")</f>
        <v/>
      </c>
      <c r="AE16" s="28" t="str">
        <f>IFERROR(VLOOKUP(AC16,Horarios!$H:$I,2,0),"")</f>
        <v/>
      </c>
      <c r="AF16" s="28" t="str">
        <f t="shared" si="4"/>
        <v>00:00</v>
      </c>
      <c r="AG16" s="29"/>
      <c r="AH16" s="27"/>
      <c r="AI16" s="27"/>
      <c r="AJ16" s="28" t="str">
        <f>IFERROR(VLOOKUP(AH16,Horarios!$H:$I,2,0),"")</f>
        <v/>
      </c>
      <c r="AK16" s="28" t="str">
        <f>IFERROR(VLOOKUP(AI16,Horarios!$H:$I,2,0),"")</f>
        <v/>
      </c>
      <c r="AL16" s="28" t="str">
        <f t="shared" si="5"/>
        <v>00:00</v>
      </c>
      <c r="AM16" s="29"/>
      <c r="AN16" s="27"/>
      <c r="AO16" s="27"/>
      <c r="AP16" s="28" t="str">
        <f>IFERROR(VLOOKUP(AN16,Horarios!$H:$I,2,0),"")</f>
        <v/>
      </c>
      <c r="AQ16" s="28" t="str">
        <f>IFERROR(VLOOKUP(AO16,Horarios!$H:$I,2,0),"")</f>
        <v/>
      </c>
      <c r="AR16" s="28" t="str">
        <f t="shared" si="6"/>
        <v>00:00</v>
      </c>
      <c r="AS16" s="29"/>
      <c r="AT16" s="31" t="str">
        <f t="shared" si="7"/>
        <v/>
      </c>
      <c r="AU16" s="27"/>
      <c r="AV16" s="27"/>
      <c r="AW16" s="28" t="str">
        <f>IFERROR(VLOOKUP(AU16,Horarios!$H:$I,2,0),"")</f>
        <v/>
      </c>
      <c r="AX16" s="28" t="str">
        <f>IFERROR(VLOOKUP(AV16,Horarios!$H:$I,2,0),"")</f>
        <v/>
      </c>
      <c r="AY16" s="28" t="str">
        <f t="shared" si="8"/>
        <v>00:00</v>
      </c>
      <c r="AZ16" s="29"/>
      <c r="BA16" s="27"/>
      <c r="BB16" s="27"/>
      <c r="BC16" s="28" t="str">
        <f>IFERROR(VLOOKUP(BA16,Horarios!$H:$I,2,0),"")</f>
        <v/>
      </c>
      <c r="BD16" s="28" t="str">
        <f>IFERROR(VLOOKUP(BB16,Horarios!$H:$I,2,0),"")</f>
        <v/>
      </c>
      <c r="BE16" s="28" t="str">
        <f t="shared" si="9"/>
        <v>00:00</v>
      </c>
      <c r="BF16" s="29"/>
      <c r="BG16" s="27"/>
      <c r="BH16" s="27"/>
      <c r="BI16" s="28" t="str">
        <f>IFERROR(VLOOKUP(BG16,Horarios!$H:$I,2,0),"")</f>
        <v/>
      </c>
      <c r="BJ16" s="28" t="str">
        <f>IFERROR(VLOOKUP(BH16,Horarios!$H:$I,2,0),"")</f>
        <v/>
      </c>
      <c r="BK16" s="28" t="str">
        <f t="shared" si="10"/>
        <v>00:00</v>
      </c>
      <c r="BL16" s="29"/>
      <c r="BM16" s="27"/>
      <c r="BN16" s="27"/>
      <c r="BO16" s="28" t="str">
        <f>IFERROR(VLOOKUP(BM16,Horarios!$H:$I,2,0),"")</f>
        <v/>
      </c>
      <c r="BP16" s="28" t="str">
        <f>IFERROR(VLOOKUP(BN16,Horarios!$H:$I,2,0),"")</f>
        <v/>
      </c>
      <c r="BQ16" s="28" t="str">
        <f t="shared" si="11"/>
        <v>00:00</v>
      </c>
      <c r="BR16" s="29"/>
      <c r="BS16" s="27"/>
      <c r="BT16" s="27"/>
      <c r="BU16" s="28" t="str">
        <f>IFERROR(VLOOKUP(BS16,Horarios!$H:$I,2,0),"")</f>
        <v/>
      </c>
      <c r="BV16" s="28" t="str">
        <f>IFERROR(VLOOKUP(BT16,Horarios!$H:$I,2,0),"")</f>
        <v/>
      </c>
      <c r="BW16" s="28" t="str">
        <f t="shared" si="12"/>
        <v>00:00</v>
      </c>
      <c r="BX16" s="29"/>
      <c r="BY16" s="27"/>
      <c r="BZ16" s="27"/>
      <c r="CA16" s="28" t="str">
        <f>IFERROR(VLOOKUP(BY16,Horarios!$H:$I,2,0),"")</f>
        <v/>
      </c>
      <c r="CB16" s="28" t="str">
        <f>IFERROR(VLOOKUP(BZ16,Horarios!$H:$I,2,0),"")</f>
        <v/>
      </c>
      <c r="CC16" s="28" t="str">
        <f t="shared" si="13"/>
        <v>00:00</v>
      </c>
      <c r="CD16" s="29"/>
      <c r="CE16" s="27"/>
      <c r="CF16" s="27"/>
      <c r="CG16" s="28" t="str">
        <f>IFERROR(VLOOKUP(CE16,Horarios!$H:$I,2,0),"")</f>
        <v/>
      </c>
      <c r="CH16" s="28" t="str">
        <f>IFERROR(VLOOKUP(CF16,Horarios!$H:$I,2,0),"")</f>
        <v/>
      </c>
      <c r="CI16" s="28" t="str">
        <f t="shared" si="14"/>
        <v>00:00</v>
      </c>
      <c r="CJ16" s="29"/>
      <c r="CK16" s="31" t="str">
        <f t="shared" si="15"/>
        <v/>
      </c>
      <c r="CL16" s="27"/>
      <c r="CM16" s="27"/>
      <c r="CN16" s="28" t="str">
        <f>IFERROR(VLOOKUP(CL16,Horarios!$H:$I,2,0),"")</f>
        <v/>
      </c>
      <c r="CO16" s="28" t="str">
        <f>IFERROR(VLOOKUP(CM16,Horarios!$H:$I,2,0),"")</f>
        <v/>
      </c>
      <c r="CP16" s="28" t="str">
        <f t="shared" si="16"/>
        <v>00:00</v>
      </c>
      <c r="CQ16" s="29"/>
      <c r="CR16" s="27"/>
      <c r="CS16" s="27"/>
      <c r="CT16" s="28" t="str">
        <f>IFERROR(VLOOKUP(CR16,Horarios!$H:$I,2,0),"")</f>
        <v/>
      </c>
      <c r="CU16" s="28" t="str">
        <f>IFERROR(VLOOKUP(CS16,Horarios!$H:$I,2,0),"")</f>
        <v/>
      </c>
      <c r="CV16" s="28" t="str">
        <f t="shared" si="17"/>
        <v>00:00</v>
      </c>
      <c r="CW16" s="29"/>
      <c r="CX16" s="27"/>
      <c r="CY16" s="27"/>
      <c r="CZ16" s="28" t="str">
        <f>IFERROR(VLOOKUP(CX16,Horarios!$H:$I,2,0),"")</f>
        <v/>
      </c>
      <c r="DA16" s="28" t="str">
        <f>IFERROR(VLOOKUP(CY16,Horarios!$H:$I,2,0),"")</f>
        <v/>
      </c>
      <c r="DB16" s="28" t="str">
        <f t="shared" si="18"/>
        <v>00:00</v>
      </c>
      <c r="DC16" s="29"/>
      <c r="DD16" s="27"/>
      <c r="DE16" s="27"/>
      <c r="DF16" s="28" t="str">
        <f>IFERROR(VLOOKUP(DD16,Horarios!$H:$I,2,0),"")</f>
        <v/>
      </c>
      <c r="DG16" s="28" t="str">
        <f>IFERROR(VLOOKUP(DE16,Horarios!$H:$I,2,0),"")</f>
        <v/>
      </c>
      <c r="DH16" s="28" t="str">
        <f t="shared" si="19"/>
        <v>00:00</v>
      </c>
      <c r="DI16" s="29"/>
      <c r="DJ16" s="27"/>
      <c r="DK16" s="27"/>
      <c r="DL16" s="28" t="str">
        <f>IFERROR(VLOOKUP(DJ16,Horarios!$H:$I,2,0),"")</f>
        <v/>
      </c>
      <c r="DM16" s="28" t="str">
        <f>IFERROR(VLOOKUP(DK16,Horarios!$H:$I,2,0),"")</f>
        <v/>
      </c>
      <c r="DN16" s="28" t="str">
        <f t="shared" si="20"/>
        <v>00:00</v>
      </c>
      <c r="DO16" s="29"/>
      <c r="DP16" s="27"/>
      <c r="DQ16" s="27"/>
      <c r="DR16" s="28" t="str">
        <f>IFERROR(VLOOKUP(DP16,Horarios!$H:$I,2,0),"")</f>
        <v/>
      </c>
      <c r="DS16" s="28" t="str">
        <f>IFERROR(VLOOKUP(DQ16,Horarios!$H:$I,2,0),"")</f>
        <v/>
      </c>
      <c r="DT16" s="28" t="str">
        <f t="shared" si="21"/>
        <v>00:00</v>
      </c>
      <c r="DU16" s="29"/>
      <c r="DV16" s="27"/>
      <c r="DW16" s="27"/>
      <c r="DX16" s="28" t="str">
        <f>IFERROR(VLOOKUP(DV16,Horarios!$H:$I,2,0),"")</f>
        <v/>
      </c>
      <c r="DY16" s="28" t="str">
        <f>IFERROR(VLOOKUP(DW16,Horarios!$H:$I,2,0),"")</f>
        <v/>
      </c>
      <c r="DZ16" s="28" t="str">
        <f t="shared" si="22"/>
        <v>00:00</v>
      </c>
      <c r="EA16" s="29"/>
      <c r="EB16" s="31" t="str">
        <f t="shared" si="23"/>
        <v/>
      </c>
      <c r="EC16" s="27"/>
      <c r="ED16" s="27"/>
      <c r="EE16" s="28" t="str">
        <f>IFERROR(VLOOKUP(EC16,Horarios!$H:$I,2,0),"")</f>
        <v/>
      </c>
      <c r="EF16" s="28" t="str">
        <f>IFERROR(VLOOKUP(ED16,Horarios!$H:$I,2,0),"")</f>
        <v/>
      </c>
      <c r="EG16" s="28" t="str">
        <f t="shared" si="24"/>
        <v>00:00</v>
      </c>
      <c r="EH16" s="29"/>
      <c r="EI16" s="27"/>
      <c r="EJ16" s="27"/>
      <c r="EK16" s="28" t="str">
        <f>IFERROR(VLOOKUP(EI16,Horarios!$H:$I,2,0),"")</f>
        <v/>
      </c>
      <c r="EL16" s="28" t="str">
        <f>IFERROR(VLOOKUP(EJ16,Horarios!$H:$I,2,0),"")</f>
        <v/>
      </c>
      <c r="EM16" s="28" t="str">
        <f t="shared" si="25"/>
        <v>00:00</v>
      </c>
      <c r="EN16" s="29"/>
      <c r="EO16" s="27"/>
      <c r="EP16" s="27"/>
      <c r="EQ16" s="28" t="str">
        <f>IFERROR(VLOOKUP(EO16,Horarios!$H:$I,2,0),"")</f>
        <v/>
      </c>
      <c r="ER16" s="28" t="str">
        <f>IFERROR(VLOOKUP(EP16,Horarios!$H:$I,2,0),"")</f>
        <v/>
      </c>
      <c r="ES16" s="28" t="str">
        <f t="shared" si="26"/>
        <v>00:00</v>
      </c>
      <c r="ET16" s="29"/>
      <c r="EU16" s="27"/>
      <c r="EV16" s="27"/>
      <c r="EW16" s="28" t="str">
        <f>IFERROR(VLOOKUP(EU16,Horarios!$H:$I,2,0),"")</f>
        <v/>
      </c>
      <c r="EX16" s="28" t="str">
        <f>IFERROR(VLOOKUP(EV16,Horarios!$H:$I,2,0),"")</f>
        <v/>
      </c>
      <c r="EY16" s="28" t="str">
        <f t="shared" si="27"/>
        <v>00:00</v>
      </c>
      <c r="EZ16" s="29"/>
      <c r="FA16" s="27"/>
      <c r="FB16" s="27"/>
      <c r="FC16" s="28" t="str">
        <f>IFERROR(VLOOKUP(FA16,Horarios!$H:$I,2,0),"")</f>
        <v/>
      </c>
      <c r="FD16" s="28" t="str">
        <f>IFERROR(VLOOKUP(FB16,Horarios!$H:$I,2,0),"")</f>
        <v/>
      </c>
      <c r="FE16" s="28" t="str">
        <f t="shared" si="28"/>
        <v>00:00</v>
      </c>
      <c r="FF16" s="29"/>
      <c r="FG16" s="27"/>
      <c r="FH16" s="27"/>
      <c r="FI16" s="28" t="str">
        <f>IFERROR(VLOOKUP(FG16,Horarios!$H:$I,2,0),"")</f>
        <v/>
      </c>
      <c r="FJ16" s="28" t="str">
        <f>IFERROR(VLOOKUP(FH16,Horarios!$H:$I,2,0),"")</f>
        <v/>
      </c>
      <c r="FK16" s="28" t="str">
        <f t="shared" si="29"/>
        <v>00:00</v>
      </c>
      <c r="FL16" s="29"/>
      <c r="FM16" s="27"/>
      <c r="FN16" s="27"/>
      <c r="FO16" s="28" t="str">
        <f>IFERROR(VLOOKUP(FM16,Horarios!$H:$I,2,0),"")</f>
        <v/>
      </c>
      <c r="FP16" s="28" t="str">
        <f>IFERROR(VLOOKUP(FN16,Horarios!$H:$I,2,0),"")</f>
        <v/>
      </c>
      <c r="FQ16" s="28" t="str">
        <f t="shared" si="30"/>
        <v>00:00</v>
      </c>
      <c r="FR16" s="29"/>
      <c r="FS16" s="31" t="str">
        <f t="shared" si="31"/>
        <v/>
      </c>
      <c r="FT16" s="27"/>
      <c r="FU16" s="27"/>
      <c r="FV16" s="28" t="str">
        <f>IFERROR(VLOOKUP(FT16,Horarios!$H:$I,2,0),"")</f>
        <v/>
      </c>
      <c r="FW16" s="28" t="str">
        <f>IFERROR(VLOOKUP(FU16,Horarios!$H:$I,2,0),"")</f>
        <v/>
      </c>
      <c r="FX16" s="28" t="str">
        <f t="shared" si="32"/>
        <v>00:00</v>
      </c>
      <c r="FY16" s="29"/>
      <c r="FZ16" s="27"/>
      <c r="GA16" s="27"/>
      <c r="GB16" s="28" t="str">
        <f>IFERROR(VLOOKUP(FZ16,Horarios!$H:$I,2,0),"")</f>
        <v/>
      </c>
      <c r="GC16" s="28" t="str">
        <f>IFERROR(VLOOKUP(GA16,Horarios!$H:$I,2,0),"")</f>
        <v/>
      </c>
      <c r="GD16" s="28" t="str">
        <f t="shared" si="33"/>
        <v>00:00</v>
      </c>
      <c r="GE16" s="29"/>
      <c r="GF16" s="27"/>
      <c r="GG16" s="27"/>
      <c r="GH16" s="28" t="str">
        <f>IFERROR(VLOOKUP(GF16,Horarios!$H:$I,2,0),"")</f>
        <v/>
      </c>
      <c r="GI16" s="28" t="str">
        <f>IFERROR(VLOOKUP(GG16,Horarios!$H:$I,2,0),"")</f>
        <v/>
      </c>
      <c r="GJ16" s="28" t="str">
        <f t="shared" si="34"/>
        <v>00:00</v>
      </c>
      <c r="GK16" s="29"/>
      <c r="GL16" s="27"/>
      <c r="GM16" s="27"/>
      <c r="GN16" s="28" t="str">
        <f>IFERROR(VLOOKUP(GL16,Horarios!$H:$I,2,0),"")</f>
        <v/>
      </c>
      <c r="GO16" s="28" t="str">
        <f>IFERROR(VLOOKUP(GM16,Horarios!$H:$I,2,0),"")</f>
        <v/>
      </c>
      <c r="GP16" s="28" t="str">
        <f t="shared" si="35"/>
        <v>00:00</v>
      </c>
      <c r="GQ16" s="29"/>
      <c r="GR16" s="27"/>
      <c r="GS16" s="27"/>
      <c r="GT16" s="28" t="str">
        <f>IFERROR(VLOOKUP(GR16,Horarios!$H:$I,2,0),"")</f>
        <v/>
      </c>
      <c r="GU16" s="28" t="str">
        <f>IFERROR(VLOOKUP(GS16,Horarios!$H:$I,2,0),"")</f>
        <v/>
      </c>
      <c r="GV16" s="28" t="str">
        <f t="shared" si="36"/>
        <v>00:00</v>
      </c>
      <c r="GW16" s="29"/>
      <c r="GX16" s="27"/>
      <c r="GY16" s="27"/>
      <c r="GZ16" s="28" t="str">
        <f>IFERROR(VLOOKUP(GX16,Horarios!$H:$I,2,0),"")</f>
        <v/>
      </c>
      <c r="HA16" s="28" t="str">
        <f>IFERROR(VLOOKUP(GY16,Horarios!$H:$I,2,0),"")</f>
        <v/>
      </c>
      <c r="HB16" s="28" t="str">
        <f t="shared" si="37"/>
        <v>00:00</v>
      </c>
      <c r="HC16" s="29"/>
      <c r="HD16" s="27"/>
      <c r="HE16" s="27"/>
      <c r="HF16" s="28" t="str">
        <f>IFERROR(VLOOKUP(HD16,Horarios!$H:$I,2,0),"")</f>
        <v/>
      </c>
      <c r="HG16" s="28" t="str">
        <f>IFERROR(VLOOKUP(HE16,Horarios!$H:$I,2,0),"")</f>
        <v/>
      </c>
      <c r="HH16" s="28" t="str">
        <f t="shared" si="38"/>
        <v>00:00</v>
      </c>
      <c r="HI16" s="29"/>
      <c r="HJ16" s="31" t="str">
        <f t="shared" si="39"/>
        <v/>
      </c>
      <c r="HK16" s="27"/>
      <c r="HL16" s="27"/>
      <c r="HM16" s="28" t="str">
        <f>IFERROR(VLOOKUP(HK16,Horarios!$H:$I,2,0),"")</f>
        <v/>
      </c>
      <c r="HN16" s="28" t="str">
        <f>IFERROR(VLOOKUP(HL16,Horarios!$H:$I,2,0),"")</f>
        <v/>
      </c>
      <c r="HO16" s="28" t="str">
        <f t="shared" si="40"/>
        <v>00:00</v>
      </c>
      <c r="HP16" s="29"/>
      <c r="HQ16" s="27"/>
      <c r="HR16" s="27"/>
      <c r="HS16" s="28" t="str">
        <f>IFERROR(VLOOKUP(HQ16,Horarios!$H:$I,2,0),"")</f>
        <v/>
      </c>
      <c r="HT16" s="28" t="str">
        <f>IFERROR(VLOOKUP(HR16,Horarios!$H:$I,2,0),"")</f>
        <v/>
      </c>
      <c r="HU16" s="28" t="str">
        <f t="shared" si="41"/>
        <v>00:00</v>
      </c>
      <c r="HV16" s="29"/>
      <c r="HW16" s="27"/>
      <c r="HX16" s="27"/>
      <c r="HY16" s="28" t="str">
        <f>IFERROR(VLOOKUP(HW16,Horarios!$H:$I,2,0),"")</f>
        <v/>
      </c>
      <c r="HZ16" s="28" t="str">
        <f>IFERROR(VLOOKUP(HX16,Horarios!$H:$I,2,0),"")</f>
        <v/>
      </c>
      <c r="IA16" s="28" t="str">
        <f t="shared" si="42"/>
        <v>00:00</v>
      </c>
      <c r="IB16" s="29"/>
      <c r="IC16" s="27"/>
      <c r="ID16" s="27"/>
      <c r="IE16" s="28" t="str">
        <f>IFERROR(VLOOKUP(IC16,Horarios!$H:$I,2,0),"")</f>
        <v/>
      </c>
      <c r="IF16" s="28" t="str">
        <f>IFERROR(VLOOKUP(ID16,Horarios!$H:$I,2,0),"")</f>
        <v/>
      </c>
      <c r="IG16" s="28" t="str">
        <f t="shared" si="43"/>
        <v>00:00</v>
      </c>
      <c r="IH16" s="29"/>
      <c r="II16" s="27"/>
      <c r="IJ16" s="27"/>
      <c r="IK16" s="28" t="str">
        <f>IFERROR(VLOOKUP(II16,Horarios!$H:$I,2,0),"")</f>
        <v/>
      </c>
      <c r="IL16" s="28" t="str">
        <f>IFERROR(VLOOKUP(IJ16,Horarios!$H:$I,2,0),"")</f>
        <v/>
      </c>
      <c r="IM16" s="28" t="str">
        <f t="shared" si="44"/>
        <v>00:00</v>
      </c>
      <c r="IN16" s="29"/>
      <c r="IO16" s="27"/>
      <c r="IP16" s="27"/>
      <c r="IQ16" s="28" t="str">
        <f>IFERROR(VLOOKUP(IO16,Horarios!$H:$I,2,0),"")</f>
        <v/>
      </c>
      <c r="IR16" s="28" t="str">
        <f>IFERROR(VLOOKUP(IP16,Horarios!$H:$I,2,0),"")</f>
        <v/>
      </c>
      <c r="IS16" s="28" t="str">
        <f t="shared" si="45"/>
        <v>00:00</v>
      </c>
      <c r="IT16" s="29"/>
      <c r="IU16" s="27"/>
      <c r="IV16" s="27"/>
      <c r="IW16" s="28" t="str">
        <f>IFERROR(VLOOKUP(IU16,Horarios!$H:$I,2,0),"")</f>
        <v/>
      </c>
      <c r="IX16" s="28" t="str">
        <f>IFERROR(VLOOKUP(IV16,Horarios!$H:$I,2,0),"")</f>
        <v/>
      </c>
      <c r="IY16" s="28" t="str">
        <f t="shared" si="46"/>
        <v>00:00</v>
      </c>
      <c r="IZ16" s="29"/>
      <c r="JA16" s="31" t="str">
        <f t="shared" si="47"/>
        <v/>
      </c>
    </row>
    <row r="17" spans="1:261" s="24" customFormat="1" ht="17.399999999999999" x14ac:dyDescent="0.25">
      <c r="A17" s="25"/>
      <c r="B17" s="26" t="str">
        <f>IFERROR(VLOOKUP(A17,BaseNombres!A:B,2,0),"")</f>
        <v/>
      </c>
      <c r="C17" s="26" t="str">
        <f>IFERROR(VLOOKUP(A17,BaseNombres!A:C,3,0),"")</f>
        <v/>
      </c>
      <c r="D17" s="27"/>
      <c r="E17" s="27"/>
      <c r="F17" s="28" t="str">
        <f>IFERROR(VLOOKUP(D17,Horarios!$H:$I,2,0),"")</f>
        <v/>
      </c>
      <c r="G17" s="28" t="str">
        <f>IFERROR(VLOOKUP(E17,Horarios!$H:$I,2,0),"")</f>
        <v/>
      </c>
      <c r="H17" s="28" t="str">
        <f t="shared" si="0"/>
        <v>00:00</v>
      </c>
      <c r="I17" s="29"/>
      <c r="J17" s="27"/>
      <c r="K17" s="27"/>
      <c r="L17" s="28" t="str">
        <f>IFERROR(VLOOKUP(J17,Horarios!$H:$I,2,0),"")</f>
        <v/>
      </c>
      <c r="M17" s="28" t="str">
        <f>IFERROR(VLOOKUP(K17,Horarios!$H:$I,2,0),"")</f>
        <v/>
      </c>
      <c r="N17" s="32" t="str">
        <f t="shared" si="1"/>
        <v>00:00</v>
      </c>
      <c r="O17" s="29"/>
      <c r="P17" s="27"/>
      <c r="Q17" s="27"/>
      <c r="R17" s="28" t="str">
        <f>IFERROR(VLOOKUP(P17,Horarios!$H:$I,2,0),"")</f>
        <v/>
      </c>
      <c r="S17" s="28" t="str">
        <f>IFERROR(VLOOKUP(Q17,Horarios!$H:$I,2,0),"")</f>
        <v/>
      </c>
      <c r="T17" s="28" t="str">
        <f t="shared" si="2"/>
        <v>00:00</v>
      </c>
      <c r="U17" s="29"/>
      <c r="V17" s="27"/>
      <c r="W17" s="27"/>
      <c r="X17" s="28" t="str">
        <f>IFERROR(VLOOKUP(V17,Horarios!$H:$I,2,0),"")</f>
        <v/>
      </c>
      <c r="Y17" s="28" t="str">
        <f>IFERROR(VLOOKUP(W17,Horarios!$H:$I,2,0),"")</f>
        <v/>
      </c>
      <c r="Z17" s="28" t="str">
        <f t="shared" si="3"/>
        <v>00:00</v>
      </c>
      <c r="AA17" s="29"/>
      <c r="AB17" s="27"/>
      <c r="AC17" s="27"/>
      <c r="AD17" s="28" t="str">
        <f>IFERROR(VLOOKUP(AB17,Horarios!$H:$I,2,0),"")</f>
        <v/>
      </c>
      <c r="AE17" s="28" t="str">
        <f>IFERROR(VLOOKUP(AC17,Horarios!$H:$I,2,0),"")</f>
        <v/>
      </c>
      <c r="AF17" s="28" t="str">
        <f t="shared" si="4"/>
        <v>00:00</v>
      </c>
      <c r="AG17" s="29"/>
      <c r="AH17" s="27"/>
      <c r="AI17" s="27"/>
      <c r="AJ17" s="28" t="str">
        <f>IFERROR(VLOOKUP(AH17,Horarios!$H:$I,2,0),"")</f>
        <v/>
      </c>
      <c r="AK17" s="28" t="str">
        <f>IFERROR(VLOOKUP(AI17,Horarios!$H:$I,2,0),"")</f>
        <v/>
      </c>
      <c r="AL17" s="28" t="str">
        <f t="shared" si="5"/>
        <v>00:00</v>
      </c>
      <c r="AM17" s="29"/>
      <c r="AN17" s="27"/>
      <c r="AO17" s="27"/>
      <c r="AP17" s="28" t="str">
        <f>IFERROR(VLOOKUP(AN17,Horarios!$H:$I,2,0),"")</f>
        <v/>
      </c>
      <c r="AQ17" s="28" t="str">
        <f>IFERROR(VLOOKUP(AO17,Horarios!$H:$I,2,0),"")</f>
        <v/>
      </c>
      <c r="AR17" s="28" t="str">
        <f t="shared" si="6"/>
        <v>00:00</v>
      </c>
      <c r="AS17" s="29"/>
      <c r="AT17" s="31" t="str">
        <f t="shared" si="7"/>
        <v/>
      </c>
      <c r="AU17" s="27"/>
      <c r="AV17" s="27"/>
      <c r="AW17" s="28" t="str">
        <f>IFERROR(VLOOKUP(AU17,Horarios!$H:$I,2,0),"")</f>
        <v/>
      </c>
      <c r="AX17" s="28" t="str">
        <f>IFERROR(VLOOKUP(AV17,Horarios!$H:$I,2,0),"")</f>
        <v/>
      </c>
      <c r="AY17" s="28" t="str">
        <f t="shared" si="8"/>
        <v>00:00</v>
      </c>
      <c r="AZ17" s="29"/>
      <c r="BA17" s="27"/>
      <c r="BB17" s="27"/>
      <c r="BC17" s="28" t="str">
        <f>IFERROR(VLOOKUP(BA17,Horarios!$H:$I,2,0),"")</f>
        <v/>
      </c>
      <c r="BD17" s="28" t="str">
        <f>IFERROR(VLOOKUP(BB17,Horarios!$H:$I,2,0),"")</f>
        <v/>
      </c>
      <c r="BE17" s="28" t="str">
        <f t="shared" si="9"/>
        <v>00:00</v>
      </c>
      <c r="BF17" s="29"/>
      <c r="BG17" s="27"/>
      <c r="BH17" s="27"/>
      <c r="BI17" s="28" t="str">
        <f>IFERROR(VLOOKUP(BG17,Horarios!$H:$I,2,0),"")</f>
        <v/>
      </c>
      <c r="BJ17" s="28" t="str">
        <f>IFERROR(VLOOKUP(BH17,Horarios!$H:$I,2,0),"")</f>
        <v/>
      </c>
      <c r="BK17" s="28" t="str">
        <f t="shared" si="10"/>
        <v>00:00</v>
      </c>
      <c r="BL17" s="29"/>
      <c r="BM17" s="27"/>
      <c r="BN17" s="27"/>
      <c r="BO17" s="28" t="str">
        <f>IFERROR(VLOOKUP(BM17,Horarios!$H:$I,2,0),"")</f>
        <v/>
      </c>
      <c r="BP17" s="28" t="str">
        <f>IFERROR(VLOOKUP(BN17,Horarios!$H:$I,2,0),"")</f>
        <v/>
      </c>
      <c r="BQ17" s="28" t="str">
        <f t="shared" si="11"/>
        <v>00:00</v>
      </c>
      <c r="BR17" s="29"/>
      <c r="BS17" s="27"/>
      <c r="BT17" s="27"/>
      <c r="BU17" s="28" t="str">
        <f>IFERROR(VLOOKUP(BS17,Horarios!$H:$I,2,0),"")</f>
        <v/>
      </c>
      <c r="BV17" s="28" t="str">
        <f>IFERROR(VLOOKUP(BT17,Horarios!$H:$I,2,0),"")</f>
        <v/>
      </c>
      <c r="BW17" s="28" t="str">
        <f t="shared" si="12"/>
        <v>00:00</v>
      </c>
      <c r="BX17" s="29"/>
      <c r="BY17" s="27"/>
      <c r="BZ17" s="27"/>
      <c r="CA17" s="28" t="str">
        <f>IFERROR(VLOOKUP(BY17,Horarios!$H:$I,2,0),"")</f>
        <v/>
      </c>
      <c r="CB17" s="28" t="str">
        <f>IFERROR(VLOOKUP(BZ17,Horarios!$H:$I,2,0),"")</f>
        <v/>
      </c>
      <c r="CC17" s="28" t="str">
        <f t="shared" si="13"/>
        <v>00:00</v>
      </c>
      <c r="CD17" s="29"/>
      <c r="CE17" s="27"/>
      <c r="CF17" s="27"/>
      <c r="CG17" s="28" t="str">
        <f>IFERROR(VLOOKUP(CE17,Horarios!$H:$I,2,0),"")</f>
        <v/>
      </c>
      <c r="CH17" s="28" t="str">
        <f>IFERROR(VLOOKUP(CF17,Horarios!$H:$I,2,0),"")</f>
        <v/>
      </c>
      <c r="CI17" s="28" t="str">
        <f t="shared" si="14"/>
        <v>00:00</v>
      </c>
      <c r="CJ17" s="29"/>
      <c r="CK17" s="31" t="str">
        <f t="shared" si="15"/>
        <v/>
      </c>
      <c r="CL17" s="27"/>
      <c r="CM17" s="27"/>
      <c r="CN17" s="28" t="str">
        <f>IFERROR(VLOOKUP(CL17,Horarios!$H:$I,2,0),"")</f>
        <v/>
      </c>
      <c r="CO17" s="28" t="str">
        <f>IFERROR(VLOOKUP(CM17,Horarios!$H:$I,2,0),"")</f>
        <v/>
      </c>
      <c r="CP17" s="28" t="str">
        <f t="shared" si="16"/>
        <v>00:00</v>
      </c>
      <c r="CQ17" s="29"/>
      <c r="CR17" s="27"/>
      <c r="CS17" s="27"/>
      <c r="CT17" s="28" t="str">
        <f>IFERROR(VLOOKUP(CR17,Horarios!$H:$I,2,0),"")</f>
        <v/>
      </c>
      <c r="CU17" s="28" t="str">
        <f>IFERROR(VLOOKUP(CS17,Horarios!$H:$I,2,0),"")</f>
        <v/>
      </c>
      <c r="CV17" s="28" t="str">
        <f t="shared" si="17"/>
        <v>00:00</v>
      </c>
      <c r="CW17" s="29"/>
      <c r="CX17" s="27"/>
      <c r="CY17" s="27"/>
      <c r="CZ17" s="28" t="str">
        <f>IFERROR(VLOOKUP(CX17,Horarios!$H:$I,2,0),"")</f>
        <v/>
      </c>
      <c r="DA17" s="28" t="str">
        <f>IFERROR(VLOOKUP(CY17,Horarios!$H:$I,2,0),"")</f>
        <v/>
      </c>
      <c r="DB17" s="28" t="str">
        <f t="shared" si="18"/>
        <v>00:00</v>
      </c>
      <c r="DC17" s="29"/>
      <c r="DD17" s="27"/>
      <c r="DE17" s="27"/>
      <c r="DF17" s="28" t="str">
        <f>IFERROR(VLOOKUP(DD17,Horarios!$H:$I,2,0),"")</f>
        <v/>
      </c>
      <c r="DG17" s="28" t="str">
        <f>IFERROR(VLOOKUP(DE17,Horarios!$H:$I,2,0),"")</f>
        <v/>
      </c>
      <c r="DH17" s="28" t="str">
        <f t="shared" si="19"/>
        <v>00:00</v>
      </c>
      <c r="DI17" s="29"/>
      <c r="DJ17" s="27"/>
      <c r="DK17" s="27"/>
      <c r="DL17" s="28" t="str">
        <f>IFERROR(VLOOKUP(DJ17,Horarios!$H:$I,2,0),"")</f>
        <v/>
      </c>
      <c r="DM17" s="28" t="str">
        <f>IFERROR(VLOOKUP(DK17,Horarios!$H:$I,2,0),"")</f>
        <v/>
      </c>
      <c r="DN17" s="28" t="str">
        <f t="shared" si="20"/>
        <v>00:00</v>
      </c>
      <c r="DO17" s="29"/>
      <c r="DP17" s="27"/>
      <c r="DQ17" s="27"/>
      <c r="DR17" s="28" t="str">
        <f>IFERROR(VLOOKUP(DP17,Horarios!$H:$I,2,0),"")</f>
        <v/>
      </c>
      <c r="DS17" s="28" t="str">
        <f>IFERROR(VLOOKUP(DQ17,Horarios!$H:$I,2,0),"")</f>
        <v/>
      </c>
      <c r="DT17" s="28" t="str">
        <f t="shared" si="21"/>
        <v>00:00</v>
      </c>
      <c r="DU17" s="29"/>
      <c r="DV17" s="27"/>
      <c r="DW17" s="27"/>
      <c r="DX17" s="28" t="str">
        <f>IFERROR(VLOOKUP(DV17,Horarios!$H:$I,2,0),"")</f>
        <v/>
      </c>
      <c r="DY17" s="28" t="str">
        <f>IFERROR(VLOOKUP(DW17,Horarios!$H:$I,2,0),"")</f>
        <v/>
      </c>
      <c r="DZ17" s="28" t="str">
        <f t="shared" si="22"/>
        <v>00:00</v>
      </c>
      <c r="EA17" s="29"/>
      <c r="EB17" s="31" t="str">
        <f t="shared" si="23"/>
        <v/>
      </c>
      <c r="EC17" s="27"/>
      <c r="ED17" s="27"/>
      <c r="EE17" s="28" t="str">
        <f>IFERROR(VLOOKUP(EC17,Horarios!$H:$I,2,0),"")</f>
        <v/>
      </c>
      <c r="EF17" s="28" t="str">
        <f>IFERROR(VLOOKUP(ED17,Horarios!$H:$I,2,0),"")</f>
        <v/>
      </c>
      <c r="EG17" s="28" t="str">
        <f t="shared" si="24"/>
        <v>00:00</v>
      </c>
      <c r="EH17" s="29"/>
      <c r="EI17" s="27"/>
      <c r="EJ17" s="27"/>
      <c r="EK17" s="28" t="str">
        <f>IFERROR(VLOOKUP(EI17,Horarios!$H:$I,2,0),"")</f>
        <v/>
      </c>
      <c r="EL17" s="28" t="str">
        <f>IFERROR(VLOOKUP(EJ17,Horarios!$H:$I,2,0),"")</f>
        <v/>
      </c>
      <c r="EM17" s="28" t="str">
        <f t="shared" si="25"/>
        <v>00:00</v>
      </c>
      <c r="EN17" s="29"/>
      <c r="EO17" s="27"/>
      <c r="EP17" s="27"/>
      <c r="EQ17" s="28" t="str">
        <f>IFERROR(VLOOKUP(EO17,Horarios!$H:$I,2,0),"")</f>
        <v/>
      </c>
      <c r="ER17" s="28" t="str">
        <f>IFERROR(VLOOKUP(EP17,Horarios!$H:$I,2,0),"")</f>
        <v/>
      </c>
      <c r="ES17" s="28" t="str">
        <f t="shared" si="26"/>
        <v>00:00</v>
      </c>
      <c r="ET17" s="29"/>
      <c r="EU17" s="27"/>
      <c r="EV17" s="27"/>
      <c r="EW17" s="28" t="str">
        <f>IFERROR(VLOOKUP(EU17,Horarios!$H:$I,2,0),"")</f>
        <v/>
      </c>
      <c r="EX17" s="28" t="str">
        <f>IFERROR(VLOOKUP(EV17,Horarios!$H:$I,2,0),"")</f>
        <v/>
      </c>
      <c r="EY17" s="28" t="str">
        <f t="shared" si="27"/>
        <v>00:00</v>
      </c>
      <c r="EZ17" s="29"/>
      <c r="FA17" s="27"/>
      <c r="FB17" s="27"/>
      <c r="FC17" s="28" t="str">
        <f>IFERROR(VLOOKUP(FA17,Horarios!$H:$I,2,0),"")</f>
        <v/>
      </c>
      <c r="FD17" s="28" t="str">
        <f>IFERROR(VLOOKUP(FB17,Horarios!$H:$I,2,0),"")</f>
        <v/>
      </c>
      <c r="FE17" s="28" t="str">
        <f t="shared" si="28"/>
        <v>00:00</v>
      </c>
      <c r="FF17" s="29"/>
      <c r="FG17" s="27"/>
      <c r="FH17" s="27"/>
      <c r="FI17" s="28" t="str">
        <f>IFERROR(VLOOKUP(FG17,Horarios!$H:$I,2,0),"")</f>
        <v/>
      </c>
      <c r="FJ17" s="28" t="str">
        <f>IFERROR(VLOOKUP(FH17,Horarios!$H:$I,2,0),"")</f>
        <v/>
      </c>
      <c r="FK17" s="28" t="str">
        <f t="shared" si="29"/>
        <v>00:00</v>
      </c>
      <c r="FL17" s="29"/>
      <c r="FM17" s="27"/>
      <c r="FN17" s="27"/>
      <c r="FO17" s="28" t="str">
        <f>IFERROR(VLOOKUP(FM17,Horarios!$H:$I,2,0),"")</f>
        <v/>
      </c>
      <c r="FP17" s="28" t="str">
        <f>IFERROR(VLOOKUP(FN17,Horarios!$H:$I,2,0),"")</f>
        <v/>
      </c>
      <c r="FQ17" s="28" t="str">
        <f t="shared" si="30"/>
        <v>00:00</v>
      </c>
      <c r="FR17" s="29"/>
      <c r="FS17" s="31" t="str">
        <f t="shared" si="31"/>
        <v/>
      </c>
      <c r="FT17" s="27"/>
      <c r="FU17" s="27"/>
      <c r="FV17" s="28" t="str">
        <f>IFERROR(VLOOKUP(FT17,Horarios!$H:$I,2,0),"")</f>
        <v/>
      </c>
      <c r="FW17" s="28" t="str">
        <f>IFERROR(VLOOKUP(FU17,Horarios!$H:$I,2,0),"")</f>
        <v/>
      </c>
      <c r="FX17" s="28" t="str">
        <f t="shared" si="32"/>
        <v>00:00</v>
      </c>
      <c r="FY17" s="29"/>
      <c r="FZ17" s="27"/>
      <c r="GA17" s="27"/>
      <c r="GB17" s="28" t="str">
        <f>IFERROR(VLOOKUP(FZ17,Horarios!$H:$I,2,0),"")</f>
        <v/>
      </c>
      <c r="GC17" s="28" t="str">
        <f>IFERROR(VLOOKUP(GA17,Horarios!$H:$I,2,0),"")</f>
        <v/>
      </c>
      <c r="GD17" s="28" t="str">
        <f t="shared" si="33"/>
        <v>00:00</v>
      </c>
      <c r="GE17" s="29"/>
      <c r="GF17" s="27"/>
      <c r="GG17" s="27"/>
      <c r="GH17" s="28" t="str">
        <f>IFERROR(VLOOKUP(GF17,Horarios!$H:$I,2,0),"")</f>
        <v/>
      </c>
      <c r="GI17" s="28" t="str">
        <f>IFERROR(VLOOKUP(GG17,Horarios!$H:$I,2,0),"")</f>
        <v/>
      </c>
      <c r="GJ17" s="28" t="str">
        <f t="shared" si="34"/>
        <v>00:00</v>
      </c>
      <c r="GK17" s="29"/>
      <c r="GL17" s="27"/>
      <c r="GM17" s="27"/>
      <c r="GN17" s="28" t="str">
        <f>IFERROR(VLOOKUP(GL17,Horarios!$H:$I,2,0),"")</f>
        <v/>
      </c>
      <c r="GO17" s="28" t="str">
        <f>IFERROR(VLOOKUP(GM17,Horarios!$H:$I,2,0),"")</f>
        <v/>
      </c>
      <c r="GP17" s="28" t="str">
        <f t="shared" si="35"/>
        <v>00:00</v>
      </c>
      <c r="GQ17" s="29"/>
      <c r="GR17" s="27"/>
      <c r="GS17" s="27"/>
      <c r="GT17" s="28" t="str">
        <f>IFERROR(VLOOKUP(GR17,Horarios!$H:$I,2,0),"")</f>
        <v/>
      </c>
      <c r="GU17" s="28" t="str">
        <f>IFERROR(VLOOKUP(GS17,Horarios!$H:$I,2,0),"")</f>
        <v/>
      </c>
      <c r="GV17" s="28" t="str">
        <f t="shared" si="36"/>
        <v>00:00</v>
      </c>
      <c r="GW17" s="29"/>
      <c r="GX17" s="27"/>
      <c r="GY17" s="27"/>
      <c r="GZ17" s="28" t="str">
        <f>IFERROR(VLOOKUP(GX17,Horarios!$H:$I,2,0),"")</f>
        <v/>
      </c>
      <c r="HA17" s="28" t="str">
        <f>IFERROR(VLOOKUP(GY17,Horarios!$H:$I,2,0),"")</f>
        <v/>
      </c>
      <c r="HB17" s="28" t="str">
        <f t="shared" si="37"/>
        <v>00:00</v>
      </c>
      <c r="HC17" s="29"/>
      <c r="HD17" s="27"/>
      <c r="HE17" s="27"/>
      <c r="HF17" s="28" t="str">
        <f>IFERROR(VLOOKUP(HD17,Horarios!$H:$I,2,0),"")</f>
        <v/>
      </c>
      <c r="HG17" s="28" t="str">
        <f>IFERROR(VLOOKUP(HE17,Horarios!$H:$I,2,0),"")</f>
        <v/>
      </c>
      <c r="HH17" s="28" t="str">
        <f t="shared" si="38"/>
        <v>00:00</v>
      </c>
      <c r="HI17" s="29"/>
      <c r="HJ17" s="31" t="str">
        <f t="shared" si="39"/>
        <v/>
      </c>
      <c r="HK17" s="27"/>
      <c r="HL17" s="27"/>
      <c r="HM17" s="28" t="str">
        <f>IFERROR(VLOOKUP(HK17,Horarios!$H:$I,2,0),"")</f>
        <v/>
      </c>
      <c r="HN17" s="28" t="str">
        <f>IFERROR(VLOOKUP(HL17,Horarios!$H:$I,2,0),"")</f>
        <v/>
      </c>
      <c r="HO17" s="28" t="str">
        <f t="shared" si="40"/>
        <v>00:00</v>
      </c>
      <c r="HP17" s="29"/>
      <c r="HQ17" s="27"/>
      <c r="HR17" s="27"/>
      <c r="HS17" s="28" t="str">
        <f>IFERROR(VLOOKUP(HQ17,Horarios!$H:$I,2,0),"")</f>
        <v/>
      </c>
      <c r="HT17" s="28" t="str">
        <f>IFERROR(VLOOKUP(HR17,Horarios!$H:$I,2,0),"")</f>
        <v/>
      </c>
      <c r="HU17" s="28" t="str">
        <f t="shared" si="41"/>
        <v>00:00</v>
      </c>
      <c r="HV17" s="29"/>
      <c r="HW17" s="27"/>
      <c r="HX17" s="27"/>
      <c r="HY17" s="28" t="str">
        <f>IFERROR(VLOOKUP(HW17,Horarios!$H:$I,2,0),"")</f>
        <v/>
      </c>
      <c r="HZ17" s="28" t="str">
        <f>IFERROR(VLOOKUP(HX17,Horarios!$H:$I,2,0),"")</f>
        <v/>
      </c>
      <c r="IA17" s="28" t="str">
        <f t="shared" si="42"/>
        <v>00:00</v>
      </c>
      <c r="IB17" s="29"/>
      <c r="IC17" s="27"/>
      <c r="ID17" s="27"/>
      <c r="IE17" s="28" t="str">
        <f>IFERROR(VLOOKUP(IC17,Horarios!$H:$I,2,0),"")</f>
        <v/>
      </c>
      <c r="IF17" s="28" t="str">
        <f>IFERROR(VLOOKUP(ID17,Horarios!$H:$I,2,0),"")</f>
        <v/>
      </c>
      <c r="IG17" s="28" t="str">
        <f t="shared" si="43"/>
        <v>00:00</v>
      </c>
      <c r="IH17" s="29"/>
      <c r="II17" s="27"/>
      <c r="IJ17" s="27"/>
      <c r="IK17" s="28" t="str">
        <f>IFERROR(VLOOKUP(II17,Horarios!$H:$I,2,0),"")</f>
        <v/>
      </c>
      <c r="IL17" s="28" t="str">
        <f>IFERROR(VLOOKUP(IJ17,Horarios!$H:$I,2,0),"")</f>
        <v/>
      </c>
      <c r="IM17" s="28" t="str">
        <f t="shared" si="44"/>
        <v>00:00</v>
      </c>
      <c r="IN17" s="29"/>
      <c r="IO17" s="27"/>
      <c r="IP17" s="27"/>
      <c r="IQ17" s="28" t="str">
        <f>IFERROR(VLOOKUP(IO17,Horarios!$H:$I,2,0),"")</f>
        <v/>
      </c>
      <c r="IR17" s="28" t="str">
        <f>IFERROR(VLOOKUP(IP17,Horarios!$H:$I,2,0),"")</f>
        <v/>
      </c>
      <c r="IS17" s="28" t="str">
        <f t="shared" si="45"/>
        <v>00:00</v>
      </c>
      <c r="IT17" s="29"/>
      <c r="IU17" s="27"/>
      <c r="IV17" s="27"/>
      <c r="IW17" s="28" t="str">
        <f>IFERROR(VLOOKUP(IU17,Horarios!$H:$I,2,0),"")</f>
        <v/>
      </c>
      <c r="IX17" s="28" t="str">
        <f>IFERROR(VLOOKUP(IV17,Horarios!$H:$I,2,0),"")</f>
        <v/>
      </c>
      <c r="IY17" s="28" t="str">
        <f t="shared" si="46"/>
        <v>00:00</v>
      </c>
      <c r="IZ17" s="29"/>
      <c r="JA17" s="31" t="str">
        <f t="shared" si="47"/>
        <v/>
      </c>
    </row>
    <row r="18" spans="1:261" s="24" customFormat="1" ht="17.399999999999999" x14ac:dyDescent="0.25">
      <c r="A18" s="25"/>
      <c r="B18" s="26" t="str">
        <f>IFERROR(VLOOKUP(A18,BaseNombres!A:B,2,0),"")</f>
        <v/>
      </c>
      <c r="C18" s="26" t="str">
        <f>IFERROR(VLOOKUP(A18,BaseNombres!A:C,3,0),"")</f>
        <v/>
      </c>
      <c r="D18" s="27"/>
      <c r="E18" s="27"/>
      <c r="F18" s="28" t="str">
        <f>IFERROR(VLOOKUP(D18,Horarios!$H:$I,2,0),"")</f>
        <v/>
      </c>
      <c r="G18" s="28" t="str">
        <f>IFERROR(VLOOKUP(E18,Horarios!$H:$I,2,0),"")</f>
        <v/>
      </c>
      <c r="H18" s="28" t="str">
        <f t="shared" si="0"/>
        <v>00:00</v>
      </c>
      <c r="I18" s="29"/>
      <c r="J18" s="27"/>
      <c r="K18" s="27"/>
      <c r="L18" s="28" t="str">
        <f>IFERROR(VLOOKUP(J18,Horarios!$H:$I,2,0),"")</f>
        <v/>
      </c>
      <c r="M18" s="28" t="str">
        <f>IFERROR(VLOOKUP(K18,Horarios!$H:$I,2,0),"")</f>
        <v/>
      </c>
      <c r="N18" s="32" t="str">
        <f t="shared" si="1"/>
        <v>00:00</v>
      </c>
      <c r="O18" s="29"/>
      <c r="P18" s="27"/>
      <c r="Q18" s="27"/>
      <c r="R18" s="28" t="str">
        <f>IFERROR(VLOOKUP(P18,Horarios!$H:$I,2,0),"")</f>
        <v/>
      </c>
      <c r="S18" s="28" t="str">
        <f>IFERROR(VLOOKUP(Q18,Horarios!$H:$I,2,0),"")</f>
        <v/>
      </c>
      <c r="T18" s="28" t="str">
        <f t="shared" si="2"/>
        <v>00:00</v>
      </c>
      <c r="U18" s="29"/>
      <c r="V18" s="27"/>
      <c r="W18" s="27"/>
      <c r="X18" s="28" t="str">
        <f>IFERROR(VLOOKUP(V18,Horarios!$H:$I,2,0),"")</f>
        <v/>
      </c>
      <c r="Y18" s="28" t="str">
        <f>IFERROR(VLOOKUP(W18,Horarios!$H:$I,2,0),"")</f>
        <v/>
      </c>
      <c r="Z18" s="28" t="str">
        <f t="shared" si="3"/>
        <v>00:00</v>
      </c>
      <c r="AA18" s="29"/>
      <c r="AB18" s="27"/>
      <c r="AC18" s="27"/>
      <c r="AD18" s="28" t="str">
        <f>IFERROR(VLOOKUP(AB18,Horarios!$H:$I,2,0),"")</f>
        <v/>
      </c>
      <c r="AE18" s="28" t="str">
        <f>IFERROR(VLOOKUP(AC18,Horarios!$H:$I,2,0),"")</f>
        <v/>
      </c>
      <c r="AF18" s="28" t="str">
        <f t="shared" si="4"/>
        <v>00:00</v>
      </c>
      <c r="AG18" s="29"/>
      <c r="AH18" s="27"/>
      <c r="AI18" s="27"/>
      <c r="AJ18" s="28" t="str">
        <f>IFERROR(VLOOKUP(AH18,Horarios!$H:$I,2,0),"")</f>
        <v/>
      </c>
      <c r="AK18" s="28" t="str">
        <f>IFERROR(VLOOKUP(AI18,Horarios!$H:$I,2,0),"")</f>
        <v/>
      </c>
      <c r="AL18" s="28" t="str">
        <f t="shared" si="5"/>
        <v>00:00</v>
      </c>
      <c r="AM18" s="29"/>
      <c r="AN18" s="27"/>
      <c r="AO18" s="27"/>
      <c r="AP18" s="28" t="str">
        <f>IFERROR(VLOOKUP(AN18,Horarios!$H:$I,2,0),"")</f>
        <v/>
      </c>
      <c r="AQ18" s="28" t="str">
        <f>IFERROR(VLOOKUP(AO18,Horarios!$H:$I,2,0),"")</f>
        <v/>
      </c>
      <c r="AR18" s="28" t="str">
        <f t="shared" si="6"/>
        <v>00:00</v>
      </c>
      <c r="AS18" s="29"/>
      <c r="AT18" s="31" t="str">
        <f t="shared" si="7"/>
        <v/>
      </c>
      <c r="AU18" s="27"/>
      <c r="AV18" s="27"/>
      <c r="AW18" s="28" t="str">
        <f>IFERROR(VLOOKUP(AU18,Horarios!$H:$I,2,0),"")</f>
        <v/>
      </c>
      <c r="AX18" s="28" t="str">
        <f>IFERROR(VLOOKUP(AV18,Horarios!$H:$I,2,0),"")</f>
        <v/>
      </c>
      <c r="AY18" s="28" t="str">
        <f t="shared" si="8"/>
        <v>00:00</v>
      </c>
      <c r="AZ18" s="29"/>
      <c r="BA18" s="27"/>
      <c r="BB18" s="27"/>
      <c r="BC18" s="28" t="str">
        <f>IFERROR(VLOOKUP(BA18,Horarios!$H:$I,2,0),"")</f>
        <v/>
      </c>
      <c r="BD18" s="28" t="str">
        <f>IFERROR(VLOOKUP(BB18,Horarios!$H:$I,2,0),"")</f>
        <v/>
      </c>
      <c r="BE18" s="28" t="str">
        <f t="shared" si="9"/>
        <v>00:00</v>
      </c>
      <c r="BF18" s="29"/>
      <c r="BG18" s="27"/>
      <c r="BH18" s="27"/>
      <c r="BI18" s="28" t="str">
        <f>IFERROR(VLOOKUP(BG18,Horarios!$H:$I,2,0),"")</f>
        <v/>
      </c>
      <c r="BJ18" s="28" t="str">
        <f>IFERROR(VLOOKUP(BH18,Horarios!$H:$I,2,0),"")</f>
        <v/>
      </c>
      <c r="BK18" s="28" t="str">
        <f t="shared" si="10"/>
        <v>00:00</v>
      </c>
      <c r="BL18" s="29"/>
      <c r="BM18" s="27"/>
      <c r="BN18" s="27"/>
      <c r="BO18" s="28" t="str">
        <f>IFERROR(VLOOKUP(BM18,Horarios!$H:$I,2,0),"")</f>
        <v/>
      </c>
      <c r="BP18" s="28" t="str">
        <f>IFERROR(VLOOKUP(BN18,Horarios!$H:$I,2,0),"")</f>
        <v/>
      </c>
      <c r="BQ18" s="28" t="str">
        <f t="shared" si="11"/>
        <v>00:00</v>
      </c>
      <c r="BR18" s="29"/>
      <c r="BS18" s="27"/>
      <c r="BT18" s="27"/>
      <c r="BU18" s="28" t="str">
        <f>IFERROR(VLOOKUP(BS18,Horarios!$H:$I,2,0),"")</f>
        <v/>
      </c>
      <c r="BV18" s="28" t="str">
        <f>IFERROR(VLOOKUP(BT18,Horarios!$H:$I,2,0),"")</f>
        <v/>
      </c>
      <c r="BW18" s="28" t="str">
        <f t="shared" si="12"/>
        <v>00:00</v>
      </c>
      <c r="BX18" s="29"/>
      <c r="BY18" s="27"/>
      <c r="BZ18" s="27"/>
      <c r="CA18" s="28" t="str">
        <f>IFERROR(VLOOKUP(BY18,Horarios!$H:$I,2,0),"")</f>
        <v/>
      </c>
      <c r="CB18" s="28" t="str">
        <f>IFERROR(VLOOKUP(BZ18,Horarios!$H:$I,2,0),"")</f>
        <v/>
      </c>
      <c r="CC18" s="28" t="str">
        <f t="shared" si="13"/>
        <v>00:00</v>
      </c>
      <c r="CD18" s="29"/>
      <c r="CE18" s="27"/>
      <c r="CF18" s="27"/>
      <c r="CG18" s="28" t="str">
        <f>IFERROR(VLOOKUP(CE18,Horarios!$H:$I,2,0),"")</f>
        <v/>
      </c>
      <c r="CH18" s="28" t="str">
        <f>IFERROR(VLOOKUP(CF18,Horarios!$H:$I,2,0),"")</f>
        <v/>
      </c>
      <c r="CI18" s="28" t="str">
        <f t="shared" si="14"/>
        <v>00:00</v>
      </c>
      <c r="CJ18" s="29"/>
      <c r="CK18" s="31" t="str">
        <f t="shared" si="15"/>
        <v/>
      </c>
      <c r="CL18" s="27"/>
      <c r="CM18" s="27"/>
      <c r="CN18" s="28" t="str">
        <f>IFERROR(VLOOKUP(CL18,Horarios!$H:$I,2,0),"")</f>
        <v/>
      </c>
      <c r="CO18" s="28" t="str">
        <f>IFERROR(VLOOKUP(CM18,Horarios!$H:$I,2,0),"")</f>
        <v/>
      </c>
      <c r="CP18" s="28" t="str">
        <f t="shared" si="16"/>
        <v>00:00</v>
      </c>
      <c r="CQ18" s="29"/>
      <c r="CR18" s="27"/>
      <c r="CS18" s="27"/>
      <c r="CT18" s="28" t="str">
        <f>IFERROR(VLOOKUP(CR18,Horarios!$H:$I,2,0),"")</f>
        <v/>
      </c>
      <c r="CU18" s="28" t="str">
        <f>IFERROR(VLOOKUP(CS18,Horarios!$H:$I,2,0),"")</f>
        <v/>
      </c>
      <c r="CV18" s="28" t="str">
        <f t="shared" si="17"/>
        <v>00:00</v>
      </c>
      <c r="CW18" s="29"/>
      <c r="CX18" s="27"/>
      <c r="CY18" s="27"/>
      <c r="CZ18" s="28" t="str">
        <f>IFERROR(VLOOKUP(CX18,Horarios!$H:$I,2,0),"")</f>
        <v/>
      </c>
      <c r="DA18" s="28" t="str">
        <f>IFERROR(VLOOKUP(CY18,Horarios!$H:$I,2,0),"")</f>
        <v/>
      </c>
      <c r="DB18" s="28" t="str">
        <f t="shared" si="18"/>
        <v>00:00</v>
      </c>
      <c r="DC18" s="29"/>
      <c r="DD18" s="27"/>
      <c r="DE18" s="27"/>
      <c r="DF18" s="28" t="str">
        <f>IFERROR(VLOOKUP(DD18,Horarios!$H:$I,2,0),"")</f>
        <v/>
      </c>
      <c r="DG18" s="28" t="str">
        <f>IFERROR(VLOOKUP(DE18,Horarios!$H:$I,2,0),"")</f>
        <v/>
      </c>
      <c r="DH18" s="28" t="str">
        <f t="shared" si="19"/>
        <v>00:00</v>
      </c>
      <c r="DI18" s="29"/>
      <c r="DJ18" s="27"/>
      <c r="DK18" s="27"/>
      <c r="DL18" s="28" t="str">
        <f>IFERROR(VLOOKUP(DJ18,Horarios!$H:$I,2,0),"")</f>
        <v/>
      </c>
      <c r="DM18" s="28" t="str">
        <f>IFERROR(VLOOKUP(DK18,Horarios!$H:$I,2,0),"")</f>
        <v/>
      </c>
      <c r="DN18" s="28" t="str">
        <f t="shared" si="20"/>
        <v>00:00</v>
      </c>
      <c r="DO18" s="29"/>
      <c r="DP18" s="27"/>
      <c r="DQ18" s="27"/>
      <c r="DR18" s="28" t="str">
        <f>IFERROR(VLOOKUP(DP18,Horarios!$H:$I,2,0),"")</f>
        <v/>
      </c>
      <c r="DS18" s="28" t="str">
        <f>IFERROR(VLOOKUP(DQ18,Horarios!$H:$I,2,0),"")</f>
        <v/>
      </c>
      <c r="DT18" s="28" t="str">
        <f t="shared" si="21"/>
        <v>00:00</v>
      </c>
      <c r="DU18" s="29"/>
      <c r="DV18" s="27"/>
      <c r="DW18" s="27"/>
      <c r="DX18" s="28" t="str">
        <f>IFERROR(VLOOKUP(DV18,Horarios!$H:$I,2,0),"")</f>
        <v/>
      </c>
      <c r="DY18" s="28" t="str">
        <f>IFERROR(VLOOKUP(DW18,Horarios!$H:$I,2,0),"")</f>
        <v/>
      </c>
      <c r="DZ18" s="28" t="str">
        <f t="shared" si="22"/>
        <v>00:00</v>
      </c>
      <c r="EA18" s="29"/>
      <c r="EB18" s="31" t="str">
        <f t="shared" si="23"/>
        <v/>
      </c>
      <c r="EC18" s="27"/>
      <c r="ED18" s="27"/>
      <c r="EE18" s="28" t="str">
        <f>IFERROR(VLOOKUP(EC18,Horarios!$H:$I,2,0),"")</f>
        <v/>
      </c>
      <c r="EF18" s="28" t="str">
        <f>IFERROR(VLOOKUP(ED18,Horarios!$H:$I,2,0),"")</f>
        <v/>
      </c>
      <c r="EG18" s="28" t="str">
        <f t="shared" si="24"/>
        <v>00:00</v>
      </c>
      <c r="EH18" s="29"/>
      <c r="EI18" s="27"/>
      <c r="EJ18" s="27"/>
      <c r="EK18" s="28" t="str">
        <f>IFERROR(VLOOKUP(EI18,Horarios!$H:$I,2,0),"")</f>
        <v/>
      </c>
      <c r="EL18" s="28" t="str">
        <f>IFERROR(VLOOKUP(EJ18,Horarios!$H:$I,2,0),"")</f>
        <v/>
      </c>
      <c r="EM18" s="28" t="str">
        <f t="shared" si="25"/>
        <v>00:00</v>
      </c>
      <c r="EN18" s="29"/>
      <c r="EO18" s="27"/>
      <c r="EP18" s="27"/>
      <c r="EQ18" s="28" t="str">
        <f>IFERROR(VLOOKUP(EO18,Horarios!$H:$I,2,0),"")</f>
        <v/>
      </c>
      <c r="ER18" s="28" t="str">
        <f>IFERROR(VLOOKUP(EP18,Horarios!$H:$I,2,0),"")</f>
        <v/>
      </c>
      <c r="ES18" s="28" t="str">
        <f t="shared" si="26"/>
        <v>00:00</v>
      </c>
      <c r="ET18" s="29"/>
      <c r="EU18" s="27"/>
      <c r="EV18" s="27"/>
      <c r="EW18" s="28" t="str">
        <f>IFERROR(VLOOKUP(EU18,Horarios!$H:$I,2,0),"")</f>
        <v/>
      </c>
      <c r="EX18" s="28" t="str">
        <f>IFERROR(VLOOKUP(EV18,Horarios!$H:$I,2,0),"")</f>
        <v/>
      </c>
      <c r="EY18" s="28" t="str">
        <f t="shared" si="27"/>
        <v>00:00</v>
      </c>
      <c r="EZ18" s="29"/>
      <c r="FA18" s="27"/>
      <c r="FB18" s="27"/>
      <c r="FC18" s="28" t="str">
        <f>IFERROR(VLOOKUP(FA18,Horarios!$H:$I,2,0),"")</f>
        <v/>
      </c>
      <c r="FD18" s="28" t="str">
        <f>IFERROR(VLOOKUP(FB18,Horarios!$H:$I,2,0),"")</f>
        <v/>
      </c>
      <c r="FE18" s="28" t="str">
        <f t="shared" si="28"/>
        <v>00:00</v>
      </c>
      <c r="FF18" s="29"/>
      <c r="FG18" s="27"/>
      <c r="FH18" s="27"/>
      <c r="FI18" s="28" t="str">
        <f>IFERROR(VLOOKUP(FG18,Horarios!$H:$I,2,0),"")</f>
        <v/>
      </c>
      <c r="FJ18" s="28" t="str">
        <f>IFERROR(VLOOKUP(FH18,Horarios!$H:$I,2,0),"")</f>
        <v/>
      </c>
      <c r="FK18" s="28" t="str">
        <f t="shared" si="29"/>
        <v>00:00</v>
      </c>
      <c r="FL18" s="29"/>
      <c r="FM18" s="27"/>
      <c r="FN18" s="27"/>
      <c r="FO18" s="28" t="str">
        <f>IFERROR(VLOOKUP(FM18,Horarios!$H:$I,2,0),"")</f>
        <v/>
      </c>
      <c r="FP18" s="28" t="str">
        <f>IFERROR(VLOOKUP(FN18,Horarios!$H:$I,2,0),"")</f>
        <v/>
      </c>
      <c r="FQ18" s="28" t="str">
        <f t="shared" si="30"/>
        <v>00:00</v>
      </c>
      <c r="FR18" s="29"/>
      <c r="FS18" s="31" t="str">
        <f t="shared" si="31"/>
        <v/>
      </c>
      <c r="FT18" s="27"/>
      <c r="FU18" s="27"/>
      <c r="FV18" s="28" t="str">
        <f>IFERROR(VLOOKUP(FT18,Horarios!$H:$I,2,0),"")</f>
        <v/>
      </c>
      <c r="FW18" s="28" t="str">
        <f>IFERROR(VLOOKUP(FU18,Horarios!$H:$I,2,0),"")</f>
        <v/>
      </c>
      <c r="FX18" s="28" t="str">
        <f t="shared" si="32"/>
        <v>00:00</v>
      </c>
      <c r="FY18" s="29"/>
      <c r="FZ18" s="27"/>
      <c r="GA18" s="27"/>
      <c r="GB18" s="28" t="str">
        <f>IFERROR(VLOOKUP(FZ18,Horarios!$H:$I,2,0),"")</f>
        <v/>
      </c>
      <c r="GC18" s="28" t="str">
        <f>IFERROR(VLOOKUP(GA18,Horarios!$H:$I,2,0),"")</f>
        <v/>
      </c>
      <c r="GD18" s="28" t="str">
        <f t="shared" si="33"/>
        <v>00:00</v>
      </c>
      <c r="GE18" s="29"/>
      <c r="GF18" s="27"/>
      <c r="GG18" s="27"/>
      <c r="GH18" s="28" t="str">
        <f>IFERROR(VLOOKUP(GF18,Horarios!$H:$I,2,0),"")</f>
        <v/>
      </c>
      <c r="GI18" s="28" t="str">
        <f>IFERROR(VLOOKUP(GG18,Horarios!$H:$I,2,0),"")</f>
        <v/>
      </c>
      <c r="GJ18" s="28" t="str">
        <f t="shared" si="34"/>
        <v>00:00</v>
      </c>
      <c r="GK18" s="29"/>
      <c r="GL18" s="27"/>
      <c r="GM18" s="27"/>
      <c r="GN18" s="28" t="str">
        <f>IFERROR(VLOOKUP(GL18,Horarios!$H:$I,2,0),"")</f>
        <v/>
      </c>
      <c r="GO18" s="28" t="str">
        <f>IFERROR(VLOOKUP(GM18,Horarios!$H:$I,2,0),"")</f>
        <v/>
      </c>
      <c r="GP18" s="28" t="str">
        <f t="shared" si="35"/>
        <v>00:00</v>
      </c>
      <c r="GQ18" s="29"/>
      <c r="GR18" s="27"/>
      <c r="GS18" s="27"/>
      <c r="GT18" s="28" t="str">
        <f>IFERROR(VLOOKUP(GR18,Horarios!$H:$I,2,0),"")</f>
        <v/>
      </c>
      <c r="GU18" s="28" t="str">
        <f>IFERROR(VLOOKUP(GS18,Horarios!$H:$I,2,0),"")</f>
        <v/>
      </c>
      <c r="GV18" s="28" t="str">
        <f t="shared" si="36"/>
        <v>00:00</v>
      </c>
      <c r="GW18" s="29"/>
      <c r="GX18" s="27"/>
      <c r="GY18" s="27"/>
      <c r="GZ18" s="28" t="str">
        <f>IFERROR(VLOOKUP(GX18,Horarios!$H:$I,2,0),"")</f>
        <v/>
      </c>
      <c r="HA18" s="28" t="str">
        <f>IFERROR(VLOOKUP(GY18,Horarios!$H:$I,2,0),"")</f>
        <v/>
      </c>
      <c r="HB18" s="28" t="str">
        <f t="shared" si="37"/>
        <v>00:00</v>
      </c>
      <c r="HC18" s="29"/>
      <c r="HD18" s="27"/>
      <c r="HE18" s="27"/>
      <c r="HF18" s="28" t="str">
        <f>IFERROR(VLOOKUP(HD18,Horarios!$H:$I,2,0),"")</f>
        <v/>
      </c>
      <c r="HG18" s="28" t="str">
        <f>IFERROR(VLOOKUP(HE18,Horarios!$H:$I,2,0),"")</f>
        <v/>
      </c>
      <c r="HH18" s="28" t="str">
        <f t="shared" si="38"/>
        <v>00:00</v>
      </c>
      <c r="HI18" s="29"/>
      <c r="HJ18" s="31" t="str">
        <f t="shared" si="39"/>
        <v/>
      </c>
      <c r="HK18" s="27"/>
      <c r="HL18" s="27"/>
      <c r="HM18" s="28" t="str">
        <f>IFERROR(VLOOKUP(HK18,Horarios!$H:$I,2,0),"")</f>
        <v/>
      </c>
      <c r="HN18" s="28" t="str">
        <f>IFERROR(VLOOKUP(HL18,Horarios!$H:$I,2,0),"")</f>
        <v/>
      </c>
      <c r="HO18" s="28" t="str">
        <f t="shared" si="40"/>
        <v>00:00</v>
      </c>
      <c r="HP18" s="29"/>
      <c r="HQ18" s="27"/>
      <c r="HR18" s="27"/>
      <c r="HS18" s="28" t="str">
        <f>IFERROR(VLOOKUP(HQ18,Horarios!$H:$I,2,0),"")</f>
        <v/>
      </c>
      <c r="HT18" s="28" t="str">
        <f>IFERROR(VLOOKUP(HR18,Horarios!$H:$I,2,0),"")</f>
        <v/>
      </c>
      <c r="HU18" s="28" t="str">
        <f t="shared" si="41"/>
        <v>00:00</v>
      </c>
      <c r="HV18" s="29"/>
      <c r="HW18" s="27"/>
      <c r="HX18" s="27"/>
      <c r="HY18" s="28" t="str">
        <f>IFERROR(VLOOKUP(HW18,Horarios!$H:$I,2,0),"")</f>
        <v/>
      </c>
      <c r="HZ18" s="28" t="str">
        <f>IFERROR(VLOOKUP(HX18,Horarios!$H:$I,2,0),"")</f>
        <v/>
      </c>
      <c r="IA18" s="28" t="str">
        <f t="shared" si="42"/>
        <v>00:00</v>
      </c>
      <c r="IB18" s="29"/>
      <c r="IC18" s="27"/>
      <c r="ID18" s="27"/>
      <c r="IE18" s="28" t="str">
        <f>IFERROR(VLOOKUP(IC18,Horarios!$H:$I,2,0),"")</f>
        <v/>
      </c>
      <c r="IF18" s="28" t="str">
        <f>IFERROR(VLOOKUP(ID18,Horarios!$H:$I,2,0),"")</f>
        <v/>
      </c>
      <c r="IG18" s="28" t="str">
        <f t="shared" si="43"/>
        <v>00:00</v>
      </c>
      <c r="IH18" s="29"/>
      <c r="II18" s="27"/>
      <c r="IJ18" s="27"/>
      <c r="IK18" s="28" t="str">
        <f>IFERROR(VLOOKUP(II18,Horarios!$H:$I,2,0),"")</f>
        <v/>
      </c>
      <c r="IL18" s="28" t="str">
        <f>IFERROR(VLOOKUP(IJ18,Horarios!$H:$I,2,0),"")</f>
        <v/>
      </c>
      <c r="IM18" s="28" t="str">
        <f t="shared" si="44"/>
        <v>00:00</v>
      </c>
      <c r="IN18" s="29"/>
      <c r="IO18" s="27"/>
      <c r="IP18" s="27"/>
      <c r="IQ18" s="28" t="str">
        <f>IFERROR(VLOOKUP(IO18,Horarios!$H:$I,2,0),"")</f>
        <v/>
      </c>
      <c r="IR18" s="28" t="str">
        <f>IFERROR(VLOOKUP(IP18,Horarios!$H:$I,2,0),"")</f>
        <v/>
      </c>
      <c r="IS18" s="28" t="str">
        <f t="shared" si="45"/>
        <v>00:00</v>
      </c>
      <c r="IT18" s="29"/>
      <c r="IU18" s="27"/>
      <c r="IV18" s="27"/>
      <c r="IW18" s="28" t="str">
        <f>IFERROR(VLOOKUP(IU18,Horarios!$H:$I,2,0),"")</f>
        <v/>
      </c>
      <c r="IX18" s="28" t="str">
        <f>IFERROR(VLOOKUP(IV18,Horarios!$H:$I,2,0),"")</f>
        <v/>
      </c>
      <c r="IY18" s="28" t="str">
        <f t="shared" si="46"/>
        <v>00:00</v>
      </c>
      <c r="IZ18" s="29"/>
      <c r="JA18" s="31" t="str">
        <f t="shared" si="47"/>
        <v/>
      </c>
    </row>
    <row r="19" spans="1:261" s="24" customFormat="1" ht="17.399999999999999" x14ac:dyDescent="0.25">
      <c r="A19" s="25"/>
      <c r="B19" s="26" t="str">
        <f>IFERROR(VLOOKUP(A19,BaseNombres!A:B,2,0),"")</f>
        <v/>
      </c>
      <c r="C19" s="26" t="str">
        <f>IFERROR(VLOOKUP(A19,BaseNombres!A:C,3,0),"")</f>
        <v/>
      </c>
      <c r="D19" s="27"/>
      <c r="E19" s="27"/>
      <c r="F19" s="28" t="str">
        <f>IFERROR(VLOOKUP(D19,Horarios!$H:$I,2,0),"")</f>
        <v/>
      </c>
      <c r="G19" s="28" t="str">
        <f>IFERROR(VLOOKUP(E19,Horarios!$H:$I,2,0),"")</f>
        <v/>
      </c>
      <c r="H19" s="28" t="str">
        <f t="shared" si="0"/>
        <v>00:00</v>
      </c>
      <c r="I19" s="29"/>
      <c r="J19" s="27"/>
      <c r="K19" s="27"/>
      <c r="L19" s="28" t="str">
        <f>IFERROR(VLOOKUP(J19,Horarios!$H:$I,2,0),"")</f>
        <v/>
      </c>
      <c r="M19" s="28" t="str">
        <f>IFERROR(VLOOKUP(K19,Horarios!$H:$I,2,0),"")</f>
        <v/>
      </c>
      <c r="N19" s="28" t="str">
        <f t="shared" si="1"/>
        <v>00:00</v>
      </c>
      <c r="O19" s="29"/>
      <c r="P19" s="27"/>
      <c r="Q19" s="27"/>
      <c r="R19" s="28" t="str">
        <f>IFERROR(VLOOKUP(P19,Horarios!$H:$I,2,0),"")</f>
        <v/>
      </c>
      <c r="S19" s="28" t="str">
        <f>IFERROR(VLOOKUP(Q19,Horarios!$H:$I,2,0),"")</f>
        <v/>
      </c>
      <c r="T19" s="28" t="str">
        <f t="shared" si="2"/>
        <v>00:00</v>
      </c>
      <c r="U19" s="29"/>
      <c r="V19" s="27"/>
      <c r="W19" s="27"/>
      <c r="X19" s="28" t="str">
        <f>IFERROR(VLOOKUP(V19,Horarios!$H:$I,2,0),"")</f>
        <v/>
      </c>
      <c r="Y19" s="28" t="str">
        <f>IFERROR(VLOOKUP(W19,Horarios!$H:$I,2,0),"")</f>
        <v/>
      </c>
      <c r="Z19" s="28" t="str">
        <f t="shared" si="3"/>
        <v>00:00</v>
      </c>
      <c r="AA19" s="29"/>
      <c r="AB19" s="27"/>
      <c r="AC19" s="27"/>
      <c r="AD19" s="28" t="str">
        <f>IFERROR(VLOOKUP(AB19,Horarios!$H:$I,2,0),"")</f>
        <v/>
      </c>
      <c r="AE19" s="28" t="str">
        <f>IFERROR(VLOOKUP(AC19,Horarios!$H:$I,2,0),"")</f>
        <v/>
      </c>
      <c r="AF19" s="28" t="str">
        <f t="shared" si="4"/>
        <v>00:00</v>
      </c>
      <c r="AG19" s="29"/>
      <c r="AH19" s="27"/>
      <c r="AI19" s="27"/>
      <c r="AJ19" s="28" t="str">
        <f>IFERROR(VLOOKUP(AH19,Horarios!$H:$I,2,0),"")</f>
        <v/>
      </c>
      <c r="AK19" s="28" t="str">
        <f>IFERROR(VLOOKUP(AI19,Horarios!$H:$I,2,0),"")</f>
        <v/>
      </c>
      <c r="AL19" s="28" t="str">
        <f t="shared" si="5"/>
        <v>00:00</v>
      </c>
      <c r="AM19" s="29"/>
      <c r="AN19" s="27"/>
      <c r="AO19" s="27"/>
      <c r="AP19" s="28" t="str">
        <f>IFERROR(VLOOKUP(AN19,Horarios!$H:$I,2,0),"")</f>
        <v/>
      </c>
      <c r="AQ19" s="28" t="str">
        <f>IFERROR(VLOOKUP(AO19,Horarios!$H:$I,2,0),"")</f>
        <v/>
      </c>
      <c r="AR19" s="28" t="str">
        <f t="shared" si="6"/>
        <v>00:00</v>
      </c>
      <c r="AS19" s="29"/>
      <c r="AT19" s="31" t="str">
        <f t="shared" si="7"/>
        <v/>
      </c>
      <c r="AU19" s="27"/>
      <c r="AV19" s="27"/>
      <c r="AW19" s="28" t="str">
        <f>IFERROR(VLOOKUP(AU19,Horarios!$H:$I,2,0),"")</f>
        <v/>
      </c>
      <c r="AX19" s="28" t="str">
        <f>IFERROR(VLOOKUP(AV19,Horarios!$H:$I,2,0),"")</f>
        <v/>
      </c>
      <c r="AY19" s="28" t="str">
        <f t="shared" si="8"/>
        <v>00:00</v>
      </c>
      <c r="AZ19" s="29"/>
      <c r="BA19" s="27"/>
      <c r="BB19" s="27"/>
      <c r="BC19" s="28" t="str">
        <f>IFERROR(VLOOKUP(BA19,Horarios!$H:$I,2,0),"")</f>
        <v/>
      </c>
      <c r="BD19" s="28" t="str">
        <f>IFERROR(VLOOKUP(BB19,Horarios!$H:$I,2,0),"")</f>
        <v/>
      </c>
      <c r="BE19" s="28" t="str">
        <f t="shared" si="9"/>
        <v>00:00</v>
      </c>
      <c r="BF19" s="29"/>
      <c r="BG19" s="27"/>
      <c r="BH19" s="27"/>
      <c r="BI19" s="28" t="str">
        <f>IFERROR(VLOOKUP(BG19,Horarios!$H:$I,2,0),"")</f>
        <v/>
      </c>
      <c r="BJ19" s="28" t="str">
        <f>IFERROR(VLOOKUP(BH19,Horarios!$H:$I,2,0),"")</f>
        <v/>
      </c>
      <c r="BK19" s="28" t="str">
        <f t="shared" si="10"/>
        <v>00:00</v>
      </c>
      <c r="BL19" s="29"/>
      <c r="BM19" s="27"/>
      <c r="BN19" s="27"/>
      <c r="BO19" s="28" t="str">
        <f>IFERROR(VLOOKUP(BM19,Horarios!$H:$I,2,0),"")</f>
        <v/>
      </c>
      <c r="BP19" s="28" t="str">
        <f>IFERROR(VLOOKUP(BN19,Horarios!$H:$I,2,0),"")</f>
        <v/>
      </c>
      <c r="BQ19" s="28" t="str">
        <f t="shared" si="11"/>
        <v>00:00</v>
      </c>
      <c r="BR19" s="29"/>
      <c r="BS19" s="27"/>
      <c r="BT19" s="27"/>
      <c r="BU19" s="28" t="str">
        <f>IFERROR(VLOOKUP(BS19,Horarios!$H:$I,2,0),"")</f>
        <v/>
      </c>
      <c r="BV19" s="28" t="str">
        <f>IFERROR(VLOOKUP(BT19,Horarios!$H:$I,2,0),"")</f>
        <v/>
      </c>
      <c r="BW19" s="28" t="str">
        <f t="shared" si="12"/>
        <v>00:00</v>
      </c>
      <c r="BX19" s="29"/>
      <c r="BY19" s="27"/>
      <c r="BZ19" s="27"/>
      <c r="CA19" s="28" t="str">
        <f>IFERROR(VLOOKUP(BY19,Horarios!$H:$I,2,0),"")</f>
        <v/>
      </c>
      <c r="CB19" s="28" t="str">
        <f>IFERROR(VLOOKUP(BZ19,Horarios!$H:$I,2,0),"")</f>
        <v/>
      </c>
      <c r="CC19" s="28" t="str">
        <f t="shared" si="13"/>
        <v>00:00</v>
      </c>
      <c r="CD19" s="29"/>
      <c r="CE19" s="27"/>
      <c r="CF19" s="27"/>
      <c r="CG19" s="28" t="str">
        <f>IFERROR(VLOOKUP(CE19,Horarios!$H:$I,2,0),"")</f>
        <v/>
      </c>
      <c r="CH19" s="28" t="str">
        <f>IFERROR(VLOOKUP(CF19,Horarios!$H:$I,2,0),"")</f>
        <v/>
      </c>
      <c r="CI19" s="28" t="str">
        <f t="shared" si="14"/>
        <v>00:00</v>
      </c>
      <c r="CJ19" s="29"/>
      <c r="CK19" s="31" t="str">
        <f t="shared" si="15"/>
        <v/>
      </c>
      <c r="CL19" s="27"/>
      <c r="CM19" s="27"/>
      <c r="CN19" s="28" t="str">
        <f>IFERROR(VLOOKUP(CL19,Horarios!$H:$I,2,0),"")</f>
        <v/>
      </c>
      <c r="CO19" s="28" t="str">
        <f>IFERROR(VLOOKUP(CM19,Horarios!$H:$I,2,0),"")</f>
        <v/>
      </c>
      <c r="CP19" s="28" t="str">
        <f t="shared" si="16"/>
        <v>00:00</v>
      </c>
      <c r="CQ19" s="29"/>
      <c r="CR19" s="27"/>
      <c r="CS19" s="27"/>
      <c r="CT19" s="28" t="str">
        <f>IFERROR(VLOOKUP(CR19,Horarios!$H:$I,2,0),"")</f>
        <v/>
      </c>
      <c r="CU19" s="28" t="str">
        <f>IFERROR(VLOOKUP(CS19,Horarios!$H:$I,2,0),"")</f>
        <v/>
      </c>
      <c r="CV19" s="28" t="str">
        <f t="shared" si="17"/>
        <v>00:00</v>
      </c>
      <c r="CW19" s="29"/>
      <c r="CX19" s="27"/>
      <c r="CY19" s="27"/>
      <c r="CZ19" s="28" t="str">
        <f>IFERROR(VLOOKUP(CX19,Horarios!$H:$I,2,0),"")</f>
        <v/>
      </c>
      <c r="DA19" s="28" t="str">
        <f>IFERROR(VLOOKUP(CY19,Horarios!$H:$I,2,0),"")</f>
        <v/>
      </c>
      <c r="DB19" s="28" t="str">
        <f t="shared" si="18"/>
        <v>00:00</v>
      </c>
      <c r="DC19" s="29"/>
      <c r="DD19" s="27"/>
      <c r="DE19" s="27"/>
      <c r="DF19" s="28" t="str">
        <f>IFERROR(VLOOKUP(DD19,Horarios!$H:$I,2,0),"")</f>
        <v/>
      </c>
      <c r="DG19" s="28" t="str">
        <f>IFERROR(VLOOKUP(DE19,Horarios!$H:$I,2,0),"")</f>
        <v/>
      </c>
      <c r="DH19" s="28" t="str">
        <f t="shared" si="19"/>
        <v>00:00</v>
      </c>
      <c r="DI19" s="29"/>
      <c r="DJ19" s="27"/>
      <c r="DK19" s="27"/>
      <c r="DL19" s="28" t="str">
        <f>IFERROR(VLOOKUP(DJ19,Horarios!$H:$I,2,0),"")</f>
        <v/>
      </c>
      <c r="DM19" s="28" t="str">
        <f>IFERROR(VLOOKUP(DK19,Horarios!$H:$I,2,0),"")</f>
        <v/>
      </c>
      <c r="DN19" s="28" t="str">
        <f t="shared" si="20"/>
        <v>00:00</v>
      </c>
      <c r="DO19" s="29"/>
      <c r="DP19" s="27"/>
      <c r="DQ19" s="27"/>
      <c r="DR19" s="28" t="str">
        <f>IFERROR(VLOOKUP(DP19,Horarios!$H:$I,2,0),"")</f>
        <v/>
      </c>
      <c r="DS19" s="28" t="str">
        <f>IFERROR(VLOOKUP(DQ19,Horarios!$H:$I,2,0),"")</f>
        <v/>
      </c>
      <c r="DT19" s="28" t="str">
        <f t="shared" si="21"/>
        <v>00:00</v>
      </c>
      <c r="DU19" s="29"/>
      <c r="DV19" s="27"/>
      <c r="DW19" s="27"/>
      <c r="DX19" s="28" t="str">
        <f>IFERROR(VLOOKUP(DV19,Horarios!$H:$I,2,0),"")</f>
        <v/>
      </c>
      <c r="DY19" s="28" t="str">
        <f>IFERROR(VLOOKUP(DW19,Horarios!$H:$I,2,0),"")</f>
        <v/>
      </c>
      <c r="DZ19" s="28" t="str">
        <f t="shared" si="22"/>
        <v>00:00</v>
      </c>
      <c r="EA19" s="29"/>
      <c r="EB19" s="31" t="str">
        <f t="shared" si="23"/>
        <v/>
      </c>
      <c r="EC19" s="27"/>
      <c r="ED19" s="27"/>
      <c r="EE19" s="28" t="str">
        <f>IFERROR(VLOOKUP(EC19,Horarios!$H:$I,2,0),"")</f>
        <v/>
      </c>
      <c r="EF19" s="28" t="str">
        <f>IFERROR(VLOOKUP(ED19,Horarios!$H:$I,2,0),"")</f>
        <v/>
      </c>
      <c r="EG19" s="28" t="str">
        <f t="shared" si="24"/>
        <v>00:00</v>
      </c>
      <c r="EH19" s="29"/>
      <c r="EI19" s="27"/>
      <c r="EJ19" s="27"/>
      <c r="EK19" s="28" t="str">
        <f>IFERROR(VLOOKUP(EI19,Horarios!$H:$I,2,0),"")</f>
        <v/>
      </c>
      <c r="EL19" s="28" t="str">
        <f>IFERROR(VLOOKUP(EJ19,Horarios!$H:$I,2,0),"")</f>
        <v/>
      </c>
      <c r="EM19" s="28" t="str">
        <f t="shared" si="25"/>
        <v>00:00</v>
      </c>
      <c r="EN19" s="29"/>
      <c r="EO19" s="27"/>
      <c r="EP19" s="27"/>
      <c r="EQ19" s="28" t="str">
        <f>IFERROR(VLOOKUP(EO19,Horarios!$H:$I,2,0),"")</f>
        <v/>
      </c>
      <c r="ER19" s="28" t="str">
        <f>IFERROR(VLOOKUP(EP19,Horarios!$H:$I,2,0),"")</f>
        <v/>
      </c>
      <c r="ES19" s="28" t="str">
        <f t="shared" si="26"/>
        <v>00:00</v>
      </c>
      <c r="ET19" s="29"/>
      <c r="EU19" s="27"/>
      <c r="EV19" s="27"/>
      <c r="EW19" s="28" t="str">
        <f>IFERROR(VLOOKUP(EU19,Horarios!$H:$I,2,0),"")</f>
        <v/>
      </c>
      <c r="EX19" s="28" t="str">
        <f>IFERROR(VLOOKUP(EV19,Horarios!$H:$I,2,0),"")</f>
        <v/>
      </c>
      <c r="EY19" s="28" t="str">
        <f t="shared" si="27"/>
        <v>00:00</v>
      </c>
      <c r="EZ19" s="29"/>
      <c r="FA19" s="27"/>
      <c r="FB19" s="27"/>
      <c r="FC19" s="28" t="str">
        <f>IFERROR(VLOOKUP(FA19,Horarios!$H:$I,2,0),"")</f>
        <v/>
      </c>
      <c r="FD19" s="28" t="str">
        <f>IFERROR(VLOOKUP(FB19,Horarios!$H:$I,2,0),"")</f>
        <v/>
      </c>
      <c r="FE19" s="28" t="str">
        <f t="shared" si="28"/>
        <v>00:00</v>
      </c>
      <c r="FF19" s="29"/>
      <c r="FG19" s="27"/>
      <c r="FH19" s="27"/>
      <c r="FI19" s="28" t="str">
        <f>IFERROR(VLOOKUP(FG19,Horarios!$H:$I,2,0),"")</f>
        <v/>
      </c>
      <c r="FJ19" s="28" t="str">
        <f>IFERROR(VLOOKUP(FH19,Horarios!$H:$I,2,0),"")</f>
        <v/>
      </c>
      <c r="FK19" s="28" t="str">
        <f t="shared" si="29"/>
        <v>00:00</v>
      </c>
      <c r="FL19" s="29"/>
      <c r="FM19" s="27"/>
      <c r="FN19" s="27"/>
      <c r="FO19" s="28" t="str">
        <f>IFERROR(VLOOKUP(FM19,Horarios!$H:$I,2,0),"")</f>
        <v/>
      </c>
      <c r="FP19" s="28" t="str">
        <f>IFERROR(VLOOKUP(FN19,Horarios!$H:$I,2,0),"")</f>
        <v/>
      </c>
      <c r="FQ19" s="28" t="str">
        <f t="shared" si="30"/>
        <v>00:00</v>
      </c>
      <c r="FR19" s="29"/>
      <c r="FS19" s="31" t="str">
        <f t="shared" si="31"/>
        <v/>
      </c>
      <c r="FT19" s="27"/>
      <c r="FU19" s="27"/>
      <c r="FV19" s="28" t="str">
        <f>IFERROR(VLOOKUP(FT19,Horarios!$H:$I,2,0),"")</f>
        <v/>
      </c>
      <c r="FW19" s="28" t="str">
        <f>IFERROR(VLOOKUP(FU19,Horarios!$H:$I,2,0),"")</f>
        <v/>
      </c>
      <c r="FX19" s="28" t="str">
        <f t="shared" si="32"/>
        <v>00:00</v>
      </c>
      <c r="FY19" s="29"/>
      <c r="FZ19" s="27"/>
      <c r="GA19" s="27"/>
      <c r="GB19" s="28" t="str">
        <f>IFERROR(VLOOKUP(FZ19,Horarios!$H:$I,2,0),"")</f>
        <v/>
      </c>
      <c r="GC19" s="28" t="str">
        <f>IFERROR(VLOOKUP(GA19,Horarios!$H:$I,2,0),"")</f>
        <v/>
      </c>
      <c r="GD19" s="28" t="str">
        <f t="shared" si="33"/>
        <v>00:00</v>
      </c>
      <c r="GE19" s="29"/>
      <c r="GF19" s="27"/>
      <c r="GG19" s="27"/>
      <c r="GH19" s="28" t="str">
        <f>IFERROR(VLOOKUP(GF19,Horarios!$H:$I,2,0),"")</f>
        <v/>
      </c>
      <c r="GI19" s="28" t="str">
        <f>IFERROR(VLOOKUP(GG19,Horarios!$H:$I,2,0),"")</f>
        <v/>
      </c>
      <c r="GJ19" s="28" t="str">
        <f t="shared" si="34"/>
        <v>00:00</v>
      </c>
      <c r="GK19" s="29"/>
      <c r="GL19" s="27"/>
      <c r="GM19" s="27"/>
      <c r="GN19" s="28" t="str">
        <f>IFERROR(VLOOKUP(GL19,Horarios!$H:$I,2,0),"")</f>
        <v/>
      </c>
      <c r="GO19" s="28" t="str">
        <f>IFERROR(VLOOKUP(GM19,Horarios!$H:$I,2,0),"")</f>
        <v/>
      </c>
      <c r="GP19" s="28" t="str">
        <f t="shared" si="35"/>
        <v>00:00</v>
      </c>
      <c r="GQ19" s="29"/>
      <c r="GR19" s="27"/>
      <c r="GS19" s="27"/>
      <c r="GT19" s="28" t="str">
        <f>IFERROR(VLOOKUP(GR19,Horarios!$H:$I,2,0),"")</f>
        <v/>
      </c>
      <c r="GU19" s="28" t="str">
        <f>IFERROR(VLOOKUP(GS19,Horarios!$H:$I,2,0),"")</f>
        <v/>
      </c>
      <c r="GV19" s="28" t="str">
        <f t="shared" si="36"/>
        <v>00:00</v>
      </c>
      <c r="GW19" s="29"/>
      <c r="GX19" s="27"/>
      <c r="GY19" s="27"/>
      <c r="GZ19" s="28" t="str">
        <f>IFERROR(VLOOKUP(GX19,Horarios!$H:$I,2,0),"")</f>
        <v/>
      </c>
      <c r="HA19" s="28" t="str">
        <f>IFERROR(VLOOKUP(GY19,Horarios!$H:$I,2,0),"")</f>
        <v/>
      </c>
      <c r="HB19" s="28" t="str">
        <f t="shared" si="37"/>
        <v>00:00</v>
      </c>
      <c r="HC19" s="29"/>
      <c r="HD19" s="27"/>
      <c r="HE19" s="27"/>
      <c r="HF19" s="28" t="str">
        <f>IFERROR(VLOOKUP(HD19,Horarios!$H:$I,2,0),"")</f>
        <v/>
      </c>
      <c r="HG19" s="28" t="str">
        <f>IFERROR(VLOOKUP(HE19,Horarios!$H:$I,2,0),"")</f>
        <v/>
      </c>
      <c r="HH19" s="28" t="str">
        <f t="shared" si="38"/>
        <v>00:00</v>
      </c>
      <c r="HI19" s="29"/>
      <c r="HJ19" s="31" t="str">
        <f t="shared" si="39"/>
        <v/>
      </c>
      <c r="HK19" s="27"/>
      <c r="HL19" s="27"/>
      <c r="HM19" s="28" t="str">
        <f>IFERROR(VLOOKUP(HK19,Horarios!$H:$I,2,0),"")</f>
        <v/>
      </c>
      <c r="HN19" s="28" t="str">
        <f>IFERROR(VLOOKUP(HL19,Horarios!$H:$I,2,0),"")</f>
        <v/>
      </c>
      <c r="HO19" s="28" t="str">
        <f t="shared" si="40"/>
        <v>00:00</v>
      </c>
      <c r="HP19" s="29"/>
      <c r="HQ19" s="27"/>
      <c r="HR19" s="27"/>
      <c r="HS19" s="28" t="str">
        <f>IFERROR(VLOOKUP(HQ19,Horarios!$H:$I,2,0),"")</f>
        <v/>
      </c>
      <c r="HT19" s="28" t="str">
        <f>IFERROR(VLOOKUP(HR19,Horarios!$H:$I,2,0),"")</f>
        <v/>
      </c>
      <c r="HU19" s="28" t="str">
        <f t="shared" si="41"/>
        <v>00:00</v>
      </c>
      <c r="HV19" s="29"/>
      <c r="HW19" s="27"/>
      <c r="HX19" s="27"/>
      <c r="HY19" s="28" t="str">
        <f>IFERROR(VLOOKUP(HW19,Horarios!$H:$I,2,0),"")</f>
        <v/>
      </c>
      <c r="HZ19" s="28" t="str">
        <f>IFERROR(VLOOKUP(HX19,Horarios!$H:$I,2,0),"")</f>
        <v/>
      </c>
      <c r="IA19" s="28" t="str">
        <f t="shared" si="42"/>
        <v>00:00</v>
      </c>
      <c r="IB19" s="29"/>
      <c r="IC19" s="27"/>
      <c r="ID19" s="27"/>
      <c r="IE19" s="28" t="str">
        <f>IFERROR(VLOOKUP(IC19,Horarios!$H:$I,2,0),"")</f>
        <v/>
      </c>
      <c r="IF19" s="28" t="str">
        <f>IFERROR(VLOOKUP(ID19,Horarios!$H:$I,2,0),"")</f>
        <v/>
      </c>
      <c r="IG19" s="28" t="str">
        <f t="shared" si="43"/>
        <v>00:00</v>
      </c>
      <c r="IH19" s="29"/>
      <c r="II19" s="27"/>
      <c r="IJ19" s="27"/>
      <c r="IK19" s="28" t="str">
        <f>IFERROR(VLOOKUP(II19,Horarios!$H:$I,2,0),"")</f>
        <v/>
      </c>
      <c r="IL19" s="28" t="str">
        <f>IFERROR(VLOOKUP(IJ19,Horarios!$H:$I,2,0),"")</f>
        <v/>
      </c>
      <c r="IM19" s="28" t="str">
        <f t="shared" si="44"/>
        <v>00:00</v>
      </c>
      <c r="IN19" s="29"/>
      <c r="IO19" s="27"/>
      <c r="IP19" s="27"/>
      <c r="IQ19" s="28" t="str">
        <f>IFERROR(VLOOKUP(IO19,Horarios!$H:$I,2,0),"")</f>
        <v/>
      </c>
      <c r="IR19" s="28" t="str">
        <f>IFERROR(VLOOKUP(IP19,Horarios!$H:$I,2,0),"")</f>
        <v/>
      </c>
      <c r="IS19" s="28" t="str">
        <f t="shared" si="45"/>
        <v>00:00</v>
      </c>
      <c r="IT19" s="29"/>
      <c r="IU19" s="27"/>
      <c r="IV19" s="27"/>
      <c r="IW19" s="28" t="str">
        <f>IFERROR(VLOOKUP(IU19,Horarios!$H:$I,2,0),"")</f>
        <v/>
      </c>
      <c r="IX19" s="28" t="str">
        <f>IFERROR(VLOOKUP(IV19,Horarios!$H:$I,2,0),"")</f>
        <v/>
      </c>
      <c r="IY19" s="28" t="str">
        <f t="shared" si="46"/>
        <v>00:00</v>
      </c>
      <c r="IZ19" s="29"/>
      <c r="JA19" s="31" t="str">
        <f t="shared" si="47"/>
        <v/>
      </c>
    </row>
    <row r="20" spans="1:261" s="24" customFormat="1" ht="17.399999999999999" x14ac:dyDescent="0.25">
      <c r="A20" s="25"/>
      <c r="B20" s="26" t="str">
        <f>IFERROR(VLOOKUP(A20,BaseNombres!A:B,2,0),"")</f>
        <v/>
      </c>
      <c r="C20" s="26" t="str">
        <f>IFERROR(VLOOKUP(A20,BaseNombres!A:C,3,0),"")</f>
        <v/>
      </c>
      <c r="D20" s="27"/>
      <c r="E20" s="27"/>
      <c r="F20" s="28" t="str">
        <f>IFERROR(VLOOKUP(D20,Horarios!$H:$I,2,0),"")</f>
        <v/>
      </c>
      <c r="G20" s="28" t="str">
        <f>IFERROR(VLOOKUP(E20,Horarios!$H:$I,2,0),"")</f>
        <v/>
      </c>
      <c r="H20" s="28" t="str">
        <f t="shared" si="0"/>
        <v>00:00</v>
      </c>
      <c r="I20" s="29"/>
      <c r="J20" s="27"/>
      <c r="K20" s="27"/>
      <c r="L20" s="28" t="str">
        <f>IFERROR(VLOOKUP(J20,Horarios!$H:$I,2,0),"")</f>
        <v/>
      </c>
      <c r="M20" s="28" t="str">
        <f>IFERROR(VLOOKUP(K20,Horarios!$H:$I,2,0),"")</f>
        <v/>
      </c>
      <c r="N20" s="32" t="str">
        <f t="shared" si="1"/>
        <v>00:00</v>
      </c>
      <c r="O20" s="29"/>
      <c r="P20" s="27"/>
      <c r="Q20" s="27"/>
      <c r="R20" s="28" t="str">
        <f>IFERROR(VLOOKUP(P20,Horarios!$H:$I,2,0),"")</f>
        <v/>
      </c>
      <c r="S20" s="28" t="str">
        <f>IFERROR(VLOOKUP(Q20,Horarios!$H:$I,2,0),"")</f>
        <v/>
      </c>
      <c r="T20" s="28" t="str">
        <f t="shared" si="2"/>
        <v>00:00</v>
      </c>
      <c r="U20" s="29"/>
      <c r="V20" s="27"/>
      <c r="W20" s="27"/>
      <c r="X20" s="28" t="str">
        <f>IFERROR(VLOOKUP(V20,Horarios!$H:$I,2,0),"")</f>
        <v/>
      </c>
      <c r="Y20" s="28" t="str">
        <f>IFERROR(VLOOKUP(W20,Horarios!$H:$I,2,0),"")</f>
        <v/>
      </c>
      <c r="Z20" s="28" t="str">
        <f t="shared" si="3"/>
        <v>00:00</v>
      </c>
      <c r="AA20" s="29"/>
      <c r="AB20" s="27"/>
      <c r="AC20" s="27"/>
      <c r="AD20" s="28" t="str">
        <f>IFERROR(VLOOKUP(AB20,Horarios!$H:$I,2,0),"")</f>
        <v/>
      </c>
      <c r="AE20" s="28" t="str">
        <f>IFERROR(VLOOKUP(AC20,Horarios!$H:$I,2,0),"")</f>
        <v/>
      </c>
      <c r="AF20" s="28" t="str">
        <f t="shared" si="4"/>
        <v>00:00</v>
      </c>
      <c r="AG20" s="29"/>
      <c r="AH20" s="27"/>
      <c r="AI20" s="27"/>
      <c r="AJ20" s="28" t="str">
        <f>IFERROR(VLOOKUP(AH20,Horarios!$H:$I,2,0),"")</f>
        <v/>
      </c>
      <c r="AK20" s="28" t="str">
        <f>IFERROR(VLOOKUP(AI20,Horarios!$H:$I,2,0),"")</f>
        <v/>
      </c>
      <c r="AL20" s="28" t="str">
        <f t="shared" si="5"/>
        <v>00:00</v>
      </c>
      <c r="AM20" s="29"/>
      <c r="AN20" s="27"/>
      <c r="AO20" s="27"/>
      <c r="AP20" s="28" t="str">
        <f>IFERROR(VLOOKUP(AN20,Horarios!$H:$I,2,0),"")</f>
        <v/>
      </c>
      <c r="AQ20" s="28" t="str">
        <f>IFERROR(VLOOKUP(AO20,Horarios!$H:$I,2,0),"")</f>
        <v/>
      </c>
      <c r="AR20" s="28" t="str">
        <f t="shared" si="6"/>
        <v>00:00</v>
      </c>
      <c r="AS20" s="29"/>
      <c r="AT20" s="31" t="str">
        <f t="shared" si="7"/>
        <v/>
      </c>
      <c r="AU20" s="27"/>
      <c r="AV20" s="27"/>
      <c r="AW20" s="28" t="str">
        <f>IFERROR(VLOOKUP(AU20,Horarios!$H:$I,2,0),"")</f>
        <v/>
      </c>
      <c r="AX20" s="28" t="str">
        <f>IFERROR(VLOOKUP(AV20,Horarios!$H:$I,2,0),"")</f>
        <v/>
      </c>
      <c r="AY20" s="28" t="str">
        <f t="shared" si="8"/>
        <v>00:00</v>
      </c>
      <c r="AZ20" s="29"/>
      <c r="BA20" s="27"/>
      <c r="BB20" s="27"/>
      <c r="BC20" s="28" t="str">
        <f>IFERROR(VLOOKUP(BA20,Horarios!$H:$I,2,0),"")</f>
        <v/>
      </c>
      <c r="BD20" s="28" t="str">
        <f>IFERROR(VLOOKUP(BB20,Horarios!$H:$I,2,0),"")</f>
        <v/>
      </c>
      <c r="BE20" s="28" t="str">
        <f t="shared" si="9"/>
        <v>00:00</v>
      </c>
      <c r="BF20" s="29"/>
      <c r="BG20" s="27"/>
      <c r="BH20" s="27"/>
      <c r="BI20" s="28" t="str">
        <f>IFERROR(VLOOKUP(BG20,Horarios!$H:$I,2,0),"")</f>
        <v/>
      </c>
      <c r="BJ20" s="28" t="str">
        <f>IFERROR(VLOOKUP(BH20,Horarios!$H:$I,2,0),"")</f>
        <v/>
      </c>
      <c r="BK20" s="28" t="str">
        <f t="shared" si="10"/>
        <v>00:00</v>
      </c>
      <c r="BL20" s="29"/>
      <c r="BM20" s="27"/>
      <c r="BN20" s="27"/>
      <c r="BO20" s="28" t="str">
        <f>IFERROR(VLOOKUP(BM20,Horarios!$H:$I,2,0),"")</f>
        <v/>
      </c>
      <c r="BP20" s="28" t="str">
        <f>IFERROR(VLOOKUP(BN20,Horarios!$H:$I,2,0),"")</f>
        <v/>
      </c>
      <c r="BQ20" s="28" t="str">
        <f t="shared" si="11"/>
        <v>00:00</v>
      </c>
      <c r="BR20" s="29"/>
      <c r="BS20" s="27"/>
      <c r="BT20" s="27"/>
      <c r="BU20" s="28" t="str">
        <f>IFERROR(VLOOKUP(BS20,Horarios!$H:$I,2,0),"")</f>
        <v/>
      </c>
      <c r="BV20" s="28" t="str">
        <f>IFERROR(VLOOKUP(BT20,Horarios!$H:$I,2,0),"")</f>
        <v/>
      </c>
      <c r="BW20" s="28" t="str">
        <f t="shared" si="12"/>
        <v>00:00</v>
      </c>
      <c r="BX20" s="29"/>
      <c r="BY20" s="27"/>
      <c r="BZ20" s="27"/>
      <c r="CA20" s="28" t="str">
        <f>IFERROR(VLOOKUP(BY20,Horarios!$H:$I,2,0),"")</f>
        <v/>
      </c>
      <c r="CB20" s="28" t="str">
        <f>IFERROR(VLOOKUP(BZ20,Horarios!$H:$I,2,0),"")</f>
        <v/>
      </c>
      <c r="CC20" s="28" t="str">
        <f t="shared" si="13"/>
        <v>00:00</v>
      </c>
      <c r="CD20" s="29"/>
      <c r="CE20" s="27"/>
      <c r="CF20" s="27"/>
      <c r="CG20" s="28" t="str">
        <f>IFERROR(VLOOKUP(CE20,Horarios!$H:$I,2,0),"")</f>
        <v/>
      </c>
      <c r="CH20" s="28" t="str">
        <f>IFERROR(VLOOKUP(CF20,Horarios!$H:$I,2,0),"")</f>
        <v/>
      </c>
      <c r="CI20" s="28" t="str">
        <f t="shared" si="14"/>
        <v>00:00</v>
      </c>
      <c r="CJ20" s="29"/>
      <c r="CK20" s="31" t="str">
        <f t="shared" si="15"/>
        <v/>
      </c>
      <c r="CL20" s="27"/>
      <c r="CM20" s="27"/>
      <c r="CN20" s="28" t="str">
        <f>IFERROR(VLOOKUP(CL20,Horarios!$H:$I,2,0),"")</f>
        <v/>
      </c>
      <c r="CO20" s="28" t="str">
        <f>IFERROR(VLOOKUP(CM20,Horarios!$H:$I,2,0),"")</f>
        <v/>
      </c>
      <c r="CP20" s="28" t="str">
        <f t="shared" si="16"/>
        <v>00:00</v>
      </c>
      <c r="CQ20" s="29"/>
      <c r="CR20" s="27"/>
      <c r="CS20" s="27"/>
      <c r="CT20" s="28" t="str">
        <f>IFERROR(VLOOKUP(CR20,Horarios!$H:$I,2,0),"")</f>
        <v/>
      </c>
      <c r="CU20" s="28" t="str">
        <f>IFERROR(VLOOKUP(CS20,Horarios!$H:$I,2,0),"")</f>
        <v/>
      </c>
      <c r="CV20" s="28" t="str">
        <f t="shared" si="17"/>
        <v>00:00</v>
      </c>
      <c r="CW20" s="29"/>
      <c r="CX20" s="27"/>
      <c r="CY20" s="27"/>
      <c r="CZ20" s="28" t="str">
        <f>IFERROR(VLOOKUP(CX20,Horarios!$H:$I,2,0),"")</f>
        <v/>
      </c>
      <c r="DA20" s="28" t="str">
        <f>IFERROR(VLOOKUP(CY20,Horarios!$H:$I,2,0),"")</f>
        <v/>
      </c>
      <c r="DB20" s="28" t="str">
        <f t="shared" si="18"/>
        <v>00:00</v>
      </c>
      <c r="DC20" s="29"/>
      <c r="DD20" s="27"/>
      <c r="DE20" s="27"/>
      <c r="DF20" s="28" t="str">
        <f>IFERROR(VLOOKUP(DD20,Horarios!$H:$I,2,0),"")</f>
        <v/>
      </c>
      <c r="DG20" s="28" t="str">
        <f>IFERROR(VLOOKUP(DE20,Horarios!$H:$I,2,0),"")</f>
        <v/>
      </c>
      <c r="DH20" s="28" t="str">
        <f t="shared" si="19"/>
        <v>00:00</v>
      </c>
      <c r="DI20" s="29"/>
      <c r="DJ20" s="27"/>
      <c r="DK20" s="27"/>
      <c r="DL20" s="28" t="str">
        <f>IFERROR(VLOOKUP(DJ20,Horarios!$H:$I,2,0),"")</f>
        <v/>
      </c>
      <c r="DM20" s="28" t="str">
        <f>IFERROR(VLOOKUP(DK20,Horarios!$H:$I,2,0),"")</f>
        <v/>
      </c>
      <c r="DN20" s="28" t="str">
        <f t="shared" si="20"/>
        <v>00:00</v>
      </c>
      <c r="DO20" s="29"/>
      <c r="DP20" s="27"/>
      <c r="DQ20" s="27"/>
      <c r="DR20" s="28" t="str">
        <f>IFERROR(VLOOKUP(DP20,Horarios!$H:$I,2,0),"")</f>
        <v/>
      </c>
      <c r="DS20" s="28" t="str">
        <f>IFERROR(VLOOKUP(DQ20,Horarios!$H:$I,2,0),"")</f>
        <v/>
      </c>
      <c r="DT20" s="28" t="str">
        <f t="shared" si="21"/>
        <v>00:00</v>
      </c>
      <c r="DU20" s="29"/>
      <c r="DV20" s="27"/>
      <c r="DW20" s="27"/>
      <c r="DX20" s="28" t="str">
        <f>IFERROR(VLOOKUP(DV20,Horarios!$H:$I,2,0),"")</f>
        <v/>
      </c>
      <c r="DY20" s="28" t="str">
        <f>IFERROR(VLOOKUP(DW20,Horarios!$H:$I,2,0),"")</f>
        <v/>
      </c>
      <c r="DZ20" s="28" t="str">
        <f t="shared" si="22"/>
        <v>00:00</v>
      </c>
      <c r="EA20" s="29"/>
      <c r="EB20" s="31" t="str">
        <f t="shared" si="23"/>
        <v/>
      </c>
      <c r="EC20" s="27"/>
      <c r="ED20" s="27"/>
      <c r="EE20" s="28" t="str">
        <f>IFERROR(VLOOKUP(EC20,Horarios!$H:$I,2,0),"")</f>
        <v/>
      </c>
      <c r="EF20" s="28" t="str">
        <f>IFERROR(VLOOKUP(ED20,Horarios!$H:$I,2,0),"")</f>
        <v/>
      </c>
      <c r="EG20" s="28" t="str">
        <f t="shared" si="24"/>
        <v>00:00</v>
      </c>
      <c r="EH20" s="29"/>
      <c r="EI20" s="27"/>
      <c r="EJ20" s="27"/>
      <c r="EK20" s="28" t="str">
        <f>IFERROR(VLOOKUP(EI20,Horarios!$H:$I,2,0),"")</f>
        <v/>
      </c>
      <c r="EL20" s="28" t="str">
        <f>IFERROR(VLOOKUP(EJ20,Horarios!$H:$I,2,0),"")</f>
        <v/>
      </c>
      <c r="EM20" s="28" t="str">
        <f t="shared" si="25"/>
        <v>00:00</v>
      </c>
      <c r="EN20" s="29"/>
      <c r="EO20" s="27"/>
      <c r="EP20" s="27"/>
      <c r="EQ20" s="28" t="str">
        <f>IFERROR(VLOOKUP(EO20,Horarios!$H:$I,2,0),"")</f>
        <v/>
      </c>
      <c r="ER20" s="28" t="str">
        <f>IFERROR(VLOOKUP(EP20,Horarios!$H:$I,2,0),"")</f>
        <v/>
      </c>
      <c r="ES20" s="28" t="str">
        <f t="shared" si="26"/>
        <v>00:00</v>
      </c>
      <c r="ET20" s="29"/>
      <c r="EU20" s="27"/>
      <c r="EV20" s="27"/>
      <c r="EW20" s="28" t="str">
        <f>IFERROR(VLOOKUP(EU20,Horarios!$H:$I,2,0),"")</f>
        <v/>
      </c>
      <c r="EX20" s="28" t="str">
        <f>IFERROR(VLOOKUP(EV20,Horarios!$H:$I,2,0),"")</f>
        <v/>
      </c>
      <c r="EY20" s="28" t="str">
        <f t="shared" si="27"/>
        <v>00:00</v>
      </c>
      <c r="EZ20" s="29"/>
      <c r="FA20" s="27"/>
      <c r="FB20" s="27"/>
      <c r="FC20" s="28" t="str">
        <f>IFERROR(VLOOKUP(FA20,Horarios!$H:$I,2,0),"")</f>
        <v/>
      </c>
      <c r="FD20" s="28" t="str">
        <f>IFERROR(VLOOKUP(FB20,Horarios!$H:$I,2,0),"")</f>
        <v/>
      </c>
      <c r="FE20" s="28" t="str">
        <f t="shared" si="28"/>
        <v>00:00</v>
      </c>
      <c r="FF20" s="29"/>
      <c r="FG20" s="27"/>
      <c r="FH20" s="27"/>
      <c r="FI20" s="28" t="str">
        <f>IFERROR(VLOOKUP(FG20,Horarios!$H:$I,2,0),"")</f>
        <v/>
      </c>
      <c r="FJ20" s="28" t="str">
        <f>IFERROR(VLOOKUP(FH20,Horarios!$H:$I,2,0),"")</f>
        <v/>
      </c>
      <c r="FK20" s="28" t="str">
        <f t="shared" si="29"/>
        <v>00:00</v>
      </c>
      <c r="FL20" s="29"/>
      <c r="FM20" s="27"/>
      <c r="FN20" s="27"/>
      <c r="FO20" s="28" t="str">
        <f>IFERROR(VLOOKUP(FM20,Horarios!$H:$I,2,0),"")</f>
        <v/>
      </c>
      <c r="FP20" s="28" t="str">
        <f>IFERROR(VLOOKUP(FN20,Horarios!$H:$I,2,0),"")</f>
        <v/>
      </c>
      <c r="FQ20" s="28" t="str">
        <f t="shared" si="30"/>
        <v>00:00</v>
      </c>
      <c r="FR20" s="29"/>
      <c r="FS20" s="31" t="str">
        <f t="shared" si="31"/>
        <v/>
      </c>
      <c r="FT20" s="27"/>
      <c r="FU20" s="27"/>
      <c r="FV20" s="28" t="str">
        <f>IFERROR(VLOOKUP(FT20,Horarios!$H:$I,2,0),"")</f>
        <v/>
      </c>
      <c r="FW20" s="28" t="str">
        <f>IFERROR(VLOOKUP(FU20,Horarios!$H:$I,2,0),"")</f>
        <v/>
      </c>
      <c r="FX20" s="28" t="str">
        <f t="shared" si="32"/>
        <v>00:00</v>
      </c>
      <c r="FY20" s="29"/>
      <c r="FZ20" s="27"/>
      <c r="GA20" s="27"/>
      <c r="GB20" s="28" t="str">
        <f>IFERROR(VLOOKUP(FZ20,Horarios!$H:$I,2,0),"")</f>
        <v/>
      </c>
      <c r="GC20" s="28" t="str">
        <f>IFERROR(VLOOKUP(GA20,Horarios!$H:$I,2,0),"")</f>
        <v/>
      </c>
      <c r="GD20" s="28" t="str">
        <f t="shared" si="33"/>
        <v>00:00</v>
      </c>
      <c r="GE20" s="29"/>
      <c r="GF20" s="27"/>
      <c r="GG20" s="27"/>
      <c r="GH20" s="28" t="str">
        <f>IFERROR(VLOOKUP(GF20,Horarios!$H:$I,2,0),"")</f>
        <v/>
      </c>
      <c r="GI20" s="28" t="str">
        <f>IFERROR(VLOOKUP(GG20,Horarios!$H:$I,2,0),"")</f>
        <v/>
      </c>
      <c r="GJ20" s="28" t="str">
        <f t="shared" si="34"/>
        <v>00:00</v>
      </c>
      <c r="GK20" s="29"/>
      <c r="GL20" s="27"/>
      <c r="GM20" s="27"/>
      <c r="GN20" s="28" t="str">
        <f>IFERROR(VLOOKUP(GL20,Horarios!$H:$I,2,0),"")</f>
        <v/>
      </c>
      <c r="GO20" s="28" t="str">
        <f>IFERROR(VLOOKUP(GM20,Horarios!$H:$I,2,0),"")</f>
        <v/>
      </c>
      <c r="GP20" s="28" t="str">
        <f t="shared" si="35"/>
        <v>00:00</v>
      </c>
      <c r="GQ20" s="29"/>
      <c r="GR20" s="27"/>
      <c r="GS20" s="27"/>
      <c r="GT20" s="28" t="str">
        <f>IFERROR(VLOOKUP(GR20,Horarios!$H:$I,2,0),"")</f>
        <v/>
      </c>
      <c r="GU20" s="28" t="str">
        <f>IFERROR(VLOOKUP(GS20,Horarios!$H:$I,2,0),"")</f>
        <v/>
      </c>
      <c r="GV20" s="28" t="str">
        <f t="shared" si="36"/>
        <v>00:00</v>
      </c>
      <c r="GW20" s="29"/>
      <c r="GX20" s="27"/>
      <c r="GY20" s="27"/>
      <c r="GZ20" s="28" t="str">
        <f>IFERROR(VLOOKUP(GX20,Horarios!$H:$I,2,0),"")</f>
        <v/>
      </c>
      <c r="HA20" s="28" t="str">
        <f>IFERROR(VLOOKUP(GY20,Horarios!$H:$I,2,0),"")</f>
        <v/>
      </c>
      <c r="HB20" s="28" t="str">
        <f t="shared" si="37"/>
        <v>00:00</v>
      </c>
      <c r="HC20" s="29"/>
      <c r="HD20" s="27"/>
      <c r="HE20" s="27"/>
      <c r="HF20" s="28" t="str">
        <f>IFERROR(VLOOKUP(HD20,Horarios!$H:$I,2,0),"")</f>
        <v/>
      </c>
      <c r="HG20" s="28" t="str">
        <f>IFERROR(VLOOKUP(HE20,Horarios!$H:$I,2,0),"")</f>
        <v/>
      </c>
      <c r="HH20" s="28" t="str">
        <f t="shared" si="38"/>
        <v>00:00</v>
      </c>
      <c r="HI20" s="29"/>
      <c r="HJ20" s="31" t="str">
        <f t="shared" si="39"/>
        <v/>
      </c>
      <c r="HK20" s="27"/>
      <c r="HL20" s="27"/>
      <c r="HM20" s="28" t="str">
        <f>IFERROR(VLOOKUP(HK20,Horarios!$H:$I,2,0),"")</f>
        <v/>
      </c>
      <c r="HN20" s="28" t="str">
        <f>IFERROR(VLOOKUP(HL20,Horarios!$H:$I,2,0),"")</f>
        <v/>
      </c>
      <c r="HO20" s="28" t="str">
        <f t="shared" si="40"/>
        <v>00:00</v>
      </c>
      <c r="HP20" s="29"/>
      <c r="HQ20" s="27"/>
      <c r="HR20" s="27"/>
      <c r="HS20" s="28" t="str">
        <f>IFERROR(VLOOKUP(HQ20,Horarios!$H:$I,2,0),"")</f>
        <v/>
      </c>
      <c r="HT20" s="28" t="str">
        <f>IFERROR(VLOOKUP(HR20,Horarios!$H:$I,2,0),"")</f>
        <v/>
      </c>
      <c r="HU20" s="28" t="str">
        <f t="shared" si="41"/>
        <v>00:00</v>
      </c>
      <c r="HV20" s="29"/>
      <c r="HW20" s="27"/>
      <c r="HX20" s="27"/>
      <c r="HY20" s="28" t="str">
        <f>IFERROR(VLOOKUP(HW20,Horarios!$H:$I,2,0),"")</f>
        <v/>
      </c>
      <c r="HZ20" s="28" t="str">
        <f>IFERROR(VLOOKUP(HX20,Horarios!$H:$I,2,0),"")</f>
        <v/>
      </c>
      <c r="IA20" s="28" t="str">
        <f t="shared" si="42"/>
        <v>00:00</v>
      </c>
      <c r="IB20" s="29"/>
      <c r="IC20" s="27"/>
      <c r="ID20" s="27"/>
      <c r="IE20" s="28" t="str">
        <f>IFERROR(VLOOKUP(IC20,Horarios!$H:$I,2,0),"")</f>
        <v/>
      </c>
      <c r="IF20" s="28" t="str">
        <f>IFERROR(VLOOKUP(ID20,Horarios!$H:$I,2,0),"")</f>
        <v/>
      </c>
      <c r="IG20" s="28" t="str">
        <f t="shared" si="43"/>
        <v>00:00</v>
      </c>
      <c r="IH20" s="29"/>
      <c r="II20" s="27"/>
      <c r="IJ20" s="27"/>
      <c r="IK20" s="28" t="str">
        <f>IFERROR(VLOOKUP(II20,Horarios!$H:$I,2,0),"")</f>
        <v/>
      </c>
      <c r="IL20" s="28" t="str">
        <f>IFERROR(VLOOKUP(IJ20,Horarios!$H:$I,2,0),"")</f>
        <v/>
      </c>
      <c r="IM20" s="28" t="str">
        <f t="shared" si="44"/>
        <v>00:00</v>
      </c>
      <c r="IN20" s="29"/>
      <c r="IO20" s="27"/>
      <c r="IP20" s="27"/>
      <c r="IQ20" s="28" t="str">
        <f>IFERROR(VLOOKUP(IO20,Horarios!$H:$I,2,0),"")</f>
        <v/>
      </c>
      <c r="IR20" s="28" t="str">
        <f>IFERROR(VLOOKUP(IP20,Horarios!$H:$I,2,0),"")</f>
        <v/>
      </c>
      <c r="IS20" s="28" t="str">
        <f t="shared" si="45"/>
        <v>00:00</v>
      </c>
      <c r="IT20" s="29"/>
      <c r="IU20" s="27"/>
      <c r="IV20" s="27"/>
      <c r="IW20" s="28" t="str">
        <f>IFERROR(VLOOKUP(IU20,Horarios!$H:$I,2,0),"")</f>
        <v/>
      </c>
      <c r="IX20" s="28" t="str">
        <f>IFERROR(VLOOKUP(IV20,Horarios!$H:$I,2,0),"")</f>
        <v/>
      </c>
      <c r="IY20" s="28" t="str">
        <f t="shared" si="46"/>
        <v>00:00</v>
      </c>
      <c r="IZ20" s="29"/>
      <c r="JA20" s="31" t="str">
        <f t="shared" si="47"/>
        <v/>
      </c>
    </row>
    <row r="21" spans="1:261" s="24" customFormat="1" ht="17.399999999999999" x14ac:dyDescent="0.25">
      <c r="A21" s="25"/>
      <c r="B21" s="26" t="str">
        <f>IFERROR(VLOOKUP(A21,BaseNombres!A:B,2,0),"")</f>
        <v/>
      </c>
      <c r="C21" s="26" t="str">
        <f>IFERROR(VLOOKUP(A21,BaseNombres!A:C,3,0),"")</f>
        <v/>
      </c>
      <c r="D21" s="27"/>
      <c r="E21" s="27"/>
      <c r="F21" s="28" t="str">
        <f>IFERROR(VLOOKUP(D21,Horarios!$H:$I,2,0),"")</f>
        <v/>
      </c>
      <c r="G21" s="28" t="str">
        <f>IFERROR(VLOOKUP(E21,Horarios!$H:$I,2,0),"")</f>
        <v/>
      </c>
      <c r="H21" s="28" t="str">
        <f t="shared" si="0"/>
        <v>00:00</v>
      </c>
      <c r="I21" s="29"/>
      <c r="J21" s="27"/>
      <c r="K21" s="27"/>
      <c r="L21" s="28" t="str">
        <f>IFERROR(VLOOKUP(J21,Horarios!$H:$I,2,0),"")</f>
        <v/>
      </c>
      <c r="M21" s="28" t="str">
        <f>IFERROR(VLOOKUP(K21,Horarios!$H:$I,2,0),"")</f>
        <v/>
      </c>
      <c r="N21" s="32" t="str">
        <f t="shared" si="1"/>
        <v>00:00</v>
      </c>
      <c r="O21" s="29"/>
      <c r="P21" s="27"/>
      <c r="Q21" s="27"/>
      <c r="R21" s="28" t="str">
        <f>IFERROR(VLOOKUP(P21,Horarios!$H:$I,2,0),"")</f>
        <v/>
      </c>
      <c r="S21" s="28" t="str">
        <f>IFERROR(VLOOKUP(Q21,Horarios!$H:$I,2,0),"")</f>
        <v/>
      </c>
      <c r="T21" s="28" t="str">
        <f t="shared" si="2"/>
        <v>00:00</v>
      </c>
      <c r="U21" s="29"/>
      <c r="V21" s="27"/>
      <c r="W21" s="27"/>
      <c r="X21" s="28" t="str">
        <f>IFERROR(VLOOKUP(V21,Horarios!$H:$I,2,0),"")</f>
        <v/>
      </c>
      <c r="Y21" s="28" t="str">
        <f>IFERROR(VLOOKUP(W21,Horarios!$H:$I,2,0),"")</f>
        <v/>
      </c>
      <c r="Z21" s="28" t="str">
        <f t="shared" si="3"/>
        <v>00:00</v>
      </c>
      <c r="AA21" s="29"/>
      <c r="AB21" s="27"/>
      <c r="AC21" s="27"/>
      <c r="AD21" s="28" t="str">
        <f>IFERROR(VLOOKUP(AB21,Horarios!$H:$I,2,0),"")</f>
        <v/>
      </c>
      <c r="AE21" s="28" t="str">
        <f>IFERROR(VLOOKUP(AC21,Horarios!$H:$I,2,0),"")</f>
        <v/>
      </c>
      <c r="AF21" s="28" t="str">
        <f t="shared" si="4"/>
        <v>00:00</v>
      </c>
      <c r="AG21" s="29"/>
      <c r="AH21" s="27"/>
      <c r="AI21" s="27"/>
      <c r="AJ21" s="28" t="str">
        <f>IFERROR(VLOOKUP(AH21,Horarios!$H:$I,2,0),"")</f>
        <v/>
      </c>
      <c r="AK21" s="28" t="str">
        <f>IFERROR(VLOOKUP(AI21,Horarios!$H:$I,2,0),"")</f>
        <v/>
      </c>
      <c r="AL21" s="28" t="str">
        <f t="shared" si="5"/>
        <v>00:00</v>
      </c>
      <c r="AM21" s="29"/>
      <c r="AN21" s="27"/>
      <c r="AO21" s="27"/>
      <c r="AP21" s="28" t="str">
        <f>IFERROR(VLOOKUP(AN21,Horarios!$H:$I,2,0),"")</f>
        <v/>
      </c>
      <c r="AQ21" s="28" t="str">
        <f>IFERROR(VLOOKUP(AO21,Horarios!$H:$I,2,0),"")</f>
        <v/>
      </c>
      <c r="AR21" s="28" t="str">
        <f t="shared" si="6"/>
        <v>00:00</v>
      </c>
      <c r="AS21" s="29"/>
      <c r="AT21" s="31" t="str">
        <f t="shared" si="7"/>
        <v/>
      </c>
      <c r="AU21" s="27"/>
      <c r="AV21" s="27"/>
      <c r="AW21" s="28" t="str">
        <f>IFERROR(VLOOKUP(AU21,Horarios!$H:$I,2,0),"")</f>
        <v/>
      </c>
      <c r="AX21" s="28" t="str">
        <f>IFERROR(VLOOKUP(AV21,Horarios!$H:$I,2,0),"")</f>
        <v/>
      </c>
      <c r="AY21" s="28" t="str">
        <f t="shared" si="8"/>
        <v>00:00</v>
      </c>
      <c r="AZ21" s="29"/>
      <c r="BA21" s="27"/>
      <c r="BB21" s="27"/>
      <c r="BC21" s="28" t="str">
        <f>IFERROR(VLOOKUP(BA21,Horarios!$H:$I,2,0),"")</f>
        <v/>
      </c>
      <c r="BD21" s="28" t="str">
        <f>IFERROR(VLOOKUP(BB21,Horarios!$H:$I,2,0),"")</f>
        <v/>
      </c>
      <c r="BE21" s="28" t="str">
        <f t="shared" si="9"/>
        <v>00:00</v>
      </c>
      <c r="BF21" s="29"/>
      <c r="BG21" s="27"/>
      <c r="BH21" s="27"/>
      <c r="BI21" s="28" t="str">
        <f>IFERROR(VLOOKUP(BG21,Horarios!$H:$I,2,0),"")</f>
        <v/>
      </c>
      <c r="BJ21" s="28" t="str">
        <f>IFERROR(VLOOKUP(BH21,Horarios!$H:$I,2,0),"")</f>
        <v/>
      </c>
      <c r="BK21" s="28" t="str">
        <f t="shared" si="10"/>
        <v>00:00</v>
      </c>
      <c r="BL21" s="29"/>
      <c r="BM21" s="27"/>
      <c r="BN21" s="27"/>
      <c r="BO21" s="28" t="str">
        <f>IFERROR(VLOOKUP(BM21,Horarios!$H:$I,2,0),"")</f>
        <v/>
      </c>
      <c r="BP21" s="28" t="str">
        <f>IFERROR(VLOOKUP(BN21,Horarios!$H:$I,2,0),"")</f>
        <v/>
      </c>
      <c r="BQ21" s="28" t="str">
        <f t="shared" si="11"/>
        <v>00:00</v>
      </c>
      <c r="BR21" s="29"/>
      <c r="BS21" s="27"/>
      <c r="BT21" s="27"/>
      <c r="BU21" s="28" t="str">
        <f>IFERROR(VLOOKUP(BS21,Horarios!$H:$I,2,0),"")</f>
        <v/>
      </c>
      <c r="BV21" s="28" t="str">
        <f>IFERROR(VLOOKUP(BT21,Horarios!$H:$I,2,0),"")</f>
        <v/>
      </c>
      <c r="BW21" s="28" t="str">
        <f t="shared" si="12"/>
        <v>00:00</v>
      </c>
      <c r="BX21" s="29"/>
      <c r="BY21" s="27"/>
      <c r="BZ21" s="27"/>
      <c r="CA21" s="28" t="str">
        <f>IFERROR(VLOOKUP(BY21,Horarios!$H:$I,2,0),"")</f>
        <v/>
      </c>
      <c r="CB21" s="28" t="str">
        <f>IFERROR(VLOOKUP(BZ21,Horarios!$H:$I,2,0),"")</f>
        <v/>
      </c>
      <c r="CC21" s="28" t="str">
        <f t="shared" si="13"/>
        <v>00:00</v>
      </c>
      <c r="CD21" s="29"/>
      <c r="CE21" s="27"/>
      <c r="CF21" s="27"/>
      <c r="CG21" s="28" t="str">
        <f>IFERROR(VLOOKUP(CE21,Horarios!$H:$I,2,0),"")</f>
        <v/>
      </c>
      <c r="CH21" s="28" t="str">
        <f>IFERROR(VLOOKUP(CF21,Horarios!$H:$I,2,0),"")</f>
        <v/>
      </c>
      <c r="CI21" s="28" t="str">
        <f t="shared" si="14"/>
        <v>00:00</v>
      </c>
      <c r="CJ21" s="29"/>
      <c r="CK21" s="31" t="str">
        <f t="shared" si="15"/>
        <v/>
      </c>
      <c r="CL21" s="27"/>
      <c r="CM21" s="27"/>
      <c r="CN21" s="28" t="str">
        <f>IFERROR(VLOOKUP(CL21,Horarios!$H:$I,2,0),"")</f>
        <v/>
      </c>
      <c r="CO21" s="28" t="str">
        <f>IFERROR(VLOOKUP(CM21,Horarios!$H:$I,2,0),"")</f>
        <v/>
      </c>
      <c r="CP21" s="28" t="str">
        <f t="shared" si="16"/>
        <v>00:00</v>
      </c>
      <c r="CQ21" s="29"/>
      <c r="CR21" s="27"/>
      <c r="CS21" s="27"/>
      <c r="CT21" s="28" t="str">
        <f>IFERROR(VLOOKUP(CR21,Horarios!$H:$I,2,0),"")</f>
        <v/>
      </c>
      <c r="CU21" s="28" t="str">
        <f>IFERROR(VLOOKUP(CS21,Horarios!$H:$I,2,0),"")</f>
        <v/>
      </c>
      <c r="CV21" s="28" t="str">
        <f t="shared" si="17"/>
        <v>00:00</v>
      </c>
      <c r="CW21" s="29"/>
      <c r="CX21" s="27"/>
      <c r="CY21" s="27"/>
      <c r="CZ21" s="28" t="str">
        <f>IFERROR(VLOOKUP(CX21,Horarios!$H:$I,2,0),"")</f>
        <v/>
      </c>
      <c r="DA21" s="28" t="str">
        <f>IFERROR(VLOOKUP(CY21,Horarios!$H:$I,2,0),"")</f>
        <v/>
      </c>
      <c r="DB21" s="28" t="str">
        <f t="shared" si="18"/>
        <v>00:00</v>
      </c>
      <c r="DC21" s="29"/>
      <c r="DD21" s="27"/>
      <c r="DE21" s="27"/>
      <c r="DF21" s="28" t="str">
        <f>IFERROR(VLOOKUP(DD21,Horarios!$H:$I,2,0),"")</f>
        <v/>
      </c>
      <c r="DG21" s="28" t="str">
        <f>IFERROR(VLOOKUP(DE21,Horarios!$H:$I,2,0),"")</f>
        <v/>
      </c>
      <c r="DH21" s="28" t="str">
        <f t="shared" si="19"/>
        <v>00:00</v>
      </c>
      <c r="DI21" s="29"/>
      <c r="DJ21" s="27"/>
      <c r="DK21" s="27"/>
      <c r="DL21" s="28" t="str">
        <f>IFERROR(VLOOKUP(DJ21,Horarios!$H:$I,2,0),"")</f>
        <v/>
      </c>
      <c r="DM21" s="28" t="str">
        <f>IFERROR(VLOOKUP(DK21,Horarios!$H:$I,2,0),"")</f>
        <v/>
      </c>
      <c r="DN21" s="28" t="str">
        <f t="shared" si="20"/>
        <v>00:00</v>
      </c>
      <c r="DO21" s="29"/>
      <c r="DP21" s="27"/>
      <c r="DQ21" s="27"/>
      <c r="DR21" s="28" t="str">
        <f>IFERROR(VLOOKUP(DP21,Horarios!$H:$I,2,0),"")</f>
        <v/>
      </c>
      <c r="DS21" s="28" t="str">
        <f>IFERROR(VLOOKUP(DQ21,Horarios!$H:$I,2,0),"")</f>
        <v/>
      </c>
      <c r="DT21" s="28" t="str">
        <f t="shared" si="21"/>
        <v>00:00</v>
      </c>
      <c r="DU21" s="29"/>
      <c r="DV21" s="27"/>
      <c r="DW21" s="27"/>
      <c r="DX21" s="28" t="str">
        <f>IFERROR(VLOOKUP(DV21,Horarios!$H:$I,2,0),"")</f>
        <v/>
      </c>
      <c r="DY21" s="28" t="str">
        <f>IFERROR(VLOOKUP(DW21,Horarios!$H:$I,2,0),"")</f>
        <v/>
      </c>
      <c r="DZ21" s="28" t="str">
        <f t="shared" si="22"/>
        <v>00:00</v>
      </c>
      <c r="EA21" s="29"/>
      <c r="EB21" s="31" t="str">
        <f t="shared" si="23"/>
        <v/>
      </c>
      <c r="EC21" s="27"/>
      <c r="ED21" s="27"/>
      <c r="EE21" s="28" t="str">
        <f>IFERROR(VLOOKUP(EC21,Horarios!$H:$I,2,0),"")</f>
        <v/>
      </c>
      <c r="EF21" s="28" t="str">
        <f>IFERROR(VLOOKUP(ED21,Horarios!$H:$I,2,0),"")</f>
        <v/>
      </c>
      <c r="EG21" s="28" t="str">
        <f t="shared" si="24"/>
        <v>00:00</v>
      </c>
      <c r="EH21" s="29"/>
      <c r="EI21" s="27"/>
      <c r="EJ21" s="27"/>
      <c r="EK21" s="28" t="str">
        <f>IFERROR(VLOOKUP(EI21,Horarios!$H:$I,2,0),"")</f>
        <v/>
      </c>
      <c r="EL21" s="28" t="str">
        <f>IFERROR(VLOOKUP(EJ21,Horarios!$H:$I,2,0),"")</f>
        <v/>
      </c>
      <c r="EM21" s="28" t="str">
        <f t="shared" si="25"/>
        <v>00:00</v>
      </c>
      <c r="EN21" s="29"/>
      <c r="EO21" s="27"/>
      <c r="EP21" s="27"/>
      <c r="EQ21" s="28" t="str">
        <f>IFERROR(VLOOKUP(EO21,Horarios!$H:$I,2,0),"")</f>
        <v/>
      </c>
      <c r="ER21" s="28" t="str">
        <f>IFERROR(VLOOKUP(EP21,Horarios!$H:$I,2,0),"")</f>
        <v/>
      </c>
      <c r="ES21" s="28" t="str">
        <f t="shared" si="26"/>
        <v>00:00</v>
      </c>
      <c r="ET21" s="29"/>
      <c r="EU21" s="27"/>
      <c r="EV21" s="27"/>
      <c r="EW21" s="28" t="str">
        <f>IFERROR(VLOOKUP(EU21,Horarios!$H:$I,2,0),"")</f>
        <v/>
      </c>
      <c r="EX21" s="28" t="str">
        <f>IFERROR(VLOOKUP(EV21,Horarios!$H:$I,2,0),"")</f>
        <v/>
      </c>
      <c r="EY21" s="28" t="str">
        <f t="shared" si="27"/>
        <v>00:00</v>
      </c>
      <c r="EZ21" s="29"/>
      <c r="FA21" s="27"/>
      <c r="FB21" s="27"/>
      <c r="FC21" s="28" t="str">
        <f>IFERROR(VLOOKUP(FA21,Horarios!$H:$I,2,0),"")</f>
        <v/>
      </c>
      <c r="FD21" s="28" t="str">
        <f>IFERROR(VLOOKUP(FB21,Horarios!$H:$I,2,0),"")</f>
        <v/>
      </c>
      <c r="FE21" s="28" t="str">
        <f t="shared" si="28"/>
        <v>00:00</v>
      </c>
      <c r="FF21" s="29"/>
      <c r="FG21" s="27"/>
      <c r="FH21" s="27"/>
      <c r="FI21" s="28" t="str">
        <f>IFERROR(VLOOKUP(FG21,Horarios!$H:$I,2,0),"")</f>
        <v/>
      </c>
      <c r="FJ21" s="28" t="str">
        <f>IFERROR(VLOOKUP(FH21,Horarios!$H:$I,2,0),"")</f>
        <v/>
      </c>
      <c r="FK21" s="28" t="str">
        <f t="shared" si="29"/>
        <v>00:00</v>
      </c>
      <c r="FL21" s="29"/>
      <c r="FM21" s="27"/>
      <c r="FN21" s="27"/>
      <c r="FO21" s="28" t="str">
        <f>IFERROR(VLOOKUP(FM21,Horarios!$H:$I,2,0),"")</f>
        <v/>
      </c>
      <c r="FP21" s="28" t="str">
        <f>IFERROR(VLOOKUP(FN21,Horarios!$H:$I,2,0),"")</f>
        <v/>
      </c>
      <c r="FQ21" s="28" t="str">
        <f t="shared" si="30"/>
        <v>00:00</v>
      </c>
      <c r="FR21" s="29"/>
      <c r="FS21" s="31" t="str">
        <f t="shared" si="31"/>
        <v/>
      </c>
      <c r="FT21" s="27"/>
      <c r="FU21" s="27"/>
      <c r="FV21" s="28" t="str">
        <f>IFERROR(VLOOKUP(FT21,Horarios!$H:$I,2,0),"")</f>
        <v/>
      </c>
      <c r="FW21" s="28" t="str">
        <f>IFERROR(VLOOKUP(FU21,Horarios!$H:$I,2,0),"")</f>
        <v/>
      </c>
      <c r="FX21" s="28" t="str">
        <f t="shared" si="32"/>
        <v>00:00</v>
      </c>
      <c r="FY21" s="29"/>
      <c r="FZ21" s="27"/>
      <c r="GA21" s="27"/>
      <c r="GB21" s="28" t="str">
        <f>IFERROR(VLOOKUP(FZ21,Horarios!$H:$I,2,0),"")</f>
        <v/>
      </c>
      <c r="GC21" s="28" t="str">
        <f>IFERROR(VLOOKUP(GA21,Horarios!$H:$I,2,0),"")</f>
        <v/>
      </c>
      <c r="GD21" s="28" t="str">
        <f t="shared" si="33"/>
        <v>00:00</v>
      </c>
      <c r="GE21" s="29"/>
      <c r="GF21" s="27"/>
      <c r="GG21" s="27"/>
      <c r="GH21" s="28" t="str">
        <f>IFERROR(VLOOKUP(GF21,Horarios!$H:$I,2,0),"")</f>
        <v/>
      </c>
      <c r="GI21" s="28" t="str">
        <f>IFERROR(VLOOKUP(GG21,Horarios!$H:$I,2,0),"")</f>
        <v/>
      </c>
      <c r="GJ21" s="28" t="str">
        <f t="shared" si="34"/>
        <v>00:00</v>
      </c>
      <c r="GK21" s="29"/>
      <c r="GL21" s="27"/>
      <c r="GM21" s="27"/>
      <c r="GN21" s="28" t="str">
        <f>IFERROR(VLOOKUP(GL21,Horarios!$H:$I,2,0),"")</f>
        <v/>
      </c>
      <c r="GO21" s="28" t="str">
        <f>IFERROR(VLOOKUP(GM21,Horarios!$H:$I,2,0),"")</f>
        <v/>
      </c>
      <c r="GP21" s="28" t="str">
        <f t="shared" si="35"/>
        <v>00:00</v>
      </c>
      <c r="GQ21" s="29"/>
      <c r="GR21" s="27"/>
      <c r="GS21" s="27"/>
      <c r="GT21" s="28" t="str">
        <f>IFERROR(VLOOKUP(GR21,Horarios!$H:$I,2,0),"")</f>
        <v/>
      </c>
      <c r="GU21" s="28" t="str">
        <f>IFERROR(VLOOKUP(GS21,Horarios!$H:$I,2,0),"")</f>
        <v/>
      </c>
      <c r="GV21" s="28" t="str">
        <f t="shared" si="36"/>
        <v>00:00</v>
      </c>
      <c r="GW21" s="29"/>
      <c r="GX21" s="27"/>
      <c r="GY21" s="27"/>
      <c r="GZ21" s="28" t="str">
        <f>IFERROR(VLOOKUP(GX21,Horarios!$H:$I,2,0),"")</f>
        <v/>
      </c>
      <c r="HA21" s="28" t="str">
        <f>IFERROR(VLOOKUP(GY21,Horarios!$H:$I,2,0),"")</f>
        <v/>
      </c>
      <c r="HB21" s="28" t="str">
        <f t="shared" si="37"/>
        <v>00:00</v>
      </c>
      <c r="HC21" s="29"/>
      <c r="HD21" s="27"/>
      <c r="HE21" s="27"/>
      <c r="HF21" s="28" t="str">
        <f>IFERROR(VLOOKUP(HD21,Horarios!$H:$I,2,0),"")</f>
        <v/>
      </c>
      <c r="HG21" s="28" t="str">
        <f>IFERROR(VLOOKUP(HE21,Horarios!$H:$I,2,0),"")</f>
        <v/>
      </c>
      <c r="HH21" s="28" t="str">
        <f t="shared" si="38"/>
        <v>00:00</v>
      </c>
      <c r="HI21" s="29"/>
      <c r="HJ21" s="31" t="str">
        <f t="shared" si="39"/>
        <v/>
      </c>
      <c r="HK21" s="27"/>
      <c r="HL21" s="27"/>
      <c r="HM21" s="28" t="str">
        <f>IFERROR(VLOOKUP(HK21,Horarios!$H:$I,2,0),"")</f>
        <v/>
      </c>
      <c r="HN21" s="28" t="str">
        <f>IFERROR(VLOOKUP(HL21,Horarios!$H:$I,2,0),"")</f>
        <v/>
      </c>
      <c r="HO21" s="28" t="str">
        <f t="shared" si="40"/>
        <v>00:00</v>
      </c>
      <c r="HP21" s="29"/>
      <c r="HQ21" s="27"/>
      <c r="HR21" s="27"/>
      <c r="HS21" s="28" t="str">
        <f>IFERROR(VLOOKUP(HQ21,Horarios!$H:$I,2,0),"")</f>
        <v/>
      </c>
      <c r="HT21" s="28" t="str">
        <f>IFERROR(VLOOKUP(HR21,Horarios!$H:$I,2,0),"")</f>
        <v/>
      </c>
      <c r="HU21" s="28" t="str">
        <f t="shared" si="41"/>
        <v>00:00</v>
      </c>
      <c r="HV21" s="29"/>
      <c r="HW21" s="27"/>
      <c r="HX21" s="27"/>
      <c r="HY21" s="28" t="str">
        <f>IFERROR(VLOOKUP(HW21,Horarios!$H:$I,2,0),"")</f>
        <v/>
      </c>
      <c r="HZ21" s="28" t="str">
        <f>IFERROR(VLOOKUP(HX21,Horarios!$H:$I,2,0),"")</f>
        <v/>
      </c>
      <c r="IA21" s="28" t="str">
        <f t="shared" si="42"/>
        <v>00:00</v>
      </c>
      <c r="IB21" s="29"/>
      <c r="IC21" s="27"/>
      <c r="ID21" s="27"/>
      <c r="IE21" s="28" t="str">
        <f>IFERROR(VLOOKUP(IC21,Horarios!$H:$I,2,0),"")</f>
        <v/>
      </c>
      <c r="IF21" s="28" t="str">
        <f>IFERROR(VLOOKUP(ID21,Horarios!$H:$I,2,0),"")</f>
        <v/>
      </c>
      <c r="IG21" s="28" t="str">
        <f t="shared" si="43"/>
        <v>00:00</v>
      </c>
      <c r="IH21" s="29"/>
      <c r="II21" s="27"/>
      <c r="IJ21" s="27"/>
      <c r="IK21" s="28" t="str">
        <f>IFERROR(VLOOKUP(II21,Horarios!$H:$I,2,0),"")</f>
        <v/>
      </c>
      <c r="IL21" s="28" t="str">
        <f>IFERROR(VLOOKUP(IJ21,Horarios!$H:$I,2,0),"")</f>
        <v/>
      </c>
      <c r="IM21" s="28" t="str">
        <f t="shared" si="44"/>
        <v>00:00</v>
      </c>
      <c r="IN21" s="29"/>
      <c r="IO21" s="27"/>
      <c r="IP21" s="27"/>
      <c r="IQ21" s="28" t="str">
        <f>IFERROR(VLOOKUP(IO21,Horarios!$H:$I,2,0),"")</f>
        <v/>
      </c>
      <c r="IR21" s="28" t="str">
        <f>IFERROR(VLOOKUP(IP21,Horarios!$H:$I,2,0),"")</f>
        <v/>
      </c>
      <c r="IS21" s="28" t="str">
        <f t="shared" si="45"/>
        <v>00:00</v>
      </c>
      <c r="IT21" s="29"/>
      <c r="IU21" s="27"/>
      <c r="IV21" s="27"/>
      <c r="IW21" s="28" t="str">
        <f>IFERROR(VLOOKUP(IU21,Horarios!$H:$I,2,0),"")</f>
        <v/>
      </c>
      <c r="IX21" s="28" t="str">
        <f>IFERROR(VLOOKUP(IV21,Horarios!$H:$I,2,0),"")</f>
        <v/>
      </c>
      <c r="IY21" s="28" t="str">
        <f t="shared" si="46"/>
        <v>00:00</v>
      </c>
      <c r="IZ21" s="29"/>
      <c r="JA21" s="31" t="str">
        <f t="shared" si="47"/>
        <v/>
      </c>
    </row>
    <row r="22" spans="1:261" s="24" customFormat="1" ht="17.399999999999999" x14ac:dyDescent="0.25">
      <c r="A22" s="25"/>
      <c r="B22" s="26" t="str">
        <f>IFERROR(VLOOKUP(A22,BaseNombres!A:B,2,0),"")</f>
        <v/>
      </c>
      <c r="C22" s="26" t="str">
        <f>IFERROR(VLOOKUP(A22,BaseNombres!A:C,3,0),"")</f>
        <v/>
      </c>
      <c r="D22" s="27"/>
      <c r="E22" s="27"/>
      <c r="F22" s="28" t="str">
        <f>IFERROR(VLOOKUP(D22,Horarios!$H:$I,2,0),"")</f>
        <v/>
      </c>
      <c r="G22" s="28" t="str">
        <f>IFERROR(VLOOKUP(E22,Horarios!$H:$I,2,0),"")</f>
        <v/>
      </c>
      <c r="H22" s="28" t="str">
        <f t="shared" si="0"/>
        <v>00:00</v>
      </c>
      <c r="I22" s="29"/>
      <c r="J22" s="27"/>
      <c r="K22" s="27"/>
      <c r="L22" s="28" t="str">
        <f>IFERROR(VLOOKUP(J22,Horarios!$H:$I,2,0),"")</f>
        <v/>
      </c>
      <c r="M22" s="28" t="str">
        <f>IFERROR(VLOOKUP(K22,Horarios!$H:$I,2,0),"")</f>
        <v/>
      </c>
      <c r="N22" s="28" t="str">
        <f t="shared" si="1"/>
        <v>00:00</v>
      </c>
      <c r="O22" s="29"/>
      <c r="P22" s="27"/>
      <c r="Q22" s="27"/>
      <c r="R22" s="28" t="str">
        <f>IFERROR(VLOOKUP(P22,Horarios!$H:$I,2,0),"")</f>
        <v/>
      </c>
      <c r="S22" s="28" t="str">
        <f>IFERROR(VLOOKUP(Q22,Horarios!$H:$I,2,0),"")</f>
        <v/>
      </c>
      <c r="T22" s="28" t="str">
        <f t="shared" si="2"/>
        <v>00:00</v>
      </c>
      <c r="U22" s="29"/>
      <c r="V22" s="27"/>
      <c r="W22" s="27"/>
      <c r="X22" s="28" t="str">
        <f>IFERROR(VLOOKUP(V22,Horarios!$H:$I,2,0),"")</f>
        <v/>
      </c>
      <c r="Y22" s="28" t="str">
        <f>IFERROR(VLOOKUP(W22,Horarios!$H:$I,2,0),"")</f>
        <v/>
      </c>
      <c r="Z22" s="28" t="str">
        <f t="shared" si="3"/>
        <v>00:00</v>
      </c>
      <c r="AA22" s="29"/>
      <c r="AB22" s="27"/>
      <c r="AC22" s="27"/>
      <c r="AD22" s="28" t="str">
        <f>IFERROR(VLOOKUP(AB22,Horarios!$H:$I,2,0),"")</f>
        <v/>
      </c>
      <c r="AE22" s="28" t="str">
        <f>IFERROR(VLOOKUP(AC22,Horarios!$H:$I,2,0),"")</f>
        <v/>
      </c>
      <c r="AF22" s="28" t="str">
        <f t="shared" si="4"/>
        <v>00:00</v>
      </c>
      <c r="AG22" s="29"/>
      <c r="AH22" s="27"/>
      <c r="AI22" s="27"/>
      <c r="AJ22" s="28" t="str">
        <f>IFERROR(VLOOKUP(AH22,Horarios!$H:$I,2,0),"")</f>
        <v/>
      </c>
      <c r="AK22" s="28" t="str">
        <f>IFERROR(VLOOKUP(AI22,Horarios!$H:$I,2,0),"")</f>
        <v/>
      </c>
      <c r="AL22" s="28" t="str">
        <f t="shared" si="5"/>
        <v>00:00</v>
      </c>
      <c r="AM22" s="29"/>
      <c r="AN22" s="27"/>
      <c r="AO22" s="27"/>
      <c r="AP22" s="28" t="str">
        <f>IFERROR(VLOOKUP(AN22,Horarios!$H:$I,2,0),"")</f>
        <v/>
      </c>
      <c r="AQ22" s="28" t="str">
        <f>IFERROR(VLOOKUP(AO22,Horarios!$H:$I,2,0),"")</f>
        <v/>
      </c>
      <c r="AR22" s="28" t="str">
        <f t="shared" si="6"/>
        <v>00:00</v>
      </c>
      <c r="AS22" s="29"/>
      <c r="AT22" s="31" t="str">
        <f t="shared" si="7"/>
        <v/>
      </c>
      <c r="AU22" s="27"/>
      <c r="AV22" s="27"/>
      <c r="AW22" s="28" t="str">
        <f>IFERROR(VLOOKUP(AU22,Horarios!$H:$I,2,0),"")</f>
        <v/>
      </c>
      <c r="AX22" s="28" t="str">
        <f>IFERROR(VLOOKUP(AV22,Horarios!$H:$I,2,0),"")</f>
        <v/>
      </c>
      <c r="AY22" s="28" t="str">
        <f t="shared" si="8"/>
        <v>00:00</v>
      </c>
      <c r="AZ22" s="29"/>
      <c r="BA22" s="27"/>
      <c r="BB22" s="27"/>
      <c r="BC22" s="28" t="str">
        <f>IFERROR(VLOOKUP(BA22,Horarios!$H:$I,2,0),"")</f>
        <v/>
      </c>
      <c r="BD22" s="28" t="str">
        <f>IFERROR(VLOOKUP(BB22,Horarios!$H:$I,2,0),"")</f>
        <v/>
      </c>
      <c r="BE22" s="28" t="str">
        <f t="shared" si="9"/>
        <v>00:00</v>
      </c>
      <c r="BF22" s="29"/>
      <c r="BG22" s="27"/>
      <c r="BH22" s="27"/>
      <c r="BI22" s="28" t="str">
        <f>IFERROR(VLOOKUP(BG22,Horarios!$H:$I,2,0),"")</f>
        <v/>
      </c>
      <c r="BJ22" s="28" t="str">
        <f>IFERROR(VLOOKUP(BH22,Horarios!$H:$I,2,0),"")</f>
        <v/>
      </c>
      <c r="BK22" s="28" t="str">
        <f t="shared" si="10"/>
        <v>00:00</v>
      </c>
      <c r="BL22" s="29"/>
      <c r="BM22" s="27"/>
      <c r="BN22" s="27"/>
      <c r="BO22" s="28" t="str">
        <f>IFERROR(VLOOKUP(BM22,Horarios!$H:$I,2,0),"")</f>
        <v/>
      </c>
      <c r="BP22" s="28" t="str">
        <f>IFERROR(VLOOKUP(BN22,Horarios!$H:$I,2,0),"")</f>
        <v/>
      </c>
      <c r="BQ22" s="28" t="str">
        <f t="shared" si="11"/>
        <v>00:00</v>
      </c>
      <c r="BR22" s="29"/>
      <c r="BS22" s="27"/>
      <c r="BT22" s="27"/>
      <c r="BU22" s="28" t="str">
        <f>IFERROR(VLOOKUP(BS22,Horarios!$H:$I,2,0),"")</f>
        <v/>
      </c>
      <c r="BV22" s="28" t="str">
        <f>IFERROR(VLOOKUP(BT22,Horarios!$H:$I,2,0),"")</f>
        <v/>
      </c>
      <c r="BW22" s="28" t="str">
        <f t="shared" si="12"/>
        <v>00:00</v>
      </c>
      <c r="BX22" s="29"/>
      <c r="BY22" s="27"/>
      <c r="BZ22" s="27"/>
      <c r="CA22" s="28" t="str">
        <f>IFERROR(VLOOKUP(BY22,Horarios!$H:$I,2,0),"")</f>
        <v/>
      </c>
      <c r="CB22" s="28" t="str">
        <f>IFERROR(VLOOKUP(BZ22,Horarios!$H:$I,2,0),"")</f>
        <v/>
      </c>
      <c r="CC22" s="28" t="str">
        <f t="shared" si="13"/>
        <v>00:00</v>
      </c>
      <c r="CD22" s="29"/>
      <c r="CE22" s="27"/>
      <c r="CF22" s="27"/>
      <c r="CG22" s="28" t="str">
        <f>IFERROR(VLOOKUP(CE22,Horarios!$H:$I,2,0),"")</f>
        <v/>
      </c>
      <c r="CH22" s="28" t="str">
        <f>IFERROR(VLOOKUP(CF22,Horarios!$H:$I,2,0),"")</f>
        <v/>
      </c>
      <c r="CI22" s="28" t="str">
        <f t="shared" si="14"/>
        <v>00:00</v>
      </c>
      <c r="CJ22" s="29"/>
      <c r="CK22" s="31" t="str">
        <f t="shared" si="15"/>
        <v/>
      </c>
      <c r="CL22" s="27"/>
      <c r="CM22" s="27"/>
      <c r="CN22" s="28" t="str">
        <f>IFERROR(VLOOKUP(CL22,Horarios!$H:$I,2,0),"")</f>
        <v/>
      </c>
      <c r="CO22" s="28" t="str">
        <f>IFERROR(VLOOKUP(CM22,Horarios!$H:$I,2,0),"")</f>
        <v/>
      </c>
      <c r="CP22" s="28" t="str">
        <f t="shared" si="16"/>
        <v>00:00</v>
      </c>
      <c r="CQ22" s="29"/>
      <c r="CR22" s="27"/>
      <c r="CS22" s="27"/>
      <c r="CT22" s="28" t="str">
        <f>IFERROR(VLOOKUP(CR22,Horarios!$H:$I,2,0),"")</f>
        <v/>
      </c>
      <c r="CU22" s="28" t="str">
        <f>IFERROR(VLOOKUP(CS22,Horarios!$H:$I,2,0),"")</f>
        <v/>
      </c>
      <c r="CV22" s="28" t="str">
        <f t="shared" si="17"/>
        <v>00:00</v>
      </c>
      <c r="CW22" s="29"/>
      <c r="CX22" s="27"/>
      <c r="CY22" s="27"/>
      <c r="CZ22" s="28" t="str">
        <f>IFERROR(VLOOKUP(CX22,Horarios!$H:$I,2,0),"")</f>
        <v/>
      </c>
      <c r="DA22" s="28" t="str">
        <f>IFERROR(VLOOKUP(CY22,Horarios!$H:$I,2,0),"")</f>
        <v/>
      </c>
      <c r="DB22" s="28" t="str">
        <f t="shared" si="18"/>
        <v>00:00</v>
      </c>
      <c r="DC22" s="29"/>
      <c r="DD22" s="27"/>
      <c r="DE22" s="27"/>
      <c r="DF22" s="28" t="str">
        <f>IFERROR(VLOOKUP(DD22,Horarios!$H:$I,2,0),"")</f>
        <v/>
      </c>
      <c r="DG22" s="28" t="str">
        <f>IFERROR(VLOOKUP(DE22,Horarios!$H:$I,2,0),"")</f>
        <v/>
      </c>
      <c r="DH22" s="28" t="str">
        <f t="shared" si="19"/>
        <v>00:00</v>
      </c>
      <c r="DI22" s="29"/>
      <c r="DJ22" s="27"/>
      <c r="DK22" s="27"/>
      <c r="DL22" s="28" t="str">
        <f>IFERROR(VLOOKUP(DJ22,Horarios!$H:$I,2,0),"")</f>
        <v/>
      </c>
      <c r="DM22" s="28" t="str">
        <f>IFERROR(VLOOKUP(DK22,Horarios!$H:$I,2,0),"")</f>
        <v/>
      </c>
      <c r="DN22" s="28" t="str">
        <f t="shared" si="20"/>
        <v>00:00</v>
      </c>
      <c r="DO22" s="29"/>
      <c r="DP22" s="27"/>
      <c r="DQ22" s="27"/>
      <c r="DR22" s="28" t="str">
        <f>IFERROR(VLOOKUP(DP22,Horarios!$H:$I,2,0),"")</f>
        <v/>
      </c>
      <c r="DS22" s="28" t="str">
        <f>IFERROR(VLOOKUP(DQ22,Horarios!$H:$I,2,0),"")</f>
        <v/>
      </c>
      <c r="DT22" s="28" t="str">
        <f t="shared" si="21"/>
        <v>00:00</v>
      </c>
      <c r="DU22" s="29"/>
      <c r="DV22" s="27"/>
      <c r="DW22" s="27"/>
      <c r="DX22" s="28" t="str">
        <f>IFERROR(VLOOKUP(DV22,Horarios!$H:$I,2,0),"")</f>
        <v/>
      </c>
      <c r="DY22" s="28" t="str">
        <f>IFERROR(VLOOKUP(DW22,Horarios!$H:$I,2,0),"")</f>
        <v/>
      </c>
      <c r="DZ22" s="28" t="str">
        <f t="shared" si="22"/>
        <v>00:00</v>
      </c>
      <c r="EA22" s="29"/>
      <c r="EB22" s="31" t="str">
        <f t="shared" si="23"/>
        <v/>
      </c>
      <c r="EC22" s="27"/>
      <c r="ED22" s="27"/>
      <c r="EE22" s="28" t="str">
        <f>IFERROR(VLOOKUP(EC22,Horarios!$H:$I,2,0),"")</f>
        <v/>
      </c>
      <c r="EF22" s="28" t="str">
        <f>IFERROR(VLOOKUP(ED22,Horarios!$H:$I,2,0),"")</f>
        <v/>
      </c>
      <c r="EG22" s="28" t="str">
        <f t="shared" si="24"/>
        <v>00:00</v>
      </c>
      <c r="EH22" s="29"/>
      <c r="EI22" s="27"/>
      <c r="EJ22" s="27"/>
      <c r="EK22" s="28" t="str">
        <f>IFERROR(VLOOKUP(EI22,Horarios!$H:$I,2,0),"")</f>
        <v/>
      </c>
      <c r="EL22" s="28" t="str">
        <f>IFERROR(VLOOKUP(EJ22,Horarios!$H:$I,2,0),"")</f>
        <v/>
      </c>
      <c r="EM22" s="28" t="str">
        <f t="shared" si="25"/>
        <v>00:00</v>
      </c>
      <c r="EN22" s="29"/>
      <c r="EO22" s="27"/>
      <c r="EP22" s="27"/>
      <c r="EQ22" s="28" t="str">
        <f>IFERROR(VLOOKUP(EO22,Horarios!$H:$I,2,0),"")</f>
        <v/>
      </c>
      <c r="ER22" s="28" t="str">
        <f>IFERROR(VLOOKUP(EP22,Horarios!$H:$I,2,0),"")</f>
        <v/>
      </c>
      <c r="ES22" s="28" t="str">
        <f t="shared" si="26"/>
        <v>00:00</v>
      </c>
      <c r="ET22" s="29"/>
      <c r="EU22" s="27"/>
      <c r="EV22" s="27"/>
      <c r="EW22" s="28" t="str">
        <f>IFERROR(VLOOKUP(EU22,Horarios!$H:$I,2,0),"")</f>
        <v/>
      </c>
      <c r="EX22" s="28" t="str">
        <f>IFERROR(VLOOKUP(EV22,Horarios!$H:$I,2,0),"")</f>
        <v/>
      </c>
      <c r="EY22" s="28" t="str">
        <f t="shared" si="27"/>
        <v>00:00</v>
      </c>
      <c r="EZ22" s="29"/>
      <c r="FA22" s="27"/>
      <c r="FB22" s="27"/>
      <c r="FC22" s="28" t="str">
        <f>IFERROR(VLOOKUP(FA22,Horarios!$H:$I,2,0),"")</f>
        <v/>
      </c>
      <c r="FD22" s="28" t="str">
        <f>IFERROR(VLOOKUP(FB22,Horarios!$H:$I,2,0),"")</f>
        <v/>
      </c>
      <c r="FE22" s="28" t="str">
        <f t="shared" si="28"/>
        <v>00:00</v>
      </c>
      <c r="FF22" s="29"/>
      <c r="FG22" s="27"/>
      <c r="FH22" s="27"/>
      <c r="FI22" s="28" t="str">
        <f>IFERROR(VLOOKUP(FG22,Horarios!$H:$I,2,0),"")</f>
        <v/>
      </c>
      <c r="FJ22" s="28" t="str">
        <f>IFERROR(VLOOKUP(FH22,Horarios!$H:$I,2,0),"")</f>
        <v/>
      </c>
      <c r="FK22" s="28" t="str">
        <f t="shared" si="29"/>
        <v>00:00</v>
      </c>
      <c r="FL22" s="29"/>
      <c r="FM22" s="27"/>
      <c r="FN22" s="27"/>
      <c r="FO22" s="28" t="str">
        <f>IFERROR(VLOOKUP(FM22,Horarios!$H:$I,2,0),"")</f>
        <v/>
      </c>
      <c r="FP22" s="28" t="str">
        <f>IFERROR(VLOOKUP(FN22,Horarios!$H:$I,2,0),"")</f>
        <v/>
      </c>
      <c r="FQ22" s="28" t="str">
        <f t="shared" si="30"/>
        <v>00:00</v>
      </c>
      <c r="FR22" s="29"/>
      <c r="FS22" s="31" t="str">
        <f t="shared" si="31"/>
        <v/>
      </c>
      <c r="FT22" s="27"/>
      <c r="FU22" s="27"/>
      <c r="FV22" s="28" t="str">
        <f>IFERROR(VLOOKUP(FT22,Horarios!$H:$I,2,0),"")</f>
        <v/>
      </c>
      <c r="FW22" s="28" t="str">
        <f>IFERROR(VLOOKUP(FU22,Horarios!$H:$I,2,0),"")</f>
        <v/>
      </c>
      <c r="FX22" s="28" t="str">
        <f t="shared" si="32"/>
        <v>00:00</v>
      </c>
      <c r="FY22" s="29"/>
      <c r="FZ22" s="27"/>
      <c r="GA22" s="27"/>
      <c r="GB22" s="28" t="str">
        <f>IFERROR(VLOOKUP(FZ22,Horarios!$H:$I,2,0),"")</f>
        <v/>
      </c>
      <c r="GC22" s="28" t="str">
        <f>IFERROR(VLOOKUP(GA22,Horarios!$H:$I,2,0),"")</f>
        <v/>
      </c>
      <c r="GD22" s="28" t="str">
        <f t="shared" si="33"/>
        <v>00:00</v>
      </c>
      <c r="GE22" s="29"/>
      <c r="GF22" s="27"/>
      <c r="GG22" s="27"/>
      <c r="GH22" s="28" t="str">
        <f>IFERROR(VLOOKUP(GF22,Horarios!$H:$I,2,0),"")</f>
        <v/>
      </c>
      <c r="GI22" s="28" t="str">
        <f>IFERROR(VLOOKUP(GG22,Horarios!$H:$I,2,0),"")</f>
        <v/>
      </c>
      <c r="GJ22" s="28" t="str">
        <f t="shared" si="34"/>
        <v>00:00</v>
      </c>
      <c r="GK22" s="29"/>
      <c r="GL22" s="27"/>
      <c r="GM22" s="27"/>
      <c r="GN22" s="28" t="str">
        <f>IFERROR(VLOOKUP(GL22,Horarios!$H:$I,2,0),"")</f>
        <v/>
      </c>
      <c r="GO22" s="28" t="str">
        <f>IFERROR(VLOOKUP(GM22,Horarios!$H:$I,2,0),"")</f>
        <v/>
      </c>
      <c r="GP22" s="28" t="str">
        <f t="shared" si="35"/>
        <v>00:00</v>
      </c>
      <c r="GQ22" s="29"/>
      <c r="GR22" s="27"/>
      <c r="GS22" s="27"/>
      <c r="GT22" s="28" t="str">
        <f>IFERROR(VLOOKUP(GR22,Horarios!$H:$I,2,0),"")</f>
        <v/>
      </c>
      <c r="GU22" s="28" t="str">
        <f>IFERROR(VLOOKUP(GS22,Horarios!$H:$I,2,0),"")</f>
        <v/>
      </c>
      <c r="GV22" s="28" t="str">
        <f t="shared" si="36"/>
        <v>00:00</v>
      </c>
      <c r="GW22" s="29"/>
      <c r="GX22" s="27"/>
      <c r="GY22" s="27"/>
      <c r="GZ22" s="28" t="str">
        <f>IFERROR(VLOOKUP(GX22,Horarios!$H:$I,2,0),"")</f>
        <v/>
      </c>
      <c r="HA22" s="28" t="str">
        <f>IFERROR(VLOOKUP(GY22,Horarios!$H:$I,2,0),"")</f>
        <v/>
      </c>
      <c r="HB22" s="28" t="str">
        <f t="shared" si="37"/>
        <v>00:00</v>
      </c>
      <c r="HC22" s="29"/>
      <c r="HD22" s="27"/>
      <c r="HE22" s="27"/>
      <c r="HF22" s="28" t="str">
        <f>IFERROR(VLOOKUP(HD22,Horarios!$H:$I,2,0),"")</f>
        <v/>
      </c>
      <c r="HG22" s="28" t="str">
        <f>IFERROR(VLOOKUP(HE22,Horarios!$H:$I,2,0),"")</f>
        <v/>
      </c>
      <c r="HH22" s="28" t="str">
        <f t="shared" si="38"/>
        <v>00:00</v>
      </c>
      <c r="HI22" s="29"/>
      <c r="HJ22" s="31" t="str">
        <f t="shared" si="39"/>
        <v/>
      </c>
      <c r="HK22" s="27"/>
      <c r="HL22" s="27"/>
      <c r="HM22" s="28" t="str">
        <f>IFERROR(VLOOKUP(HK22,Horarios!$H:$I,2,0),"")</f>
        <v/>
      </c>
      <c r="HN22" s="28" t="str">
        <f>IFERROR(VLOOKUP(HL22,Horarios!$H:$I,2,0),"")</f>
        <v/>
      </c>
      <c r="HO22" s="28" t="str">
        <f t="shared" si="40"/>
        <v>00:00</v>
      </c>
      <c r="HP22" s="29"/>
      <c r="HQ22" s="27"/>
      <c r="HR22" s="27"/>
      <c r="HS22" s="28" t="str">
        <f>IFERROR(VLOOKUP(HQ22,Horarios!$H:$I,2,0),"")</f>
        <v/>
      </c>
      <c r="HT22" s="28" t="str">
        <f>IFERROR(VLOOKUP(HR22,Horarios!$H:$I,2,0),"")</f>
        <v/>
      </c>
      <c r="HU22" s="28" t="str">
        <f t="shared" si="41"/>
        <v>00:00</v>
      </c>
      <c r="HV22" s="29"/>
      <c r="HW22" s="27"/>
      <c r="HX22" s="27"/>
      <c r="HY22" s="28" t="str">
        <f>IFERROR(VLOOKUP(HW22,Horarios!$H:$I,2,0),"")</f>
        <v/>
      </c>
      <c r="HZ22" s="28" t="str">
        <f>IFERROR(VLOOKUP(HX22,Horarios!$H:$I,2,0),"")</f>
        <v/>
      </c>
      <c r="IA22" s="28" t="str">
        <f t="shared" si="42"/>
        <v>00:00</v>
      </c>
      <c r="IB22" s="29"/>
      <c r="IC22" s="27"/>
      <c r="ID22" s="27"/>
      <c r="IE22" s="28" t="str">
        <f>IFERROR(VLOOKUP(IC22,Horarios!$H:$I,2,0),"")</f>
        <v/>
      </c>
      <c r="IF22" s="28" t="str">
        <f>IFERROR(VLOOKUP(ID22,Horarios!$H:$I,2,0),"")</f>
        <v/>
      </c>
      <c r="IG22" s="28" t="str">
        <f t="shared" si="43"/>
        <v>00:00</v>
      </c>
      <c r="IH22" s="29"/>
      <c r="II22" s="27"/>
      <c r="IJ22" s="27"/>
      <c r="IK22" s="28" t="str">
        <f>IFERROR(VLOOKUP(II22,Horarios!$H:$I,2,0),"")</f>
        <v/>
      </c>
      <c r="IL22" s="28" t="str">
        <f>IFERROR(VLOOKUP(IJ22,Horarios!$H:$I,2,0),"")</f>
        <v/>
      </c>
      <c r="IM22" s="28" t="str">
        <f t="shared" si="44"/>
        <v>00:00</v>
      </c>
      <c r="IN22" s="29"/>
      <c r="IO22" s="27"/>
      <c r="IP22" s="27"/>
      <c r="IQ22" s="28" t="str">
        <f>IFERROR(VLOOKUP(IO22,Horarios!$H:$I,2,0),"")</f>
        <v/>
      </c>
      <c r="IR22" s="28" t="str">
        <f>IFERROR(VLOOKUP(IP22,Horarios!$H:$I,2,0),"")</f>
        <v/>
      </c>
      <c r="IS22" s="28" t="str">
        <f t="shared" si="45"/>
        <v>00:00</v>
      </c>
      <c r="IT22" s="29"/>
      <c r="IU22" s="27"/>
      <c r="IV22" s="27"/>
      <c r="IW22" s="28" t="str">
        <f>IFERROR(VLOOKUP(IU22,Horarios!$H:$I,2,0),"")</f>
        <v/>
      </c>
      <c r="IX22" s="28" t="str">
        <f>IFERROR(VLOOKUP(IV22,Horarios!$H:$I,2,0),"")</f>
        <v/>
      </c>
      <c r="IY22" s="28" t="str">
        <f t="shared" si="46"/>
        <v>00:00</v>
      </c>
      <c r="IZ22" s="29"/>
      <c r="JA22" s="31" t="str">
        <f t="shared" si="47"/>
        <v/>
      </c>
    </row>
    <row r="23" spans="1:261" s="24" customFormat="1" ht="17.399999999999999" x14ac:dyDescent="0.25">
      <c r="A23" s="25"/>
      <c r="B23" s="26" t="str">
        <f>IFERROR(VLOOKUP(A23,BaseNombres!A:B,2,0),"")</f>
        <v/>
      </c>
      <c r="C23" s="26" t="str">
        <f>IFERROR(VLOOKUP(A23,BaseNombres!A:C,3,0),"")</f>
        <v/>
      </c>
      <c r="D23" s="27"/>
      <c r="E23" s="27"/>
      <c r="F23" s="28" t="str">
        <f>IFERROR(VLOOKUP(D23,Horarios!$H:$I,2,0),"")</f>
        <v/>
      </c>
      <c r="G23" s="28" t="str">
        <f>IFERROR(VLOOKUP(E23,Horarios!$H:$I,2,0),"")</f>
        <v/>
      </c>
      <c r="H23" s="28" t="str">
        <f t="shared" si="0"/>
        <v>00:00</v>
      </c>
      <c r="I23" s="29"/>
      <c r="J23" s="27"/>
      <c r="K23" s="27"/>
      <c r="L23" s="28" t="str">
        <f>IFERROR(VLOOKUP(J23,Horarios!$H:$I,2,0),"")</f>
        <v/>
      </c>
      <c r="M23" s="28" t="str">
        <f>IFERROR(VLOOKUP(K23,Horarios!$H:$I,2,0),"")</f>
        <v/>
      </c>
      <c r="N23" s="32" t="str">
        <f t="shared" si="1"/>
        <v>00:00</v>
      </c>
      <c r="O23" s="29"/>
      <c r="P23" s="27"/>
      <c r="Q23" s="27"/>
      <c r="R23" s="28" t="str">
        <f>IFERROR(VLOOKUP(P23,Horarios!$H:$I,2,0),"")</f>
        <v/>
      </c>
      <c r="S23" s="28" t="str">
        <f>IFERROR(VLOOKUP(Q23,Horarios!$H:$I,2,0),"")</f>
        <v/>
      </c>
      <c r="T23" s="28" t="str">
        <f t="shared" si="2"/>
        <v>00:00</v>
      </c>
      <c r="U23" s="29"/>
      <c r="V23" s="27"/>
      <c r="W23" s="27"/>
      <c r="X23" s="28" t="str">
        <f>IFERROR(VLOOKUP(V23,Horarios!$H:$I,2,0),"")</f>
        <v/>
      </c>
      <c r="Y23" s="28" t="str">
        <f>IFERROR(VLOOKUP(W23,Horarios!$H:$I,2,0),"")</f>
        <v/>
      </c>
      <c r="Z23" s="28" t="str">
        <f t="shared" si="3"/>
        <v>00:00</v>
      </c>
      <c r="AA23" s="29"/>
      <c r="AB23" s="27"/>
      <c r="AC23" s="27"/>
      <c r="AD23" s="28" t="str">
        <f>IFERROR(VLOOKUP(AB23,Horarios!$H:$I,2,0),"")</f>
        <v/>
      </c>
      <c r="AE23" s="28" t="str">
        <f>IFERROR(VLOOKUP(AC23,Horarios!$H:$I,2,0),"")</f>
        <v/>
      </c>
      <c r="AF23" s="28" t="str">
        <f t="shared" si="4"/>
        <v>00:00</v>
      </c>
      <c r="AG23" s="29"/>
      <c r="AH23" s="27"/>
      <c r="AI23" s="27"/>
      <c r="AJ23" s="28" t="str">
        <f>IFERROR(VLOOKUP(AH23,Horarios!$H:$I,2,0),"")</f>
        <v/>
      </c>
      <c r="AK23" s="28" t="str">
        <f>IFERROR(VLOOKUP(AI23,Horarios!$H:$I,2,0),"")</f>
        <v/>
      </c>
      <c r="AL23" s="28" t="str">
        <f t="shared" si="5"/>
        <v>00:00</v>
      </c>
      <c r="AM23" s="29"/>
      <c r="AN23" s="27"/>
      <c r="AO23" s="27"/>
      <c r="AP23" s="28" t="str">
        <f>IFERROR(VLOOKUP(AN23,Horarios!$H:$I,2,0),"")</f>
        <v/>
      </c>
      <c r="AQ23" s="28" t="str">
        <f>IFERROR(VLOOKUP(AO23,Horarios!$H:$I,2,0),"")</f>
        <v/>
      </c>
      <c r="AR23" s="28" t="str">
        <f t="shared" si="6"/>
        <v>00:00</v>
      </c>
      <c r="AS23" s="29"/>
      <c r="AT23" s="31" t="str">
        <f t="shared" si="7"/>
        <v/>
      </c>
      <c r="AU23" s="27"/>
      <c r="AV23" s="27"/>
      <c r="AW23" s="28" t="str">
        <f>IFERROR(VLOOKUP(AU23,Horarios!$H:$I,2,0),"")</f>
        <v/>
      </c>
      <c r="AX23" s="28" t="str">
        <f>IFERROR(VLOOKUP(AV23,Horarios!$H:$I,2,0),"")</f>
        <v/>
      </c>
      <c r="AY23" s="28" t="str">
        <f t="shared" si="8"/>
        <v>00:00</v>
      </c>
      <c r="AZ23" s="29"/>
      <c r="BA23" s="27"/>
      <c r="BB23" s="27"/>
      <c r="BC23" s="28" t="str">
        <f>IFERROR(VLOOKUP(BA23,Horarios!$H:$I,2,0),"")</f>
        <v/>
      </c>
      <c r="BD23" s="28" t="str">
        <f>IFERROR(VLOOKUP(BB23,Horarios!$H:$I,2,0),"")</f>
        <v/>
      </c>
      <c r="BE23" s="28" t="str">
        <f t="shared" si="9"/>
        <v>00:00</v>
      </c>
      <c r="BF23" s="29"/>
      <c r="BG23" s="27"/>
      <c r="BH23" s="27"/>
      <c r="BI23" s="28" t="str">
        <f>IFERROR(VLOOKUP(BG23,Horarios!$H:$I,2,0),"")</f>
        <v/>
      </c>
      <c r="BJ23" s="28" t="str">
        <f>IFERROR(VLOOKUP(BH23,Horarios!$H:$I,2,0),"")</f>
        <v/>
      </c>
      <c r="BK23" s="28" t="str">
        <f t="shared" si="10"/>
        <v>00:00</v>
      </c>
      <c r="BL23" s="29"/>
      <c r="BM23" s="27"/>
      <c r="BN23" s="27"/>
      <c r="BO23" s="28" t="str">
        <f>IFERROR(VLOOKUP(BM23,Horarios!$H:$I,2,0),"")</f>
        <v/>
      </c>
      <c r="BP23" s="28" t="str">
        <f>IFERROR(VLOOKUP(BN23,Horarios!$H:$I,2,0),"")</f>
        <v/>
      </c>
      <c r="BQ23" s="28" t="str">
        <f t="shared" si="11"/>
        <v>00:00</v>
      </c>
      <c r="BR23" s="29"/>
      <c r="BS23" s="27"/>
      <c r="BT23" s="27"/>
      <c r="BU23" s="28" t="str">
        <f>IFERROR(VLOOKUP(BS23,Horarios!$H:$I,2,0),"")</f>
        <v/>
      </c>
      <c r="BV23" s="28" t="str">
        <f>IFERROR(VLOOKUP(BT23,Horarios!$H:$I,2,0),"")</f>
        <v/>
      </c>
      <c r="BW23" s="28" t="str">
        <f t="shared" si="12"/>
        <v>00:00</v>
      </c>
      <c r="BX23" s="29"/>
      <c r="BY23" s="27"/>
      <c r="BZ23" s="27"/>
      <c r="CA23" s="28" t="str">
        <f>IFERROR(VLOOKUP(BY23,Horarios!$H:$I,2,0),"")</f>
        <v/>
      </c>
      <c r="CB23" s="28" t="str">
        <f>IFERROR(VLOOKUP(BZ23,Horarios!$H:$I,2,0),"")</f>
        <v/>
      </c>
      <c r="CC23" s="28" t="str">
        <f t="shared" si="13"/>
        <v>00:00</v>
      </c>
      <c r="CD23" s="29"/>
      <c r="CE23" s="27"/>
      <c r="CF23" s="27"/>
      <c r="CG23" s="28" t="str">
        <f>IFERROR(VLOOKUP(CE23,Horarios!$H:$I,2,0),"")</f>
        <v/>
      </c>
      <c r="CH23" s="28" t="str">
        <f>IFERROR(VLOOKUP(CF23,Horarios!$H:$I,2,0),"")</f>
        <v/>
      </c>
      <c r="CI23" s="28" t="str">
        <f t="shared" si="14"/>
        <v>00:00</v>
      </c>
      <c r="CJ23" s="29"/>
      <c r="CK23" s="31" t="str">
        <f t="shared" si="15"/>
        <v/>
      </c>
      <c r="CL23" s="27"/>
      <c r="CM23" s="27"/>
      <c r="CN23" s="28" t="str">
        <f>IFERROR(VLOOKUP(CL23,Horarios!$H:$I,2,0),"")</f>
        <v/>
      </c>
      <c r="CO23" s="28" t="str">
        <f>IFERROR(VLOOKUP(CM23,Horarios!$H:$I,2,0),"")</f>
        <v/>
      </c>
      <c r="CP23" s="28" t="str">
        <f t="shared" si="16"/>
        <v>00:00</v>
      </c>
      <c r="CQ23" s="29"/>
      <c r="CR23" s="27"/>
      <c r="CS23" s="27"/>
      <c r="CT23" s="28" t="str">
        <f>IFERROR(VLOOKUP(CR23,Horarios!$H:$I,2,0),"")</f>
        <v/>
      </c>
      <c r="CU23" s="28" t="str">
        <f>IFERROR(VLOOKUP(CS23,Horarios!$H:$I,2,0),"")</f>
        <v/>
      </c>
      <c r="CV23" s="28" t="str">
        <f t="shared" si="17"/>
        <v>00:00</v>
      </c>
      <c r="CW23" s="29"/>
      <c r="CX23" s="27"/>
      <c r="CY23" s="27"/>
      <c r="CZ23" s="28" t="str">
        <f>IFERROR(VLOOKUP(CX23,Horarios!$H:$I,2,0),"")</f>
        <v/>
      </c>
      <c r="DA23" s="28" t="str">
        <f>IFERROR(VLOOKUP(CY23,Horarios!$H:$I,2,0),"")</f>
        <v/>
      </c>
      <c r="DB23" s="28" t="str">
        <f t="shared" si="18"/>
        <v>00:00</v>
      </c>
      <c r="DC23" s="29"/>
      <c r="DD23" s="27"/>
      <c r="DE23" s="27"/>
      <c r="DF23" s="28" t="str">
        <f>IFERROR(VLOOKUP(DD23,Horarios!$H:$I,2,0),"")</f>
        <v/>
      </c>
      <c r="DG23" s="28" t="str">
        <f>IFERROR(VLOOKUP(DE23,Horarios!$H:$I,2,0),"")</f>
        <v/>
      </c>
      <c r="DH23" s="28" t="str">
        <f t="shared" si="19"/>
        <v>00:00</v>
      </c>
      <c r="DI23" s="29"/>
      <c r="DJ23" s="27"/>
      <c r="DK23" s="27"/>
      <c r="DL23" s="28" t="str">
        <f>IFERROR(VLOOKUP(DJ23,Horarios!$H:$I,2,0),"")</f>
        <v/>
      </c>
      <c r="DM23" s="28" t="str">
        <f>IFERROR(VLOOKUP(DK23,Horarios!$H:$I,2,0),"")</f>
        <v/>
      </c>
      <c r="DN23" s="28" t="str">
        <f t="shared" si="20"/>
        <v>00:00</v>
      </c>
      <c r="DO23" s="29"/>
      <c r="DP23" s="27"/>
      <c r="DQ23" s="27"/>
      <c r="DR23" s="28" t="str">
        <f>IFERROR(VLOOKUP(DP23,Horarios!$H:$I,2,0),"")</f>
        <v/>
      </c>
      <c r="DS23" s="28" t="str">
        <f>IFERROR(VLOOKUP(DQ23,Horarios!$H:$I,2,0),"")</f>
        <v/>
      </c>
      <c r="DT23" s="28" t="str">
        <f t="shared" si="21"/>
        <v>00:00</v>
      </c>
      <c r="DU23" s="29"/>
      <c r="DV23" s="27"/>
      <c r="DW23" s="27"/>
      <c r="DX23" s="28" t="str">
        <f>IFERROR(VLOOKUP(DV23,Horarios!$H:$I,2,0),"")</f>
        <v/>
      </c>
      <c r="DY23" s="28" t="str">
        <f>IFERROR(VLOOKUP(DW23,Horarios!$H:$I,2,0),"")</f>
        <v/>
      </c>
      <c r="DZ23" s="28" t="str">
        <f t="shared" si="22"/>
        <v>00:00</v>
      </c>
      <c r="EA23" s="29"/>
      <c r="EB23" s="31" t="str">
        <f t="shared" si="23"/>
        <v/>
      </c>
      <c r="EC23" s="27"/>
      <c r="ED23" s="27"/>
      <c r="EE23" s="28" t="str">
        <f>IFERROR(VLOOKUP(EC23,Horarios!$H:$I,2,0),"")</f>
        <v/>
      </c>
      <c r="EF23" s="28" t="str">
        <f>IFERROR(VLOOKUP(ED23,Horarios!$H:$I,2,0),"")</f>
        <v/>
      </c>
      <c r="EG23" s="28" t="str">
        <f t="shared" si="24"/>
        <v>00:00</v>
      </c>
      <c r="EH23" s="29"/>
      <c r="EI23" s="27"/>
      <c r="EJ23" s="27"/>
      <c r="EK23" s="28" t="str">
        <f>IFERROR(VLOOKUP(EI23,Horarios!$H:$I,2,0),"")</f>
        <v/>
      </c>
      <c r="EL23" s="28" t="str">
        <f>IFERROR(VLOOKUP(EJ23,Horarios!$H:$I,2,0),"")</f>
        <v/>
      </c>
      <c r="EM23" s="28" t="str">
        <f t="shared" si="25"/>
        <v>00:00</v>
      </c>
      <c r="EN23" s="29"/>
      <c r="EO23" s="27"/>
      <c r="EP23" s="27"/>
      <c r="EQ23" s="28" t="str">
        <f>IFERROR(VLOOKUP(EO23,Horarios!$H:$I,2,0),"")</f>
        <v/>
      </c>
      <c r="ER23" s="28" t="str">
        <f>IFERROR(VLOOKUP(EP23,Horarios!$H:$I,2,0),"")</f>
        <v/>
      </c>
      <c r="ES23" s="28" t="str">
        <f t="shared" si="26"/>
        <v>00:00</v>
      </c>
      <c r="ET23" s="29"/>
      <c r="EU23" s="27"/>
      <c r="EV23" s="27"/>
      <c r="EW23" s="28" t="str">
        <f>IFERROR(VLOOKUP(EU23,Horarios!$H:$I,2,0),"")</f>
        <v/>
      </c>
      <c r="EX23" s="28" t="str">
        <f>IFERROR(VLOOKUP(EV23,Horarios!$H:$I,2,0),"")</f>
        <v/>
      </c>
      <c r="EY23" s="28" t="str">
        <f t="shared" si="27"/>
        <v>00:00</v>
      </c>
      <c r="EZ23" s="29"/>
      <c r="FA23" s="27"/>
      <c r="FB23" s="27"/>
      <c r="FC23" s="28" t="str">
        <f>IFERROR(VLOOKUP(FA23,Horarios!$H:$I,2,0),"")</f>
        <v/>
      </c>
      <c r="FD23" s="28" t="str">
        <f>IFERROR(VLOOKUP(FB23,Horarios!$H:$I,2,0),"")</f>
        <v/>
      </c>
      <c r="FE23" s="28" t="str">
        <f t="shared" si="28"/>
        <v>00:00</v>
      </c>
      <c r="FF23" s="29"/>
      <c r="FG23" s="27"/>
      <c r="FH23" s="27"/>
      <c r="FI23" s="28" t="str">
        <f>IFERROR(VLOOKUP(FG23,Horarios!$H:$I,2,0),"")</f>
        <v/>
      </c>
      <c r="FJ23" s="28" t="str">
        <f>IFERROR(VLOOKUP(FH23,Horarios!$H:$I,2,0),"")</f>
        <v/>
      </c>
      <c r="FK23" s="28" t="str">
        <f t="shared" si="29"/>
        <v>00:00</v>
      </c>
      <c r="FL23" s="29"/>
      <c r="FM23" s="27"/>
      <c r="FN23" s="27"/>
      <c r="FO23" s="28" t="str">
        <f>IFERROR(VLOOKUP(FM23,Horarios!$H:$I,2,0),"")</f>
        <v/>
      </c>
      <c r="FP23" s="28" t="str">
        <f>IFERROR(VLOOKUP(FN23,Horarios!$H:$I,2,0),"")</f>
        <v/>
      </c>
      <c r="FQ23" s="28" t="str">
        <f t="shared" si="30"/>
        <v>00:00</v>
      </c>
      <c r="FR23" s="29"/>
      <c r="FS23" s="31" t="str">
        <f t="shared" si="31"/>
        <v/>
      </c>
      <c r="FT23" s="27"/>
      <c r="FU23" s="27"/>
      <c r="FV23" s="28" t="str">
        <f>IFERROR(VLOOKUP(FT23,Horarios!$H:$I,2,0),"")</f>
        <v/>
      </c>
      <c r="FW23" s="28" t="str">
        <f>IFERROR(VLOOKUP(FU23,Horarios!$H:$I,2,0),"")</f>
        <v/>
      </c>
      <c r="FX23" s="28" t="str">
        <f t="shared" si="32"/>
        <v>00:00</v>
      </c>
      <c r="FY23" s="29"/>
      <c r="FZ23" s="27"/>
      <c r="GA23" s="27"/>
      <c r="GB23" s="28" t="str">
        <f>IFERROR(VLOOKUP(FZ23,Horarios!$H:$I,2,0),"")</f>
        <v/>
      </c>
      <c r="GC23" s="28" t="str">
        <f>IFERROR(VLOOKUP(GA23,Horarios!$H:$I,2,0),"")</f>
        <v/>
      </c>
      <c r="GD23" s="28" t="str">
        <f t="shared" si="33"/>
        <v>00:00</v>
      </c>
      <c r="GE23" s="29"/>
      <c r="GF23" s="27"/>
      <c r="GG23" s="27"/>
      <c r="GH23" s="28" t="str">
        <f>IFERROR(VLOOKUP(GF23,Horarios!$H:$I,2,0),"")</f>
        <v/>
      </c>
      <c r="GI23" s="28" t="str">
        <f>IFERROR(VLOOKUP(GG23,Horarios!$H:$I,2,0),"")</f>
        <v/>
      </c>
      <c r="GJ23" s="28" t="str">
        <f t="shared" si="34"/>
        <v>00:00</v>
      </c>
      <c r="GK23" s="29"/>
      <c r="GL23" s="27"/>
      <c r="GM23" s="27"/>
      <c r="GN23" s="28" t="str">
        <f>IFERROR(VLOOKUP(GL23,Horarios!$H:$I,2,0),"")</f>
        <v/>
      </c>
      <c r="GO23" s="28" t="str">
        <f>IFERROR(VLOOKUP(GM23,Horarios!$H:$I,2,0),"")</f>
        <v/>
      </c>
      <c r="GP23" s="28" t="str">
        <f t="shared" si="35"/>
        <v>00:00</v>
      </c>
      <c r="GQ23" s="29"/>
      <c r="GR23" s="27"/>
      <c r="GS23" s="27"/>
      <c r="GT23" s="28" t="str">
        <f>IFERROR(VLOOKUP(GR23,Horarios!$H:$I,2,0),"")</f>
        <v/>
      </c>
      <c r="GU23" s="28" t="str">
        <f>IFERROR(VLOOKUP(GS23,Horarios!$H:$I,2,0),"")</f>
        <v/>
      </c>
      <c r="GV23" s="28" t="str">
        <f t="shared" si="36"/>
        <v>00:00</v>
      </c>
      <c r="GW23" s="29"/>
      <c r="GX23" s="27"/>
      <c r="GY23" s="27"/>
      <c r="GZ23" s="28" t="str">
        <f>IFERROR(VLOOKUP(GX23,Horarios!$H:$I,2,0),"")</f>
        <v/>
      </c>
      <c r="HA23" s="28" t="str">
        <f>IFERROR(VLOOKUP(GY23,Horarios!$H:$I,2,0),"")</f>
        <v/>
      </c>
      <c r="HB23" s="28" t="str">
        <f t="shared" si="37"/>
        <v>00:00</v>
      </c>
      <c r="HC23" s="29"/>
      <c r="HD23" s="27"/>
      <c r="HE23" s="27"/>
      <c r="HF23" s="28" t="str">
        <f>IFERROR(VLOOKUP(HD23,Horarios!$H:$I,2,0),"")</f>
        <v/>
      </c>
      <c r="HG23" s="28" t="str">
        <f>IFERROR(VLOOKUP(HE23,Horarios!$H:$I,2,0),"")</f>
        <v/>
      </c>
      <c r="HH23" s="28" t="str">
        <f t="shared" si="38"/>
        <v>00:00</v>
      </c>
      <c r="HI23" s="29"/>
      <c r="HJ23" s="31" t="str">
        <f t="shared" si="39"/>
        <v/>
      </c>
      <c r="HK23" s="27"/>
      <c r="HL23" s="27"/>
      <c r="HM23" s="28" t="str">
        <f>IFERROR(VLOOKUP(HK23,Horarios!$H:$I,2,0),"")</f>
        <v/>
      </c>
      <c r="HN23" s="28" t="str">
        <f>IFERROR(VLOOKUP(HL23,Horarios!$H:$I,2,0),"")</f>
        <v/>
      </c>
      <c r="HO23" s="28" t="str">
        <f t="shared" si="40"/>
        <v>00:00</v>
      </c>
      <c r="HP23" s="29"/>
      <c r="HQ23" s="27"/>
      <c r="HR23" s="27"/>
      <c r="HS23" s="28" t="str">
        <f>IFERROR(VLOOKUP(HQ23,Horarios!$H:$I,2,0),"")</f>
        <v/>
      </c>
      <c r="HT23" s="28" t="str">
        <f>IFERROR(VLOOKUP(HR23,Horarios!$H:$I,2,0),"")</f>
        <v/>
      </c>
      <c r="HU23" s="28" t="str">
        <f t="shared" si="41"/>
        <v>00:00</v>
      </c>
      <c r="HV23" s="29"/>
      <c r="HW23" s="27"/>
      <c r="HX23" s="27"/>
      <c r="HY23" s="28" t="str">
        <f>IFERROR(VLOOKUP(HW23,Horarios!$H:$I,2,0),"")</f>
        <v/>
      </c>
      <c r="HZ23" s="28" t="str">
        <f>IFERROR(VLOOKUP(HX23,Horarios!$H:$I,2,0),"")</f>
        <v/>
      </c>
      <c r="IA23" s="28" t="str">
        <f t="shared" si="42"/>
        <v>00:00</v>
      </c>
      <c r="IB23" s="29"/>
      <c r="IC23" s="27"/>
      <c r="ID23" s="27"/>
      <c r="IE23" s="28" t="str">
        <f>IFERROR(VLOOKUP(IC23,Horarios!$H:$I,2,0),"")</f>
        <v/>
      </c>
      <c r="IF23" s="28" t="str">
        <f>IFERROR(VLOOKUP(ID23,Horarios!$H:$I,2,0),"")</f>
        <v/>
      </c>
      <c r="IG23" s="28" t="str">
        <f t="shared" si="43"/>
        <v>00:00</v>
      </c>
      <c r="IH23" s="29"/>
      <c r="II23" s="27"/>
      <c r="IJ23" s="27"/>
      <c r="IK23" s="28" t="str">
        <f>IFERROR(VLOOKUP(II23,Horarios!$H:$I,2,0),"")</f>
        <v/>
      </c>
      <c r="IL23" s="28" t="str">
        <f>IFERROR(VLOOKUP(IJ23,Horarios!$H:$I,2,0),"")</f>
        <v/>
      </c>
      <c r="IM23" s="28" t="str">
        <f t="shared" si="44"/>
        <v>00:00</v>
      </c>
      <c r="IN23" s="29"/>
      <c r="IO23" s="27"/>
      <c r="IP23" s="27"/>
      <c r="IQ23" s="28" t="str">
        <f>IFERROR(VLOOKUP(IO23,Horarios!$H:$I,2,0),"")</f>
        <v/>
      </c>
      <c r="IR23" s="28" t="str">
        <f>IFERROR(VLOOKUP(IP23,Horarios!$H:$I,2,0),"")</f>
        <v/>
      </c>
      <c r="IS23" s="28" t="str">
        <f t="shared" si="45"/>
        <v>00:00</v>
      </c>
      <c r="IT23" s="29"/>
      <c r="IU23" s="27"/>
      <c r="IV23" s="27"/>
      <c r="IW23" s="28" t="str">
        <f>IFERROR(VLOOKUP(IU23,Horarios!$H:$I,2,0),"")</f>
        <v/>
      </c>
      <c r="IX23" s="28" t="str">
        <f>IFERROR(VLOOKUP(IV23,Horarios!$H:$I,2,0),"")</f>
        <v/>
      </c>
      <c r="IY23" s="28" t="str">
        <f t="shared" si="46"/>
        <v>00:00</v>
      </c>
      <c r="IZ23" s="29"/>
      <c r="JA23" s="31" t="str">
        <f t="shared" si="47"/>
        <v/>
      </c>
    </row>
    <row r="24" spans="1:261" s="24" customFormat="1" ht="17.399999999999999" x14ac:dyDescent="0.25">
      <c r="A24" s="25"/>
      <c r="B24" s="26" t="str">
        <f>IFERROR(VLOOKUP(A24,BaseNombres!A:B,2,0),"")</f>
        <v/>
      </c>
      <c r="C24" s="26" t="str">
        <f>IFERROR(VLOOKUP(A24,BaseNombres!A:C,3,0),"")</f>
        <v/>
      </c>
      <c r="D24" s="27"/>
      <c r="E24" s="27"/>
      <c r="F24" s="28" t="str">
        <f>IFERROR(VLOOKUP(D24,Horarios!$H:$I,2,0),"")</f>
        <v/>
      </c>
      <c r="G24" s="28" t="str">
        <f>IFERROR(VLOOKUP(E24,Horarios!$H:$I,2,0),"")</f>
        <v/>
      </c>
      <c r="H24" s="28" t="str">
        <f t="shared" si="0"/>
        <v>00:00</v>
      </c>
      <c r="I24" s="29"/>
      <c r="J24" s="27"/>
      <c r="K24" s="27"/>
      <c r="L24" s="28" t="str">
        <f>IFERROR(VLOOKUP(J24,Horarios!$H:$I,2,0),"")</f>
        <v/>
      </c>
      <c r="M24" s="28" t="str">
        <f>IFERROR(VLOOKUP(K24,Horarios!$H:$I,2,0),"")</f>
        <v/>
      </c>
      <c r="N24" s="28" t="str">
        <f t="shared" si="1"/>
        <v>00:00</v>
      </c>
      <c r="O24" s="29"/>
      <c r="P24" s="27"/>
      <c r="Q24" s="27"/>
      <c r="R24" s="28" t="str">
        <f>IFERROR(VLOOKUP(P24,Horarios!$H:$I,2,0),"")</f>
        <v/>
      </c>
      <c r="S24" s="28" t="str">
        <f>IFERROR(VLOOKUP(Q24,Horarios!$H:$I,2,0),"")</f>
        <v/>
      </c>
      <c r="T24" s="28" t="str">
        <f t="shared" si="2"/>
        <v>00:00</v>
      </c>
      <c r="U24" s="29"/>
      <c r="V24" s="27"/>
      <c r="W24" s="27"/>
      <c r="X24" s="28" t="str">
        <f>IFERROR(VLOOKUP(V24,Horarios!$H:$I,2,0),"")</f>
        <v/>
      </c>
      <c r="Y24" s="28" t="str">
        <f>IFERROR(VLOOKUP(W24,Horarios!$H:$I,2,0),"")</f>
        <v/>
      </c>
      <c r="Z24" s="28" t="str">
        <f t="shared" si="3"/>
        <v>00:00</v>
      </c>
      <c r="AA24" s="29"/>
      <c r="AB24" s="27"/>
      <c r="AC24" s="27"/>
      <c r="AD24" s="28" t="str">
        <f>IFERROR(VLOOKUP(AB24,Horarios!$H:$I,2,0),"")</f>
        <v/>
      </c>
      <c r="AE24" s="28" t="str">
        <f>IFERROR(VLOOKUP(AC24,Horarios!$H:$I,2,0),"")</f>
        <v/>
      </c>
      <c r="AF24" s="28" t="str">
        <f t="shared" si="4"/>
        <v>00:00</v>
      </c>
      <c r="AG24" s="29"/>
      <c r="AH24" s="27"/>
      <c r="AI24" s="27"/>
      <c r="AJ24" s="28" t="str">
        <f>IFERROR(VLOOKUP(AH24,Horarios!$H:$I,2,0),"")</f>
        <v/>
      </c>
      <c r="AK24" s="28" t="str">
        <f>IFERROR(VLOOKUP(AI24,Horarios!$H:$I,2,0),"")</f>
        <v/>
      </c>
      <c r="AL24" s="28" t="str">
        <f t="shared" si="5"/>
        <v>00:00</v>
      </c>
      <c r="AM24" s="29"/>
      <c r="AN24" s="27"/>
      <c r="AO24" s="27"/>
      <c r="AP24" s="28" t="str">
        <f>IFERROR(VLOOKUP(AN24,Horarios!$H:$I,2,0),"")</f>
        <v/>
      </c>
      <c r="AQ24" s="28" t="str">
        <f>IFERROR(VLOOKUP(AO24,Horarios!$H:$I,2,0),"")</f>
        <v/>
      </c>
      <c r="AR24" s="28" t="str">
        <f t="shared" si="6"/>
        <v>00:00</v>
      </c>
      <c r="AS24" s="29"/>
      <c r="AT24" s="31" t="str">
        <f t="shared" si="7"/>
        <v/>
      </c>
      <c r="AU24" s="27"/>
      <c r="AV24" s="27"/>
      <c r="AW24" s="28" t="str">
        <f>IFERROR(VLOOKUP(AU24,Horarios!$H:$I,2,0),"")</f>
        <v/>
      </c>
      <c r="AX24" s="28" t="str">
        <f>IFERROR(VLOOKUP(AV24,Horarios!$H:$I,2,0),"")</f>
        <v/>
      </c>
      <c r="AY24" s="28" t="str">
        <f t="shared" si="8"/>
        <v>00:00</v>
      </c>
      <c r="AZ24" s="29"/>
      <c r="BA24" s="27"/>
      <c r="BB24" s="27"/>
      <c r="BC24" s="28" t="str">
        <f>IFERROR(VLOOKUP(BA24,Horarios!$H:$I,2,0),"")</f>
        <v/>
      </c>
      <c r="BD24" s="28" t="str">
        <f>IFERROR(VLOOKUP(BB24,Horarios!$H:$I,2,0),"")</f>
        <v/>
      </c>
      <c r="BE24" s="28" t="str">
        <f t="shared" si="9"/>
        <v>00:00</v>
      </c>
      <c r="BF24" s="29"/>
      <c r="BG24" s="27"/>
      <c r="BH24" s="27"/>
      <c r="BI24" s="28" t="str">
        <f>IFERROR(VLOOKUP(BG24,Horarios!$H:$I,2,0),"")</f>
        <v/>
      </c>
      <c r="BJ24" s="28" t="str">
        <f>IFERROR(VLOOKUP(BH24,Horarios!$H:$I,2,0),"")</f>
        <v/>
      </c>
      <c r="BK24" s="28" t="str">
        <f t="shared" si="10"/>
        <v>00:00</v>
      </c>
      <c r="BL24" s="29"/>
      <c r="BM24" s="27"/>
      <c r="BN24" s="27"/>
      <c r="BO24" s="28" t="str">
        <f>IFERROR(VLOOKUP(BM24,Horarios!$H:$I,2,0),"")</f>
        <v/>
      </c>
      <c r="BP24" s="28" t="str">
        <f>IFERROR(VLOOKUP(BN24,Horarios!$H:$I,2,0),"")</f>
        <v/>
      </c>
      <c r="BQ24" s="28" t="str">
        <f t="shared" si="11"/>
        <v>00:00</v>
      </c>
      <c r="BR24" s="29"/>
      <c r="BS24" s="27"/>
      <c r="BT24" s="27"/>
      <c r="BU24" s="28" t="str">
        <f>IFERROR(VLOOKUP(BS24,Horarios!$H:$I,2,0),"")</f>
        <v/>
      </c>
      <c r="BV24" s="28" t="str">
        <f>IFERROR(VLOOKUP(BT24,Horarios!$H:$I,2,0),"")</f>
        <v/>
      </c>
      <c r="BW24" s="28" t="str">
        <f t="shared" si="12"/>
        <v>00:00</v>
      </c>
      <c r="BX24" s="29"/>
      <c r="BY24" s="27"/>
      <c r="BZ24" s="27"/>
      <c r="CA24" s="28" t="str">
        <f>IFERROR(VLOOKUP(BY24,Horarios!$H:$I,2,0),"")</f>
        <v/>
      </c>
      <c r="CB24" s="28" t="str">
        <f>IFERROR(VLOOKUP(BZ24,Horarios!$H:$I,2,0),"")</f>
        <v/>
      </c>
      <c r="CC24" s="28" t="str">
        <f t="shared" si="13"/>
        <v>00:00</v>
      </c>
      <c r="CD24" s="29"/>
      <c r="CE24" s="27"/>
      <c r="CF24" s="27"/>
      <c r="CG24" s="28" t="str">
        <f>IFERROR(VLOOKUP(CE24,Horarios!$H:$I,2,0),"")</f>
        <v/>
      </c>
      <c r="CH24" s="28" t="str">
        <f>IFERROR(VLOOKUP(CF24,Horarios!$H:$I,2,0),"")</f>
        <v/>
      </c>
      <c r="CI24" s="28" t="str">
        <f t="shared" si="14"/>
        <v>00:00</v>
      </c>
      <c r="CJ24" s="29"/>
      <c r="CK24" s="31" t="str">
        <f t="shared" si="15"/>
        <v/>
      </c>
      <c r="CL24" s="27"/>
      <c r="CM24" s="27"/>
      <c r="CN24" s="28" t="str">
        <f>IFERROR(VLOOKUP(CL24,Horarios!$H:$I,2,0),"")</f>
        <v/>
      </c>
      <c r="CO24" s="28" t="str">
        <f>IFERROR(VLOOKUP(CM24,Horarios!$H:$I,2,0),"")</f>
        <v/>
      </c>
      <c r="CP24" s="28" t="str">
        <f t="shared" si="16"/>
        <v>00:00</v>
      </c>
      <c r="CQ24" s="29"/>
      <c r="CR24" s="27"/>
      <c r="CS24" s="27"/>
      <c r="CT24" s="28" t="str">
        <f>IFERROR(VLOOKUP(CR24,Horarios!$H:$I,2,0),"")</f>
        <v/>
      </c>
      <c r="CU24" s="28" t="str">
        <f>IFERROR(VLOOKUP(CS24,Horarios!$H:$I,2,0),"")</f>
        <v/>
      </c>
      <c r="CV24" s="28" t="str">
        <f t="shared" si="17"/>
        <v>00:00</v>
      </c>
      <c r="CW24" s="29"/>
      <c r="CX24" s="27"/>
      <c r="CY24" s="27"/>
      <c r="CZ24" s="28" t="str">
        <f>IFERROR(VLOOKUP(CX24,Horarios!$H:$I,2,0),"")</f>
        <v/>
      </c>
      <c r="DA24" s="28" t="str">
        <f>IFERROR(VLOOKUP(CY24,Horarios!$H:$I,2,0),"")</f>
        <v/>
      </c>
      <c r="DB24" s="28" t="str">
        <f t="shared" si="18"/>
        <v>00:00</v>
      </c>
      <c r="DC24" s="29"/>
      <c r="DD24" s="27"/>
      <c r="DE24" s="27"/>
      <c r="DF24" s="28" t="str">
        <f>IFERROR(VLOOKUP(DD24,Horarios!$H:$I,2,0),"")</f>
        <v/>
      </c>
      <c r="DG24" s="28" t="str">
        <f>IFERROR(VLOOKUP(DE24,Horarios!$H:$I,2,0),"")</f>
        <v/>
      </c>
      <c r="DH24" s="28" t="str">
        <f t="shared" si="19"/>
        <v>00:00</v>
      </c>
      <c r="DI24" s="29"/>
      <c r="DJ24" s="27"/>
      <c r="DK24" s="27"/>
      <c r="DL24" s="28" t="str">
        <f>IFERROR(VLOOKUP(DJ24,Horarios!$H:$I,2,0),"")</f>
        <v/>
      </c>
      <c r="DM24" s="28" t="str">
        <f>IFERROR(VLOOKUP(DK24,Horarios!$H:$I,2,0),"")</f>
        <v/>
      </c>
      <c r="DN24" s="28" t="str">
        <f t="shared" si="20"/>
        <v>00:00</v>
      </c>
      <c r="DO24" s="29"/>
      <c r="DP24" s="27"/>
      <c r="DQ24" s="27"/>
      <c r="DR24" s="28" t="str">
        <f>IFERROR(VLOOKUP(DP24,Horarios!$H:$I,2,0),"")</f>
        <v/>
      </c>
      <c r="DS24" s="28" t="str">
        <f>IFERROR(VLOOKUP(DQ24,Horarios!$H:$I,2,0),"")</f>
        <v/>
      </c>
      <c r="DT24" s="28" t="str">
        <f t="shared" si="21"/>
        <v>00:00</v>
      </c>
      <c r="DU24" s="29"/>
      <c r="DV24" s="27"/>
      <c r="DW24" s="27"/>
      <c r="DX24" s="28" t="str">
        <f>IFERROR(VLOOKUP(DV24,Horarios!$H:$I,2,0),"")</f>
        <v/>
      </c>
      <c r="DY24" s="28" t="str">
        <f>IFERROR(VLOOKUP(DW24,Horarios!$H:$I,2,0),"")</f>
        <v/>
      </c>
      <c r="DZ24" s="28" t="str">
        <f t="shared" si="22"/>
        <v>00:00</v>
      </c>
      <c r="EA24" s="29"/>
      <c r="EB24" s="31" t="str">
        <f t="shared" si="23"/>
        <v/>
      </c>
      <c r="EC24" s="27"/>
      <c r="ED24" s="27"/>
      <c r="EE24" s="28" t="str">
        <f>IFERROR(VLOOKUP(EC24,Horarios!$H:$I,2,0),"")</f>
        <v/>
      </c>
      <c r="EF24" s="28" t="str">
        <f>IFERROR(VLOOKUP(ED24,Horarios!$H:$I,2,0),"")</f>
        <v/>
      </c>
      <c r="EG24" s="28" t="str">
        <f t="shared" si="24"/>
        <v>00:00</v>
      </c>
      <c r="EH24" s="29"/>
      <c r="EI24" s="27"/>
      <c r="EJ24" s="27"/>
      <c r="EK24" s="28" t="str">
        <f>IFERROR(VLOOKUP(EI24,Horarios!$H:$I,2,0),"")</f>
        <v/>
      </c>
      <c r="EL24" s="28" t="str">
        <f>IFERROR(VLOOKUP(EJ24,Horarios!$H:$I,2,0),"")</f>
        <v/>
      </c>
      <c r="EM24" s="28" t="str">
        <f t="shared" si="25"/>
        <v>00:00</v>
      </c>
      <c r="EN24" s="29"/>
      <c r="EO24" s="27"/>
      <c r="EP24" s="27"/>
      <c r="EQ24" s="28" t="str">
        <f>IFERROR(VLOOKUP(EO24,Horarios!$H:$I,2,0),"")</f>
        <v/>
      </c>
      <c r="ER24" s="28" t="str">
        <f>IFERROR(VLOOKUP(EP24,Horarios!$H:$I,2,0),"")</f>
        <v/>
      </c>
      <c r="ES24" s="28" t="str">
        <f t="shared" si="26"/>
        <v>00:00</v>
      </c>
      <c r="ET24" s="29"/>
      <c r="EU24" s="27"/>
      <c r="EV24" s="27"/>
      <c r="EW24" s="28" t="str">
        <f>IFERROR(VLOOKUP(EU24,Horarios!$H:$I,2,0),"")</f>
        <v/>
      </c>
      <c r="EX24" s="28" t="str">
        <f>IFERROR(VLOOKUP(EV24,Horarios!$H:$I,2,0),"")</f>
        <v/>
      </c>
      <c r="EY24" s="28" t="str">
        <f t="shared" si="27"/>
        <v>00:00</v>
      </c>
      <c r="EZ24" s="29"/>
      <c r="FA24" s="27"/>
      <c r="FB24" s="27"/>
      <c r="FC24" s="28" t="str">
        <f>IFERROR(VLOOKUP(FA24,Horarios!$H:$I,2,0),"")</f>
        <v/>
      </c>
      <c r="FD24" s="28" t="str">
        <f>IFERROR(VLOOKUP(FB24,Horarios!$H:$I,2,0),"")</f>
        <v/>
      </c>
      <c r="FE24" s="28" t="str">
        <f t="shared" si="28"/>
        <v>00:00</v>
      </c>
      <c r="FF24" s="29"/>
      <c r="FG24" s="27"/>
      <c r="FH24" s="27"/>
      <c r="FI24" s="28" t="str">
        <f>IFERROR(VLOOKUP(FG24,Horarios!$H:$I,2,0),"")</f>
        <v/>
      </c>
      <c r="FJ24" s="28" t="str">
        <f>IFERROR(VLOOKUP(FH24,Horarios!$H:$I,2,0),"")</f>
        <v/>
      </c>
      <c r="FK24" s="28" t="str">
        <f t="shared" si="29"/>
        <v>00:00</v>
      </c>
      <c r="FL24" s="29"/>
      <c r="FM24" s="27"/>
      <c r="FN24" s="27"/>
      <c r="FO24" s="28" t="str">
        <f>IFERROR(VLOOKUP(FM24,Horarios!$H:$I,2,0),"")</f>
        <v/>
      </c>
      <c r="FP24" s="28" t="str">
        <f>IFERROR(VLOOKUP(FN24,Horarios!$H:$I,2,0),"")</f>
        <v/>
      </c>
      <c r="FQ24" s="28" t="str">
        <f t="shared" si="30"/>
        <v>00:00</v>
      </c>
      <c r="FR24" s="29"/>
      <c r="FS24" s="31" t="str">
        <f t="shared" si="31"/>
        <v/>
      </c>
      <c r="FT24" s="27"/>
      <c r="FU24" s="27"/>
      <c r="FV24" s="28" t="str">
        <f>IFERROR(VLOOKUP(FT24,Horarios!$H:$I,2,0),"")</f>
        <v/>
      </c>
      <c r="FW24" s="28" t="str">
        <f>IFERROR(VLOOKUP(FU24,Horarios!$H:$I,2,0),"")</f>
        <v/>
      </c>
      <c r="FX24" s="28" t="str">
        <f t="shared" si="32"/>
        <v>00:00</v>
      </c>
      <c r="FY24" s="29"/>
      <c r="FZ24" s="27"/>
      <c r="GA24" s="27"/>
      <c r="GB24" s="28" t="str">
        <f>IFERROR(VLOOKUP(FZ24,Horarios!$H:$I,2,0),"")</f>
        <v/>
      </c>
      <c r="GC24" s="28" t="str">
        <f>IFERROR(VLOOKUP(GA24,Horarios!$H:$I,2,0),"")</f>
        <v/>
      </c>
      <c r="GD24" s="28" t="str">
        <f t="shared" si="33"/>
        <v>00:00</v>
      </c>
      <c r="GE24" s="29"/>
      <c r="GF24" s="27"/>
      <c r="GG24" s="27"/>
      <c r="GH24" s="28" t="str">
        <f>IFERROR(VLOOKUP(GF24,Horarios!$H:$I,2,0),"")</f>
        <v/>
      </c>
      <c r="GI24" s="28" t="str">
        <f>IFERROR(VLOOKUP(GG24,Horarios!$H:$I,2,0),"")</f>
        <v/>
      </c>
      <c r="GJ24" s="28" t="str">
        <f t="shared" si="34"/>
        <v>00:00</v>
      </c>
      <c r="GK24" s="29"/>
      <c r="GL24" s="27"/>
      <c r="GM24" s="27"/>
      <c r="GN24" s="28" t="str">
        <f>IFERROR(VLOOKUP(GL24,Horarios!$H:$I,2,0),"")</f>
        <v/>
      </c>
      <c r="GO24" s="28" t="str">
        <f>IFERROR(VLOOKUP(GM24,Horarios!$H:$I,2,0),"")</f>
        <v/>
      </c>
      <c r="GP24" s="28" t="str">
        <f t="shared" si="35"/>
        <v>00:00</v>
      </c>
      <c r="GQ24" s="29"/>
      <c r="GR24" s="27"/>
      <c r="GS24" s="27"/>
      <c r="GT24" s="28" t="str">
        <f>IFERROR(VLOOKUP(GR24,Horarios!$H:$I,2,0),"")</f>
        <v/>
      </c>
      <c r="GU24" s="28" t="str">
        <f>IFERROR(VLOOKUP(GS24,Horarios!$H:$I,2,0),"")</f>
        <v/>
      </c>
      <c r="GV24" s="28" t="str">
        <f t="shared" si="36"/>
        <v>00:00</v>
      </c>
      <c r="GW24" s="29"/>
      <c r="GX24" s="27"/>
      <c r="GY24" s="27"/>
      <c r="GZ24" s="28" t="str">
        <f>IFERROR(VLOOKUP(GX24,Horarios!$H:$I,2,0),"")</f>
        <v/>
      </c>
      <c r="HA24" s="28" t="str">
        <f>IFERROR(VLOOKUP(GY24,Horarios!$H:$I,2,0),"")</f>
        <v/>
      </c>
      <c r="HB24" s="28" t="str">
        <f t="shared" si="37"/>
        <v>00:00</v>
      </c>
      <c r="HC24" s="29"/>
      <c r="HD24" s="27"/>
      <c r="HE24" s="27"/>
      <c r="HF24" s="28" t="str">
        <f>IFERROR(VLOOKUP(HD24,Horarios!$H:$I,2,0),"")</f>
        <v/>
      </c>
      <c r="HG24" s="28" t="str">
        <f>IFERROR(VLOOKUP(HE24,Horarios!$H:$I,2,0),"")</f>
        <v/>
      </c>
      <c r="HH24" s="28" t="str">
        <f t="shared" si="38"/>
        <v>00:00</v>
      </c>
      <c r="HI24" s="29"/>
      <c r="HJ24" s="31" t="str">
        <f t="shared" si="39"/>
        <v/>
      </c>
      <c r="HK24" s="27"/>
      <c r="HL24" s="27"/>
      <c r="HM24" s="28" t="str">
        <f>IFERROR(VLOOKUP(HK24,Horarios!$H:$I,2,0),"")</f>
        <v/>
      </c>
      <c r="HN24" s="28" t="str">
        <f>IFERROR(VLOOKUP(HL24,Horarios!$H:$I,2,0),"")</f>
        <v/>
      </c>
      <c r="HO24" s="28" t="str">
        <f t="shared" si="40"/>
        <v>00:00</v>
      </c>
      <c r="HP24" s="29"/>
      <c r="HQ24" s="27"/>
      <c r="HR24" s="27"/>
      <c r="HS24" s="28" t="str">
        <f>IFERROR(VLOOKUP(HQ24,Horarios!$H:$I,2,0),"")</f>
        <v/>
      </c>
      <c r="HT24" s="28" t="str">
        <f>IFERROR(VLOOKUP(HR24,Horarios!$H:$I,2,0),"")</f>
        <v/>
      </c>
      <c r="HU24" s="28" t="str">
        <f t="shared" si="41"/>
        <v>00:00</v>
      </c>
      <c r="HV24" s="29"/>
      <c r="HW24" s="27"/>
      <c r="HX24" s="27"/>
      <c r="HY24" s="28" t="str">
        <f>IFERROR(VLOOKUP(HW24,Horarios!$H:$I,2,0),"")</f>
        <v/>
      </c>
      <c r="HZ24" s="28" t="str">
        <f>IFERROR(VLOOKUP(HX24,Horarios!$H:$I,2,0),"")</f>
        <v/>
      </c>
      <c r="IA24" s="28" t="str">
        <f t="shared" si="42"/>
        <v>00:00</v>
      </c>
      <c r="IB24" s="29"/>
      <c r="IC24" s="27"/>
      <c r="ID24" s="27"/>
      <c r="IE24" s="28" t="str">
        <f>IFERROR(VLOOKUP(IC24,Horarios!$H:$I,2,0),"")</f>
        <v/>
      </c>
      <c r="IF24" s="28" t="str">
        <f>IFERROR(VLOOKUP(ID24,Horarios!$H:$I,2,0),"")</f>
        <v/>
      </c>
      <c r="IG24" s="28" t="str">
        <f t="shared" si="43"/>
        <v>00:00</v>
      </c>
      <c r="IH24" s="29"/>
      <c r="II24" s="27"/>
      <c r="IJ24" s="27"/>
      <c r="IK24" s="28" t="str">
        <f>IFERROR(VLOOKUP(II24,Horarios!$H:$I,2,0),"")</f>
        <v/>
      </c>
      <c r="IL24" s="28" t="str">
        <f>IFERROR(VLOOKUP(IJ24,Horarios!$H:$I,2,0),"")</f>
        <v/>
      </c>
      <c r="IM24" s="28" t="str">
        <f t="shared" si="44"/>
        <v>00:00</v>
      </c>
      <c r="IN24" s="29"/>
      <c r="IO24" s="27"/>
      <c r="IP24" s="27"/>
      <c r="IQ24" s="28" t="str">
        <f>IFERROR(VLOOKUP(IO24,Horarios!$H:$I,2,0),"")</f>
        <v/>
      </c>
      <c r="IR24" s="28" t="str">
        <f>IFERROR(VLOOKUP(IP24,Horarios!$H:$I,2,0),"")</f>
        <v/>
      </c>
      <c r="IS24" s="28" t="str">
        <f t="shared" si="45"/>
        <v>00:00</v>
      </c>
      <c r="IT24" s="29"/>
      <c r="IU24" s="27"/>
      <c r="IV24" s="27"/>
      <c r="IW24" s="28" t="str">
        <f>IFERROR(VLOOKUP(IU24,Horarios!$H:$I,2,0),"")</f>
        <v/>
      </c>
      <c r="IX24" s="28" t="str">
        <f>IFERROR(VLOOKUP(IV24,Horarios!$H:$I,2,0),"")</f>
        <v/>
      </c>
      <c r="IY24" s="28" t="str">
        <f t="shared" si="46"/>
        <v>00:00</v>
      </c>
      <c r="IZ24" s="29"/>
      <c r="JA24" s="31" t="str">
        <f t="shared" si="47"/>
        <v/>
      </c>
    </row>
    <row r="25" spans="1:261" s="24" customFormat="1" ht="17.399999999999999" x14ac:dyDescent="0.25">
      <c r="A25" s="25"/>
      <c r="B25" s="26" t="str">
        <f>IFERROR(VLOOKUP(A25,BaseNombres!A:B,2,0),"")</f>
        <v/>
      </c>
      <c r="C25" s="26" t="str">
        <f>IFERROR(VLOOKUP(A25,BaseNombres!A:C,3,0),"")</f>
        <v/>
      </c>
      <c r="D25" s="27"/>
      <c r="E25" s="27"/>
      <c r="F25" s="28" t="str">
        <f>IFERROR(VLOOKUP(D25,Horarios!$H:$I,2,0),"")</f>
        <v/>
      </c>
      <c r="G25" s="28" t="str">
        <f>IFERROR(VLOOKUP(E25,Horarios!$H:$I,2,0),"")</f>
        <v/>
      </c>
      <c r="H25" s="28" t="str">
        <f t="shared" si="0"/>
        <v>00:00</v>
      </c>
      <c r="I25" s="29"/>
      <c r="J25" s="27"/>
      <c r="K25" s="27"/>
      <c r="L25" s="28" t="str">
        <f>IFERROR(VLOOKUP(J25,Horarios!$H:$I,2,0),"")</f>
        <v/>
      </c>
      <c r="M25" s="28" t="str">
        <f>IFERROR(VLOOKUP(K25,Horarios!$H:$I,2,0),"")</f>
        <v/>
      </c>
      <c r="N25" s="28" t="str">
        <f t="shared" si="1"/>
        <v>00:00</v>
      </c>
      <c r="O25" s="29"/>
      <c r="P25" s="27"/>
      <c r="Q25" s="27"/>
      <c r="R25" s="28" t="str">
        <f>IFERROR(VLOOKUP(P25,Horarios!$H:$I,2,0),"")</f>
        <v/>
      </c>
      <c r="S25" s="28" t="str">
        <f>IFERROR(VLOOKUP(Q25,Horarios!$H:$I,2,0),"")</f>
        <v/>
      </c>
      <c r="T25" s="28" t="str">
        <f t="shared" si="2"/>
        <v>00:00</v>
      </c>
      <c r="U25" s="29"/>
      <c r="V25" s="27"/>
      <c r="W25" s="27"/>
      <c r="X25" s="28" t="str">
        <f>IFERROR(VLOOKUP(V25,Horarios!$H:$I,2,0),"")</f>
        <v/>
      </c>
      <c r="Y25" s="28" t="str">
        <f>IFERROR(VLOOKUP(W25,Horarios!$H:$I,2,0),"")</f>
        <v/>
      </c>
      <c r="Z25" s="28" t="str">
        <f t="shared" si="3"/>
        <v>00:00</v>
      </c>
      <c r="AA25" s="29"/>
      <c r="AB25" s="27"/>
      <c r="AC25" s="27"/>
      <c r="AD25" s="28" t="str">
        <f>IFERROR(VLOOKUP(AB25,Horarios!$H:$I,2,0),"")</f>
        <v/>
      </c>
      <c r="AE25" s="28" t="str">
        <f>IFERROR(VLOOKUP(AC25,Horarios!$H:$I,2,0),"")</f>
        <v/>
      </c>
      <c r="AF25" s="28" t="str">
        <f t="shared" si="4"/>
        <v>00:00</v>
      </c>
      <c r="AG25" s="29"/>
      <c r="AH25" s="27"/>
      <c r="AI25" s="27"/>
      <c r="AJ25" s="28" t="str">
        <f>IFERROR(VLOOKUP(AH25,Horarios!$H:$I,2,0),"")</f>
        <v/>
      </c>
      <c r="AK25" s="28" t="str">
        <f>IFERROR(VLOOKUP(AI25,Horarios!$H:$I,2,0),"")</f>
        <v/>
      </c>
      <c r="AL25" s="28" t="str">
        <f t="shared" si="5"/>
        <v>00:00</v>
      </c>
      <c r="AM25" s="29"/>
      <c r="AN25" s="27"/>
      <c r="AO25" s="27"/>
      <c r="AP25" s="28" t="str">
        <f>IFERROR(VLOOKUP(AN25,Horarios!$H:$I,2,0),"")</f>
        <v/>
      </c>
      <c r="AQ25" s="28" t="str">
        <f>IFERROR(VLOOKUP(AO25,Horarios!$H:$I,2,0),"")</f>
        <v/>
      </c>
      <c r="AR25" s="28" t="str">
        <f t="shared" si="6"/>
        <v>00:00</v>
      </c>
      <c r="AS25" s="29"/>
      <c r="AT25" s="31" t="str">
        <f t="shared" si="7"/>
        <v/>
      </c>
      <c r="AU25" s="27"/>
      <c r="AV25" s="27"/>
      <c r="AW25" s="28" t="str">
        <f>IFERROR(VLOOKUP(AU25,Horarios!$H:$I,2,0),"")</f>
        <v/>
      </c>
      <c r="AX25" s="28" t="str">
        <f>IFERROR(VLOOKUP(AV25,Horarios!$H:$I,2,0),"")</f>
        <v/>
      </c>
      <c r="AY25" s="28" t="str">
        <f t="shared" si="8"/>
        <v>00:00</v>
      </c>
      <c r="AZ25" s="29"/>
      <c r="BA25" s="27"/>
      <c r="BB25" s="27"/>
      <c r="BC25" s="28" t="str">
        <f>IFERROR(VLOOKUP(BA25,Horarios!$H:$I,2,0),"")</f>
        <v/>
      </c>
      <c r="BD25" s="28" t="str">
        <f>IFERROR(VLOOKUP(BB25,Horarios!$H:$I,2,0),"")</f>
        <v/>
      </c>
      <c r="BE25" s="28" t="str">
        <f t="shared" si="9"/>
        <v>00:00</v>
      </c>
      <c r="BF25" s="29"/>
      <c r="BG25" s="27"/>
      <c r="BH25" s="27"/>
      <c r="BI25" s="28" t="str">
        <f>IFERROR(VLOOKUP(BG25,Horarios!$H:$I,2,0),"")</f>
        <v/>
      </c>
      <c r="BJ25" s="28" t="str">
        <f>IFERROR(VLOOKUP(BH25,Horarios!$H:$I,2,0),"")</f>
        <v/>
      </c>
      <c r="BK25" s="28" t="str">
        <f t="shared" si="10"/>
        <v>00:00</v>
      </c>
      <c r="BL25" s="29"/>
      <c r="BM25" s="27"/>
      <c r="BN25" s="27"/>
      <c r="BO25" s="28" t="str">
        <f>IFERROR(VLOOKUP(BM25,Horarios!$H:$I,2,0),"")</f>
        <v/>
      </c>
      <c r="BP25" s="28" t="str">
        <f>IFERROR(VLOOKUP(BN25,Horarios!$H:$I,2,0),"")</f>
        <v/>
      </c>
      <c r="BQ25" s="28" t="str">
        <f t="shared" si="11"/>
        <v>00:00</v>
      </c>
      <c r="BR25" s="29"/>
      <c r="BS25" s="27"/>
      <c r="BT25" s="27"/>
      <c r="BU25" s="28" t="str">
        <f>IFERROR(VLOOKUP(BS25,Horarios!$H:$I,2,0),"")</f>
        <v/>
      </c>
      <c r="BV25" s="28" t="str">
        <f>IFERROR(VLOOKUP(BT25,Horarios!$H:$I,2,0),"")</f>
        <v/>
      </c>
      <c r="BW25" s="28" t="str">
        <f t="shared" si="12"/>
        <v>00:00</v>
      </c>
      <c r="BX25" s="29"/>
      <c r="BY25" s="27"/>
      <c r="BZ25" s="27"/>
      <c r="CA25" s="28" t="str">
        <f>IFERROR(VLOOKUP(BY25,Horarios!$H:$I,2,0),"")</f>
        <v/>
      </c>
      <c r="CB25" s="28" t="str">
        <f>IFERROR(VLOOKUP(BZ25,Horarios!$H:$I,2,0),"")</f>
        <v/>
      </c>
      <c r="CC25" s="28" t="str">
        <f t="shared" si="13"/>
        <v>00:00</v>
      </c>
      <c r="CD25" s="29"/>
      <c r="CE25" s="27"/>
      <c r="CF25" s="27"/>
      <c r="CG25" s="28" t="str">
        <f>IFERROR(VLOOKUP(CE25,Horarios!$H:$I,2,0),"")</f>
        <v/>
      </c>
      <c r="CH25" s="28" t="str">
        <f>IFERROR(VLOOKUP(CF25,Horarios!$H:$I,2,0),"")</f>
        <v/>
      </c>
      <c r="CI25" s="28" t="str">
        <f t="shared" si="14"/>
        <v>00:00</v>
      </c>
      <c r="CJ25" s="29"/>
      <c r="CK25" s="31" t="str">
        <f t="shared" si="15"/>
        <v/>
      </c>
      <c r="CL25" s="27"/>
      <c r="CM25" s="27"/>
      <c r="CN25" s="28" t="str">
        <f>IFERROR(VLOOKUP(CL25,Horarios!$H:$I,2,0),"")</f>
        <v/>
      </c>
      <c r="CO25" s="28" t="str">
        <f>IFERROR(VLOOKUP(CM25,Horarios!$H:$I,2,0),"")</f>
        <v/>
      </c>
      <c r="CP25" s="28" t="str">
        <f t="shared" si="16"/>
        <v>00:00</v>
      </c>
      <c r="CQ25" s="29"/>
      <c r="CR25" s="27"/>
      <c r="CS25" s="27"/>
      <c r="CT25" s="28" t="str">
        <f>IFERROR(VLOOKUP(CR25,Horarios!$H:$I,2,0),"")</f>
        <v/>
      </c>
      <c r="CU25" s="28" t="str">
        <f>IFERROR(VLOOKUP(CS25,Horarios!$H:$I,2,0),"")</f>
        <v/>
      </c>
      <c r="CV25" s="28" t="str">
        <f t="shared" si="17"/>
        <v>00:00</v>
      </c>
      <c r="CW25" s="29"/>
      <c r="CX25" s="27"/>
      <c r="CY25" s="27"/>
      <c r="CZ25" s="28" t="str">
        <f>IFERROR(VLOOKUP(CX25,Horarios!$H:$I,2,0),"")</f>
        <v/>
      </c>
      <c r="DA25" s="28" t="str">
        <f>IFERROR(VLOOKUP(CY25,Horarios!$H:$I,2,0),"")</f>
        <v/>
      </c>
      <c r="DB25" s="28" t="str">
        <f t="shared" si="18"/>
        <v>00:00</v>
      </c>
      <c r="DC25" s="29"/>
      <c r="DD25" s="27"/>
      <c r="DE25" s="27"/>
      <c r="DF25" s="28" t="str">
        <f>IFERROR(VLOOKUP(DD25,Horarios!$H:$I,2,0),"")</f>
        <v/>
      </c>
      <c r="DG25" s="28" t="str">
        <f>IFERROR(VLOOKUP(DE25,Horarios!$H:$I,2,0),"")</f>
        <v/>
      </c>
      <c r="DH25" s="28" t="str">
        <f t="shared" si="19"/>
        <v>00:00</v>
      </c>
      <c r="DI25" s="29"/>
      <c r="DJ25" s="27"/>
      <c r="DK25" s="27"/>
      <c r="DL25" s="28" t="str">
        <f>IFERROR(VLOOKUP(DJ25,Horarios!$H:$I,2,0),"")</f>
        <v/>
      </c>
      <c r="DM25" s="28" t="str">
        <f>IFERROR(VLOOKUP(DK25,Horarios!$H:$I,2,0),"")</f>
        <v/>
      </c>
      <c r="DN25" s="28" t="str">
        <f t="shared" si="20"/>
        <v>00:00</v>
      </c>
      <c r="DO25" s="29"/>
      <c r="DP25" s="27"/>
      <c r="DQ25" s="27"/>
      <c r="DR25" s="28" t="str">
        <f>IFERROR(VLOOKUP(DP25,Horarios!$H:$I,2,0),"")</f>
        <v/>
      </c>
      <c r="DS25" s="28" t="str">
        <f>IFERROR(VLOOKUP(DQ25,Horarios!$H:$I,2,0),"")</f>
        <v/>
      </c>
      <c r="DT25" s="28" t="str">
        <f t="shared" si="21"/>
        <v>00:00</v>
      </c>
      <c r="DU25" s="29"/>
      <c r="DV25" s="27"/>
      <c r="DW25" s="27"/>
      <c r="DX25" s="28" t="str">
        <f>IFERROR(VLOOKUP(DV25,Horarios!$H:$I,2,0),"")</f>
        <v/>
      </c>
      <c r="DY25" s="28" t="str">
        <f>IFERROR(VLOOKUP(DW25,Horarios!$H:$I,2,0),"")</f>
        <v/>
      </c>
      <c r="DZ25" s="28" t="str">
        <f t="shared" si="22"/>
        <v>00:00</v>
      </c>
      <c r="EA25" s="29"/>
      <c r="EB25" s="31" t="str">
        <f t="shared" si="23"/>
        <v/>
      </c>
      <c r="EC25" s="27"/>
      <c r="ED25" s="27"/>
      <c r="EE25" s="28" t="str">
        <f>IFERROR(VLOOKUP(EC25,Horarios!$H:$I,2,0),"")</f>
        <v/>
      </c>
      <c r="EF25" s="28" t="str">
        <f>IFERROR(VLOOKUP(ED25,Horarios!$H:$I,2,0),"")</f>
        <v/>
      </c>
      <c r="EG25" s="28" t="str">
        <f t="shared" si="24"/>
        <v>00:00</v>
      </c>
      <c r="EH25" s="29"/>
      <c r="EI25" s="27"/>
      <c r="EJ25" s="27"/>
      <c r="EK25" s="28" t="str">
        <f>IFERROR(VLOOKUP(EI25,Horarios!$H:$I,2,0),"")</f>
        <v/>
      </c>
      <c r="EL25" s="28" t="str">
        <f>IFERROR(VLOOKUP(EJ25,Horarios!$H:$I,2,0),"")</f>
        <v/>
      </c>
      <c r="EM25" s="28" t="str">
        <f t="shared" si="25"/>
        <v>00:00</v>
      </c>
      <c r="EN25" s="29"/>
      <c r="EO25" s="27"/>
      <c r="EP25" s="27"/>
      <c r="EQ25" s="28" t="str">
        <f>IFERROR(VLOOKUP(EO25,Horarios!$H:$I,2,0),"")</f>
        <v/>
      </c>
      <c r="ER25" s="28" t="str">
        <f>IFERROR(VLOOKUP(EP25,Horarios!$H:$I,2,0),"")</f>
        <v/>
      </c>
      <c r="ES25" s="28" t="str">
        <f t="shared" si="26"/>
        <v>00:00</v>
      </c>
      <c r="ET25" s="29"/>
      <c r="EU25" s="27"/>
      <c r="EV25" s="27"/>
      <c r="EW25" s="28" t="str">
        <f>IFERROR(VLOOKUP(EU25,Horarios!$H:$I,2,0),"")</f>
        <v/>
      </c>
      <c r="EX25" s="28" t="str">
        <f>IFERROR(VLOOKUP(EV25,Horarios!$H:$I,2,0),"")</f>
        <v/>
      </c>
      <c r="EY25" s="28" t="str">
        <f t="shared" si="27"/>
        <v>00:00</v>
      </c>
      <c r="EZ25" s="29"/>
      <c r="FA25" s="27"/>
      <c r="FB25" s="27"/>
      <c r="FC25" s="28" t="str">
        <f>IFERROR(VLOOKUP(FA25,Horarios!$H:$I,2,0),"")</f>
        <v/>
      </c>
      <c r="FD25" s="28" t="str">
        <f>IFERROR(VLOOKUP(FB25,Horarios!$H:$I,2,0),"")</f>
        <v/>
      </c>
      <c r="FE25" s="28" t="str">
        <f t="shared" si="28"/>
        <v>00:00</v>
      </c>
      <c r="FF25" s="29"/>
      <c r="FG25" s="27"/>
      <c r="FH25" s="27"/>
      <c r="FI25" s="28" t="str">
        <f>IFERROR(VLOOKUP(FG25,Horarios!$H:$I,2,0),"")</f>
        <v/>
      </c>
      <c r="FJ25" s="28" t="str">
        <f>IFERROR(VLOOKUP(FH25,Horarios!$H:$I,2,0),"")</f>
        <v/>
      </c>
      <c r="FK25" s="28" t="str">
        <f t="shared" si="29"/>
        <v>00:00</v>
      </c>
      <c r="FL25" s="29"/>
      <c r="FM25" s="27"/>
      <c r="FN25" s="27"/>
      <c r="FO25" s="28" t="str">
        <f>IFERROR(VLOOKUP(FM25,Horarios!$H:$I,2,0),"")</f>
        <v/>
      </c>
      <c r="FP25" s="28" t="str">
        <f>IFERROR(VLOOKUP(FN25,Horarios!$H:$I,2,0),"")</f>
        <v/>
      </c>
      <c r="FQ25" s="28" t="str">
        <f t="shared" si="30"/>
        <v>00:00</v>
      </c>
      <c r="FR25" s="29"/>
      <c r="FS25" s="31" t="str">
        <f t="shared" si="31"/>
        <v/>
      </c>
      <c r="FT25" s="27"/>
      <c r="FU25" s="27"/>
      <c r="FV25" s="28" t="str">
        <f>IFERROR(VLOOKUP(FT25,Horarios!$H:$I,2,0),"")</f>
        <v/>
      </c>
      <c r="FW25" s="28" t="str">
        <f>IFERROR(VLOOKUP(FU25,Horarios!$H:$I,2,0),"")</f>
        <v/>
      </c>
      <c r="FX25" s="28" t="str">
        <f t="shared" si="32"/>
        <v>00:00</v>
      </c>
      <c r="FY25" s="29"/>
      <c r="FZ25" s="27"/>
      <c r="GA25" s="27"/>
      <c r="GB25" s="28" t="str">
        <f>IFERROR(VLOOKUP(FZ25,Horarios!$H:$I,2,0),"")</f>
        <v/>
      </c>
      <c r="GC25" s="28" t="str">
        <f>IFERROR(VLOOKUP(GA25,Horarios!$H:$I,2,0),"")</f>
        <v/>
      </c>
      <c r="GD25" s="28" t="str">
        <f t="shared" si="33"/>
        <v>00:00</v>
      </c>
      <c r="GE25" s="29"/>
      <c r="GF25" s="27"/>
      <c r="GG25" s="27"/>
      <c r="GH25" s="28" t="str">
        <f>IFERROR(VLOOKUP(GF25,Horarios!$H:$I,2,0),"")</f>
        <v/>
      </c>
      <c r="GI25" s="28" t="str">
        <f>IFERROR(VLOOKUP(GG25,Horarios!$H:$I,2,0),"")</f>
        <v/>
      </c>
      <c r="GJ25" s="28" t="str">
        <f t="shared" si="34"/>
        <v>00:00</v>
      </c>
      <c r="GK25" s="29"/>
      <c r="GL25" s="27"/>
      <c r="GM25" s="27"/>
      <c r="GN25" s="28" t="str">
        <f>IFERROR(VLOOKUP(GL25,Horarios!$H:$I,2,0),"")</f>
        <v/>
      </c>
      <c r="GO25" s="28" t="str">
        <f>IFERROR(VLOOKUP(GM25,Horarios!$H:$I,2,0),"")</f>
        <v/>
      </c>
      <c r="GP25" s="28" t="str">
        <f t="shared" si="35"/>
        <v>00:00</v>
      </c>
      <c r="GQ25" s="29"/>
      <c r="GR25" s="27"/>
      <c r="GS25" s="27"/>
      <c r="GT25" s="28" t="str">
        <f>IFERROR(VLOOKUP(GR25,Horarios!$H:$I,2,0),"")</f>
        <v/>
      </c>
      <c r="GU25" s="28" t="str">
        <f>IFERROR(VLOOKUP(GS25,Horarios!$H:$I,2,0),"")</f>
        <v/>
      </c>
      <c r="GV25" s="28" t="str">
        <f t="shared" si="36"/>
        <v>00:00</v>
      </c>
      <c r="GW25" s="29"/>
      <c r="GX25" s="27"/>
      <c r="GY25" s="27"/>
      <c r="GZ25" s="28" t="str">
        <f>IFERROR(VLOOKUP(GX25,Horarios!$H:$I,2,0),"")</f>
        <v/>
      </c>
      <c r="HA25" s="28" t="str">
        <f>IFERROR(VLOOKUP(GY25,Horarios!$H:$I,2,0),"")</f>
        <v/>
      </c>
      <c r="HB25" s="28" t="str">
        <f t="shared" si="37"/>
        <v>00:00</v>
      </c>
      <c r="HC25" s="29"/>
      <c r="HD25" s="27"/>
      <c r="HE25" s="27"/>
      <c r="HF25" s="28" t="str">
        <f>IFERROR(VLOOKUP(HD25,Horarios!$H:$I,2,0),"")</f>
        <v/>
      </c>
      <c r="HG25" s="28" t="str">
        <f>IFERROR(VLOOKUP(HE25,Horarios!$H:$I,2,0),"")</f>
        <v/>
      </c>
      <c r="HH25" s="28" t="str">
        <f t="shared" si="38"/>
        <v>00:00</v>
      </c>
      <c r="HI25" s="29"/>
      <c r="HJ25" s="31" t="str">
        <f t="shared" si="39"/>
        <v/>
      </c>
      <c r="HK25" s="27"/>
      <c r="HL25" s="27"/>
      <c r="HM25" s="28" t="str">
        <f>IFERROR(VLOOKUP(HK25,Horarios!$H:$I,2,0),"")</f>
        <v/>
      </c>
      <c r="HN25" s="28" t="str">
        <f>IFERROR(VLOOKUP(HL25,Horarios!$H:$I,2,0),"")</f>
        <v/>
      </c>
      <c r="HO25" s="28" t="str">
        <f t="shared" si="40"/>
        <v>00:00</v>
      </c>
      <c r="HP25" s="29"/>
      <c r="HQ25" s="27"/>
      <c r="HR25" s="27"/>
      <c r="HS25" s="28" t="str">
        <f>IFERROR(VLOOKUP(HQ25,Horarios!$H:$I,2,0),"")</f>
        <v/>
      </c>
      <c r="HT25" s="28" t="str">
        <f>IFERROR(VLOOKUP(HR25,Horarios!$H:$I,2,0),"")</f>
        <v/>
      </c>
      <c r="HU25" s="28" t="str">
        <f t="shared" si="41"/>
        <v>00:00</v>
      </c>
      <c r="HV25" s="29"/>
      <c r="HW25" s="27"/>
      <c r="HX25" s="27"/>
      <c r="HY25" s="28" t="str">
        <f>IFERROR(VLOOKUP(HW25,Horarios!$H:$I,2,0),"")</f>
        <v/>
      </c>
      <c r="HZ25" s="28" t="str">
        <f>IFERROR(VLOOKUP(HX25,Horarios!$H:$I,2,0),"")</f>
        <v/>
      </c>
      <c r="IA25" s="28" t="str">
        <f t="shared" si="42"/>
        <v>00:00</v>
      </c>
      <c r="IB25" s="29"/>
      <c r="IC25" s="27"/>
      <c r="ID25" s="27"/>
      <c r="IE25" s="28" t="str">
        <f>IFERROR(VLOOKUP(IC25,Horarios!$H:$I,2,0),"")</f>
        <v/>
      </c>
      <c r="IF25" s="28" t="str">
        <f>IFERROR(VLOOKUP(ID25,Horarios!$H:$I,2,0),"")</f>
        <v/>
      </c>
      <c r="IG25" s="28" t="str">
        <f t="shared" si="43"/>
        <v>00:00</v>
      </c>
      <c r="IH25" s="29"/>
      <c r="II25" s="27"/>
      <c r="IJ25" s="27"/>
      <c r="IK25" s="28" t="str">
        <f>IFERROR(VLOOKUP(II25,Horarios!$H:$I,2,0),"")</f>
        <v/>
      </c>
      <c r="IL25" s="28" t="str">
        <f>IFERROR(VLOOKUP(IJ25,Horarios!$H:$I,2,0),"")</f>
        <v/>
      </c>
      <c r="IM25" s="28" t="str">
        <f t="shared" si="44"/>
        <v>00:00</v>
      </c>
      <c r="IN25" s="29"/>
      <c r="IO25" s="27"/>
      <c r="IP25" s="27"/>
      <c r="IQ25" s="28" t="str">
        <f>IFERROR(VLOOKUP(IO25,Horarios!$H:$I,2,0),"")</f>
        <v/>
      </c>
      <c r="IR25" s="28" t="str">
        <f>IFERROR(VLOOKUP(IP25,Horarios!$H:$I,2,0),"")</f>
        <v/>
      </c>
      <c r="IS25" s="28" t="str">
        <f t="shared" si="45"/>
        <v>00:00</v>
      </c>
      <c r="IT25" s="29"/>
      <c r="IU25" s="27"/>
      <c r="IV25" s="27"/>
      <c r="IW25" s="28" t="str">
        <f>IFERROR(VLOOKUP(IU25,Horarios!$H:$I,2,0),"")</f>
        <v/>
      </c>
      <c r="IX25" s="28" t="str">
        <f>IFERROR(VLOOKUP(IV25,Horarios!$H:$I,2,0),"")</f>
        <v/>
      </c>
      <c r="IY25" s="28" t="str">
        <f t="shared" si="46"/>
        <v>00:00</v>
      </c>
      <c r="IZ25" s="29"/>
      <c r="JA25" s="31" t="str">
        <f t="shared" si="47"/>
        <v/>
      </c>
    </row>
    <row r="26" spans="1:261" s="24" customFormat="1" ht="17.399999999999999" x14ac:dyDescent="0.25">
      <c r="A26" s="25"/>
      <c r="B26" s="26" t="str">
        <f>IFERROR(VLOOKUP(A26,BaseNombres!A:B,2,0),"")</f>
        <v/>
      </c>
      <c r="C26" s="26" t="str">
        <f>IFERROR(VLOOKUP(A26,BaseNombres!A:C,3,0),"")</f>
        <v/>
      </c>
      <c r="D26" s="27"/>
      <c r="E26" s="27"/>
      <c r="F26" s="28" t="str">
        <f>IFERROR(VLOOKUP(D26,Horarios!$H:$I,2,0),"")</f>
        <v/>
      </c>
      <c r="G26" s="28" t="str">
        <f>IFERROR(VLOOKUP(E26,Horarios!$H:$I,2,0),"")</f>
        <v/>
      </c>
      <c r="H26" s="28" t="str">
        <f t="shared" si="0"/>
        <v>00:00</v>
      </c>
      <c r="I26" s="29"/>
      <c r="J26" s="27"/>
      <c r="K26" s="27"/>
      <c r="L26" s="28" t="str">
        <f>IFERROR(VLOOKUP(J26,Horarios!$H:$I,2,0),"")</f>
        <v/>
      </c>
      <c r="M26" s="28" t="str">
        <f>IFERROR(VLOOKUP(K26,Horarios!$H:$I,2,0),"")</f>
        <v/>
      </c>
      <c r="N26" s="28" t="str">
        <f t="shared" si="1"/>
        <v>00:00</v>
      </c>
      <c r="O26" s="29"/>
      <c r="P26" s="27"/>
      <c r="Q26" s="27"/>
      <c r="R26" s="28" t="str">
        <f>IFERROR(VLOOKUP(P26,Horarios!$H:$I,2,0),"")</f>
        <v/>
      </c>
      <c r="S26" s="28" t="str">
        <f>IFERROR(VLOOKUP(Q26,Horarios!$H:$I,2,0),"")</f>
        <v/>
      </c>
      <c r="T26" s="28" t="str">
        <f t="shared" si="2"/>
        <v>00:00</v>
      </c>
      <c r="U26" s="29"/>
      <c r="V26" s="27"/>
      <c r="W26" s="27"/>
      <c r="X26" s="28" t="str">
        <f>IFERROR(VLOOKUP(V26,Horarios!$H:$I,2,0),"")</f>
        <v/>
      </c>
      <c r="Y26" s="28" t="str">
        <f>IFERROR(VLOOKUP(W26,Horarios!$H:$I,2,0),"")</f>
        <v/>
      </c>
      <c r="Z26" s="28" t="str">
        <f t="shared" si="3"/>
        <v>00:00</v>
      </c>
      <c r="AA26" s="29"/>
      <c r="AB26" s="27"/>
      <c r="AC26" s="27"/>
      <c r="AD26" s="28" t="str">
        <f>IFERROR(VLOOKUP(AB26,Horarios!$H:$I,2,0),"")</f>
        <v/>
      </c>
      <c r="AE26" s="28" t="str">
        <f>IFERROR(VLOOKUP(AC26,Horarios!$H:$I,2,0),"")</f>
        <v/>
      </c>
      <c r="AF26" s="28" t="str">
        <f t="shared" si="4"/>
        <v>00:00</v>
      </c>
      <c r="AG26" s="29"/>
      <c r="AH26" s="27"/>
      <c r="AI26" s="27"/>
      <c r="AJ26" s="28" t="str">
        <f>IFERROR(VLOOKUP(AH26,Horarios!$H:$I,2,0),"")</f>
        <v/>
      </c>
      <c r="AK26" s="28" t="str">
        <f>IFERROR(VLOOKUP(AI26,Horarios!$H:$I,2,0),"")</f>
        <v/>
      </c>
      <c r="AL26" s="28" t="str">
        <f t="shared" si="5"/>
        <v>00:00</v>
      </c>
      <c r="AM26" s="29"/>
      <c r="AN26" s="27"/>
      <c r="AO26" s="27"/>
      <c r="AP26" s="28" t="str">
        <f>IFERROR(VLOOKUP(AN26,Horarios!$H:$I,2,0),"")</f>
        <v/>
      </c>
      <c r="AQ26" s="28" t="str">
        <f>IFERROR(VLOOKUP(AO26,Horarios!$H:$I,2,0),"")</f>
        <v/>
      </c>
      <c r="AR26" s="28" t="str">
        <f t="shared" si="6"/>
        <v>00:00</v>
      </c>
      <c r="AS26" s="29"/>
      <c r="AT26" s="31" t="str">
        <f t="shared" si="7"/>
        <v/>
      </c>
      <c r="AU26" s="27"/>
      <c r="AV26" s="27"/>
      <c r="AW26" s="28" t="str">
        <f>IFERROR(VLOOKUP(AU26,Horarios!$H:$I,2,0),"")</f>
        <v/>
      </c>
      <c r="AX26" s="28" t="str">
        <f>IFERROR(VLOOKUP(AV26,Horarios!$H:$I,2,0),"")</f>
        <v/>
      </c>
      <c r="AY26" s="28" t="str">
        <f t="shared" si="8"/>
        <v>00:00</v>
      </c>
      <c r="AZ26" s="29"/>
      <c r="BA26" s="27"/>
      <c r="BB26" s="27"/>
      <c r="BC26" s="28" t="str">
        <f>IFERROR(VLOOKUP(BA26,Horarios!$H:$I,2,0),"")</f>
        <v/>
      </c>
      <c r="BD26" s="28" t="str">
        <f>IFERROR(VLOOKUP(BB26,Horarios!$H:$I,2,0),"")</f>
        <v/>
      </c>
      <c r="BE26" s="28" t="str">
        <f t="shared" si="9"/>
        <v>00:00</v>
      </c>
      <c r="BF26" s="29"/>
      <c r="BG26" s="27"/>
      <c r="BH26" s="27"/>
      <c r="BI26" s="28" t="str">
        <f>IFERROR(VLOOKUP(BG26,Horarios!$H:$I,2,0),"")</f>
        <v/>
      </c>
      <c r="BJ26" s="28" t="str">
        <f>IFERROR(VLOOKUP(BH26,Horarios!$H:$I,2,0),"")</f>
        <v/>
      </c>
      <c r="BK26" s="28" t="str">
        <f t="shared" si="10"/>
        <v>00:00</v>
      </c>
      <c r="BL26" s="29"/>
      <c r="BM26" s="27"/>
      <c r="BN26" s="27"/>
      <c r="BO26" s="28" t="str">
        <f>IFERROR(VLOOKUP(BM26,Horarios!$H:$I,2,0),"")</f>
        <v/>
      </c>
      <c r="BP26" s="28" t="str">
        <f>IFERROR(VLOOKUP(BN26,Horarios!$H:$I,2,0),"")</f>
        <v/>
      </c>
      <c r="BQ26" s="28" t="str">
        <f t="shared" si="11"/>
        <v>00:00</v>
      </c>
      <c r="BR26" s="29"/>
      <c r="BS26" s="27"/>
      <c r="BT26" s="27"/>
      <c r="BU26" s="28" t="str">
        <f>IFERROR(VLOOKUP(BS26,Horarios!$H:$I,2,0),"")</f>
        <v/>
      </c>
      <c r="BV26" s="28" t="str">
        <f>IFERROR(VLOOKUP(BT26,Horarios!$H:$I,2,0),"")</f>
        <v/>
      </c>
      <c r="BW26" s="28" t="str">
        <f t="shared" si="12"/>
        <v>00:00</v>
      </c>
      <c r="BX26" s="29"/>
      <c r="BY26" s="27"/>
      <c r="BZ26" s="27"/>
      <c r="CA26" s="28" t="str">
        <f>IFERROR(VLOOKUP(BY26,Horarios!$H:$I,2,0),"")</f>
        <v/>
      </c>
      <c r="CB26" s="28" t="str">
        <f>IFERROR(VLOOKUP(BZ26,Horarios!$H:$I,2,0),"")</f>
        <v/>
      </c>
      <c r="CC26" s="28" t="str">
        <f t="shared" si="13"/>
        <v>00:00</v>
      </c>
      <c r="CD26" s="29"/>
      <c r="CE26" s="27"/>
      <c r="CF26" s="27"/>
      <c r="CG26" s="28" t="str">
        <f>IFERROR(VLOOKUP(CE26,Horarios!$H:$I,2,0),"")</f>
        <v/>
      </c>
      <c r="CH26" s="28" t="str">
        <f>IFERROR(VLOOKUP(CF26,Horarios!$H:$I,2,0),"")</f>
        <v/>
      </c>
      <c r="CI26" s="28" t="str">
        <f t="shared" si="14"/>
        <v>00:00</v>
      </c>
      <c r="CJ26" s="29"/>
      <c r="CK26" s="31" t="str">
        <f t="shared" si="15"/>
        <v/>
      </c>
      <c r="CL26" s="27"/>
      <c r="CM26" s="27"/>
      <c r="CN26" s="28" t="str">
        <f>IFERROR(VLOOKUP(CL26,Horarios!$H:$I,2,0),"")</f>
        <v/>
      </c>
      <c r="CO26" s="28" t="str">
        <f>IFERROR(VLOOKUP(CM26,Horarios!$H:$I,2,0),"")</f>
        <v/>
      </c>
      <c r="CP26" s="28" t="str">
        <f t="shared" si="16"/>
        <v>00:00</v>
      </c>
      <c r="CQ26" s="29"/>
      <c r="CR26" s="27"/>
      <c r="CS26" s="27"/>
      <c r="CT26" s="28" t="str">
        <f>IFERROR(VLOOKUP(CR26,Horarios!$H:$I,2,0),"")</f>
        <v/>
      </c>
      <c r="CU26" s="28" t="str">
        <f>IFERROR(VLOOKUP(CS26,Horarios!$H:$I,2,0),"")</f>
        <v/>
      </c>
      <c r="CV26" s="28" t="str">
        <f t="shared" si="17"/>
        <v>00:00</v>
      </c>
      <c r="CW26" s="29"/>
      <c r="CX26" s="27"/>
      <c r="CY26" s="27"/>
      <c r="CZ26" s="28" t="str">
        <f>IFERROR(VLOOKUP(CX26,Horarios!$H:$I,2,0),"")</f>
        <v/>
      </c>
      <c r="DA26" s="28" t="str">
        <f>IFERROR(VLOOKUP(CY26,Horarios!$H:$I,2,0),"")</f>
        <v/>
      </c>
      <c r="DB26" s="28" t="str">
        <f t="shared" si="18"/>
        <v>00:00</v>
      </c>
      <c r="DC26" s="29"/>
      <c r="DD26" s="27"/>
      <c r="DE26" s="27"/>
      <c r="DF26" s="28" t="str">
        <f>IFERROR(VLOOKUP(DD26,Horarios!$H:$I,2,0),"")</f>
        <v/>
      </c>
      <c r="DG26" s="28" t="str">
        <f>IFERROR(VLOOKUP(DE26,Horarios!$H:$I,2,0),"")</f>
        <v/>
      </c>
      <c r="DH26" s="28" t="str">
        <f t="shared" si="19"/>
        <v>00:00</v>
      </c>
      <c r="DI26" s="29"/>
      <c r="DJ26" s="27"/>
      <c r="DK26" s="27"/>
      <c r="DL26" s="28" t="str">
        <f>IFERROR(VLOOKUP(DJ26,Horarios!$H:$I,2,0),"")</f>
        <v/>
      </c>
      <c r="DM26" s="28" t="str">
        <f>IFERROR(VLOOKUP(DK26,Horarios!$H:$I,2,0),"")</f>
        <v/>
      </c>
      <c r="DN26" s="28" t="str">
        <f t="shared" si="20"/>
        <v>00:00</v>
      </c>
      <c r="DO26" s="29"/>
      <c r="DP26" s="27"/>
      <c r="DQ26" s="27"/>
      <c r="DR26" s="28" t="str">
        <f>IFERROR(VLOOKUP(DP26,Horarios!$H:$I,2,0),"")</f>
        <v/>
      </c>
      <c r="DS26" s="28" t="str">
        <f>IFERROR(VLOOKUP(DQ26,Horarios!$H:$I,2,0),"")</f>
        <v/>
      </c>
      <c r="DT26" s="28" t="str">
        <f t="shared" si="21"/>
        <v>00:00</v>
      </c>
      <c r="DU26" s="29"/>
      <c r="DV26" s="27"/>
      <c r="DW26" s="27"/>
      <c r="DX26" s="28" t="str">
        <f>IFERROR(VLOOKUP(DV26,Horarios!$H:$I,2,0),"")</f>
        <v/>
      </c>
      <c r="DY26" s="28" t="str">
        <f>IFERROR(VLOOKUP(DW26,Horarios!$H:$I,2,0),"")</f>
        <v/>
      </c>
      <c r="DZ26" s="28" t="str">
        <f t="shared" si="22"/>
        <v>00:00</v>
      </c>
      <c r="EA26" s="29"/>
      <c r="EB26" s="31" t="str">
        <f t="shared" si="23"/>
        <v/>
      </c>
      <c r="EC26" s="27"/>
      <c r="ED26" s="27"/>
      <c r="EE26" s="28" t="str">
        <f>IFERROR(VLOOKUP(EC26,Horarios!$H:$I,2,0),"")</f>
        <v/>
      </c>
      <c r="EF26" s="28" t="str">
        <f>IFERROR(VLOOKUP(ED26,Horarios!$H:$I,2,0),"")</f>
        <v/>
      </c>
      <c r="EG26" s="28" t="str">
        <f t="shared" si="24"/>
        <v>00:00</v>
      </c>
      <c r="EH26" s="29"/>
      <c r="EI26" s="27"/>
      <c r="EJ26" s="27"/>
      <c r="EK26" s="28" t="str">
        <f>IFERROR(VLOOKUP(EI26,Horarios!$H:$I,2,0),"")</f>
        <v/>
      </c>
      <c r="EL26" s="28" t="str">
        <f>IFERROR(VLOOKUP(EJ26,Horarios!$H:$I,2,0),"")</f>
        <v/>
      </c>
      <c r="EM26" s="28" t="str">
        <f t="shared" si="25"/>
        <v>00:00</v>
      </c>
      <c r="EN26" s="29"/>
      <c r="EO26" s="27"/>
      <c r="EP26" s="27"/>
      <c r="EQ26" s="28" t="str">
        <f>IFERROR(VLOOKUP(EO26,Horarios!$H:$I,2,0),"")</f>
        <v/>
      </c>
      <c r="ER26" s="28" t="str">
        <f>IFERROR(VLOOKUP(EP26,Horarios!$H:$I,2,0),"")</f>
        <v/>
      </c>
      <c r="ES26" s="28" t="str">
        <f t="shared" si="26"/>
        <v>00:00</v>
      </c>
      <c r="ET26" s="29"/>
      <c r="EU26" s="27"/>
      <c r="EV26" s="27"/>
      <c r="EW26" s="28" t="str">
        <f>IFERROR(VLOOKUP(EU26,Horarios!$H:$I,2,0),"")</f>
        <v/>
      </c>
      <c r="EX26" s="28" t="str">
        <f>IFERROR(VLOOKUP(EV26,Horarios!$H:$I,2,0),"")</f>
        <v/>
      </c>
      <c r="EY26" s="28" t="str">
        <f t="shared" si="27"/>
        <v>00:00</v>
      </c>
      <c r="EZ26" s="29"/>
      <c r="FA26" s="27"/>
      <c r="FB26" s="27"/>
      <c r="FC26" s="28" t="str">
        <f>IFERROR(VLOOKUP(FA26,Horarios!$H:$I,2,0),"")</f>
        <v/>
      </c>
      <c r="FD26" s="28" t="str">
        <f>IFERROR(VLOOKUP(FB26,Horarios!$H:$I,2,0),"")</f>
        <v/>
      </c>
      <c r="FE26" s="28" t="str">
        <f t="shared" si="28"/>
        <v>00:00</v>
      </c>
      <c r="FF26" s="29"/>
      <c r="FG26" s="27"/>
      <c r="FH26" s="27"/>
      <c r="FI26" s="28" t="str">
        <f>IFERROR(VLOOKUP(FG26,Horarios!$H:$I,2,0),"")</f>
        <v/>
      </c>
      <c r="FJ26" s="28" t="str">
        <f>IFERROR(VLOOKUP(FH26,Horarios!$H:$I,2,0),"")</f>
        <v/>
      </c>
      <c r="FK26" s="28" t="str">
        <f t="shared" si="29"/>
        <v>00:00</v>
      </c>
      <c r="FL26" s="29"/>
      <c r="FM26" s="27"/>
      <c r="FN26" s="27"/>
      <c r="FO26" s="28" t="str">
        <f>IFERROR(VLOOKUP(FM26,Horarios!$H:$I,2,0),"")</f>
        <v/>
      </c>
      <c r="FP26" s="28" t="str">
        <f>IFERROR(VLOOKUP(FN26,Horarios!$H:$I,2,0),"")</f>
        <v/>
      </c>
      <c r="FQ26" s="28" t="str">
        <f t="shared" si="30"/>
        <v>00:00</v>
      </c>
      <c r="FR26" s="29"/>
      <c r="FS26" s="31" t="str">
        <f t="shared" si="31"/>
        <v/>
      </c>
      <c r="FT26" s="27"/>
      <c r="FU26" s="27"/>
      <c r="FV26" s="28" t="str">
        <f>IFERROR(VLOOKUP(FT26,Horarios!$H:$I,2,0),"")</f>
        <v/>
      </c>
      <c r="FW26" s="28" t="str">
        <f>IFERROR(VLOOKUP(FU26,Horarios!$H:$I,2,0),"")</f>
        <v/>
      </c>
      <c r="FX26" s="28" t="str">
        <f t="shared" si="32"/>
        <v>00:00</v>
      </c>
      <c r="FY26" s="29"/>
      <c r="FZ26" s="27"/>
      <c r="GA26" s="27"/>
      <c r="GB26" s="28" t="str">
        <f>IFERROR(VLOOKUP(FZ26,Horarios!$H:$I,2,0),"")</f>
        <v/>
      </c>
      <c r="GC26" s="28" t="str">
        <f>IFERROR(VLOOKUP(GA26,Horarios!$H:$I,2,0),"")</f>
        <v/>
      </c>
      <c r="GD26" s="28" t="str">
        <f t="shared" si="33"/>
        <v>00:00</v>
      </c>
      <c r="GE26" s="29"/>
      <c r="GF26" s="27"/>
      <c r="GG26" s="27"/>
      <c r="GH26" s="28" t="str">
        <f>IFERROR(VLOOKUP(GF26,Horarios!$H:$I,2,0),"")</f>
        <v/>
      </c>
      <c r="GI26" s="28" t="str">
        <f>IFERROR(VLOOKUP(GG26,Horarios!$H:$I,2,0),"")</f>
        <v/>
      </c>
      <c r="GJ26" s="28" t="str">
        <f t="shared" si="34"/>
        <v>00:00</v>
      </c>
      <c r="GK26" s="29"/>
      <c r="GL26" s="27"/>
      <c r="GM26" s="27"/>
      <c r="GN26" s="28" t="str">
        <f>IFERROR(VLOOKUP(GL26,Horarios!$H:$I,2,0),"")</f>
        <v/>
      </c>
      <c r="GO26" s="28" t="str">
        <f>IFERROR(VLOOKUP(GM26,Horarios!$H:$I,2,0),"")</f>
        <v/>
      </c>
      <c r="GP26" s="28" t="str">
        <f t="shared" si="35"/>
        <v>00:00</v>
      </c>
      <c r="GQ26" s="29"/>
      <c r="GR26" s="27"/>
      <c r="GS26" s="27"/>
      <c r="GT26" s="28" t="str">
        <f>IFERROR(VLOOKUP(GR26,Horarios!$H:$I,2,0),"")</f>
        <v/>
      </c>
      <c r="GU26" s="28" t="str">
        <f>IFERROR(VLOOKUP(GS26,Horarios!$H:$I,2,0),"")</f>
        <v/>
      </c>
      <c r="GV26" s="28" t="str">
        <f t="shared" si="36"/>
        <v>00:00</v>
      </c>
      <c r="GW26" s="29"/>
      <c r="GX26" s="27"/>
      <c r="GY26" s="27"/>
      <c r="GZ26" s="28" t="str">
        <f>IFERROR(VLOOKUP(GX26,Horarios!$H:$I,2,0),"")</f>
        <v/>
      </c>
      <c r="HA26" s="28" t="str">
        <f>IFERROR(VLOOKUP(GY26,Horarios!$H:$I,2,0),"")</f>
        <v/>
      </c>
      <c r="HB26" s="28" t="str">
        <f t="shared" si="37"/>
        <v>00:00</v>
      </c>
      <c r="HC26" s="29"/>
      <c r="HD26" s="27"/>
      <c r="HE26" s="27"/>
      <c r="HF26" s="28" t="str">
        <f>IFERROR(VLOOKUP(HD26,Horarios!$H:$I,2,0),"")</f>
        <v/>
      </c>
      <c r="HG26" s="28" t="str">
        <f>IFERROR(VLOOKUP(HE26,Horarios!$H:$I,2,0),"")</f>
        <v/>
      </c>
      <c r="HH26" s="28" t="str">
        <f t="shared" si="38"/>
        <v>00:00</v>
      </c>
      <c r="HI26" s="29"/>
      <c r="HJ26" s="31" t="str">
        <f t="shared" si="39"/>
        <v/>
      </c>
      <c r="HK26" s="27"/>
      <c r="HL26" s="27"/>
      <c r="HM26" s="28" t="str">
        <f>IFERROR(VLOOKUP(HK26,Horarios!$H:$I,2,0),"")</f>
        <v/>
      </c>
      <c r="HN26" s="28" t="str">
        <f>IFERROR(VLOOKUP(HL26,Horarios!$H:$I,2,0),"")</f>
        <v/>
      </c>
      <c r="HO26" s="28" t="str">
        <f t="shared" si="40"/>
        <v>00:00</v>
      </c>
      <c r="HP26" s="29"/>
      <c r="HQ26" s="27"/>
      <c r="HR26" s="27"/>
      <c r="HS26" s="28" t="str">
        <f>IFERROR(VLOOKUP(HQ26,Horarios!$H:$I,2,0),"")</f>
        <v/>
      </c>
      <c r="HT26" s="28" t="str">
        <f>IFERROR(VLOOKUP(HR26,Horarios!$H:$I,2,0),"")</f>
        <v/>
      </c>
      <c r="HU26" s="28" t="str">
        <f t="shared" si="41"/>
        <v>00:00</v>
      </c>
      <c r="HV26" s="29"/>
      <c r="HW26" s="27"/>
      <c r="HX26" s="27"/>
      <c r="HY26" s="28" t="str">
        <f>IFERROR(VLOOKUP(HW26,Horarios!$H:$I,2,0),"")</f>
        <v/>
      </c>
      <c r="HZ26" s="28" t="str">
        <f>IFERROR(VLOOKUP(HX26,Horarios!$H:$I,2,0),"")</f>
        <v/>
      </c>
      <c r="IA26" s="28" t="str">
        <f t="shared" si="42"/>
        <v>00:00</v>
      </c>
      <c r="IB26" s="29"/>
      <c r="IC26" s="27"/>
      <c r="ID26" s="27"/>
      <c r="IE26" s="28" t="str">
        <f>IFERROR(VLOOKUP(IC26,Horarios!$H:$I,2,0),"")</f>
        <v/>
      </c>
      <c r="IF26" s="28" t="str">
        <f>IFERROR(VLOOKUP(ID26,Horarios!$H:$I,2,0),"")</f>
        <v/>
      </c>
      <c r="IG26" s="28" t="str">
        <f t="shared" si="43"/>
        <v>00:00</v>
      </c>
      <c r="IH26" s="29"/>
      <c r="II26" s="27"/>
      <c r="IJ26" s="27"/>
      <c r="IK26" s="28" t="str">
        <f>IFERROR(VLOOKUP(II26,Horarios!$H:$I,2,0),"")</f>
        <v/>
      </c>
      <c r="IL26" s="28" t="str">
        <f>IFERROR(VLOOKUP(IJ26,Horarios!$H:$I,2,0),"")</f>
        <v/>
      </c>
      <c r="IM26" s="28" t="str">
        <f t="shared" si="44"/>
        <v>00:00</v>
      </c>
      <c r="IN26" s="29"/>
      <c r="IO26" s="27"/>
      <c r="IP26" s="27"/>
      <c r="IQ26" s="28" t="str">
        <f>IFERROR(VLOOKUP(IO26,Horarios!$H:$I,2,0),"")</f>
        <v/>
      </c>
      <c r="IR26" s="28" t="str">
        <f>IFERROR(VLOOKUP(IP26,Horarios!$H:$I,2,0),"")</f>
        <v/>
      </c>
      <c r="IS26" s="28" t="str">
        <f t="shared" si="45"/>
        <v>00:00</v>
      </c>
      <c r="IT26" s="29"/>
      <c r="IU26" s="27"/>
      <c r="IV26" s="27"/>
      <c r="IW26" s="28" t="str">
        <f>IFERROR(VLOOKUP(IU26,Horarios!$H:$I,2,0),"")</f>
        <v/>
      </c>
      <c r="IX26" s="28" t="str">
        <f>IFERROR(VLOOKUP(IV26,Horarios!$H:$I,2,0),"")</f>
        <v/>
      </c>
      <c r="IY26" s="28" t="str">
        <f t="shared" si="46"/>
        <v>00:00</v>
      </c>
      <c r="IZ26" s="29"/>
      <c r="JA26" s="31" t="str">
        <f t="shared" si="47"/>
        <v/>
      </c>
    </row>
    <row r="27" spans="1:261" s="24" customFormat="1" ht="17.399999999999999" x14ac:dyDescent="0.25">
      <c r="A27" s="25"/>
      <c r="B27" s="26" t="str">
        <f>IFERROR(VLOOKUP(A27,BaseNombres!A:B,2,0),"")</f>
        <v/>
      </c>
      <c r="C27" s="26" t="str">
        <f>IFERROR(VLOOKUP(A27,BaseNombres!A:C,3,0),"")</f>
        <v/>
      </c>
      <c r="D27" s="27"/>
      <c r="E27" s="27"/>
      <c r="F27" s="28" t="str">
        <f>IFERROR(VLOOKUP(D27,Horarios!$H:$I,2,0),"")</f>
        <v/>
      </c>
      <c r="G27" s="28" t="str">
        <f>IFERROR(VLOOKUP(E27,Horarios!$H:$I,2,0),"")</f>
        <v/>
      </c>
      <c r="H27" s="28" t="str">
        <f t="shared" si="0"/>
        <v>00:00</v>
      </c>
      <c r="I27" s="29"/>
      <c r="J27" s="27"/>
      <c r="K27" s="27"/>
      <c r="L27" s="28" t="str">
        <f>IFERROR(VLOOKUP(J27,Horarios!$H:$I,2,0),"")</f>
        <v/>
      </c>
      <c r="M27" s="28" t="str">
        <f>IFERROR(VLOOKUP(K27,Horarios!$H:$I,2,0),"")</f>
        <v/>
      </c>
      <c r="N27" s="28" t="str">
        <f t="shared" si="1"/>
        <v>00:00</v>
      </c>
      <c r="O27" s="29"/>
      <c r="P27" s="27"/>
      <c r="Q27" s="27"/>
      <c r="R27" s="28" t="str">
        <f>IFERROR(VLOOKUP(P27,Horarios!$H:$I,2,0),"")</f>
        <v/>
      </c>
      <c r="S27" s="28" t="str">
        <f>IFERROR(VLOOKUP(Q27,Horarios!$H:$I,2,0),"")</f>
        <v/>
      </c>
      <c r="T27" s="28" t="str">
        <f t="shared" si="2"/>
        <v>00:00</v>
      </c>
      <c r="U27" s="29"/>
      <c r="V27" s="27"/>
      <c r="W27" s="27"/>
      <c r="X27" s="28" t="str">
        <f>IFERROR(VLOOKUP(V27,Horarios!$H:$I,2,0),"")</f>
        <v/>
      </c>
      <c r="Y27" s="28" t="str">
        <f>IFERROR(VLOOKUP(W27,Horarios!$H:$I,2,0),"")</f>
        <v/>
      </c>
      <c r="Z27" s="28" t="str">
        <f t="shared" si="3"/>
        <v>00:00</v>
      </c>
      <c r="AA27" s="29"/>
      <c r="AB27" s="27"/>
      <c r="AC27" s="27"/>
      <c r="AD27" s="28" t="str">
        <f>IFERROR(VLOOKUP(AB27,Horarios!$H:$I,2,0),"")</f>
        <v/>
      </c>
      <c r="AE27" s="28" t="str">
        <f>IFERROR(VLOOKUP(AC27,Horarios!$H:$I,2,0),"")</f>
        <v/>
      </c>
      <c r="AF27" s="28" t="str">
        <f t="shared" si="4"/>
        <v>00:00</v>
      </c>
      <c r="AG27" s="29"/>
      <c r="AH27" s="27"/>
      <c r="AI27" s="27"/>
      <c r="AJ27" s="28" t="str">
        <f>IFERROR(VLOOKUP(AH27,Horarios!$H:$I,2,0),"")</f>
        <v/>
      </c>
      <c r="AK27" s="28" t="str">
        <f>IFERROR(VLOOKUP(AI27,Horarios!$H:$I,2,0),"")</f>
        <v/>
      </c>
      <c r="AL27" s="28" t="str">
        <f t="shared" si="5"/>
        <v>00:00</v>
      </c>
      <c r="AM27" s="29"/>
      <c r="AN27" s="27"/>
      <c r="AO27" s="27"/>
      <c r="AP27" s="28" t="str">
        <f>IFERROR(VLOOKUP(AN27,Horarios!$H:$I,2,0),"")</f>
        <v/>
      </c>
      <c r="AQ27" s="28" t="str">
        <f>IFERROR(VLOOKUP(AO27,Horarios!$H:$I,2,0),"")</f>
        <v/>
      </c>
      <c r="AR27" s="28" t="str">
        <f t="shared" si="6"/>
        <v>00:00</v>
      </c>
      <c r="AS27" s="29"/>
      <c r="AT27" s="31" t="str">
        <f t="shared" si="7"/>
        <v/>
      </c>
      <c r="AU27" s="27"/>
      <c r="AV27" s="27"/>
      <c r="AW27" s="28" t="str">
        <f>IFERROR(VLOOKUP(AU27,Horarios!$H:$I,2,0),"")</f>
        <v/>
      </c>
      <c r="AX27" s="28" t="str">
        <f>IFERROR(VLOOKUP(AV27,Horarios!$H:$I,2,0),"")</f>
        <v/>
      </c>
      <c r="AY27" s="28" t="str">
        <f t="shared" si="8"/>
        <v>00:00</v>
      </c>
      <c r="AZ27" s="29"/>
      <c r="BA27" s="27"/>
      <c r="BB27" s="27"/>
      <c r="BC27" s="28" t="str">
        <f>IFERROR(VLOOKUP(BA27,Horarios!$H:$I,2,0),"")</f>
        <v/>
      </c>
      <c r="BD27" s="28" t="str">
        <f>IFERROR(VLOOKUP(BB27,Horarios!$H:$I,2,0),"")</f>
        <v/>
      </c>
      <c r="BE27" s="28" t="str">
        <f t="shared" si="9"/>
        <v>00:00</v>
      </c>
      <c r="BF27" s="29"/>
      <c r="BG27" s="27"/>
      <c r="BH27" s="27"/>
      <c r="BI27" s="28" t="str">
        <f>IFERROR(VLOOKUP(BG27,Horarios!$H:$I,2,0),"")</f>
        <v/>
      </c>
      <c r="BJ27" s="28" t="str">
        <f>IFERROR(VLOOKUP(BH27,Horarios!$H:$I,2,0),"")</f>
        <v/>
      </c>
      <c r="BK27" s="28" t="str">
        <f t="shared" si="10"/>
        <v>00:00</v>
      </c>
      <c r="BL27" s="29"/>
      <c r="BM27" s="27"/>
      <c r="BN27" s="27"/>
      <c r="BO27" s="28" t="str">
        <f>IFERROR(VLOOKUP(BM27,Horarios!$H:$I,2,0),"")</f>
        <v/>
      </c>
      <c r="BP27" s="28" t="str">
        <f>IFERROR(VLOOKUP(BN27,Horarios!$H:$I,2,0),"")</f>
        <v/>
      </c>
      <c r="BQ27" s="28" t="str">
        <f t="shared" si="11"/>
        <v>00:00</v>
      </c>
      <c r="BR27" s="29"/>
      <c r="BS27" s="27"/>
      <c r="BT27" s="27"/>
      <c r="BU27" s="28" t="str">
        <f>IFERROR(VLOOKUP(BS27,Horarios!$H:$I,2,0),"")</f>
        <v/>
      </c>
      <c r="BV27" s="28" t="str">
        <f>IFERROR(VLOOKUP(BT27,Horarios!$H:$I,2,0),"")</f>
        <v/>
      </c>
      <c r="BW27" s="28" t="str">
        <f t="shared" si="12"/>
        <v>00:00</v>
      </c>
      <c r="BX27" s="29"/>
      <c r="BY27" s="27"/>
      <c r="BZ27" s="27"/>
      <c r="CA27" s="28" t="str">
        <f>IFERROR(VLOOKUP(BY27,Horarios!$H:$I,2,0),"")</f>
        <v/>
      </c>
      <c r="CB27" s="28" t="str">
        <f>IFERROR(VLOOKUP(BZ27,Horarios!$H:$I,2,0),"")</f>
        <v/>
      </c>
      <c r="CC27" s="28" t="str">
        <f t="shared" si="13"/>
        <v>00:00</v>
      </c>
      <c r="CD27" s="29"/>
      <c r="CE27" s="27"/>
      <c r="CF27" s="27"/>
      <c r="CG27" s="28" t="str">
        <f>IFERROR(VLOOKUP(CE27,Horarios!$H:$I,2,0),"")</f>
        <v/>
      </c>
      <c r="CH27" s="28" t="str">
        <f>IFERROR(VLOOKUP(CF27,Horarios!$H:$I,2,0),"")</f>
        <v/>
      </c>
      <c r="CI27" s="28" t="str">
        <f t="shared" si="14"/>
        <v>00:00</v>
      </c>
      <c r="CJ27" s="29"/>
      <c r="CK27" s="31" t="str">
        <f t="shared" si="15"/>
        <v/>
      </c>
      <c r="CL27" s="27"/>
      <c r="CM27" s="27"/>
      <c r="CN27" s="28" t="str">
        <f>IFERROR(VLOOKUP(CL27,Horarios!$H:$I,2,0),"")</f>
        <v/>
      </c>
      <c r="CO27" s="28" t="str">
        <f>IFERROR(VLOOKUP(CM27,Horarios!$H:$I,2,0),"")</f>
        <v/>
      </c>
      <c r="CP27" s="28" t="str">
        <f t="shared" si="16"/>
        <v>00:00</v>
      </c>
      <c r="CQ27" s="29"/>
      <c r="CR27" s="27"/>
      <c r="CS27" s="27"/>
      <c r="CT27" s="28" t="str">
        <f>IFERROR(VLOOKUP(CR27,Horarios!$H:$I,2,0),"")</f>
        <v/>
      </c>
      <c r="CU27" s="28" t="str">
        <f>IFERROR(VLOOKUP(CS27,Horarios!$H:$I,2,0),"")</f>
        <v/>
      </c>
      <c r="CV27" s="28" t="str">
        <f t="shared" si="17"/>
        <v>00:00</v>
      </c>
      <c r="CW27" s="29"/>
      <c r="CX27" s="27"/>
      <c r="CY27" s="27"/>
      <c r="CZ27" s="28" t="str">
        <f>IFERROR(VLOOKUP(CX27,Horarios!$H:$I,2,0),"")</f>
        <v/>
      </c>
      <c r="DA27" s="28" t="str">
        <f>IFERROR(VLOOKUP(CY27,Horarios!$H:$I,2,0),"")</f>
        <v/>
      </c>
      <c r="DB27" s="28" t="str">
        <f t="shared" si="18"/>
        <v>00:00</v>
      </c>
      <c r="DC27" s="29"/>
      <c r="DD27" s="27"/>
      <c r="DE27" s="27"/>
      <c r="DF27" s="28" t="str">
        <f>IFERROR(VLOOKUP(DD27,Horarios!$H:$I,2,0),"")</f>
        <v/>
      </c>
      <c r="DG27" s="28" t="str">
        <f>IFERROR(VLOOKUP(DE27,Horarios!$H:$I,2,0),"")</f>
        <v/>
      </c>
      <c r="DH27" s="28" t="str">
        <f t="shared" si="19"/>
        <v>00:00</v>
      </c>
      <c r="DI27" s="29"/>
      <c r="DJ27" s="27"/>
      <c r="DK27" s="27"/>
      <c r="DL27" s="28" t="str">
        <f>IFERROR(VLOOKUP(DJ27,Horarios!$H:$I,2,0),"")</f>
        <v/>
      </c>
      <c r="DM27" s="28" t="str">
        <f>IFERROR(VLOOKUP(DK27,Horarios!$H:$I,2,0),"")</f>
        <v/>
      </c>
      <c r="DN27" s="28" t="str">
        <f t="shared" si="20"/>
        <v>00:00</v>
      </c>
      <c r="DO27" s="29"/>
      <c r="DP27" s="27"/>
      <c r="DQ27" s="27"/>
      <c r="DR27" s="28" t="str">
        <f>IFERROR(VLOOKUP(DP27,Horarios!$H:$I,2,0),"")</f>
        <v/>
      </c>
      <c r="DS27" s="28" t="str">
        <f>IFERROR(VLOOKUP(DQ27,Horarios!$H:$I,2,0),"")</f>
        <v/>
      </c>
      <c r="DT27" s="28" t="str">
        <f t="shared" si="21"/>
        <v>00:00</v>
      </c>
      <c r="DU27" s="29"/>
      <c r="DV27" s="27"/>
      <c r="DW27" s="27"/>
      <c r="DX27" s="28" t="str">
        <f>IFERROR(VLOOKUP(DV27,Horarios!$H:$I,2,0),"")</f>
        <v/>
      </c>
      <c r="DY27" s="28" t="str">
        <f>IFERROR(VLOOKUP(DW27,Horarios!$H:$I,2,0),"")</f>
        <v/>
      </c>
      <c r="DZ27" s="28" t="str">
        <f t="shared" si="22"/>
        <v>00:00</v>
      </c>
      <c r="EA27" s="29"/>
      <c r="EB27" s="31" t="str">
        <f t="shared" si="23"/>
        <v/>
      </c>
      <c r="EC27" s="27"/>
      <c r="ED27" s="27"/>
      <c r="EE27" s="28" t="str">
        <f>IFERROR(VLOOKUP(EC27,Horarios!$H:$I,2,0),"")</f>
        <v/>
      </c>
      <c r="EF27" s="28" t="str">
        <f>IFERROR(VLOOKUP(ED27,Horarios!$H:$I,2,0),"")</f>
        <v/>
      </c>
      <c r="EG27" s="28" t="str">
        <f t="shared" si="24"/>
        <v>00:00</v>
      </c>
      <c r="EH27" s="29"/>
      <c r="EI27" s="27"/>
      <c r="EJ27" s="27"/>
      <c r="EK27" s="28" t="str">
        <f>IFERROR(VLOOKUP(EI27,Horarios!$H:$I,2,0),"")</f>
        <v/>
      </c>
      <c r="EL27" s="28" t="str">
        <f>IFERROR(VLOOKUP(EJ27,Horarios!$H:$I,2,0),"")</f>
        <v/>
      </c>
      <c r="EM27" s="28" t="str">
        <f t="shared" si="25"/>
        <v>00:00</v>
      </c>
      <c r="EN27" s="29"/>
      <c r="EO27" s="27"/>
      <c r="EP27" s="27"/>
      <c r="EQ27" s="28" t="str">
        <f>IFERROR(VLOOKUP(EO27,Horarios!$H:$I,2,0),"")</f>
        <v/>
      </c>
      <c r="ER27" s="28" t="str">
        <f>IFERROR(VLOOKUP(EP27,Horarios!$H:$I,2,0),"")</f>
        <v/>
      </c>
      <c r="ES27" s="28" t="str">
        <f t="shared" si="26"/>
        <v>00:00</v>
      </c>
      <c r="ET27" s="29"/>
      <c r="EU27" s="27"/>
      <c r="EV27" s="27"/>
      <c r="EW27" s="28" t="str">
        <f>IFERROR(VLOOKUP(EU27,Horarios!$H:$I,2,0),"")</f>
        <v/>
      </c>
      <c r="EX27" s="28" t="str">
        <f>IFERROR(VLOOKUP(EV27,Horarios!$H:$I,2,0),"")</f>
        <v/>
      </c>
      <c r="EY27" s="28" t="str">
        <f t="shared" si="27"/>
        <v>00:00</v>
      </c>
      <c r="EZ27" s="29"/>
      <c r="FA27" s="27"/>
      <c r="FB27" s="27"/>
      <c r="FC27" s="28" t="str">
        <f>IFERROR(VLOOKUP(FA27,Horarios!$H:$I,2,0),"")</f>
        <v/>
      </c>
      <c r="FD27" s="28" t="str">
        <f>IFERROR(VLOOKUP(FB27,Horarios!$H:$I,2,0),"")</f>
        <v/>
      </c>
      <c r="FE27" s="28" t="str">
        <f t="shared" si="28"/>
        <v>00:00</v>
      </c>
      <c r="FF27" s="29"/>
      <c r="FG27" s="27"/>
      <c r="FH27" s="27"/>
      <c r="FI27" s="28" t="str">
        <f>IFERROR(VLOOKUP(FG27,Horarios!$H:$I,2,0),"")</f>
        <v/>
      </c>
      <c r="FJ27" s="28" t="str">
        <f>IFERROR(VLOOKUP(FH27,Horarios!$H:$I,2,0),"")</f>
        <v/>
      </c>
      <c r="FK27" s="28" t="str">
        <f t="shared" si="29"/>
        <v>00:00</v>
      </c>
      <c r="FL27" s="29"/>
      <c r="FM27" s="27"/>
      <c r="FN27" s="27"/>
      <c r="FO27" s="28" t="str">
        <f>IFERROR(VLOOKUP(FM27,Horarios!$H:$I,2,0),"")</f>
        <v/>
      </c>
      <c r="FP27" s="28" t="str">
        <f>IFERROR(VLOOKUP(FN27,Horarios!$H:$I,2,0),"")</f>
        <v/>
      </c>
      <c r="FQ27" s="28" t="str">
        <f t="shared" si="30"/>
        <v>00:00</v>
      </c>
      <c r="FR27" s="29"/>
      <c r="FS27" s="31" t="str">
        <f t="shared" si="31"/>
        <v/>
      </c>
      <c r="FT27" s="27"/>
      <c r="FU27" s="27"/>
      <c r="FV27" s="28" t="str">
        <f>IFERROR(VLOOKUP(FT27,Horarios!$H:$I,2,0),"")</f>
        <v/>
      </c>
      <c r="FW27" s="28" t="str">
        <f>IFERROR(VLOOKUP(FU27,Horarios!$H:$I,2,0),"")</f>
        <v/>
      </c>
      <c r="FX27" s="28" t="str">
        <f t="shared" si="32"/>
        <v>00:00</v>
      </c>
      <c r="FY27" s="29"/>
      <c r="FZ27" s="27"/>
      <c r="GA27" s="27"/>
      <c r="GB27" s="28" t="str">
        <f>IFERROR(VLOOKUP(FZ27,Horarios!$H:$I,2,0),"")</f>
        <v/>
      </c>
      <c r="GC27" s="28" t="str">
        <f>IFERROR(VLOOKUP(GA27,Horarios!$H:$I,2,0),"")</f>
        <v/>
      </c>
      <c r="GD27" s="28" t="str">
        <f t="shared" si="33"/>
        <v>00:00</v>
      </c>
      <c r="GE27" s="29"/>
      <c r="GF27" s="27"/>
      <c r="GG27" s="27"/>
      <c r="GH27" s="28" t="str">
        <f>IFERROR(VLOOKUP(GF27,Horarios!$H:$I,2,0),"")</f>
        <v/>
      </c>
      <c r="GI27" s="28" t="str">
        <f>IFERROR(VLOOKUP(GG27,Horarios!$H:$I,2,0),"")</f>
        <v/>
      </c>
      <c r="GJ27" s="28" t="str">
        <f t="shared" si="34"/>
        <v>00:00</v>
      </c>
      <c r="GK27" s="29"/>
      <c r="GL27" s="27"/>
      <c r="GM27" s="27"/>
      <c r="GN27" s="28" t="str">
        <f>IFERROR(VLOOKUP(GL27,Horarios!$H:$I,2,0),"")</f>
        <v/>
      </c>
      <c r="GO27" s="28" t="str">
        <f>IFERROR(VLOOKUP(GM27,Horarios!$H:$I,2,0),"")</f>
        <v/>
      </c>
      <c r="GP27" s="28" t="str">
        <f t="shared" si="35"/>
        <v>00:00</v>
      </c>
      <c r="GQ27" s="29"/>
      <c r="GR27" s="27"/>
      <c r="GS27" s="27"/>
      <c r="GT27" s="28" t="str">
        <f>IFERROR(VLOOKUP(GR27,Horarios!$H:$I,2,0),"")</f>
        <v/>
      </c>
      <c r="GU27" s="28" t="str">
        <f>IFERROR(VLOOKUP(GS27,Horarios!$H:$I,2,0),"")</f>
        <v/>
      </c>
      <c r="GV27" s="28" t="str">
        <f t="shared" si="36"/>
        <v>00:00</v>
      </c>
      <c r="GW27" s="29"/>
      <c r="GX27" s="27"/>
      <c r="GY27" s="27"/>
      <c r="GZ27" s="28" t="str">
        <f>IFERROR(VLOOKUP(GX27,Horarios!$H:$I,2,0),"")</f>
        <v/>
      </c>
      <c r="HA27" s="28" t="str">
        <f>IFERROR(VLOOKUP(GY27,Horarios!$H:$I,2,0),"")</f>
        <v/>
      </c>
      <c r="HB27" s="28" t="str">
        <f t="shared" si="37"/>
        <v>00:00</v>
      </c>
      <c r="HC27" s="29"/>
      <c r="HD27" s="27"/>
      <c r="HE27" s="27"/>
      <c r="HF27" s="28" t="str">
        <f>IFERROR(VLOOKUP(HD27,Horarios!$H:$I,2,0),"")</f>
        <v/>
      </c>
      <c r="HG27" s="28" t="str">
        <f>IFERROR(VLOOKUP(HE27,Horarios!$H:$I,2,0),"")</f>
        <v/>
      </c>
      <c r="HH27" s="28" t="str">
        <f t="shared" si="38"/>
        <v>00:00</v>
      </c>
      <c r="HI27" s="29"/>
      <c r="HJ27" s="31" t="str">
        <f t="shared" si="39"/>
        <v/>
      </c>
      <c r="HK27" s="27"/>
      <c r="HL27" s="27"/>
      <c r="HM27" s="28" t="str">
        <f>IFERROR(VLOOKUP(HK27,Horarios!$H:$I,2,0),"")</f>
        <v/>
      </c>
      <c r="HN27" s="28" t="str">
        <f>IFERROR(VLOOKUP(HL27,Horarios!$H:$I,2,0),"")</f>
        <v/>
      </c>
      <c r="HO27" s="28" t="str">
        <f t="shared" si="40"/>
        <v>00:00</v>
      </c>
      <c r="HP27" s="29"/>
      <c r="HQ27" s="27"/>
      <c r="HR27" s="27"/>
      <c r="HS27" s="28" t="str">
        <f>IFERROR(VLOOKUP(HQ27,Horarios!$H:$I,2,0),"")</f>
        <v/>
      </c>
      <c r="HT27" s="28" t="str">
        <f>IFERROR(VLOOKUP(HR27,Horarios!$H:$I,2,0),"")</f>
        <v/>
      </c>
      <c r="HU27" s="28" t="str">
        <f t="shared" si="41"/>
        <v>00:00</v>
      </c>
      <c r="HV27" s="29"/>
      <c r="HW27" s="27"/>
      <c r="HX27" s="27"/>
      <c r="HY27" s="28" t="str">
        <f>IFERROR(VLOOKUP(HW27,Horarios!$H:$I,2,0),"")</f>
        <v/>
      </c>
      <c r="HZ27" s="28" t="str">
        <f>IFERROR(VLOOKUP(HX27,Horarios!$H:$I,2,0),"")</f>
        <v/>
      </c>
      <c r="IA27" s="28" t="str">
        <f t="shared" si="42"/>
        <v>00:00</v>
      </c>
      <c r="IB27" s="29"/>
      <c r="IC27" s="27"/>
      <c r="ID27" s="27"/>
      <c r="IE27" s="28" t="str">
        <f>IFERROR(VLOOKUP(IC27,Horarios!$H:$I,2,0),"")</f>
        <v/>
      </c>
      <c r="IF27" s="28" t="str">
        <f>IFERROR(VLOOKUP(ID27,Horarios!$H:$I,2,0),"")</f>
        <v/>
      </c>
      <c r="IG27" s="28" t="str">
        <f t="shared" si="43"/>
        <v>00:00</v>
      </c>
      <c r="IH27" s="29"/>
      <c r="II27" s="27"/>
      <c r="IJ27" s="27"/>
      <c r="IK27" s="28" t="str">
        <f>IFERROR(VLOOKUP(II27,Horarios!$H:$I,2,0),"")</f>
        <v/>
      </c>
      <c r="IL27" s="28" t="str">
        <f>IFERROR(VLOOKUP(IJ27,Horarios!$H:$I,2,0),"")</f>
        <v/>
      </c>
      <c r="IM27" s="28" t="str">
        <f t="shared" si="44"/>
        <v>00:00</v>
      </c>
      <c r="IN27" s="29"/>
      <c r="IO27" s="27"/>
      <c r="IP27" s="27"/>
      <c r="IQ27" s="28" t="str">
        <f>IFERROR(VLOOKUP(IO27,Horarios!$H:$I,2,0),"")</f>
        <v/>
      </c>
      <c r="IR27" s="28" t="str">
        <f>IFERROR(VLOOKUP(IP27,Horarios!$H:$I,2,0),"")</f>
        <v/>
      </c>
      <c r="IS27" s="28" t="str">
        <f t="shared" si="45"/>
        <v>00:00</v>
      </c>
      <c r="IT27" s="29"/>
      <c r="IU27" s="27"/>
      <c r="IV27" s="27"/>
      <c r="IW27" s="28" t="str">
        <f>IFERROR(VLOOKUP(IU27,Horarios!$H:$I,2,0),"")</f>
        <v/>
      </c>
      <c r="IX27" s="28" t="str">
        <f>IFERROR(VLOOKUP(IV27,Horarios!$H:$I,2,0),"")</f>
        <v/>
      </c>
      <c r="IY27" s="28" t="str">
        <f t="shared" si="46"/>
        <v>00:00</v>
      </c>
      <c r="IZ27" s="29"/>
      <c r="JA27" s="31" t="str">
        <f t="shared" si="47"/>
        <v/>
      </c>
    </row>
    <row r="28" spans="1:261" s="24" customFormat="1" ht="17.399999999999999" x14ac:dyDescent="0.25">
      <c r="A28" s="25"/>
      <c r="B28" s="26" t="str">
        <f>IFERROR(VLOOKUP(A28,BaseNombres!A:B,2,0),"")</f>
        <v/>
      </c>
      <c r="C28" s="26" t="str">
        <f>IFERROR(VLOOKUP(A28,BaseNombres!A:C,3,0),"")</f>
        <v/>
      </c>
      <c r="D28" s="27"/>
      <c r="E28" s="27"/>
      <c r="F28" s="28" t="str">
        <f>IFERROR(VLOOKUP(D28,Horarios!$H:$I,2,0),"")</f>
        <v/>
      </c>
      <c r="G28" s="28" t="str">
        <f>IFERROR(VLOOKUP(E28,Horarios!$H:$I,2,0),"")</f>
        <v/>
      </c>
      <c r="H28" s="28" t="str">
        <f t="shared" si="0"/>
        <v>00:00</v>
      </c>
      <c r="I28" s="29"/>
      <c r="J28" s="27"/>
      <c r="K28" s="27"/>
      <c r="L28" s="28" t="str">
        <f>IFERROR(VLOOKUP(J28,Horarios!$H:$I,2,0),"")</f>
        <v/>
      </c>
      <c r="M28" s="28" t="str">
        <f>IFERROR(VLOOKUP(K28,Horarios!$H:$I,2,0),"")</f>
        <v/>
      </c>
      <c r="N28" s="28" t="str">
        <f t="shared" si="1"/>
        <v>00:00</v>
      </c>
      <c r="O28" s="29"/>
      <c r="P28" s="27"/>
      <c r="Q28" s="27"/>
      <c r="R28" s="28" t="str">
        <f>IFERROR(VLOOKUP(P28,Horarios!$H:$I,2,0),"")</f>
        <v/>
      </c>
      <c r="S28" s="28" t="str">
        <f>IFERROR(VLOOKUP(Q28,Horarios!$H:$I,2,0),"")</f>
        <v/>
      </c>
      <c r="T28" s="28" t="str">
        <f t="shared" si="2"/>
        <v>00:00</v>
      </c>
      <c r="U28" s="29"/>
      <c r="V28" s="27"/>
      <c r="W28" s="27"/>
      <c r="X28" s="28" t="str">
        <f>IFERROR(VLOOKUP(V28,Horarios!$H:$I,2,0),"")</f>
        <v/>
      </c>
      <c r="Y28" s="28" t="str">
        <f>IFERROR(VLOOKUP(W28,Horarios!$H:$I,2,0),"")</f>
        <v/>
      </c>
      <c r="Z28" s="28" t="str">
        <f t="shared" si="3"/>
        <v>00:00</v>
      </c>
      <c r="AA28" s="29"/>
      <c r="AB28" s="27"/>
      <c r="AC28" s="27"/>
      <c r="AD28" s="28" t="str">
        <f>IFERROR(VLOOKUP(AB28,Horarios!$H:$I,2,0),"")</f>
        <v/>
      </c>
      <c r="AE28" s="28" t="str">
        <f>IFERROR(VLOOKUP(AC28,Horarios!$H:$I,2,0),"")</f>
        <v/>
      </c>
      <c r="AF28" s="28" t="str">
        <f t="shared" si="4"/>
        <v>00:00</v>
      </c>
      <c r="AG28" s="29"/>
      <c r="AH28" s="27"/>
      <c r="AI28" s="27"/>
      <c r="AJ28" s="28" t="str">
        <f>IFERROR(VLOOKUP(AH28,Horarios!$H:$I,2,0),"")</f>
        <v/>
      </c>
      <c r="AK28" s="28" t="str">
        <f>IFERROR(VLOOKUP(AI28,Horarios!$H:$I,2,0),"")</f>
        <v/>
      </c>
      <c r="AL28" s="28" t="str">
        <f t="shared" si="5"/>
        <v>00:00</v>
      </c>
      <c r="AM28" s="29"/>
      <c r="AN28" s="27"/>
      <c r="AO28" s="27"/>
      <c r="AP28" s="28" t="str">
        <f>IFERROR(VLOOKUP(AN28,Horarios!$H:$I,2,0),"")</f>
        <v/>
      </c>
      <c r="AQ28" s="28" t="str">
        <f>IFERROR(VLOOKUP(AO28,Horarios!$H:$I,2,0),"")</f>
        <v/>
      </c>
      <c r="AR28" s="28" t="str">
        <f t="shared" si="6"/>
        <v>00:00</v>
      </c>
      <c r="AS28" s="29"/>
      <c r="AT28" s="31" t="str">
        <f t="shared" si="7"/>
        <v/>
      </c>
      <c r="AU28" s="27"/>
      <c r="AV28" s="27"/>
      <c r="AW28" s="28" t="str">
        <f>IFERROR(VLOOKUP(AU28,Horarios!$H:$I,2,0),"")</f>
        <v/>
      </c>
      <c r="AX28" s="28" t="str">
        <f>IFERROR(VLOOKUP(AV28,Horarios!$H:$I,2,0),"")</f>
        <v/>
      </c>
      <c r="AY28" s="28" t="str">
        <f t="shared" si="8"/>
        <v>00:00</v>
      </c>
      <c r="AZ28" s="29"/>
      <c r="BA28" s="27"/>
      <c r="BB28" s="27"/>
      <c r="BC28" s="28" t="str">
        <f>IFERROR(VLOOKUP(BA28,Horarios!$H:$I,2,0),"")</f>
        <v/>
      </c>
      <c r="BD28" s="28" t="str">
        <f>IFERROR(VLOOKUP(BB28,Horarios!$H:$I,2,0),"")</f>
        <v/>
      </c>
      <c r="BE28" s="28" t="str">
        <f t="shared" si="9"/>
        <v>00:00</v>
      </c>
      <c r="BF28" s="29"/>
      <c r="BG28" s="27"/>
      <c r="BH28" s="27"/>
      <c r="BI28" s="28" t="str">
        <f>IFERROR(VLOOKUP(BG28,Horarios!$H:$I,2,0),"")</f>
        <v/>
      </c>
      <c r="BJ28" s="28" t="str">
        <f>IFERROR(VLOOKUP(BH28,Horarios!$H:$I,2,0),"")</f>
        <v/>
      </c>
      <c r="BK28" s="28" t="str">
        <f t="shared" si="10"/>
        <v>00:00</v>
      </c>
      <c r="BL28" s="29"/>
      <c r="BM28" s="27"/>
      <c r="BN28" s="27"/>
      <c r="BO28" s="28" t="str">
        <f>IFERROR(VLOOKUP(BM28,Horarios!$H:$I,2,0),"")</f>
        <v/>
      </c>
      <c r="BP28" s="28" t="str">
        <f>IFERROR(VLOOKUP(BN28,Horarios!$H:$I,2,0),"")</f>
        <v/>
      </c>
      <c r="BQ28" s="28" t="str">
        <f t="shared" si="11"/>
        <v>00:00</v>
      </c>
      <c r="BR28" s="29"/>
      <c r="BS28" s="27"/>
      <c r="BT28" s="27"/>
      <c r="BU28" s="28" t="str">
        <f>IFERROR(VLOOKUP(BS28,Horarios!$H:$I,2,0),"")</f>
        <v/>
      </c>
      <c r="BV28" s="28" t="str">
        <f>IFERROR(VLOOKUP(BT28,Horarios!$H:$I,2,0),"")</f>
        <v/>
      </c>
      <c r="BW28" s="28" t="str">
        <f t="shared" si="12"/>
        <v>00:00</v>
      </c>
      <c r="BX28" s="29"/>
      <c r="BY28" s="27"/>
      <c r="BZ28" s="27"/>
      <c r="CA28" s="28" t="str">
        <f>IFERROR(VLOOKUP(BY28,Horarios!$H:$I,2,0),"")</f>
        <v/>
      </c>
      <c r="CB28" s="28" t="str">
        <f>IFERROR(VLOOKUP(BZ28,Horarios!$H:$I,2,0),"")</f>
        <v/>
      </c>
      <c r="CC28" s="28" t="str">
        <f t="shared" si="13"/>
        <v>00:00</v>
      </c>
      <c r="CD28" s="29"/>
      <c r="CE28" s="27"/>
      <c r="CF28" s="27"/>
      <c r="CG28" s="28" t="str">
        <f>IFERROR(VLOOKUP(CE28,Horarios!$H:$I,2,0),"")</f>
        <v/>
      </c>
      <c r="CH28" s="28" t="str">
        <f>IFERROR(VLOOKUP(CF28,Horarios!$H:$I,2,0),"")</f>
        <v/>
      </c>
      <c r="CI28" s="28" t="str">
        <f t="shared" si="14"/>
        <v>00:00</v>
      </c>
      <c r="CJ28" s="29"/>
      <c r="CK28" s="31" t="str">
        <f t="shared" si="15"/>
        <v/>
      </c>
      <c r="CL28" s="27"/>
      <c r="CM28" s="27"/>
      <c r="CN28" s="28" t="str">
        <f>IFERROR(VLOOKUP(CL28,Horarios!$H:$I,2,0),"")</f>
        <v/>
      </c>
      <c r="CO28" s="28" t="str">
        <f>IFERROR(VLOOKUP(CM28,Horarios!$H:$I,2,0),"")</f>
        <v/>
      </c>
      <c r="CP28" s="28" t="str">
        <f t="shared" si="16"/>
        <v>00:00</v>
      </c>
      <c r="CQ28" s="29"/>
      <c r="CR28" s="27"/>
      <c r="CS28" s="27"/>
      <c r="CT28" s="28" t="str">
        <f>IFERROR(VLOOKUP(CR28,Horarios!$H:$I,2,0),"")</f>
        <v/>
      </c>
      <c r="CU28" s="28" t="str">
        <f>IFERROR(VLOOKUP(CS28,Horarios!$H:$I,2,0),"")</f>
        <v/>
      </c>
      <c r="CV28" s="28" t="str">
        <f t="shared" si="17"/>
        <v>00:00</v>
      </c>
      <c r="CW28" s="29"/>
      <c r="CX28" s="27"/>
      <c r="CY28" s="27"/>
      <c r="CZ28" s="28" t="str">
        <f>IFERROR(VLOOKUP(CX28,Horarios!$H:$I,2,0),"")</f>
        <v/>
      </c>
      <c r="DA28" s="28" t="str">
        <f>IFERROR(VLOOKUP(CY28,Horarios!$H:$I,2,0),"")</f>
        <v/>
      </c>
      <c r="DB28" s="28" t="str">
        <f t="shared" si="18"/>
        <v>00:00</v>
      </c>
      <c r="DC28" s="29"/>
      <c r="DD28" s="27"/>
      <c r="DE28" s="27"/>
      <c r="DF28" s="28" t="str">
        <f>IFERROR(VLOOKUP(DD28,Horarios!$H:$I,2,0),"")</f>
        <v/>
      </c>
      <c r="DG28" s="28" t="str">
        <f>IFERROR(VLOOKUP(DE28,Horarios!$H:$I,2,0),"")</f>
        <v/>
      </c>
      <c r="DH28" s="28" t="str">
        <f t="shared" si="19"/>
        <v>00:00</v>
      </c>
      <c r="DI28" s="29"/>
      <c r="DJ28" s="27"/>
      <c r="DK28" s="27"/>
      <c r="DL28" s="28" t="str">
        <f>IFERROR(VLOOKUP(DJ28,Horarios!$H:$I,2,0),"")</f>
        <v/>
      </c>
      <c r="DM28" s="28" t="str">
        <f>IFERROR(VLOOKUP(DK28,Horarios!$H:$I,2,0),"")</f>
        <v/>
      </c>
      <c r="DN28" s="28" t="str">
        <f t="shared" si="20"/>
        <v>00:00</v>
      </c>
      <c r="DO28" s="29"/>
      <c r="DP28" s="27"/>
      <c r="DQ28" s="27"/>
      <c r="DR28" s="28" t="str">
        <f>IFERROR(VLOOKUP(DP28,Horarios!$H:$I,2,0),"")</f>
        <v/>
      </c>
      <c r="DS28" s="28" t="str">
        <f>IFERROR(VLOOKUP(DQ28,Horarios!$H:$I,2,0),"")</f>
        <v/>
      </c>
      <c r="DT28" s="28" t="str">
        <f t="shared" si="21"/>
        <v>00:00</v>
      </c>
      <c r="DU28" s="29"/>
      <c r="DV28" s="27"/>
      <c r="DW28" s="27"/>
      <c r="DX28" s="28" t="str">
        <f>IFERROR(VLOOKUP(DV28,Horarios!$H:$I,2,0),"")</f>
        <v/>
      </c>
      <c r="DY28" s="28" t="str">
        <f>IFERROR(VLOOKUP(DW28,Horarios!$H:$I,2,0),"")</f>
        <v/>
      </c>
      <c r="DZ28" s="28" t="str">
        <f t="shared" si="22"/>
        <v>00:00</v>
      </c>
      <c r="EA28" s="29"/>
      <c r="EB28" s="31" t="str">
        <f t="shared" si="23"/>
        <v/>
      </c>
      <c r="EC28" s="27"/>
      <c r="ED28" s="27"/>
      <c r="EE28" s="28" t="str">
        <f>IFERROR(VLOOKUP(EC28,Horarios!$H:$I,2,0),"")</f>
        <v/>
      </c>
      <c r="EF28" s="28" t="str">
        <f>IFERROR(VLOOKUP(ED28,Horarios!$H:$I,2,0),"")</f>
        <v/>
      </c>
      <c r="EG28" s="28" t="str">
        <f t="shared" si="24"/>
        <v>00:00</v>
      </c>
      <c r="EH28" s="29"/>
      <c r="EI28" s="27"/>
      <c r="EJ28" s="27"/>
      <c r="EK28" s="28" t="str">
        <f>IFERROR(VLOOKUP(EI28,Horarios!$H:$I,2,0),"")</f>
        <v/>
      </c>
      <c r="EL28" s="28" t="str">
        <f>IFERROR(VLOOKUP(EJ28,Horarios!$H:$I,2,0),"")</f>
        <v/>
      </c>
      <c r="EM28" s="28" t="str">
        <f t="shared" si="25"/>
        <v>00:00</v>
      </c>
      <c r="EN28" s="29"/>
      <c r="EO28" s="27"/>
      <c r="EP28" s="27"/>
      <c r="EQ28" s="28" t="str">
        <f>IFERROR(VLOOKUP(EO28,Horarios!$H:$I,2,0),"")</f>
        <v/>
      </c>
      <c r="ER28" s="28" t="str">
        <f>IFERROR(VLOOKUP(EP28,Horarios!$H:$I,2,0),"")</f>
        <v/>
      </c>
      <c r="ES28" s="28" t="str">
        <f t="shared" si="26"/>
        <v>00:00</v>
      </c>
      <c r="ET28" s="29"/>
      <c r="EU28" s="27"/>
      <c r="EV28" s="27"/>
      <c r="EW28" s="28" t="str">
        <f>IFERROR(VLOOKUP(EU28,Horarios!$H:$I,2,0),"")</f>
        <v/>
      </c>
      <c r="EX28" s="28" t="str">
        <f>IFERROR(VLOOKUP(EV28,Horarios!$H:$I,2,0),"")</f>
        <v/>
      </c>
      <c r="EY28" s="28" t="str">
        <f t="shared" si="27"/>
        <v>00:00</v>
      </c>
      <c r="EZ28" s="29"/>
      <c r="FA28" s="27"/>
      <c r="FB28" s="27"/>
      <c r="FC28" s="28" t="str">
        <f>IFERROR(VLOOKUP(FA28,Horarios!$H:$I,2,0),"")</f>
        <v/>
      </c>
      <c r="FD28" s="28" t="str">
        <f>IFERROR(VLOOKUP(FB28,Horarios!$H:$I,2,0),"")</f>
        <v/>
      </c>
      <c r="FE28" s="28" t="str">
        <f t="shared" si="28"/>
        <v>00:00</v>
      </c>
      <c r="FF28" s="29"/>
      <c r="FG28" s="27"/>
      <c r="FH28" s="27"/>
      <c r="FI28" s="28" t="str">
        <f>IFERROR(VLOOKUP(FG28,Horarios!$H:$I,2,0),"")</f>
        <v/>
      </c>
      <c r="FJ28" s="28" t="str">
        <f>IFERROR(VLOOKUP(FH28,Horarios!$H:$I,2,0),"")</f>
        <v/>
      </c>
      <c r="FK28" s="28" t="str">
        <f t="shared" si="29"/>
        <v>00:00</v>
      </c>
      <c r="FL28" s="29"/>
      <c r="FM28" s="27"/>
      <c r="FN28" s="27"/>
      <c r="FO28" s="28" t="str">
        <f>IFERROR(VLOOKUP(FM28,Horarios!$H:$I,2,0),"")</f>
        <v/>
      </c>
      <c r="FP28" s="28" t="str">
        <f>IFERROR(VLOOKUP(FN28,Horarios!$H:$I,2,0),"")</f>
        <v/>
      </c>
      <c r="FQ28" s="28" t="str">
        <f t="shared" si="30"/>
        <v>00:00</v>
      </c>
      <c r="FR28" s="29"/>
      <c r="FS28" s="31" t="str">
        <f t="shared" si="31"/>
        <v/>
      </c>
      <c r="FT28" s="27"/>
      <c r="FU28" s="27"/>
      <c r="FV28" s="28" t="str">
        <f>IFERROR(VLOOKUP(FT28,Horarios!$H:$I,2,0),"")</f>
        <v/>
      </c>
      <c r="FW28" s="28" t="str">
        <f>IFERROR(VLOOKUP(FU28,Horarios!$H:$I,2,0),"")</f>
        <v/>
      </c>
      <c r="FX28" s="28" t="str">
        <f t="shared" si="32"/>
        <v>00:00</v>
      </c>
      <c r="FY28" s="29"/>
      <c r="FZ28" s="27"/>
      <c r="GA28" s="27"/>
      <c r="GB28" s="28" t="str">
        <f>IFERROR(VLOOKUP(FZ28,Horarios!$H:$I,2,0),"")</f>
        <v/>
      </c>
      <c r="GC28" s="28" t="str">
        <f>IFERROR(VLOOKUP(GA28,Horarios!$H:$I,2,0),"")</f>
        <v/>
      </c>
      <c r="GD28" s="28" t="str">
        <f t="shared" si="33"/>
        <v>00:00</v>
      </c>
      <c r="GE28" s="29"/>
      <c r="GF28" s="27"/>
      <c r="GG28" s="27"/>
      <c r="GH28" s="28" t="str">
        <f>IFERROR(VLOOKUP(GF28,Horarios!$H:$I,2,0),"")</f>
        <v/>
      </c>
      <c r="GI28" s="28" t="str">
        <f>IFERROR(VLOOKUP(GG28,Horarios!$H:$I,2,0),"")</f>
        <v/>
      </c>
      <c r="GJ28" s="28" t="str">
        <f t="shared" si="34"/>
        <v>00:00</v>
      </c>
      <c r="GK28" s="29"/>
      <c r="GL28" s="27"/>
      <c r="GM28" s="27"/>
      <c r="GN28" s="28" t="str">
        <f>IFERROR(VLOOKUP(GL28,Horarios!$H:$I,2,0),"")</f>
        <v/>
      </c>
      <c r="GO28" s="28" t="str">
        <f>IFERROR(VLOOKUP(GM28,Horarios!$H:$I,2,0),"")</f>
        <v/>
      </c>
      <c r="GP28" s="28" t="str">
        <f t="shared" si="35"/>
        <v>00:00</v>
      </c>
      <c r="GQ28" s="29"/>
      <c r="GR28" s="27"/>
      <c r="GS28" s="27"/>
      <c r="GT28" s="28" t="str">
        <f>IFERROR(VLOOKUP(GR28,Horarios!$H:$I,2,0),"")</f>
        <v/>
      </c>
      <c r="GU28" s="28" t="str">
        <f>IFERROR(VLOOKUP(GS28,Horarios!$H:$I,2,0),"")</f>
        <v/>
      </c>
      <c r="GV28" s="28" t="str">
        <f t="shared" si="36"/>
        <v>00:00</v>
      </c>
      <c r="GW28" s="29"/>
      <c r="GX28" s="27"/>
      <c r="GY28" s="27"/>
      <c r="GZ28" s="28" t="str">
        <f>IFERROR(VLOOKUP(GX28,Horarios!$H:$I,2,0),"")</f>
        <v/>
      </c>
      <c r="HA28" s="28" t="str">
        <f>IFERROR(VLOOKUP(GY28,Horarios!$H:$I,2,0),"")</f>
        <v/>
      </c>
      <c r="HB28" s="28" t="str">
        <f t="shared" si="37"/>
        <v>00:00</v>
      </c>
      <c r="HC28" s="29"/>
      <c r="HD28" s="27"/>
      <c r="HE28" s="27"/>
      <c r="HF28" s="28" t="str">
        <f>IFERROR(VLOOKUP(HD28,Horarios!$H:$I,2,0),"")</f>
        <v/>
      </c>
      <c r="HG28" s="28" t="str">
        <f>IFERROR(VLOOKUP(HE28,Horarios!$H:$I,2,0),"")</f>
        <v/>
      </c>
      <c r="HH28" s="28" t="str">
        <f t="shared" si="38"/>
        <v>00:00</v>
      </c>
      <c r="HI28" s="29"/>
      <c r="HJ28" s="31" t="str">
        <f t="shared" si="39"/>
        <v/>
      </c>
      <c r="HK28" s="27"/>
      <c r="HL28" s="27"/>
      <c r="HM28" s="28" t="str">
        <f>IFERROR(VLOOKUP(HK28,Horarios!$H:$I,2,0),"")</f>
        <v/>
      </c>
      <c r="HN28" s="28" t="str">
        <f>IFERROR(VLOOKUP(HL28,Horarios!$H:$I,2,0),"")</f>
        <v/>
      </c>
      <c r="HO28" s="28" t="str">
        <f t="shared" si="40"/>
        <v>00:00</v>
      </c>
      <c r="HP28" s="29"/>
      <c r="HQ28" s="27"/>
      <c r="HR28" s="27"/>
      <c r="HS28" s="28" t="str">
        <f>IFERROR(VLOOKUP(HQ28,Horarios!$H:$I,2,0),"")</f>
        <v/>
      </c>
      <c r="HT28" s="28" t="str">
        <f>IFERROR(VLOOKUP(HR28,Horarios!$H:$I,2,0),"")</f>
        <v/>
      </c>
      <c r="HU28" s="28" t="str">
        <f t="shared" si="41"/>
        <v>00:00</v>
      </c>
      <c r="HV28" s="29"/>
      <c r="HW28" s="27"/>
      <c r="HX28" s="27"/>
      <c r="HY28" s="28" t="str">
        <f>IFERROR(VLOOKUP(HW28,Horarios!$H:$I,2,0),"")</f>
        <v/>
      </c>
      <c r="HZ28" s="28" t="str">
        <f>IFERROR(VLOOKUP(HX28,Horarios!$H:$I,2,0),"")</f>
        <v/>
      </c>
      <c r="IA28" s="28" t="str">
        <f t="shared" si="42"/>
        <v>00:00</v>
      </c>
      <c r="IB28" s="29"/>
      <c r="IC28" s="27"/>
      <c r="ID28" s="27"/>
      <c r="IE28" s="28" t="str">
        <f>IFERROR(VLOOKUP(IC28,Horarios!$H:$I,2,0),"")</f>
        <v/>
      </c>
      <c r="IF28" s="28" t="str">
        <f>IFERROR(VLOOKUP(ID28,Horarios!$H:$I,2,0),"")</f>
        <v/>
      </c>
      <c r="IG28" s="28" t="str">
        <f t="shared" si="43"/>
        <v>00:00</v>
      </c>
      <c r="IH28" s="29"/>
      <c r="II28" s="27"/>
      <c r="IJ28" s="27"/>
      <c r="IK28" s="28" t="str">
        <f>IFERROR(VLOOKUP(II28,Horarios!$H:$I,2,0),"")</f>
        <v/>
      </c>
      <c r="IL28" s="28" t="str">
        <f>IFERROR(VLOOKUP(IJ28,Horarios!$H:$I,2,0),"")</f>
        <v/>
      </c>
      <c r="IM28" s="28" t="str">
        <f t="shared" si="44"/>
        <v>00:00</v>
      </c>
      <c r="IN28" s="29"/>
      <c r="IO28" s="27"/>
      <c r="IP28" s="27"/>
      <c r="IQ28" s="28" t="str">
        <f>IFERROR(VLOOKUP(IO28,Horarios!$H:$I,2,0),"")</f>
        <v/>
      </c>
      <c r="IR28" s="28" t="str">
        <f>IFERROR(VLOOKUP(IP28,Horarios!$H:$I,2,0),"")</f>
        <v/>
      </c>
      <c r="IS28" s="28" t="str">
        <f t="shared" si="45"/>
        <v>00:00</v>
      </c>
      <c r="IT28" s="29"/>
      <c r="IU28" s="27"/>
      <c r="IV28" s="27"/>
      <c r="IW28" s="28" t="str">
        <f>IFERROR(VLOOKUP(IU28,Horarios!$H:$I,2,0),"")</f>
        <v/>
      </c>
      <c r="IX28" s="28" t="str">
        <f>IFERROR(VLOOKUP(IV28,Horarios!$H:$I,2,0),"")</f>
        <v/>
      </c>
      <c r="IY28" s="28" t="str">
        <f t="shared" si="46"/>
        <v>00:00</v>
      </c>
      <c r="IZ28" s="29"/>
      <c r="JA28" s="31" t="str">
        <f t="shared" si="47"/>
        <v/>
      </c>
    </row>
    <row r="29" spans="1:261" s="24" customFormat="1" ht="17.399999999999999" x14ac:dyDescent="0.25">
      <c r="A29" s="25"/>
      <c r="B29" s="26" t="str">
        <f>IFERROR(VLOOKUP(A29,BaseNombres!A:B,2,0),"")</f>
        <v/>
      </c>
      <c r="C29" s="26" t="str">
        <f>IFERROR(VLOOKUP(A29,BaseNombres!A:C,3,0),"")</f>
        <v/>
      </c>
      <c r="D29" s="27"/>
      <c r="E29" s="27"/>
      <c r="F29" s="28" t="str">
        <f>IFERROR(VLOOKUP(D29,Horarios!$H:$I,2,0),"")</f>
        <v/>
      </c>
      <c r="G29" s="28" t="str">
        <f>IFERROR(VLOOKUP(E29,Horarios!$H:$I,2,0),"")</f>
        <v/>
      </c>
      <c r="H29" s="28" t="str">
        <f t="shared" si="0"/>
        <v>00:00</v>
      </c>
      <c r="I29" s="29"/>
      <c r="J29" s="27"/>
      <c r="K29" s="27"/>
      <c r="L29" s="28" t="str">
        <f>IFERROR(VLOOKUP(J29,Horarios!$H:$I,2,0),"")</f>
        <v/>
      </c>
      <c r="M29" s="28" t="str">
        <f>IFERROR(VLOOKUP(K29,Horarios!$H:$I,2,0),"")</f>
        <v/>
      </c>
      <c r="N29" s="28" t="str">
        <f t="shared" si="1"/>
        <v>00:00</v>
      </c>
      <c r="O29" s="29"/>
      <c r="P29" s="27"/>
      <c r="Q29" s="27"/>
      <c r="R29" s="28" t="str">
        <f>IFERROR(VLOOKUP(P29,Horarios!$H:$I,2,0),"")</f>
        <v/>
      </c>
      <c r="S29" s="28" t="str">
        <f>IFERROR(VLOOKUP(Q29,Horarios!$H:$I,2,0),"")</f>
        <v/>
      </c>
      <c r="T29" s="28" t="str">
        <f t="shared" si="2"/>
        <v>00:00</v>
      </c>
      <c r="U29" s="29"/>
      <c r="V29" s="27"/>
      <c r="W29" s="27"/>
      <c r="X29" s="28" t="str">
        <f>IFERROR(VLOOKUP(V29,Horarios!$H:$I,2,0),"")</f>
        <v/>
      </c>
      <c r="Y29" s="28" t="str">
        <f>IFERROR(VLOOKUP(W29,Horarios!$H:$I,2,0),"")</f>
        <v/>
      </c>
      <c r="Z29" s="28" t="str">
        <f t="shared" si="3"/>
        <v>00:00</v>
      </c>
      <c r="AA29" s="29"/>
      <c r="AB29" s="27"/>
      <c r="AC29" s="27"/>
      <c r="AD29" s="28" t="str">
        <f>IFERROR(VLOOKUP(AB29,Horarios!$H:$I,2,0),"")</f>
        <v/>
      </c>
      <c r="AE29" s="28" t="str">
        <f>IFERROR(VLOOKUP(AC29,Horarios!$H:$I,2,0),"")</f>
        <v/>
      </c>
      <c r="AF29" s="28" t="str">
        <f t="shared" si="4"/>
        <v>00:00</v>
      </c>
      <c r="AG29" s="29"/>
      <c r="AH29" s="27"/>
      <c r="AI29" s="27"/>
      <c r="AJ29" s="28" t="str">
        <f>IFERROR(VLOOKUP(AH29,Horarios!$H:$I,2,0),"")</f>
        <v/>
      </c>
      <c r="AK29" s="28" t="str">
        <f>IFERROR(VLOOKUP(AI29,Horarios!$H:$I,2,0),"")</f>
        <v/>
      </c>
      <c r="AL29" s="28" t="str">
        <f t="shared" si="5"/>
        <v>00:00</v>
      </c>
      <c r="AM29" s="29"/>
      <c r="AN29" s="27"/>
      <c r="AO29" s="27"/>
      <c r="AP29" s="28" t="str">
        <f>IFERROR(VLOOKUP(AN29,Horarios!$H:$I,2,0),"")</f>
        <v/>
      </c>
      <c r="AQ29" s="28" t="str">
        <f>IFERROR(VLOOKUP(AO29,Horarios!$H:$I,2,0),"")</f>
        <v/>
      </c>
      <c r="AR29" s="28" t="str">
        <f t="shared" si="6"/>
        <v>00:00</v>
      </c>
      <c r="AS29" s="29"/>
      <c r="AT29" s="31" t="str">
        <f t="shared" si="7"/>
        <v/>
      </c>
      <c r="AU29" s="27"/>
      <c r="AV29" s="27"/>
      <c r="AW29" s="28" t="str">
        <f>IFERROR(VLOOKUP(AU29,Horarios!$H:$I,2,0),"")</f>
        <v/>
      </c>
      <c r="AX29" s="28" t="str">
        <f>IFERROR(VLOOKUP(AV29,Horarios!$H:$I,2,0),"")</f>
        <v/>
      </c>
      <c r="AY29" s="28" t="str">
        <f t="shared" si="8"/>
        <v>00:00</v>
      </c>
      <c r="AZ29" s="29"/>
      <c r="BA29" s="27"/>
      <c r="BB29" s="27"/>
      <c r="BC29" s="28" t="str">
        <f>IFERROR(VLOOKUP(BA29,Horarios!$H:$I,2,0),"")</f>
        <v/>
      </c>
      <c r="BD29" s="28" t="str">
        <f>IFERROR(VLOOKUP(BB29,Horarios!$H:$I,2,0),"")</f>
        <v/>
      </c>
      <c r="BE29" s="28" t="str">
        <f t="shared" si="9"/>
        <v>00:00</v>
      </c>
      <c r="BF29" s="29"/>
      <c r="BG29" s="27"/>
      <c r="BH29" s="27"/>
      <c r="BI29" s="28" t="str">
        <f>IFERROR(VLOOKUP(BG29,Horarios!$H:$I,2,0),"")</f>
        <v/>
      </c>
      <c r="BJ29" s="28" t="str">
        <f>IFERROR(VLOOKUP(BH29,Horarios!$H:$I,2,0),"")</f>
        <v/>
      </c>
      <c r="BK29" s="28" t="str">
        <f t="shared" si="10"/>
        <v>00:00</v>
      </c>
      <c r="BL29" s="29"/>
      <c r="BM29" s="27"/>
      <c r="BN29" s="27"/>
      <c r="BO29" s="28" t="str">
        <f>IFERROR(VLOOKUP(BM29,Horarios!$H:$I,2,0),"")</f>
        <v/>
      </c>
      <c r="BP29" s="28" t="str">
        <f>IFERROR(VLOOKUP(BN29,Horarios!$H:$I,2,0),"")</f>
        <v/>
      </c>
      <c r="BQ29" s="28" t="str">
        <f t="shared" si="11"/>
        <v>00:00</v>
      </c>
      <c r="BR29" s="29"/>
      <c r="BS29" s="27"/>
      <c r="BT29" s="27"/>
      <c r="BU29" s="28" t="str">
        <f>IFERROR(VLOOKUP(BS29,Horarios!$H:$I,2,0),"")</f>
        <v/>
      </c>
      <c r="BV29" s="28" t="str">
        <f>IFERROR(VLOOKUP(BT29,Horarios!$H:$I,2,0),"")</f>
        <v/>
      </c>
      <c r="BW29" s="28" t="str">
        <f t="shared" si="12"/>
        <v>00:00</v>
      </c>
      <c r="BX29" s="29"/>
      <c r="BY29" s="27"/>
      <c r="BZ29" s="27"/>
      <c r="CA29" s="28" t="str">
        <f>IFERROR(VLOOKUP(BY29,Horarios!$H:$I,2,0),"")</f>
        <v/>
      </c>
      <c r="CB29" s="28" t="str">
        <f>IFERROR(VLOOKUP(BZ29,Horarios!$H:$I,2,0),"")</f>
        <v/>
      </c>
      <c r="CC29" s="28" t="str">
        <f t="shared" si="13"/>
        <v>00:00</v>
      </c>
      <c r="CD29" s="29"/>
      <c r="CE29" s="27"/>
      <c r="CF29" s="27"/>
      <c r="CG29" s="28" t="str">
        <f>IFERROR(VLOOKUP(CE29,Horarios!$H:$I,2,0),"")</f>
        <v/>
      </c>
      <c r="CH29" s="28" t="str">
        <f>IFERROR(VLOOKUP(CF29,Horarios!$H:$I,2,0),"")</f>
        <v/>
      </c>
      <c r="CI29" s="28" t="str">
        <f t="shared" si="14"/>
        <v>00:00</v>
      </c>
      <c r="CJ29" s="29"/>
      <c r="CK29" s="31" t="str">
        <f t="shared" si="15"/>
        <v/>
      </c>
      <c r="CL29" s="27"/>
      <c r="CM29" s="27"/>
      <c r="CN29" s="28" t="str">
        <f>IFERROR(VLOOKUP(CL29,Horarios!$H:$I,2,0),"")</f>
        <v/>
      </c>
      <c r="CO29" s="28" t="str">
        <f>IFERROR(VLOOKUP(CM29,Horarios!$H:$I,2,0),"")</f>
        <v/>
      </c>
      <c r="CP29" s="28" t="str">
        <f t="shared" si="16"/>
        <v>00:00</v>
      </c>
      <c r="CQ29" s="29"/>
      <c r="CR29" s="27"/>
      <c r="CS29" s="27"/>
      <c r="CT29" s="28" t="str">
        <f>IFERROR(VLOOKUP(CR29,Horarios!$H:$I,2,0),"")</f>
        <v/>
      </c>
      <c r="CU29" s="28" t="str">
        <f>IFERROR(VLOOKUP(CS29,Horarios!$H:$I,2,0),"")</f>
        <v/>
      </c>
      <c r="CV29" s="28" t="str">
        <f t="shared" si="17"/>
        <v>00:00</v>
      </c>
      <c r="CW29" s="29"/>
      <c r="CX29" s="27"/>
      <c r="CY29" s="27"/>
      <c r="CZ29" s="28" t="str">
        <f>IFERROR(VLOOKUP(CX29,Horarios!$H:$I,2,0),"")</f>
        <v/>
      </c>
      <c r="DA29" s="28" t="str">
        <f>IFERROR(VLOOKUP(CY29,Horarios!$H:$I,2,0),"")</f>
        <v/>
      </c>
      <c r="DB29" s="28" t="str">
        <f t="shared" si="18"/>
        <v>00:00</v>
      </c>
      <c r="DC29" s="29"/>
      <c r="DD29" s="27"/>
      <c r="DE29" s="27"/>
      <c r="DF29" s="28" t="str">
        <f>IFERROR(VLOOKUP(DD29,Horarios!$H:$I,2,0),"")</f>
        <v/>
      </c>
      <c r="DG29" s="28" t="str">
        <f>IFERROR(VLOOKUP(DE29,Horarios!$H:$I,2,0),"")</f>
        <v/>
      </c>
      <c r="DH29" s="28" t="str">
        <f t="shared" si="19"/>
        <v>00:00</v>
      </c>
      <c r="DI29" s="29"/>
      <c r="DJ29" s="27"/>
      <c r="DK29" s="27"/>
      <c r="DL29" s="28" t="str">
        <f>IFERROR(VLOOKUP(DJ29,Horarios!$H:$I,2,0),"")</f>
        <v/>
      </c>
      <c r="DM29" s="28" t="str">
        <f>IFERROR(VLOOKUP(DK29,Horarios!$H:$I,2,0),"")</f>
        <v/>
      </c>
      <c r="DN29" s="28" t="str">
        <f t="shared" si="20"/>
        <v>00:00</v>
      </c>
      <c r="DO29" s="29"/>
      <c r="DP29" s="27"/>
      <c r="DQ29" s="27"/>
      <c r="DR29" s="28" t="str">
        <f>IFERROR(VLOOKUP(DP29,Horarios!$H:$I,2,0),"")</f>
        <v/>
      </c>
      <c r="DS29" s="28" t="str">
        <f>IFERROR(VLOOKUP(DQ29,Horarios!$H:$I,2,0),"")</f>
        <v/>
      </c>
      <c r="DT29" s="28" t="str">
        <f t="shared" si="21"/>
        <v>00:00</v>
      </c>
      <c r="DU29" s="29"/>
      <c r="DV29" s="27"/>
      <c r="DW29" s="27"/>
      <c r="DX29" s="28" t="str">
        <f>IFERROR(VLOOKUP(DV29,Horarios!$H:$I,2,0),"")</f>
        <v/>
      </c>
      <c r="DY29" s="28" t="str">
        <f>IFERROR(VLOOKUP(DW29,Horarios!$H:$I,2,0),"")</f>
        <v/>
      </c>
      <c r="DZ29" s="28" t="str">
        <f t="shared" si="22"/>
        <v>00:00</v>
      </c>
      <c r="EA29" s="29"/>
      <c r="EB29" s="31" t="str">
        <f t="shared" si="23"/>
        <v/>
      </c>
      <c r="EC29" s="27"/>
      <c r="ED29" s="27"/>
      <c r="EE29" s="28" t="str">
        <f>IFERROR(VLOOKUP(EC29,Horarios!$H:$I,2,0),"")</f>
        <v/>
      </c>
      <c r="EF29" s="28" t="str">
        <f>IFERROR(VLOOKUP(ED29,Horarios!$H:$I,2,0),"")</f>
        <v/>
      </c>
      <c r="EG29" s="28" t="str">
        <f t="shared" si="24"/>
        <v>00:00</v>
      </c>
      <c r="EH29" s="29"/>
      <c r="EI29" s="27"/>
      <c r="EJ29" s="27"/>
      <c r="EK29" s="28" t="str">
        <f>IFERROR(VLOOKUP(EI29,Horarios!$H:$I,2,0),"")</f>
        <v/>
      </c>
      <c r="EL29" s="28" t="str">
        <f>IFERROR(VLOOKUP(EJ29,Horarios!$H:$I,2,0),"")</f>
        <v/>
      </c>
      <c r="EM29" s="28" t="str">
        <f t="shared" si="25"/>
        <v>00:00</v>
      </c>
      <c r="EN29" s="29"/>
      <c r="EO29" s="27"/>
      <c r="EP29" s="27"/>
      <c r="EQ29" s="28" t="str">
        <f>IFERROR(VLOOKUP(EO29,Horarios!$H:$I,2,0),"")</f>
        <v/>
      </c>
      <c r="ER29" s="28" t="str">
        <f>IFERROR(VLOOKUP(EP29,Horarios!$H:$I,2,0),"")</f>
        <v/>
      </c>
      <c r="ES29" s="28" t="str">
        <f t="shared" si="26"/>
        <v>00:00</v>
      </c>
      <c r="ET29" s="29"/>
      <c r="EU29" s="27"/>
      <c r="EV29" s="27"/>
      <c r="EW29" s="28" t="str">
        <f>IFERROR(VLOOKUP(EU29,Horarios!$H:$I,2,0),"")</f>
        <v/>
      </c>
      <c r="EX29" s="28" t="str">
        <f>IFERROR(VLOOKUP(EV29,Horarios!$H:$I,2,0),"")</f>
        <v/>
      </c>
      <c r="EY29" s="28" t="str">
        <f t="shared" si="27"/>
        <v>00:00</v>
      </c>
      <c r="EZ29" s="29"/>
      <c r="FA29" s="27"/>
      <c r="FB29" s="27"/>
      <c r="FC29" s="28" t="str">
        <f>IFERROR(VLOOKUP(FA29,Horarios!$H:$I,2,0),"")</f>
        <v/>
      </c>
      <c r="FD29" s="28" t="str">
        <f>IFERROR(VLOOKUP(FB29,Horarios!$H:$I,2,0),"")</f>
        <v/>
      </c>
      <c r="FE29" s="28" t="str">
        <f t="shared" si="28"/>
        <v>00:00</v>
      </c>
      <c r="FF29" s="29"/>
      <c r="FG29" s="27"/>
      <c r="FH29" s="27"/>
      <c r="FI29" s="28" t="str">
        <f>IFERROR(VLOOKUP(FG29,Horarios!$H:$I,2,0),"")</f>
        <v/>
      </c>
      <c r="FJ29" s="28" t="str">
        <f>IFERROR(VLOOKUP(FH29,Horarios!$H:$I,2,0),"")</f>
        <v/>
      </c>
      <c r="FK29" s="28" t="str">
        <f t="shared" si="29"/>
        <v>00:00</v>
      </c>
      <c r="FL29" s="29"/>
      <c r="FM29" s="27"/>
      <c r="FN29" s="27"/>
      <c r="FO29" s="28" t="str">
        <f>IFERROR(VLOOKUP(FM29,Horarios!$H:$I,2,0),"")</f>
        <v/>
      </c>
      <c r="FP29" s="28" t="str">
        <f>IFERROR(VLOOKUP(FN29,Horarios!$H:$I,2,0),"")</f>
        <v/>
      </c>
      <c r="FQ29" s="28" t="str">
        <f t="shared" si="30"/>
        <v>00:00</v>
      </c>
      <c r="FR29" s="29"/>
      <c r="FS29" s="31" t="str">
        <f t="shared" si="31"/>
        <v/>
      </c>
      <c r="FT29" s="27"/>
      <c r="FU29" s="27"/>
      <c r="FV29" s="28" t="str">
        <f>IFERROR(VLOOKUP(FT29,Horarios!$H:$I,2,0),"")</f>
        <v/>
      </c>
      <c r="FW29" s="28" t="str">
        <f>IFERROR(VLOOKUP(FU29,Horarios!$H:$I,2,0),"")</f>
        <v/>
      </c>
      <c r="FX29" s="28" t="str">
        <f t="shared" si="32"/>
        <v>00:00</v>
      </c>
      <c r="FY29" s="29"/>
      <c r="FZ29" s="27"/>
      <c r="GA29" s="27"/>
      <c r="GB29" s="28" t="str">
        <f>IFERROR(VLOOKUP(FZ29,Horarios!$H:$I,2,0),"")</f>
        <v/>
      </c>
      <c r="GC29" s="28" t="str">
        <f>IFERROR(VLOOKUP(GA29,Horarios!$H:$I,2,0),"")</f>
        <v/>
      </c>
      <c r="GD29" s="28" t="str">
        <f t="shared" si="33"/>
        <v>00:00</v>
      </c>
      <c r="GE29" s="29"/>
      <c r="GF29" s="27"/>
      <c r="GG29" s="27"/>
      <c r="GH29" s="28" t="str">
        <f>IFERROR(VLOOKUP(GF29,Horarios!$H:$I,2,0),"")</f>
        <v/>
      </c>
      <c r="GI29" s="28" t="str">
        <f>IFERROR(VLOOKUP(GG29,Horarios!$H:$I,2,0),"")</f>
        <v/>
      </c>
      <c r="GJ29" s="28" t="str">
        <f t="shared" si="34"/>
        <v>00:00</v>
      </c>
      <c r="GK29" s="29"/>
      <c r="GL29" s="27"/>
      <c r="GM29" s="27"/>
      <c r="GN29" s="28" t="str">
        <f>IFERROR(VLOOKUP(GL29,Horarios!$H:$I,2,0),"")</f>
        <v/>
      </c>
      <c r="GO29" s="28" t="str">
        <f>IFERROR(VLOOKUP(GM29,Horarios!$H:$I,2,0),"")</f>
        <v/>
      </c>
      <c r="GP29" s="28" t="str">
        <f t="shared" si="35"/>
        <v>00:00</v>
      </c>
      <c r="GQ29" s="29"/>
      <c r="GR29" s="27"/>
      <c r="GS29" s="27"/>
      <c r="GT29" s="28" t="str">
        <f>IFERROR(VLOOKUP(GR29,Horarios!$H:$I,2,0),"")</f>
        <v/>
      </c>
      <c r="GU29" s="28" t="str">
        <f>IFERROR(VLOOKUP(GS29,Horarios!$H:$I,2,0),"")</f>
        <v/>
      </c>
      <c r="GV29" s="28" t="str">
        <f t="shared" si="36"/>
        <v>00:00</v>
      </c>
      <c r="GW29" s="29"/>
      <c r="GX29" s="27"/>
      <c r="GY29" s="27"/>
      <c r="GZ29" s="28" t="str">
        <f>IFERROR(VLOOKUP(GX29,Horarios!$H:$I,2,0),"")</f>
        <v/>
      </c>
      <c r="HA29" s="28" t="str">
        <f>IFERROR(VLOOKUP(GY29,Horarios!$H:$I,2,0),"")</f>
        <v/>
      </c>
      <c r="HB29" s="28" t="str">
        <f t="shared" si="37"/>
        <v>00:00</v>
      </c>
      <c r="HC29" s="29"/>
      <c r="HD29" s="27"/>
      <c r="HE29" s="27"/>
      <c r="HF29" s="28" t="str">
        <f>IFERROR(VLOOKUP(HD29,Horarios!$H:$I,2,0),"")</f>
        <v/>
      </c>
      <c r="HG29" s="28" t="str">
        <f>IFERROR(VLOOKUP(HE29,Horarios!$H:$I,2,0),"")</f>
        <v/>
      </c>
      <c r="HH29" s="28" t="str">
        <f t="shared" si="38"/>
        <v>00:00</v>
      </c>
      <c r="HI29" s="29"/>
      <c r="HJ29" s="31" t="str">
        <f t="shared" si="39"/>
        <v/>
      </c>
      <c r="HK29" s="27"/>
      <c r="HL29" s="27"/>
      <c r="HM29" s="28" t="str">
        <f>IFERROR(VLOOKUP(HK29,Horarios!$H:$I,2,0),"")</f>
        <v/>
      </c>
      <c r="HN29" s="28" t="str">
        <f>IFERROR(VLOOKUP(HL29,Horarios!$H:$I,2,0),"")</f>
        <v/>
      </c>
      <c r="HO29" s="28" t="str">
        <f t="shared" si="40"/>
        <v>00:00</v>
      </c>
      <c r="HP29" s="29"/>
      <c r="HQ29" s="27"/>
      <c r="HR29" s="27"/>
      <c r="HS29" s="28" t="str">
        <f>IFERROR(VLOOKUP(HQ29,Horarios!$H:$I,2,0),"")</f>
        <v/>
      </c>
      <c r="HT29" s="28" t="str">
        <f>IFERROR(VLOOKUP(HR29,Horarios!$H:$I,2,0),"")</f>
        <v/>
      </c>
      <c r="HU29" s="28" t="str">
        <f t="shared" si="41"/>
        <v>00:00</v>
      </c>
      <c r="HV29" s="29"/>
      <c r="HW29" s="27"/>
      <c r="HX29" s="27"/>
      <c r="HY29" s="28" t="str">
        <f>IFERROR(VLOOKUP(HW29,Horarios!$H:$I,2,0),"")</f>
        <v/>
      </c>
      <c r="HZ29" s="28" t="str">
        <f>IFERROR(VLOOKUP(HX29,Horarios!$H:$I,2,0),"")</f>
        <v/>
      </c>
      <c r="IA29" s="28" t="str">
        <f t="shared" si="42"/>
        <v>00:00</v>
      </c>
      <c r="IB29" s="29"/>
      <c r="IC29" s="27"/>
      <c r="ID29" s="27"/>
      <c r="IE29" s="28" t="str">
        <f>IFERROR(VLOOKUP(IC29,Horarios!$H:$I,2,0),"")</f>
        <v/>
      </c>
      <c r="IF29" s="28" t="str">
        <f>IFERROR(VLOOKUP(ID29,Horarios!$H:$I,2,0),"")</f>
        <v/>
      </c>
      <c r="IG29" s="28" t="str">
        <f t="shared" si="43"/>
        <v>00:00</v>
      </c>
      <c r="IH29" s="29"/>
      <c r="II29" s="27"/>
      <c r="IJ29" s="27"/>
      <c r="IK29" s="28" t="str">
        <f>IFERROR(VLOOKUP(II29,Horarios!$H:$I,2,0),"")</f>
        <v/>
      </c>
      <c r="IL29" s="28" t="str">
        <f>IFERROR(VLOOKUP(IJ29,Horarios!$H:$I,2,0),"")</f>
        <v/>
      </c>
      <c r="IM29" s="28" t="str">
        <f t="shared" si="44"/>
        <v>00:00</v>
      </c>
      <c r="IN29" s="29"/>
      <c r="IO29" s="27"/>
      <c r="IP29" s="27"/>
      <c r="IQ29" s="28" t="str">
        <f>IFERROR(VLOOKUP(IO29,Horarios!$H:$I,2,0),"")</f>
        <v/>
      </c>
      <c r="IR29" s="28" t="str">
        <f>IFERROR(VLOOKUP(IP29,Horarios!$H:$I,2,0),"")</f>
        <v/>
      </c>
      <c r="IS29" s="28" t="str">
        <f t="shared" si="45"/>
        <v>00:00</v>
      </c>
      <c r="IT29" s="29"/>
      <c r="IU29" s="27"/>
      <c r="IV29" s="27"/>
      <c r="IW29" s="28" t="str">
        <f>IFERROR(VLOOKUP(IU29,Horarios!$H:$I,2,0),"")</f>
        <v/>
      </c>
      <c r="IX29" s="28" t="str">
        <f>IFERROR(VLOOKUP(IV29,Horarios!$H:$I,2,0),"")</f>
        <v/>
      </c>
      <c r="IY29" s="28" t="str">
        <f t="shared" si="46"/>
        <v>00:00</v>
      </c>
      <c r="IZ29" s="29"/>
      <c r="JA29" s="31" t="str">
        <f t="shared" si="47"/>
        <v/>
      </c>
    </row>
    <row r="30" spans="1:261" s="24" customFormat="1" ht="17.399999999999999" x14ac:dyDescent="0.25">
      <c r="A30" s="25"/>
      <c r="B30" s="26" t="str">
        <f>IFERROR(VLOOKUP(A30,BaseNombres!A:B,2,0),"")</f>
        <v/>
      </c>
      <c r="C30" s="26" t="str">
        <f>IFERROR(VLOOKUP(A30,BaseNombres!A:C,3,0),"")</f>
        <v/>
      </c>
      <c r="D30" s="27"/>
      <c r="E30" s="27"/>
      <c r="F30" s="28" t="str">
        <f>IFERROR(VLOOKUP(D30,Horarios!$H:$I,2,0),"")</f>
        <v/>
      </c>
      <c r="G30" s="28" t="str">
        <f>IFERROR(VLOOKUP(E30,Horarios!$H:$I,2,0),"")</f>
        <v/>
      </c>
      <c r="H30" s="28" t="str">
        <f t="shared" si="0"/>
        <v>00:00</v>
      </c>
      <c r="I30" s="29"/>
      <c r="J30" s="27"/>
      <c r="K30" s="27"/>
      <c r="L30" s="28" t="str">
        <f>IFERROR(VLOOKUP(J30,Horarios!$H:$I,2,0),"")</f>
        <v/>
      </c>
      <c r="M30" s="28" t="str">
        <f>IFERROR(VLOOKUP(K30,Horarios!$H:$I,2,0),"")</f>
        <v/>
      </c>
      <c r="N30" s="28" t="str">
        <f t="shared" si="1"/>
        <v>00:00</v>
      </c>
      <c r="O30" s="29"/>
      <c r="P30" s="27"/>
      <c r="Q30" s="27"/>
      <c r="R30" s="28" t="str">
        <f>IFERROR(VLOOKUP(P30,Horarios!$H:$I,2,0),"")</f>
        <v/>
      </c>
      <c r="S30" s="28" t="str">
        <f>IFERROR(VLOOKUP(Q30,Horarios!$H:$I,2,0),"")</f>
        <v/>
      </c>
      <c r="T30" s="28" t="str">
        <f t="shared" si="2"/>
        <v>00:00</v>
      </c>
      <c r="U30" s="29"/>
      <c r="V30" s="27"/>
      <c r="W30" s="27"/>
      <c r="X30" s="28" t="str">
        <f>IFERROR(VLOOKUP(V30,Horarios!$H:$I,2,0),"")</f>
        <v/>
      </c>
      <c r="Y30" s="28" t="str">
        <f>IFERROR(VLOOKUP(W30,Horarios!$H:$I,2,0),"")</f>
        <v/>
      </c>
      <c r="Z30" s="28" t="str">
        <f t="shared" si="3"/>
        <v>00:00</v>
      </c>
      <c r="AA30" s="29"/>
      <c r="AB30" s="27"/>
      <c r="AC30" s="27"/>
      <c r="AD30" s="28" t="str">
        <f>IFERROR(VLOOKUP(AB30,Horarios!$H:$I,2,0),"")</f>
        <v/>
      </c>
      <c r="AE30" s="28" t="str">
        <f>IFERROR(VLOOKUP(AC30,Horarios!$H:$I,2,0),"")</f>
        <v/>
      </c>
      <c r="AF30" s="28" t="str">
        <f t="shared" si="4"/>
        <v>00:00</v>
      </c>
      <c r="AG30" s="29"/>
      <c r="AH30" s="27"/>
      <c r="AI30" s="27"/>
      <c r="AJ30" s="28" t="str">
        <f>IFERROR(VLOOKUP(AH30,Horarios!$H:$I,2,0),"")</f>
        <v/>
      </c>
      <c r="AK30" s="28" t="str">
        <f>IFERROR(VLOOKUP(AI30,Horarios!$H:$I,2,0),"")</f>
        <v/>
      </c>
      <c r="AL30" s="28" t="str">
        <f t="shared" si="5"/>
        <v>00:00</v>
      </c>
      <c r="AM30" s="29"/>
      <c r="AN30" s="27"/>
      <c r="AO30" s="27"/>
      <c r="AP30" s="28" t="str">
        <f>IFERROR(VLOOKUP(AN30,Horarios!$H:$I,2,0),"")</f>
        <v/>
      </c>
      <c r="AQ30" s="28" t="str">
        <f>IFERROR(VLOOKUP(AO30,Horarios!$H:$I,2,0),"")</f>
        <v/>
      </c>
      <c r="AR30" s="28" t="str">
        <f t="shared" si="6"/>
        <v>00:00</v>
      </c>
      <c r="AS30" s="29"/>
      <c r="AT30" s="31" t="str">
        <f t="shared" si="7"/>
        <v/>
      </c>
      <c r="AU30" s="27"/>
      <c r="AV30" s="27"/>
      <c r="AW30" s="28" t="str">
        <f>IFERROR(VLOOKUP(AU30,Horarios!$H:$I,2,0),"")</f>
        <v/>
      </c>
      <c r="AX30" s="28" t="str">
        <f>IFERROR(VLOOKUP(AV30,Horarios!$H:$I,2,0),"")</f>
        <v/>
      </c>
      <c r="AY30" s="28" t="str">
        <f t="shared" si="8"/>
        <v>00:00</v>
      </c>
      <c r="AZ30" s="29"/>
      <c r="BA30" s="27"/>
      <c r="BB30" s="27"/>
      <c r="BC30" s="28" t="str">
        <f>IFERROR(VLOOKUP(BA30,Horarios!$H:$I,2,0),"")</f>
        <v/>
      </c>
      <c r="BD30" s="28" t="str">
        <f>IFERROR(VLOOKUP(BB30,Horarios!$H:$I,2,0),"")</f>
        <v/>
      </c>
      <c r="BE30" s="28" t="str">
        <f t="shared" si="9"/>
        <v>00:00</v>
      </c>
      <c r="BF30" s="29"/>
      <c r="BG30" s="27"/>
      <c r="BH30" s="27"/>
      <c r="BI30" s="28" t="str">
        <f>IFERROR(VLOOKUP(BG30,Horarios!$H:$I,2,0),"")</f>
        <v/>
      </c>
      <c r="BJ30" s="28" t="str">
        <f>IFERROR(VLOOKUP(BH30,Horarios!$H:$I,2,0),"")</f>
        <v/>
      </c>
      <c r="BK30" s="28" t="str">
        <f t="shared" si="10"/>
        <v>00:00</v>
      </c>
      <c r="BL30" s="29"/>
      <c r="BM30" s="27"/>
      <c r="BN30" s="27"/>
      <c r="BO30" s="28" t="str">
        <f>IFERROR(VLOOKUP(BM30,Horarios!$H:$I,2,0),"")</f>
        <v/>
      </c>
      <c r="BP30" s="28" t="str">
        <f>IFERROR(VLOOKUP(BN30,Horarios!$H:$I,2,0),"")</f>
        <v/>
      </c>
      <c r="BQ30" s="28" t="str">
        <f t="shared" si="11"/>
        <v>00:00</v>
      </c>
      <c r="BR30" s="29"/>
      <c r="BS30" s="27"/>
      <c r="BT30" s="27"/>
      <c r="BU30" s="28" t="str">
        <f>IFERROR(VLOOKUP(BS30,Horarios!$H:$I,2,0),"")</f>
        <v/>
      </c>
      <c r="BV30" s="28" t="str">
        <f>IFERROR(VLOOKUP(BT30,Horarios!$H:$I,2,0),"")</f>
        <v/>
      </c>
      <c r="BW30" s="28" t="str">
        <f t="shared" si="12"/>
        <v>00:00</v>
      </c>
      <c r="BX30" s="29"/>
      <c r="BY30" s="27"/>
      <c r="BZ30" s="27"/>
      <c r="CA30" s="28" t="str">
        <f>IFERROR(VLOOKUP(BY30,Horarios!$H:$I,2,0),"")</f>
        <v/>
      </c>
      <c r="CB30" s="28" t="str">
        <f>IFERROR(VLOOKUP(BZ30,Horarios!$H:$I,2,0),"")</f>
        <v/>
      </c>
      <c r="CC30" s="28" t="str">
        <f t="shared" si="13"/>
        <v>00:00</v>
      </c>
      <c r="CD30" s="29"/>
      <c r="CE30" s="27"/>
      <c r="CF30" s="27"/>
      <c r="CG30" s="28" t="str">
        <f>IFERROR(VLOOKUP(CE30,Horarios!$H:$I,2,0),"")</f>
        <v/>
      </c>
      <c r="CH30" s="28" t="str">
        <f>IFERROR(VLOOKUP(CF30,Horarios!$H:$I,2,0),"")</f>
        <v/>
      </c>
      <c r="CI30" s="28" t="str">
        <f t="shared" si="14"/>
        <v>00:00</v>
      </c>
      <c r="CJ30" s="29"/>
      <c r="CK30" s="31" t="str">
        <f t="shared" si="15"/>
        <v/>
      </c>
      <c r="CL30" s="27"/>
      <c r="CM30" s="27"/>
      <c r="CN30" s="28" t="str">
        <f>IFERROR(VLOOKUP(CL30,Horarios!$H:$I,2,0),"")</f>
        <v/>
      </c>
      <c r="CO30" s="28" t="str">
        <f>IFERROR(VLOOKUP(CM30,Horarios!$H:$I,2,0),"")</f>
        <v/>
      </c>
      <c r="CP30" s="28" t="str">
        <f t="shared" si="16"/>
        <v>00:00</v>
      </c>
      <c r="CQ30" s="29"/>
      <c r="CR30" s="27"/>
      <c r="CS30" s="27"/>
      <c r="CT30" s="28" t="str">
        <f>IFERROR(VLOOKUP(CR30,Horarios!$H:$I,2,0),"")</f>
        <v/>
      </c>
      <c r="CU30" s="28" t="str">
        <f>IFERROR(VLOOKUP(CS30,Horarios!$H:$I,2,0),"")</f>
        <v/>
      </c>
      <c r="CV30" s="28" t="str">
        <f t="shared" si="17"/>
        <v>00:00</v>
      </c>
      <c r="CW30" s="29"/>
      <c r="CX30" s="27"/>
      <c r="CY30" s="27"/>
      <c r="CZ30" s="28" t="str">
        <f>IFERROR(VLOOKUP(CX30,Horarios!$H:$I,2,0),"")</f>
        <v/>
      </c>
      <c r="DA30" s="28" t="str">
        <f>IFERROR(VLOOKUP(CY30,Horarios!$H:$I,2,0),"")</f>
        <v/>
      </c>
      <c r="DB30" s="28" t="str">
        <f t="shared" si="18"/>
        <v>00:00</v>
      </c>
      <c r="DC30" s="29"/>
      <c r="DD30" s="27"/>
      <c r="DE30" s="27"/>
      <c r="DF30" s="28" t="str">
        <f>IFERROR(VLOOKUP(DD30,Horarios!$H:$I,2,0),"")</f>
        <v/>
      </c>
      <c r="DG30" s="28" t="str">
        <f>IFERROR(VLOOKUP(DE30,Horarios!$H:$I,2,0),"")</f>
        <v/>
      </c>
      <c r="DH30" s="28" t="str">
        <f t="shared" si="19"/>
        <v>00:00</v>
      </c>
      <c r="DI30" s="29"/>
      <c r="DJ30" s="27"/>
      <c r="DK30" s="27"/>
      <c r="DL30" s="28" t="str">
        <f>IFERROR(VLOOKUP(DJ30,Horarios!$H:$I,2,0),"")</f>
        <v/>
      </c>
      <c r="DM30" s="28" t="str">
        <f>IFERROR(VLOOKUP(DK30,Horarios!$H:$I,2,0),"")</f>
        <v/>
      </c>
      <c r="DN30" s="28" t="str">
        <f t="shared" si="20"/>
        <v>00:00</v>
      </c>
      <c r="DO30" s="29"/>
      <c r="DP30" s="27"/>
      <c r="DQ30" s="27"/>
      <c r="DR30" s="28" t="str">
        <f>IFERROR(VLOOKUP(DP30,Horarios!$H:$I,2,0),"")</f>
        <v/>
      </c>
      <c r="DS30" s="28" t="str">
        <f>IFERROR(VLOOKUP(DQ30,Horarios!$H:$I,2,0),"")</f>
        <v/>
      </c>
      <c r="DT30" s="28" t="str">
        <f t="shared" si="21"/>
        <v>00:00</v>
      </c>
      <c r="DU30" s="29"/>
      <c r="DV30" s="27"/>
      <c r="DW30" s="27"/>
      <c r="DX30" s="28" t="str">
        <f>IFERROR(VLOOKUP(DV30,Horarios!$H:$I,2,0),"")</f>
        <v/>
      </c>
      <c r="DY30" s="28" t="str">
        <f>IFERROR(VLOOKUP(DW30,Horarios!$H:$I,2,0),"")</f>
        <v/>
      </c>
      <c r="DZ30" s="28" t="str">
        <f t="shared" si="22"/>
        <v>00:00</v>
      </c>
      <c r="EA30" s="29"/>
      <c r="EB30" s="31" t="str">
        <f t="shared" si="23"/>
        <v/>
      </c>
      <c r="EC30" s="27"/>
      <c r="ED30" s="27"/>
      <c r="EE30" s="28" t="str">
        <f>IFERROR(VLOOKUP(EC30,Horarios!$H:$I,2,0),"")</f>
        <v/>
      </c>
      <c r="EF30" s="28" t="str">
        <f>IFERROR(VLOOKUP(ED30,Horarios!$H:$I,2,0),"")</f>
        <v/>
      </c>
      <c r="EG30" s="28" t="str">
        <f t="shared" si="24"/>
        <v>00:00</v>
      </c>
      <c r="EH30" s="29"/>
      <c r="EI30" s="27"/>
      <c r="EJ30" s="27"/>
      <c r="EK30" s="28" t="str">
        <f>IFERROR(VLOOKUP(EI30,Horarios!$H:$I,2,0),"")</f>
        <v/>
      </c>
      <c r="EL30" s="28" t="str">
        <f>IFERROR(VLOOKUP(EJ30,Horarios!$H:$I,2,0),"")</f>
        <v/>
      </c>
      <c r="EM30" s="28" t="str">
        <f t="shared" si="25"/>
        <v>00:00</v>
      </c>
      <c r="EN30" s="29"/>
      <c r="EO30" s="27"/>
      <c r="EP30" s="27"/>
      <c r="EQ30" s="28" t="str">
        <f>IFERROR(VLOOKUP(EO30,Horarios!$H:$I,2,0),"")</f>
        <v/>
      </c>
      <c r="ER30" s="28" t="str">
        <f>IFERROR(VLOOKUP(EP30,Horarios!$H:$I,2,0),"")</f>
        <v/>
      </c>
      <c r="ES30" s="28" t="str">
        <f t="shared" si="26"/>
        <v>00:00</v>
      </c>
      <c r="ET30" s="29"/>
      <c r="EU30" s="27"/>
      <c r="EV30" s="27"/>
      <c r="EW30" s="28" t="str">
        <f>IFERROR(VLOOKUP(EU30,Horarios!$H:$I,2,0),"")</f>
        <v/>
      </c>
      <c r="EX30" s="28" t="str">
        <f>IFERROR(VLOOKUP(EV30,Horarios!$H:$I,2,0),"")</f>
        <v/>
      </c>
      <c r="EY30" s="28" t="str">
        <f t="shared" si="27"/>
        <v>00:00</v>
      </c>
      <c r="EZ30" s="29"/>
      <c r="FA30" s="27"/>
      <c r="FB30" s="27"/>
      <c r="FC30" s="28" t="str">
        <f>IFERROR(VLOOKUP(FA30,Horarios!$H:$I,2,0),"")</f>
        <v/>
      </c>
      <c r="FD30" s="28" t="str">
        <f>IFERROR(VLOOKUP(FB30,Horarios!$H:$I,2,0),"")</f>
        <v/>
      </c>
      <c r="FE30" s="28" t="str">
        <f t="shared" si="28"/>
        <v>00:00</v>
      </c>
      <c r="FF30" s="29"/>
      <c r="FG30" s="27"/>
      <c r="FH30" s="27"/>
      <c r="FI30" s="28" t="str">
        <f>IFERROR(VLOOKUP(FG30,Horarios!$H:$I,2,0),"")</f>
        <v/>
      </c>
      <c r="FJ30" s="28" t="str">
        <f>IFERROR(VLOOKUP(FH30,Horarios!$H:$I,2,0),"")</f>
        <v/>
      </c>
      <c r="FK30" s="28" t="str">
        <f t="shared" si="29"/>
        <v>00:00</v>
      </c>
      <c r="FL30" s="29"/>
      <c r="FM30" s="27"/>
      <c r="FN30" s="27"/>
      <c r="FO30" s="28" t="str">
        <f>IFERROR(VLOOKUP(FM30,Horarios!$H:$I,2,0),"")</f>
        <v/>
      </c>
      <c r="FP30" s="28" t="str">
        <f>IFERROR(VLOOKUP(FN30,Horarios!$H:$I,2,0),"")</f>
        <v/>
      </c>
      <c r="FQ30" s="28" t="str">
        <f t="shared" si="30"/>
        <v>00:00</v>
      </c>
      <c r="FR30" s="29"/>
      <c r="FS30" s="31" t="str">
        <f t="shared" si="31"/>
        <v/>
      </c>
      <c r="FT30" s="27"/>
      <c r="FU30" s="27"/>
      <c r="FV30" s="28" t="str">
        <f>IFERROR(VLOOKUP(FT30,Horarios!$H:$I,2,0),"")</f>
        <v/>
      </c>
      <c r="FW30" s="28" t="str">
        <f>IFERROR(VLOOKUP(FU30,Horarios!$H:$I,2,0),"")</f>
        <v/>
      </c>
      <c r="FX30" s="28" t="str">
        <f t="shared" si="32"/>
        <v>00:00</v>
      </c>
      <c r="FY30" s="29"/>
      <c r="FZ30" s="27"/>
      <c r="GA30" s="27"/>
      <c r="GB30" s="28" t="str">
        <f>IFERROR(VLOOKUP(FZ30,Horarios!$H:$I,2,0),"")</f>
        <v/>
      </c>
      <c r="GC30" s="28" t="str">
        <f>IFERROR(VLOOKUP(GA30,Horarios!$H:$I,2,0),"")</f>
        <v/>
      </c>
      <c r="GD30" s="28" t="str">
        <f t="shared" si="33"/>
        <v>00:00</v>
      </c>
      <c r="GE30" s="29"/>
      <c r="GF30" s="27"/>
      <c r="GG30" s="27"/>
      <c r="GH30" s="28" t="str">
        <f>IFERROR(VLOOKUP(GF30,Horarios!$H:$I,2,0),"")</f>
        <v/>
      </c>
      <c r="GI30" s="28" t="str">
        <f>IFERROR(VLOOKUP(GG30,Horarios!$H:$I,2,0),"")</f>
        <v/>
      </c>
      <c r="GJ30" s="28" t="str">
        <f t="shared" si="34"/>
        <v>00:00</v>
      </c>
      <c r="GK30" s="29"/>
      <c r="GL30" s="27"/>
      <c r="GM30" s="27"/>
      <c r="GN30" s="28" t="str">
        <f>IFERROR(VLOOKUP(GL30,Horarios!$H:$I,2,0),"")</f>
        <v/>
      </c>
      <c r="GO30" s="28" t="str">
        <f>IFERROR(VLOOKUP(GM30,Horarios!$H:$I,2,0),"")</f>
        <v/>
      </c>
      <c r="GP30" s="28" t="str">
        <f t="shared" si="35"/>
        <v>00:00</v>
      </c>
      <c r="GQ30" s="29"/>
      <c r="GR30" s="27"/>
      <c r="GS30" s="27"/>
      <c r="GT30" s="28" t="str">
        <f>IFERROR(VLOOKUP(GR30,Horarios!$H:$I,2,0),"")</f>
        <v/>
      </c>
      <c r="GU30" s="28" t="str">
        <f>IFERROR(VLOOKUP(GS30,Horarios!$H:$I,2,0),"")</f>
        <v/>
      </c>
      <c r="GV30" s="28" t="str">
        <f t="shared" si="36"/>
        <v>00:00</v>
      </c>
      <c r="GW30" s="29"/>
      <c r="GX30" s="27"/>
      <c r="GY30" s="27"/>
      <c r="GZ30" s="28" t="str">
        <f>IFERROR(VLOOKUP(GX30,Horarios!$H:$I,2,0),"")</f>
        <v/>
      </c>
      <c r="HA30" s="28" t="str">
        <f>IFERROR(VLOOKUP(GY30,Horarios!$H:$I,2,0),"")</f>
        <v/>
      </c>
      <c r="HB30" s="28" t="str">
        <f t="shared" si="37"/>
        <v>00:00</v>
      </c>
      <c r="HC30" s="29"/>
      <c r="HD30" s="27"/>
      <c r="HE30" s="27"/>
      <c r="HF30" s="28" t="str">
        <f>IFERROR(VLOOKUP(HD30,Horarios!$H:$I,2,0),"")</f>
        <v/>
      </c>
      <c r="HG30" s="28" t="str">
        <f>IFERROR(VLOOKUP(HE30,Horarios!$H:$I,2,0),"")</f>
        <v/>
      </c>
      <c r="HH30" s="28" t="str">
        <f t="shared" si="38"/>
        <v>00:00</v>
      </c>
      <c r="HI30" s="29"/>
      <c r="HJ30" s="31" t="str">
        <f t="shared" si="39"/>
        <v/>
      </c>
      <c r="HK30" s="27"/>
      <c r="HL30" s="27"/>
      <c r="HM30" s="28" t="str">
        <f>IFERROR(VLOOKUP(HK30,Horarios!$H:$I,2,0),"")</f>
        <v/>
      </c>
      <c r="HN30" s="28" t="str">
        <f>IFERROR(VLOOKUP(HL30,Horarios!$H:$I,2,0),"")</f>
        <v/>
      </c>
      <c r="HO30" s="28" t="str">
        <f t="shared" si="40"/>
        <v>00:00</v>
      </c>
      <c r="HP30" s="29"/>
      <c r="HQ30" s="27"/>
      <c r="HR30" s="27"/>
      <c r="HS30" s="28" t="str">
        <f>IFERROR(VLOOKUP(HQ30,Horarios!$H:$I,2,0),"")</f>
        <v/>
      </c>
      <c r="HT30" s="28" t="str">
        <f>IFERROR(VLOOKUP(HR30,Horarios!$H:$I,2,0),"")</f>
        <v/>
      </c>
      <c r="HU30" s="28" t="str">
        <f t="shared" si="41"/>
        <v>00:00</v>
      </c>
      <c r="HV30" s="29"/>
      <c r="HW30" s="27"/>
      <c r="HX30" s="27"/>
      <c r="HY30" s="28" t="str">
        <f>IFERROR(VLOOKUP(HW30,Horarios!$H:$I,2,0),"")</f>
        <v/>
      </c>
      <c r="HZ30" s="28" t="str">
        <f>IFERROR(VLOOKUP(HX30,Horarios!$H:$I,2,0),"")</f>
        <v/>
      </c>
      <c r="IA30" s="28" t="str">
        <f t="shared" si="42"/>
        <v>00:00</v>
      </c>
      <c r="IB30" s="29"/>
      <c r="IC30" s="27"/>
      <c r="ID30" s="27"/>
      <c r="IE30" s="28" t="str">
        <f>IFERROR(VLOOKUP(IC30,Horarios!$H:$I,2,0),"")</f>
        <v/>
      </c>
      <c r="IF30" s="28" t="str">
        <f>IFERROR(VLOOKUP(ID30,Horarios!$H:$I,2,0),"")</f>
        <v/>
      </c>
      <c r="IG30" s="28" t="str">
        <f t="shared" si="43"/>
        <v>00:00</v>
      </c>
      <c r="IH30" s="29"/>
      <c r="II30" s="27"/>
      <c r="IJ30" s="27"/>
      <c r="IK30" s="28" t="str">
        <f>IFERROR(VLOOKUP(II30,Horarios!$H:$I,2,0),"")</f>
        <v/>
      </c>
      <c r="IL30" s="28" t="str">
        <f>IFERROR(VLOOKUP(IJ30,Horarios!$H:$I,2,0),"")</f>
        <v/>
      </c>
      <c r="IM30" s="28" t="str">
        <f t="shared" si="44"/>
        <v>00:00</v>
      </c>
      <c r="IN30" s="29"/>
      <c r="IO30" s="27"/>
      <c r="IP30" s="27"/>
      <c r="IQ30" s="28" t="str">
        <f>IFERROR(VLOOKUP(IO30,Horarios!$H:$I,2,0),"")</f>
        <v/>
      </c>
      <c r="IR30" s="28" t="str">
        <f>IFERROR(VLOOKUP(IP30,Horarios!$H:$I,2,0),"")</f>
        <v/>
      </c>
      <c r="IS30" s="28" t="str">
        <f t="shared" si="45"/>
        <v>00:00</v>
      </c>
      <c r="IT30" s="29"/>
      <c r="IU30" s="27"/>
      <c r="IV30" s="27"/>
      <c r="IW30" s="28" t="str">
        <f>IFERROR(VLOOKUP(IU30,Horarios!$H:$I,2,0),"")</f>
        <v/>
      </c>
      <c r="IX30" s="28" t="str">
        <f>IFERROR(VLOOKUP(IV30,Horarios!$H:$I,2,0),"")</f>
        <v/>
      </c>
      <c r="IY30" s="28" t="str">
        <f t="shared" si="46"/>
        <v>00:00</v>
      </c>
      <c r="IZ30" s="29"/>
      <c r="JA30" s="31" t="str">
        <f t="shared" si="47"/>
        <v/>
      </c>
    </row>
    <row r="31" spans="1:261" s="24" customFormat="1" ht="17.399999999999999" x14ac:dyDescent="0.25">
      <c r="A31" s="25"/>
      <c r="B31" s="26" t="str">
        <f>IFERROR(VLOOKUP(A31,BaseNombres!A:B,2,0),"")</f>
        <v/>
      </c>
      <c r="C31" s="26" t="str">
        <f>IFERROR(VLOOKUP(A31,BaseNombres!A:C,3,0),"")</f>
        <v/>
      </c>
      <c r="D31" s="27"/>
      <c r="E31" s="27"/>
      <c r="F31" s="28" t="str">
        <f>IFERROR(VLOOKUP(D31,Horarios!$H:$I,2,0),"")</f>
        <v/>
      </c>
      <c r="G31" s="28" t="str">
        <f>IFERROR(VLOOKUP(E31,Horarios!$H:$I,2,0),"")</f>
        <v/>
      </c>
      <c r="H31" s="28" t="str">
        <f t="shared" si="0"/>
        <v>00:00</v>
      </c>
      <c r="I31" s="29"/>
      <c r="J31" s="27"/>
      <c r="K31" s="27"/>
      <c r="L31" s="28" t="str">
        <f>IFERROR(VLOOKUP(J31,Horarios!$H:$I,2,0),"")</f>
        <v/>
      </c>
      <c r="M31" s="28" t="str">
        <f>IFERROR(VLOOKUP(K31,Horarios!$H:$I,2,0),"")</f>
        <v/>
      </c>
      <c r="N31" s="28" t="str">
        <f t="shared" si="1"/>
        <v>00:00</v>
      </c>
      <c r="O31" s="29"/>
      <c r="P31" s="27"/>
      <c r="Q31" s="27"/>
      <c r="R31" s="28" t="str">
        <f>IFERROR(VLOOKUP(P31,Horarios!$H:$I,2,0),"")</f>
        <v/>
      </c>
      <c r="S31" s="28" t="str">
        <f>IFERROR(VLOOKUP(Q31,Horarios!$H:$I,2,0),"")</f>
        <v/>
      </c>
      <c r="T31" s="28" t="str">
        <f t="shared" si="2"/>
        <v>00:00</v>
      </c>
      <c r="U31" s="29"/>
      <c r="V31" s="27"/>
      <c r="W31" s="27"/>
      <c r="X31" s="28" t="str">
        <f>IFERROR(VLOOKUP(V31,Horarios!$H:$I,2,0),"")</f>
        <v/>
      </c>
      <c r="Y31" s="28" t="str">
        <f>IFERROR(VLOOKUP(W31,Horarios!$H:$I,2,0),"")</f>
        <v/>
      </c>
      <c r="Z31" s="28" t="str">
        <f t="shared" si="3"/>
        <v>00:00</v>
      </c>
      <c r="AA31" s="29"/>
      <c r="AB31" s="27"/>
      <c r="AC31" s="27"/>
      <c r="AD31" s="28" t="str">
        <f>IFERROR(VLOOKUP(AB31,Horarios!$H:$I,2,0),"")</f>
        <v/>
      </c>
      <c r="AE31" s="28" t="str">
        <f>IFERROR(VLOOKUP(AC31,Horarios!$H:$I,2,0),"")</f>
        <v/>
      </c>
      <c r="AF31" s="28" t="str">
        <f t="shared" si="4"/>
        <v>00:00</v>
      </c>
      <c r="AG31" s="29"/>
      <c r="AH31" s="27"/>
      <c r="AI31" s="27"/>
      <c r="AJ31" s="28" t="str">
        <f>IFERROR(VLOOKUP(AH31,Horarios!$H:$I,2,0),"")</f>
        <v/>
      </c>
      <c r="AK31" s="28" t="str">
        <f>IFERROR(VLOOKUP(AI31,Horarios!$H:$I,2,0),"")</f>
        <v/>
      </c>
      <c r="AL31" s="28" t="str">
        <f t="shared" si="5"/>
        <v>00:00</v>
      </c>
      <c r="AM31" s="29"/>
      <c r="AN31" s="27"/>
      <c r="AO31" s="27"/>
      <c r="AP31" s="28" t="str">
        <f>IFERROR(VLOOKUP(AN31,Horarios!$H:$I,2,0),"")</f>
        <v/>
      </c>
      <c r="AQ31" s="28" t="str">
        <f>IFERROR(VLOOKUP(AO31,Horarios!$H:$I,2,0),"")</f>
        <v/>
      </c>
      <c r="AR31" s="28" t="str">
        <f t="shared" si="6"/>
        <v>00:00</v>
      </c>
      <c r="AS31" s="29"/>
      <c r="AT31" s="31" t="str">
        <f t="shared" si="7"/>
        <v/>
      </c>
      <c r="AU31" s="27"/>
      <c r="AV31" s="27"/>
      <c r="AW31" s="28" t="str">
        <f>IFERROR(VLOOKUP(AU31,Horarios!$H:$I,2,0),"")</f>
        <v/>
      </c>
      <c r="AX31" s="28" t="str">
        <f>IFERROR(VLOOKUP(AV31,Horarios!$H:$I,2,0),"")</f>
        <v/>
      </c>
      <c r="AY31" s="28" t="str">
        <f t="shared" si="8"/>
        <v>00:00</v>
      </c>
      <c r="AZ31" s="29"/>
      <c r="BA31" s="27"/>
      <c r="BB31" s="27"/>
      <c r="BC31" s="28" t="str">
        <f>IFERROR(VLOOKUP(BA31,Horarios!$H:$I,2,0),"")</f>
        <v/>
      </c>
      <c r="BD31" s="28" t="str">
        <f>IFERROR(VLOOKUP(BB31,Horarios!$H:$I,2,0),"")</f>
        <v/>
      </c>
      <c r="BE31" s="28" t="str">
        <f t="shared" si="9"/>
        <v>00:00</v>
      </c>
      <c r="BF31" s="29"/>
      <c r="BG31" s="27"/>
      <c r="BH31" s="27"/>
      <c r="BI31" s="28" t="str">
        <f>IFERROR(VLOOKUP(BG31,Horarios!$H:$I,2,0),"")</f>
        <v/>
      </c>
      <c r="BJ31" s="28" t="str">
        <f>IFERROR(VLOOKUP(BH31,Horarios!$H:$I,2,0),"")</f>
        <v/>
      </c>
      <c r="BK31" s="28" t="str">
        <f t="shared" si="10"/>
        <v>00:00</v>
      </c>
      <c r="BL31" s="29"/>
      <c r="BM31" s="27"/>
      <c r="BN31" s="27"/>
      <c r="BO31" s="28" t="str">
        <f>IFERROR(VLOOKUP(BM31,Horarios!$H:$I,2,0),"")</f>
        <v/>
      </c>
      <c r="BP31" s="28" t="str">
        <f>IFERROR(VLOOKUP(BN31,Horarios!$H:$I,2,0),"")</f>
        <v/>
      </c>
      <c r="BQ31" s="28" t="str">
        <f t="shared" si="11"/>
        <v>00:00</v>
      </c>
      <c r="BR31" s="29"/>
      <c r="BS31" s="27"/>
      <c r="BT31" s="27"/>
      <c r="BU31" s="28" t="str">
        <f>IFERROR(VLOOKUP(BS31,Horarios!$H:$I,2,0),"")</f>
        <v/>
      </c>
      <c r="BV31" s="28" t="str">
        <f>IFERROR(VLOOKUP(BT31,Horarios!$H:$I,2,0),"")</f>
        <v/>
      </c>
      <c r="BW31" s="28" t="str">
        <f t="shared" si="12"/>
        <v>00:00</v>
      </c>
      <c r="BX31" s="29"/>
      <c r="BY31" s="27"/>
      <c r="BZ31" s="27"/>
      <c r="CA31" s="28" t="str">
        <f>IFERROR(VLOOKUP(BY31,Horarios!$H:$I,2,0),"")</f>
        <v/>
      </c>
      <c r="CB31" s="28" t="str">
        <f>IFERROR(VLOOKUP(BZ31,Horarios!$H:$I,2,0),"")</f>
        <v/>
      </c>
      <c r="CC31" s="28" t="str">
        <f t="shared" si="13"/>
        <v>00:00</v>
      </c>
      <c r="CD31" s="29"/>
      <c r="CE31" s="27"/>
      <c r="CF31" s="27"/>
      <c r="CG31" s="28" t="str">
        <f>IFERROR(VLOOKUP(CE31,Horarios!$H:$I,2,0),"")</f>
        <v/>
      </c>
      <c r="CH31" s="28" t="str">
        <f>IFERROR(VLOOKUP(CF31,Horarios!$H:$I,2,0),"")</f>
        <v/>
      </c>
      <c r="CI31" s="28" t="str">
        <f t="shared" si="14"/>
        <v>00:00</v>
      </c>
      <c r="CJ31" s="29"/>
      <c r="CK31" s="31" t="str">
        <f t="shared" si="15"/>
        <v/>
      </c>
      <c r="CL31" s="27"/>
      <c r="CM31" s="27"/>
      <c r="CN31" s="28" t="str">
        <f>IFERROR(VLOOKUP(CL31,Horarios!$H:$I,2,0),"")</f>
        <v/>
      </c>
      <c r="CO31" s="28" t="str">
        <f>IFERROR(VLOOKUP(CM31,Horarios!$H:$I,2,0),"")</f>
        <v/>
      </c>
      <c r="CP31" s="28" t="str">
        <f t="shared" si="16"/>
        <v>00:00</v>
      </c>
      <c r="CQ31" s="29"/>
      <c r="CR31" s="27"/>
      <c r="CS31" s="27"/>
      <c r="CT31" s="28" t="str">
        <f>IFERROR(VLOOKUP(CR31,Horarios!$H:$I,2,0),"")</f>
        <v/>
      </c>
      <c r="CU31" s="28" t="str">
        <f>IFERROR(VLOOKUP(CS31,Horarios!$H:$I,2,0),"")</f>
        <v/>
      </c>
      <c r="CV31" s="28" t="str">
        <f t="shared" si="17"/>
        <v>00:00</v>
      </c>
      <c r="CW31" s="29"/>
      <c r="CX31" s="27"/>
      <c r="CY31" s="27"/>
      <c r="CZ31" s="28" t="str">
        <f>IFERROR(VLOOKUP(CX31,Horarios!$H:$I,2,0),"")</f>
        <v/>
      </c>
      <c r="DA31" s="28" t="str">
        <f>IFERROR(VLOOKUP(CY31,Horarios!$H:$I,2,0),"")</f>
        <v/>
      </c>
      <c r="DB31" s="28" t="str">
        <f t="shared" si="18"/>
        <v>00:00</v>
      </c>
      <c r="DC31" s="29"/>
      <c r="DD31" s="27"/>
      <c r="DE31" s="27"/>
      <c r="DF31" s="28" t="str">
        <f>IFERROR(VLOOKUP(DD31,Horarios!$H:$I,2,0),"")</f>
        <v/>
      </c>
      <c r="DG31" s="28" t="str">
        <f>IFERROR(VLOOKUP(DE31,Horarios!$H:$I,2,0),"")</f>
        <v/>
      </c>
      <c r="DH31" s="28" t="str">
        <f t="shared" si="19"/>
        <v>00:00</v>
      </c>
      <c r="DI31" s="29"/>
      <c r="DJ31" s="27"/>
      <c r="DK31" s="27"/>
      <c r="DL31" s="28" t="str">
        <f>IFERROR(VLOOKUP(DJ31,Horarios!$H:$I,2,0),"")</f>
        <v/>
      </c>
      <c r="DM31" s="28" t="str">
        <f>IFERROR(VLOOKUP(DK31,Horarios!$H:$I,2,0),"")</f>
        <v/>
      </c>
      <c r="DN31" s="28" t="str">
        <f t="shared" si="20"/>
        <v>00:00</v>
      </c>
      <c r="DO31" s="29"/>
      <c r="DP31" s="27"/>
      <c r="DQ31" s="27"/>
      <c r="DR31" s="28" t="str">
        <f>IFERROR(VLOOKUP(DP31,Horarios!$H:$I,2,0),"")</f>
        <v/>
      </c>
      <c r="DS31" s="28" t="str">
        <f>IFERROR(VLOOKUP(DQ31,Horarios!$H:$I,2,0),"")</f>
        <v/>
      </c>
      <c r="DT31" s="28" t="str">
        <f t="shared" si="21"/>
        <v>00:00</v>
      </c>
      <c r="DU31" s="29"/>
      <c r="DV31" s="27"/>
      <c r="DW31" s="27"/>
      <c r="DX31" s="28" t="str">
        <f>IFERROR(VLOOKUP(DV31,Horarios!$H:$I,2,0),"")</f>
        <v/>
      </c>
      <c r="DY31" s="28" t="str">
        <f>IFERROR(VLOOKUP(DW31,Horarios!$H:$I,2,0),"")</f>
        <v/>
      </c>
      <c r="DZ31" s="28" t="str">
        <f t="shared" si="22"/>
        <v>00:00</v>
      </c>
      <c r="EA31" s="29"/>
      <c r="EB31" s="31" t="str">
        <f t="shared" si="23"/>
        <v/>
      </c>
      <c r="EC31" s="27"/>
      <c r="ED31" s="27"/>
      <c r="EE31" s="28" t="str">
        <f>IFERROR(VLOOKUP(EC31,Horarios!$H:$I,2,0),"")</f>
        <v/>
      </c>
      <c r="EF31" s="28" t="str">
        <f>IFERROR(VLOOKUP(ED31,Horarios!$H:$I,2,0),"")</f>
        <v/>
      </c>
      <c r="EG31" s="28" t="str">
        <f t="shared" si="24"/>
        <v>00:00</v>
      </c>
      <c r="EH31" s="29"/>
      <c r="EI31" s="27"/>
      <c r="EJ31" s="27"/>
      <c r="EK31" s="28" t="str">
        <f>IFERROR(VLOOKUP(EI31,Horarios!$H:$I,2,0),"")</f>
        <v/>
      </c>
      <c r="EL31" s="28" t="str">
        <f>IFERROR(VLOOKUP(EJ31,Horarios!$H:$I,2,0),"")</f>
        <v/>
      </c>
      <c r="EM31" s="28" t="str">
        <f t="shared" si="25"/>
        <v>00:00</v>
      </c>
      <c r="EN31" s="29"/>
      <c r="EO31" s="27"/>
      <c r="EP31" s="27"/>
      <c r="EQ31" s="28" t="str">
        <f>IFERROR(VLOOKUP(EO31,Horarios!$H:$I,2,0),"")</f>
        <v/>
      </c>
      <c r="ER31" s="28" t="str">
        <f>IFERROR(VLOOKUP(EP31,Horarios!$H:$I,2,0),"")</f>
        <v/>
      </c>
      <c r="ES31" s="28" t="str">
        <f t="shared" si="26"/>
        <v>00:00</v>
      </c>
      <c r="ET31" s="29"/>
      <c r="EU31" s="27"/>
      <c r="EV31" s="27"/>
      <c r="EW31" s="28" t="str">
        <f>IFERROR(VLOOKUP(EU31,Horarios!$H:$I,2,0),"")</f>
        <v/>
      </c>
      <c r="EX31" s="28" t="str">
        <f>IFERROR(VLOOKUP(EV31,Horarios!$H:$I,2,0),"")</f>
        <v/>
      </c>
      <c r="EY31" s="28" t="str">
        <f t="shared" si="27"/>
        <v>00:00</v>
      </c>
      <c r="EZ31" s="29"/>
      <c r="FA31" s="27"/>
      <c r="FB31" s="27"/>
      <c r="FC31" s="28" t="str">
        <f>IFERROR(VLOOKUP(FA31,Horarios!$H:$I,2,0),"")</f>
        <v/>
      </c>
      <c r="FD31" s="28" t="str">
        <f>IFERROR(VLOOKUP(FB31,Horarios!$H:$I,2,0),"")</f>
        <v/>
      </c>
      <c r="FE31" s="28" t="str">
        <f t="shared" si="28"/>
        <v>00:00</v>
      </c>
      <c r="FF31" s="29"/>
      <c r="FG31" s="27"/>
      <c r="FH31" s="27"/>
      <c r="FI31" s="28" t="str">
        <f>IFERROR(VLOOKUP(FG31,Horarios!$H:$I,2,0),"")</f>
        <v/>
      </c>
      <c r="FJ31" s="28" t="str">
        <f>IFERROR(VLOOKUP(FH31,Horarios!$H:$I,2,0),"")</f>
        <v/>
      </c>
      <c r="FK31" s="28" t="str">
        <f t="shared" si="29"/>
        <v>00:00</v>
      </c>
      <c r="FL31" s="29"/>
      <c r="FM31" s="27"/>
      <c r="FN31" s="27"/>
      <c r="FO31" s="28" t="str">
        <f>IFERROR(VLOOKUP(FM31,Horarios!$H:$I,2,0),"")</f>
        <v/>
      </c>
      <c r="FP31" s="28" t="str">
        <f>IFERROR(VLOOKUP(FN31,Horarios!$H:$I,2,0),"")</f>
        <v/>
      </c>
      <c r="FQ31" s="28" t="str">
        <f t="shared" si="30"/>
        <v>00:00</v>
      </c>
      <c r="FR31" s="29"/>
      <c r="FS31" s="31" t="str">
        <f t="shared" si="31"/>
        <v/>
      </c>
      <c r="FT31" s="27"/>
      <c r="FU31" s="27"/>
      <c r="FV31" s="28" t="str">
        <f>IFERROR(VLOOKUP(FT31,Horarios!$H:$I,2,0),"")</f>
        <v/>
      </c>
      <c r="FW31" s="28" t="str">
        <f>IFERROR(VLOOKUP(FU31,Horarios!$H:$I,2,0),"")</f>
        <v/>
      </c>
      <c r="FX31" s="28" t="str">
        <f t="shared" si="32"/>
        <v>00:00</v>
      </c>
      <c r="FY31" s="29"/>
      <c r="FZ31" s="27"/>
      <c r="GA31" s="27"/>
      <c r="GB31" s="28" t="str">
        <f>IFERROR(VLOOKUP(FZ31,Horarios!$H:$I,2,0),"")</f>
        <v/>
      </c>
      <c r="GC31" s="28" t="str">
        <f>IFERROR(VLOOKUP(GA31,Horarios!$H:$I,2,0),"")</f>
        <v/>
      </c>
      <c r="GD31" s="28" t="str">
        <f t="shared" si="33"/>
        <v>00:00</v>
      </c>
      <c r="GE31" s="29"/>
      <c r="GF31" s="27"/>
      <c r="GG31" s="27"/>
      <c r="GH31" s="28" t="str">
        <f>IFERROR(VLOOKUP(GF31,Horarios!$H:$I,2,0),"")</f>
        <v/>
      </c>
      <c r="GI31" s="28" t="str">
        <f>IFERROR(VLOOKUP(GG31,Horarios!$H:$I,2,0),"")</f>
        <v/>
      </c>
      <c r="GJ31" s="28" t="str">
        <f t="shared" si="34"/>
        <v>00:00</v>
      </c>
      <c r="GK31" s="29"/>
      <c r="GL31" s="27"/>
      <c r="GM31" s="27"/>
      <c r="GN31" s="28" t="str">
        <f>IFERROR(VLOOKUP(GL31,Horarios!$H:$I,2,0),"")</f>
        <v/>
      </c>
      <c r="GO31" s="28" t="str">
        <f>IFERROR(VLOOKUP(GM31,Horarios!$H:$I,2,0),"")</f>
        <v/>
      </c>
      <c r="GP31" s="28" t="str">
        <f t="shared" si="35"/>
        <v>00:00</v>
      </c>
      <c r="GQ31" s="29"/>
      <c r="GR31" s="27"/>
      <c r="GS31" s="27"/>
      <c r="GT31" s="28" t="str">
        <f>IFERROR(VLOOKUP(GR31,Horarios!$H:$I,2,0),"")</f>
        <v/>
      </c>
      <c r="GU31" s="28" t="str">
        <f>IFERROR(VLOOKUP(GS31,Horarios!$H:$I,2,0),"")</f>
        <v/>
      </c>
      <c r="GV31" s="28" t="str">
        <f t="shared" si="36"/>
        <v>00:00</v>
      </c>
      <c r="GW31" s="29"/>
      <c r="GX31" s="27"/>
      <c r="GY31" s="27"/>
      <c r="GZ31" s="28" t="str">
        <f>IFERROR(VLOOKUP(GX31,Horarios!$H:$I,2,0),"")</f>
        <v/>
      </c>
      <c r="HA31" s="28" t="str">
        <f>IFERROR(VLOOKUP(GY31,Horarios!$H:$I,2,0),"")</f>
        <v/>
      </c>
      <c r="HB31" s="28" t="str">
        <f t="shared" si="37"/>
        <v>00:00</v>
      </c>
      <c r="HC31" s="29"/>
      <c r="HD31" s="27"/>
      <c r="HE31" s="27"/>
      <c r="HF31" s="28" t="str">
        <f>IFERROR(VLOOKUP(HD31,Horarios!$H:$I,2,0),"")</f>
        <v/>
      </c>
      <c r="HG31" s="28" t="str">
        <f>IFERROR(VLOOKUP(HE31,Horarios!$H:$I,2,0),"")</f>
        <v/>
      </c>
      <c r="HH31" s="28" t="str">
        <f t="shared" si="38"/>
        <v>00:00</v>
      </c>
      <c r="HI31" s="29"/>
      <c r="HJ31" s="31" t="str">
        <f t="shared" si="39"/>
        <v/>
      </c>
      <c r="HK31" s="27"/>
      <c r="HL31" s="27"/>
      <c r="HM31" s="28" t="str">
        <f>IFERROR(VLOOKUP(HK31,Horarios!$H:$I,2,0),"")</f>
        <v/>
      </c>
      <c r="HN31" s="28" t="str">
        <f>IFERROR(VLOOKUP(HL31,Horarios!$H:$I,2,0),"")</f>
        <v/>
      </c>
      <c r="HO31" s="28" t="str">
        <f t="shared" si="40"/>
        <v>00:00</v>
      </c>
      <c r="HP31" s="29"/>
      <c r="HQ31" s="27"/>
      <c r="HR31" s="27"/>
      <c r="HS31" s="28" t="str">
        <f>IFERROR(VLOOKUP(HQ31,Horarios!$H:$I,2,0),"")</f>
        <v/>
      </c>
      <c r="HT31" s="28" t="str">
        <f>IFERROR(VLOOKUP(HR31,Horarios!$H:$I,2,0),"")</f>
        <v/>
      </c>
      <c r="HU31" s="28" t="str">
        <f t="shared" si="41"/>
        <v>00:00</v>
      </c>
      <c r="HV31" s="29"/>
      <c r="HW31" s="27"/>
      <c r="HX31" s="27"/>
      <c r="HY31" s="28" t="str">
        <f>IFERROR(VLOOKUP(HW31,Horarios!$H:$I,2,0),"")</f>
        <v/>
      </c>
      <c r="HZ31" s="28" t="str">
        <f>IFERROR(VLOOKUP(HX31,Horarios!$H:$I,2,0),"")</f>
        <v/>
      </c>
      <c r="IA31" s="28" t="str">
        <f t="shared" si="42"/>
        <v>00:00</v>
      </c>
      <c r="IB31" s="29"/>
      <c r="IC31" s="27"/>
      <c r="ID31" s="27"/>
      <c r="IE31" s="28" t="str">
        <f>IFERROR(VLOOKUP(IC31,Horarios!$H:$I,2,0),"")</f>
        <v/>
      </c>
      <c r="IF31" s="28" t="str">
        <f>IFERROR(VLOOKUP(ID31,Horarios!$H:$I,2,0),"")</f>
        <v/>
      </c>
      <c r="IG31" s="28" t="str">
        <f t="shared" si="43"/>
        <v>00:00</v>
      </c>
      <c r="IH31" s="29"/>
      <c r="II31" s="27"/>
      <c r="IJ31" s="27"/>
      <c r="IK31" s="28" t="str">
        <f>IFERROR(VLOOKUP(II31,Horarios!$H:$I,2,0),"")</f>
        <v/>
      </c>
      <c r="IL31" s="28" t="str">
        <f>IFERROR(VLOOKUP(IJ31,Horarios!$H:$I,2,0),"")</f>
        <v/>
      </c>
      <c r="IM31" s="28" t="str">
        <f t="shared" si="44"/>
        <v>00:00</v>
      </c>
      <c r="IN31" s="29"/>
      <c r="IO31" s="27"/>
      <c r="IP31" s="27"/>
      <c r="IQ31" s="28" t="str">
        <f>IFERROR(VLOOKUP(IO31,Horarios!$H:$I,2,0),"")</f>
        <v/>
      </c>
      <c r="IR31" s="28" t="str">
        <f>IFERROR(VLOOKUP(IP31,Horarios!$H:$I,2,0),"")</f>
        <v/>
      </c>
      <c r="IS31" s="28" t="str">
        <f t="shared" si="45"/>
        <v>00:00</v>
      </c>
      <c r="IT31" s="29"/>
      <c r="IU31" s="27"/>
      <c r="IV31" s="27"/>
      <c r="IW31" s="28" t="str">
        <f>IFERROR(VLOOKUP(IU31,Horarios!$H:$I,2,0),"")</f>
        <v/>
      </c>
      <c r="IX31" s="28" t="str">
        <f>IFERROR(VLOOKUP(IV31,Horarios!$H:$I,2,0),"")</f>
        <v/>
      </c>
      <c r="IY31" s="28" t="str">
        <f t="shared" si="46"/>
        <v>00:00</v>
      </c>
      <c r="IZ31" s="29"/>
      <c r="JA31" s="31" t="str">
        <f t="shared" si="47"/>
        <v/>
      </c>
    </row>
    <row r="32" spans="1:261" s="24" customFormat="1" ht="17.399999999999999" x14ac:dyDescent="0.25">
      <c r="A32" s="25"/>
      <c r="B32" s="26" t="str">
        <f>IFERROR(VLOOKUP(A32,BaseNombres!A:B,2,0),"")</f>
        <v/>
      </c>
      <c r="C32" s="26" t="str">
        <f>IFERROR(VLOOKUP(A32,BaseNombres!A:C,3,0),"")</f>
        <v/>
      </c>
      <c r="D32" s="27"/>
      <c r="E32" s="27"/>
      <c r="F32" s="28" t="str">
        <f>IFERROR(VLOOKUP(D32,Horarios!$H:$I,2,0),"")</f>
        <v/>
      </c>
      <c r="G32" s="28" t="str">
        <f>IFERROR(VLOOKUP(E32,Horarios!$H:$I,2,0),"")</f>
        <v/>
      </c>
      <c r="H32" s="28" t="str">
        <f t="shared" si="0"/>
        <v>00:00</v>
      </c>
      <c r="I32" s="29"/>
      <c r="J32" s="27"/>
      <c r="K32" s="27"/>
      <c r="L32" s="28" t="str">
        <f>IFERROR(VLOOKUP(J32,Horarios!$H:$I,2,0),"")</f>
        <v/>
      </c>
      <c r="M32" s="28" t="str">
        <f>IFERROR(VLOOKUP(K32,Horarios!$H:$I,2,0),"")</f>
        <v/>
      </c>
      <c r="N32" s="28" t="str">
        <f t="shared" si="1"/>
        <v>00:00</v>
      </c>
      <c r="O32" s="29"/>
      <c r="P32" s="27"/>
      <c r="Q32" s="27"/>
      <c r="R32" s="28" t="str">
        <f>IFERROR(VLOOKUP(P32,Horarios!$H:$I,2,0),"")</f>
        <v/>
      </c>
      <c r="S32" s="28" t="str">
        <f>IFERROR(VLOOKUP(Q32,Horarios!$H:$I,2,0),"")</f>
        <v/>
      </c>
      <c r="T32" s="28" t="str">
        <f t="shared" si="2"/>
        <v>00:00</v>
      </c>
      <c r="U32" s="29"/>
      <c r="V32" s="27"/>
      <c r="W32" s="27"/>
      <c r="X32" s="28" t="str">
        <f>IFERROR(VLOOKUP(V32,Horarios!$H:$I,2,0),"")</f>
        <v/>
      </c>
      <c r="Y32" s="28" t="str">
        <f>IFERROR(VLOOKUP(W32,Horarios!$H:$I,2,0),"")</f>
        <v/>
      </c>
      <c r="Z32" s="28" t="str">
        <f t="shared" si="3"/>
        <v>00:00</v>
      </c>
      <c r="AA32" s="29"/>
      <c r="AB32" s="27"/>
      <c r="AC32" s="27"/>
      <c r="AD32" s="28" t="str">
        <f>IFERROR(VLOOKUP(AB32,Horarios!$H:$I,2,0),"")</f>
        <v/>
      </c>
      <c r="AE32" s="28" t="str">
        <f>IFERROR(VLOOKUP(AC32,Horarios!$H:$I,2,0),"")</f>
        <v/>
      </c>
      <c r="AF32" s="28" t="str">
        <f t="shared" si="4"/>
        <v>00:00</v>
      </c>
      <c r="AG32" s="29"/>
      <c r="AH32" s="27"/>
      <c r="AI32" s="27"/>
      <c r="AJ32" s="28" t="str">
        <f>IFERROR(VLOOKUP(AH32,Horarios!$H:$I,2,0),"")</f>
        <v/>
      </c>
      <c r="AK32" s="28" t="str">
        <f>IFERROR(VLOOKUP(AI32,Horarios!$H:$I,2,0),"")</f>
        <v/>
      </c>
      <c r="AL32" s="28" t="str">
        <f t="shared" si="5"/>
        <v>00:00</v>
      </c>
      <c r="AM32" s="29"/>
      <c r="AN32" s="27"/>
      <c r="AO32" s="27"/>
      <c r="AP32" s="28" t="str">
        <f>IFERROR(VLOOKUP(AN32,Horarios!$H:$I,2,0),"")</f>
        <v/>
      </c>
      <c r="AQ32" s="28" t="str">
        <f>IFERROR(VLOOKUP(AO32,Horarios!$H:$I,2,0),"")</f>
        <v/>
      </c>
      <c r="AR32" s="28" t="str">
        <f t="shared" si="6"/>
        <v>00:00</v>
      </c>
      <c r="AS32" s="29"/>
      <c r="AT32" s="31" t="str">
        <f t="shared" si="7"/>
        <v/>
      </c>
      <c r="AU32" s="27"/>
      <c r="AV32" s="27"/>
      <c r="AW32" s="28" t="str">
        <f>IFERROR(VLOOKUP(AU32,Horarios!$H:$I,2,0),"")</f>
        <v/>
      </c>
      <c r="AX32" s="28" t="str">
        <f>IFERROR(VLOOKUP(AV32,Horarios!$H:$I,2,0),"")</f>
        <v/>
      </c>
      <c r="AY32" s="28" t="str">
        <f t="shared" si="8"/>
        <v>00:00</v>
      </c>
      <c r="AZ32" s="29"/>
      <c r="BA32" s="27"/>
      <c r="BB32" s="27"/>
      <c r="BC32" s="28" t="str">
        <f>IFERROR(VLOOKUP(BA32,Horarios!$H:$I,2,0),"")</f>
        <v/>
      </c>
      <c r="BD32" s="28" t="str">
        <f>IFERROR(VLOOKUP(BB32,Horarios!$H:$I,2,0),"")</f>
        <v/>
      </c>
      <c r="BE32" s="28" t="str">
        <f t="shared" si="9"/>
        <v>00:00</v>
      </c>
      <c r="BF32" s="29"/>
      <c r="BG32" s="27"/>
      <c r="BH32" s="27"/>
      <c r="BI32" s="28" t="str">
        <f>IFERROR(VLOOKUP(BG32,Horarios!$H:$I,2,0),"")</f>
        <v/>
      </c>
      <c r="BJ32" s="28" t="str">
        <f>IFERROR(VLOOKUP(BH32,Horarios!$H:$I,2,0),"")</f>
        <v/>
      </c>
      <c r="BK32" s="28" t="str">
        <f t="shared" si="10"/>
        <v>00:00</v>
      </c>
      <c r="BL32" s="29"/>
      <c r="BM32" s="27"/>
      <c r="BN32" s="27"/>
      <c r="BO32" s="28" t="str">
        <f>IFERROR(VLOOKUP(BM32,Horarios!$H:$I,2,0),"")</f>
        <v/>
      </c>
      <c r="BP32" s="28" t="str">
        <f>IFERROR(VLOOKUP(BN32,Horarios!$H:$I,2,0),"")</f>
        <v/>
      </c>
      <c r="BQ32" s="28" t="str">
        <f t="shared" si="11"/>
        <v>00:00</v>
      </c>
      <c r="BR32" s="29"/>
      <c r="BS32" s="27"/>
      <c r="BT32" s="27"/>
      <c r="BU32" s="28" t="str">
        <f>IFERROR(VLOOKUP(BS32,Horarios!$H:$I,2,0),"")</f>
        <v/>
      </c>
      <c r="BV32" s="28" t="str">
        <f>IFERROR(VLOOKUP(BT32,Horarios!$H:$I,2,0),"")</f>
        <v/>
      </c>
      <c r="BW32" s="28" t="str">
        <f t="shared" si="12"/>
        <v>00:00</v>
      </c>
      <c r="BX32" s="29"/>
      <c r="BY32" s="27"/>
      <c r="BZ32" s="27"/>
      <c r="CA32" s="28" t="str">
        <f>IFERROR(VLOOKUP(BY32,Horarios!$H:$I,2,0),"")</f>
        <v/>
      </c>
      <c r="CB32" s="28" t="str">
        <f>IFERROR(VLOOKUP(BZ32,Horarios!$H:$I,2,0),"")</f>
        <v/>
      </c>
      <c r="CC32" s="28" t="str">
        <f t="shared" si="13"/>
        <v>00:00</v>
      </c>
      <c r="CD32" s="29"/>
      <c r="CE32" s="27"/>
      <c r="CF32" s="27"/>
      <c r="CG32" s="28" t="str">
        <f>IFERROR(VLOOKUP(CE32,Horarios!$H:$I,2,0),"")</f>
        <v/>
      </c>
      <c r="CH32" s="28" t="str">
        <f>IFERROR(VLOOKUP(CF32,Horarios!$H:$I,2,0),"")</f>
        <v/>
      </c>
      <c r="CI32" s="28" t="str">
        <f t="shared" si="14"/>
        <v>00:00</v>
      </c>
      <c r="CJ32" s="29"/>
      <c r="CK32" s="31" t="str">
        <f t="shared" si="15"/>
        <v/>
      </c>
      <c r="CL32" s="27"/>
      <c r="CM32" s="27"/>
      <c r="CN32" s="28" t="str">
        <f>IFERROR(VLOOKUP(CL32,Horarios!$H:$I,2,0),"")</f>
        <v/>
      </c>
      <c r="CO32" s="28" t="str">
        <f>IFERROR(VLOOKUP(CM32,Horarios!$H:$I,2,0),"")</f>
        <v/>
      </c>
      <c r="CP32" s="28" t="str">
        <f t="shared" si="16"/>
        <v>00:00</v>
      </c>
      <c r="CQ32" s="29"/>
      <c r="CR32" s="27"/>
      <c r="CS32" s="27"/>
      <c r="CT32" s="28" t="str">
        <f>IFERROR(VLOOKUP(CR32,Horarios!$H:$I,2,0),"")</f>
        <v/>
      </c>
      <c r="CU32" s="28" t="str">
        <f>IFERROR(VLOOKUP(CS32,Horarios!$H:$I,2,0),"")</f>
        <v/>
      </c>
      <c r="CV32" s="28" t="str">
        <f t="shared" si="17"/>
        <v>00:00</v>
      </c>
      <c r="CW32" s="29"/>
      <c r="CX32" s="27"/>
      <c r="CY32" s="27"/>
      <c r="CZ32" s="28" t="str">
        <f>IFERROR(VLOOKUP(CX32,Horarios!$H:$I,2,0),"")</f>
        <v/>
      </c>
      <c r="DA32" s="28" t="str">
        <f>IFERROR(VLOOKUP(CY32,Horarios!$H:$I,2,0),"")</f>
        <v/>
      </c>
      <c r="DB32" s="28" t="str">
        <f t="shared" si="18"/>
        <v>00:00</v>
      </c>
      <c r="DC32" s="29"/>
      <c r="DD32" s="27"/>
      <c r="DE32" s="27"/>
      <c r="DF32" s="28" t="str">
        <f>IFERROR(VLOOKUP(DD32,Horarios!$H:$I,2,0),"")</f>
        <v/>
      </c>
      <c r="DG32" s="28" t="str">
        <f>IFERROR(VLOOKUP(DE32,Horarios!$H:$I,2,0),"")</f>
        <v/>
      </c>
      <c r="DH32" s="28" t="str">
        <f t="shared" si="19"/>
        <v>00:00</v>
      </c>
      <c r="DI32" s="29"/>
      <c r="DJ32" s="27"/>
      <c r="DK32" s="27"/>
      <c r="DL32" s="28" t="str">
        <f>IFERROR(VLOOKUP(DJ32,Horarios!$H:$I,2,0),"")</f>
        <v/>
      </c>
      <c r="DM32" s="28" t="str">
        <f>IFERROR(VLOOKUP(DK32,Horarios!$H:$I,2,0),"")</f>
        <v/>
      </c>
      <c r="DN32" s="28" t="str">
        <f t="shared" si="20"/>
        <v>00:00</v>
      </c>
      <c r="DO32" s="29"/>
      <c r="DP32" s="27"/>
      <c r="DQ32" s="27"/>
      <c r="DR32" s="28" t="str">
        <f>IFERROR(VLOOKUP(DP32,Horarios!$H:$I,2,0),"")</f>
        <v/>
      </c>
      <c r="DS32" s="28" t="str">
        <f>IFERROR(VLOOKUP(DQ32,Horarios!$H:$I,2,0),"")</f>
        <v/>
      </c>
      <c r="DT32" s="28" t="str">
        <f t="shared" si="21"/>
        <v>00:00</v>
      </c>
      <c r="DU32" s="29"/>
      <c r="DV32" s="27"/>
      <c r="DW32" s="27"/>
      <c r="DX32" s="28" t="str">
        <f>IFERROR(VLOOKUP(DV32,Horarios!$H:$I,2,0),"")</f>
        <v/>
      </c>
      <c r="DY32" s="28" t="str">
        <f>IFERROR(VLOOKUP(DW32,Horarios!$H:$I,2,0),"")</f>
        <v/>
      </c>
      <c r="DZ32" s="28" t="str">
        <f t="shared" si="22"/>
        <v>00:00</v>
      </c>
      <c r="EA32" s="29"/>
      <c r="EB32" s="31" t="str">
        <f t="shared" si="23"/>
        <v/>
      </c>
      <c r="EC32" s="27"/>
      <c r="ED32" s="27"/>
      <c r="EE32" s="28" t="str">
        <f>IFERROR(VLOOKUP(EC32,Horarios!$H:$I,2,0),"")</f>
        <v/>
      </c>
      <c r="EF32" s="28" t="str">
        <f>IFERROR(VLOOKUP(ED32,Horarios!$H:$I,2,0),"")</f>
        <v/>
      </c>
      <c r="EG32" s="28" t="str">
        <f t="shared" si="24"/>
        <v>00:00</v>
      </c>
      <c r="EH32" s="29"/>
      <c r="EI32" s="27"/>
      <c r="EJ32" s="27"/>
      <c r="EK32" s="28" t="str">
        <f>IFERROR(VLOOKUP(EI32,Horarios!$H:$I,2,0),"")</f>
        <v/>
      </c>
      <c r="EL32" s="28" t="str">
        <f>IFERROR(VLOOKUP(EJ32,Horarios!$H:$I,2,0),"")</f>
        <v/>
      </c>
      <c r="EM32" s="28" t="str">
        <f t="shared" si="25"/>
        <v>00:00</v>
      </c>
      <c r="EN32" s="29"/>
      <c r="EO32" s="27"/>
      <c r="EP32" s="27"/>
      <c r="EQ32" s="28" t="str">
        <f>IFERROR(VLOOKUP(EO32,Horarios!$H:$I,2,0),"")</f>
        <v/>
      </c>
      <c r="ER32" s="28" t="str">
        <f>IFERROR(VLOOKUP(EP32,Horarios!$H:$I,2,0),"")</f>
        <v/>
      </c>
      <c r="ES32" s="28" t="str">
        <f t="shared" si="26"/>
        <v>00:00</v>
      </c>
      <c r="ET32" s="29"/>
      <c r="EU32" s="27"/>
      <c r="EV32" s="27"/>
      <c r="EW32" s="28" t="str">
        <f>IFERROR(VLOOKUP(EU32,Horarios!$H:$I,2,0),"")</f>
        <v/>
      </c>
      <c r="EX32" s="28" t="str">
        <f>IFERROR(VLOOKUP(EV32,Horarios!$H:$I,2,0),"")</f>
        <v/>
      </c>
      <c r="EY32" s="28" t="str">
        <f t="shared" si="27"/>
        <v>00:00</v>
      </c>
      <c r="EZ32" s="29"/>
      <c r="FA32" s="27"/>
      <c r="FB32" s="27"/>
      <c r="FC32" s="28" t="str">
        <f>IFERROR(VLOOKUP(FA32,Horarios!$H:$I,2,0),"")</f>
        <v/>
      </c>
      <c r="FD32" s="28" t="str">
        <f>IFERROR(VLOOKUP(FB32,Horarios!$H:$I,2,0),"")</f>
        <v/>
      </c>
      <c r="FE32" s="28" t="str">
        <f t="shared" si="28"/>
        <v>00:00</v>
      </c>
      <c r="FF32" s="29"/>
      <c r="FG32" s="27"/>
      <c r="FH32" s="27"/>
      <c r="FI32" s="28" t="str">
        <f>IFERROR(VLOOKUP(FG32,Horarios!$H:$I,2,0),"")</f>
        <v/>
      </c>
      <c r="FJ32" s="28" t="str">
        <f>IFERROR(VLOOKUP(FH32,Horarios!$H:$I,2,0),"")</f>
        <v/>
      </c>
      <c r="FK32" s="28" t="str">
        <f t="shared" si="29"/>
        <v>00:00</v>
      </c>
      <c r="FL32" s="29"/>
      <c r="FM32" s="27"/>
      <c r="FN32" s="27"/>
      <c r="FO32" s="28" t="str">
        <f>IFERROR(VLOOKUP(FM32,Horarios!$H:$I,2,0),"")</f>
        <v/>
      </c>
      <c r="FP32" s="28" t="str">
        <f>IFERROR(VLOOKUP(FN32,Horarios!$H:$I,2,0),"")</f>
        <v/>
      </c>
      <c r="FQ32" s="28" t="str">
        <f t="shared" si="30"/>
        <v>00:00</v>
      </c>
      <c r="FR32" s="29"/>
      <c r="FS32" s="31" t="str">
        <f t="shared" si="31"/>
        <v/>
      </c>
      <c r="FT32" s="27"/>
      <c r="FU32" s="27"/>
      <c r="FV32" s="28" t="str">
        <f>IFERROR(VLOOKUP(FT32,Horarios!$H:$I,2,0),"")</f>
        <v/>
      </c>
      <c r="FW32" s="28" t="str">
        <f>IFERROR(VLOOKUP(FU32,Horarios!$H:$I,2,0),"")</f>
        <v/>
      </c>
      <c r="FX32" s="28" t="str">
        <f t="shared" si="32"/>
        <v>00:00</v>
      </c>
      <c r="FY32" s="29"/>
      <c r="FZ32" s="27"/>
      <c r="GA32" s="27"/>
      <c r="GB32" s="28" t="str">
        <f>IFERROR(VLOOKUP(FZ32,Horarios!$H:$I,2,0),"")</f>
        <v/>
      </c>
      <c r="GC32" s="28" t="str">
        <f>IFERROR(VLOOKUP(GA32,Horarios!$H:$I,2,0),"")</f>
        <v/>
      </c>
      <c r="GD32" s="28" t="str">
        <f t="shared" si="33"/>
        <v>00:00</v>
      </c>
      <c r="GE32" s="29"/>
      <c r="GF32" s="27"/>
      <c r="GG32" s="27"/>
      <c r="GH32" s="28" t="str">
        <f>IFERROR(VLOOKUP(GF32,Horarios!$H:$I,2,0),"")</f>
        <v/>
      </c>
      <c r="GI32" s="28" t="str">
        <f>IFERROR(VLOOKUP(GG32,Horarios!$H:$I,2,0),"")</f>
        <v/>
      </c>
      <c r="GJ32" s="28" t="str">
        <f t="shared" si="34"/>
        <v>00:00</v>
      </c>
      <c r="GK32" s="29"/>
      <c r="GL32" s="27"/>
      <c r="GM32" s="27"/>
      <c r="GN32" s="28" t="str">
        <f>IFERROR(VLOOKUP(GL32,Horarios!$H:$I,2,0),"")</f>
        <v/>
      </c>
      <c r="GO32" s="28" t="str">
        <f>IFERROR(VLOOKUP(GM32,Horarios!$H:$I,2,0),"")</f>
        <v/>
      </c>
      <c r="GP32" s="28" t="str">
        <f t="shared" si="35"/>
        <v>00:00</v>
      </c>
      <c r="GQ32" s="29"/>
      <c r="GR32" s="27"/>
      <c r="GS32" s="27"/>
      <c r="GT32" s="28" t="str">
        <f>IFERROR(VLOOKUP(GR32,Horarios!$H:$I,2,0),"")</f>
        <v/>
      </c>
      <c r="GU32" s="28" t="str">
        <f>IFERROR(VLOOKUP(GS32,Horarios!$H:$I,2,0),"")</f>
        <v/>
      </c>
      <c r="GV32" s="28" t="str">
        <f t="shared" si="36"/>
        <v>00:00</v>
      </c>
      <c r="GW32" s="29"/>
      <c r="GX32" s="27"/>
      <c r="GY32" s="27"/>
      <c r="GZ32" s="28" t="str">
        <f>IFERROR(VLOOKUP(GX32,Horarios!$H:$I,2,0),"")</f>
        <v/>
      </c>
      <c r="HA32" s="28" t="str">
        <f>IFERROR(VLOOKUP(GY32,Horarios!$H:$I,2,0),"")</f>
        <v/>
      </c>
      <c r="HB32" s="28" t="str">
        <f t="shared" si="37"/>
        <v>00:00</v>
      </c>
      <c r="HC32" s="29"/>
      <c r="HD32" s="27"/>
      <c r="HE32" s="27"/>
      <c r="HF32" s="28" t="str">
        <f>IFERROR(VLOOKUP(HD32,Horarios!$H:$I,2,0),"")</f>
        <v/>
      </c>
      <c r="HG32" s="28" t="str">
        <f>IFERROR(VLOOKUP(HE32,Horarios!$H:$I,2,0),"")</f>
        <v/>
      </c>
      <c r="HH32" s="28" t="str">
        <f t="shared" si="38"/>
        <v>00:00</v>
      </c>
      <c r="HI32" s="29"/>
      <c r="HJ32" s="31" t="str">
        <f t="shared" si="39"/>
        <v/>
      </c>
      <c r="HK32" s="27"/>
      <c r="HL32" s="27"/>
      <c r="HM32" s="28" t="str">
        <f>IFERROR(VLOOKUP(HK32,Horarios!$H:$I,2,0),"")</f>
        <v/>
      </c>
      <c r="HN32" s="28" t="str">
        <f>IFERROR(VLOOKUP(HL32,Horarios!$H:$I,2,0),"")</f>
        <v/>
      </c>
      <c r="HO32" s="28" t="str">
        <f t="shared" si="40"/>
        <v>00:00</v>
      </c>
      <c r="HP32" s="29"/>
      <c r="HQ32" s="27"/>
      <c r="HR32" s="27"/>
      <c r="HS32" s="28" t="str">
        <f>IFERROR(VLOOKUP(HQ32,Horarios!$H:$I,2,0),"")</f>
        <v/>
      </c>
      <c r="HT32" s="28" t="str">
        <f>IFERROR(VLOOKUP(HR32,Horarios!$H:$I,2,0),"")</f>
        <v/>
      </c>
      <c r="HU32" s="28" t="str">
        <f t="shared" si="41"/>
        <v>00:00</v>
      </c>
      <c r="HV32" s="29"/>
      <c r="HW32" s="27"/>
      <c r="HX32" s="27"/>
      <c r="HY32" s="28" t="str">
        <f>IFERROR(VLOOKUP(HW32,Horarios!$H:$I,2,0),"")</f>
        <v/>
      </c>
      <c r="HZ32" s="28" t="str">
        <f>IFERROR(VLOOKUP(HX32,Horarios!$H:$I,2,0),"")</f>
        <v/>
      </c>
      <c r="IA32" s="28" t="str">
        <f t="shared" si="42"/>
        <v>00:00</v>
      </c>
      <c r="IB32" s="29"/>
      <c r="IC32" s="27"/>
      <c r="ID32" s="27"/>
      <c r="IE32" s="28" t="str">
        <f>IFERROR(VLOOKUP(IC32,Horarios!$H:$I,2,0),"")</f>
        <v/>
      </c>
      <c r="IF32" s="28" t="str">
        <f>IFERROR(VLOOKUP(ID32,Horarios!$H:$I,2,0),"")</f>
        <v/>
      </c>
      <c r="IG32" s="28" t="str">
        <f t="shared" si="43"/>
        <v>00:00</v>
      </c>
      <c r="IH32" s="29"/>
      <c r="II32" s="27"/>
      <c r="IJ32" s="27"/>
      <c r="IK32" s="28" t="str">
        <f>IFERROR(VLOOKUP(II32,Horarios!$H:$I,2,0),"")</f>
        <v/>
      </c>
      <c r="IL32" s="28" t="str">
        <f>IFERROR(VLOOKUP(IJ32,Horarios!$H:$I,2,0),"")</f>
        <v/>
      </c>
      <c r="IM32" s="28" t="str">
        <f t="shared" si="44"/>
        <v>00:00</v>
      </c>
      <c r="IN32" s="29"/>
      <c r="IO32" s="27"/>
      <c r="IP32" s="27"/>
      <c r="IQ32" s="28" t="str">
        <f>IFERROR(VLOOKUP(IO32,Horarios!$H:$I,2,0),"")</f>
        <v/>
      </c>
      <c r="IR32" s="28" t="str">
        <f>IFERROR(VLOOKUP(IP32,Horarios!$H:$I,2,0),"")</f>
        <v/>
      </c>
      <c r="IS32" s="28" t="str">
        <f t="shared" si="45"/>
        <v>00:00</v>
      </c>
      <c r="IT32" s="29"/>
      <c r="IU32" s="27"/>
      <c r="IV32" s="27"/>
      <c r="IW32" s="28" t="str">
        <f>IFERROR(VLOOKUP(IU32,Horarios!$H:$I,2,0),"")</f>
        <v/>
      </c>
      <c r="IX32" s="28" t="str">
        <f>IFERROR(VLOOKUP(IV32,Horarios!$H:$I,2,0),"")</f>
        <v/>
      </c>
      <c r="IY32" s="28" t="str">
        <f t="shared" si="46"/>
        <v>00:00</v>
      </c>
      <c r="IZ32" s="29"/>
      <c r="JA32" s="31" t="str">
        <f t="shared" si="47"/>
        <v/>
      </c>
    </row>
    <row r="33" spans="1:261" s="24" customFormat="1" ht="17.399999999999999" x14ac:dyDescent="0.25">
      <c r="A33" s="25"/>
      <c r="B33" s="26" t="str">
        <f>IFERROR(VLOOKUP(A33,BaseNombres!A:B,2,0),"")</f>
        <v/>
      </c>
      <c r="C33" s="26" t="str">
        <f>IFERROR(VLOOKUP(A33,BaseNombres!A:C,3,0),"")</f>
        <v/>
      </c>
      <c r="D33" s="27"/>
      <c r="E33" s="27"/>
      <c r="F33" s="28" t="str">
        <f>IFERROR(VLOOKUP(D33,Horarios!$H:$I,2,0),"")</f>
        <v/>
      </c>
      <c r="G33" s="28" t="str">
        <f>IFERROR(VLOOKUP(E33,Horarios!$H:$I,2,0),"")</f>
        <v/>
      </c>
      <c r="H33" s="28" t="str">
        <f t="shared" si="0"/>
        <v>00:00</v>
      </c>
      <c r="I33" s="29"/>
      <c r="J33" s="27"/>
      <c r="K33" s="27"/>
      <c r="L33" s="28" t="str">
        <f>IFERROR(VLOOKUP(J33,Horarios!$H:$I,2,0),"")</f>
        <v/>
      </c>
      <c r="M33" s="28" t="str">
        <f>IFERROR(VLOOKUP(K33,Horarios!$H:$I,2,0),"")</f>
        <v/>
      </c>
      <c r="N33" s="28" t="str">
        <f t="shared" si="1"/>
        <v>00:00</v>
      </c>
      <c r="O33" s="29"/>
      <c r="P33" s="27"/>
      <c r="Q33" s="27"/>
      <c r="R33" s="28" t="str">
        <f>IFERROR(VLOOKUP(P33,Horarios!$H:$I,2,0),"")</f>
        <v/>
      </c>
      <c r="S33" s="28" t="str">
        <f>IFERROR(VLOOKUP(Q33,Horarios!$H:$I,2,0),"")</f>
        <v/>
      </c>
      <c r="T33" s="28" t="str">
        <f t="shared" si="2"/>
        <v>00:00</v>
      </c>
      <c r="U33" s="29"/>
      <c r="V33" s="27"/>
      <c r="W33" s="27"/>
      <c r="X33" s="28" t="str">
        <f>IFERROR(VLOOKUP(V33,Horarios!$H:$I,2,0),"")</f>
        <v/>
      </c>
      <c r="Y33" s="28" t="str">
        <f>IFERROR(VLOOKUP(W33,Horarios!$H:$I,2,0),"")</f>
        <v/>
      </c>
      <c r="Z33" s="28" t="str">
        <f t="shared" si="3"/>
        <v>00:00</v>
      </c>
      <c r="AA33" s="29"/>
      <c r="AB33" s="27"/>
      <c r="AC33" s="27"/>
      <c r="AD33" s="28" t="str">
        <f>IFERROR(VLOOKUP(AB33,Horarios!$H:$I,2,0),"")</f>
        <v/>
      </c>
      <c r="AE33" s="28" t="str">
        <f>IFERROR(VLOOKUP(AC33,Horarios!$H:$I,2,0),"")</f>
        <v/>
      </c>
      <c r="AF33" s="28" t="str">
        <f t="shared" si="4"/>
        <v>00:00</v>
      </c>
      <c r="AG33" s="29"/>
      <c r="AH33" s="27"/>
      <c r="AI33" s="27"/>
      <c r="AJ33" s="28" t="str">
        <f>IFERROR(VLOOKUP(AH33,Horarios!$H:$I,2,0),"")</f>
        <v/>
      </c>
      <c r="AK33" s="28" t="str">
        <f>IFERROR(VLOOKUP(AI33,Horarios!$H:$I,2,0),"")</f>
        <v/>
      </c>
      <c r="AL33" s="28" t="str">
        <f t="shared" si="5"/>
        <v>00:00</v>
      </c>
      <c r="AM33" s="29"/>
      <c r="AN33" s="27"/>
      <c r="AO33" s="27"/>
      <c r="AP33" s="28" t="str">
        <f>IFERROR(VLOOKUP(AN33,Horarios!$H:$I,2,0),"")</f>
        <v/>
      </c>
      <c r="AQ33" s="28" t="str">
        <f>IFERROR(VLOOKUP(AO33,Horarios!$H:$I,2,0),"")</f>
        <v/>
      </c>
      <c r="AR33" s="28" t="str">
        <f t="shared" si="6"/>
        <v>00:00</v>
      </c>
      <c r="AS33" s="29"/>
      <c r="AT33" s="31" t="str">
        <f t="shared" si="7"/>
        <v/>
      </c>
      <c r="AU33" s="27"/>
      <c r="AV33" s="27"/>
      <c r="AW33" s="28" t="str">
        <f>IFERROR(VLOOKUP(AU33,Horarios!$H:$I,2,0),"")</f>
        <v/>
      </c>
      <c r="AX33" s="28" t="str">
        <f>IFERROR(VLOOKUP(AV33,Horarios!$H:$I,2,0),"")</f>
        <v/>
      </c>
      <c r="AY33" s="28" t="str">
        <f t="shared" si="8"/>
        <v>00:00</v>
      </c>
      <c r="AZ33" s="29"/>
      <c r="BA33" s="27"/>
      <c r="BB33" s="27"/>
      <c r="BC33" s="28" t="str">
        <f>IFERROR(VLOOKUP(BA33,Horarios!$H:$I,2,0),"")</f>
        <v/>
      </c>
      <c r="BD33" s="28" t="str">
        <f>IFERROR(VLOOKUP(BB33,Horarios!$H:$I,2,0),"")</f>
        <v/>
      </c>
      <c r="BE33" s="28" t="str">
        <f t="shared" si="9"/>
        <v>00:00</v>
      </c>
      <c r="BF33" s="29"/>
      <c r="BG33" s="27"/>
      <c r="BH33" s="27"/>
      <c r="BI33" s="28" t="str">
        <f>IFERROR(VLOOKUP(BG33,Horarios!$H:$I,2,0),"")</f>
        <v/>
      </c>
      <c r="BJ33" s="28" t="str">
        <f>IFERROR(VLOOKUP(BH33,Horarios!$H:$I,2,0),"")</f>
        <v/>
      </c>
      <c r="BK33" s="28" t="str">
        <f t="shared" si="10"/>
        <v>00:00</v>
      </c>
      <c r="BL33" s="29"/>
      <c r="BM33" s="27"/>
      <c r="BN33" s="27"/>
      <c r="BO33" s="28" t="str">
        <f>IFERROR(VLOOKUP(BM33,Horarios!$H:$I,2,0),"")</f>
        <v/>
      </c>
      <c r="BP33" s="28" t="str">
        <f>IFERROR(VLOOKUP(BN33,Horarios!$H:$I,2,0),"")</f>
        <v/>
      </c>
      <c r="BQ33" s="28" t="str">
        <f t="shared" si="11"/>
        <v>00:00</v>
      </c>
      <c r="BR33" s="29"/>
      <c r="BS33" s="27"/>
      <c r="BT33" s="27"/>
      <c r="BU33" s="28" t="str">
        <f>IFERROR(VLOOKUP(BS33,Horarios!$H:$I,2,0),"")</f>
        <v/>
      </c>
      <c r="BV33" s="28" t="str">
        <f>IFERROR(VLOOKUP(BT33,Horarios!$H:$I,2,0),"")</f>
        <v/>
      </c>
      <c r="BW33" s="28" t="str">
        <f t="shared" si="12"/>
        <v>00:00</v>
      </c>
      <c r="BX33" s="29"/>
      <c r="BY33" s="27"/>
      <c r="BZ33" s="27"/>
      <c r="CA33" s="28" t="str">
        <f>IFERROR(VLOOKUP(BY33,Horarios!$H:$I,2,0),"")</f>
        <v/>
      </c>
      <c r="CB33" s="28" t="str">
        <f>IFERROR(VLOOKUP(BZ33,Horarios!$H:$I,2,0),"")</f>
        <v/>
      </c>
      <c r="CC33" s="28" t="str">
        <f t="shared" si="13"/>
        <v>00:00</v>
      </c>
      <c r="CD33" s="29"/>
      <c r="CE33" s="27"/>
      <c r="CF33" s="27"/>
      <c r="CG33" s="28" t="str">
        <f>IFERROR(VLOOKUP(CE33,Horarios!$H:$I,2,0),"")</f>
        <v/>
      </c>
      <c r="CH33" s="28" t="str">
        <f>IFERROR(VLOOKUP(CF33,Horarios!$H:$I,2,0),"")</f>
        <v/>
      </c>
      <c r="CI33" s="28" t="str">
        <f t="shared" si="14"/>
        <v>00:00</v>
      </c>
      <c r="CJ33" s="29"/>
      <c r="CK33" s="31" t="str">
        <f t="shared" si="15"/>
        <v/>
      </c>
      <c r="CL33" s="27"/>
      <c r="CM33" s="27"/>
      <c r="CN33" s="28" t="str">
        <f>IFERROR(VLOOKUP(CL33,Horarios!$H:$I,2,0),"")</f>
        <v/>
      </c>
      <c r="CO33" s="28" t="str">
        <f>IFERROR(VLOOKUP(CM33,Horarios!$H:$I,2,0),"")</f>
        <v/>
      </c>
      <c r="CP33" s="28" t="str">
        <f t="shared" si="16"/>
        <v>00:00</v>
      </c>
      <c r="CQ33" s="29"/>
      <c r="CR33" s="27"/>
      <c r="CS33" s="27"/>
      <c r="CT33" s="28" t="str">
        <f>IFERROR(VLOOKUP(CR33,Horarios!$H:$I,2,0),"")</f>
        <v/>
      </c>
      <c r="CU33" s="28" t="str">
        <f>IFERROR(VLOOKUP(CS33,Horarios!$H:$I,2,0),"")</f>
        <v/>
      </c>
      <c r="CV33" s="28" t="str">
        <f t="shared" si="17"/>
        <v>00:00</v>
      </c>
      <c r="CW33" s="29"/>
      <c r="CX33" s="27"/>
      <c r="CY33" s="27"/>
      <c r="CZ33" s="28" t="str">
        <f>IFERROR(VLOOKUP(CX33,Horarios!$H:$I,2,0),"")</f>
        <v/>
      </c>
      <c r="DA33" s="28" t="str">
        <f>IFERROR(VLOOKUP(CY33,Horarios!$H:$I,2,0),"")</f>
        <v/>
      </c>
      <c r="DB33" s="28" t="str">
        <f t="shared" si="18"/>
        <v>00:00</v>
      </c>
      <c r="DC33" s="29"/>
      <c r="DD33" s="27"/>
      <c r="DE33" s="27"/>
      <c r="DF33" s="28" t="str">
        <f>IFERROR(VLOOKUP(DD33,Horarios!$H:$I,2,0),"")</f>
        <v/>
      </c>
      <c r="DG33" s="28" t="str">
        <f>IFERROR(VLOOKUP(DE33,Horarios!$H:$I,2,0),"")</f>
        <v/>
      </c>
      <c r="DH33" s="28" t="str">
        <f t="shared" si="19"/>
        <v>00:00</v>
      </c>
      <c r="DI33" s="29"/>
      <c r="DJ33" s="27"/>
      <c r="DK33" s="27"/>
      <c r="DL33" s="28" t="str">
        <f>IFERROR(VLOOKUP(DJ33,Horarios!$H:$I,2,0),"")</f>
        <v/>
      </c>
      <c r="DM33" s="28" t="str">
        <f>IFERROR(VLOOKUP(DK33,Horarios!$H:$I,2,0),"")</f>
        <v/>
      </c>
      <c r="DN33" s="28" t="str">
        <f t="shared" si="20"/>
        <v>00:00</v>
      </c>
      <c r="DO33" s="29"/>
      <c r="DP33" s="27"/>
      <c r="DQ33" s="27"/>
      <c r="DR33" s="28" t="str">
        <f>IFERROR(VLOOKUP(DP33,Horarios!$H:$I,2,0),"")</f>
        <v/>
      </c>
      <c r="DS33" s="28" t="str">
        <f>IFERROR(VLOOKUP(DQ33,Horarios!$H:$I,2,0),"")</f>
        <v/>
      </c>
      <c r="DT33" s="28" t="str">
        <f t="shared" si="21"/>
        <v>00:00</v>
      </c>
      <c r="DU33" s="29"/>
      <c r="DV33" s="27"/>
      <c r="DW33" s="27"/>
      <c r="DX33" s="28" t="str">
        <f>IFERROR(VLOOKUP(DV33,Horarios!$H:$I,2,0),"")</f>
        <v/>
      </c>
      <c r="DY33" s="28" t="str">
        <f>IFERROR(VLOOKUP(DW33,Horarios!$H:$I,2,0),"")</f>
        <v/>
      </c>
      <c r="DZ33" s="28" t="str">
        <f t="shared" si="22"/>
        <v>00:00</v>
      </c>
      <c r="EA33" s="29"/>
      <c r="EB33" s="31" t="str">
        <f t="shared" si="23"/>
        <v/>
      </c>
      <c r="EC33" s="27"/>
      <c r="ED33" s="27"/>
      <c r="EE33" s="28" t="str">
        <f>IFERROR(VLOOKUP(EC33,Horarios!$H:$I,2,0),"")</f>
        <v/>
      </c>
      <c r="EF33" s="28" t="str">
        <f>IFERROR(VLOOKUP(ED33,Horarios!$H:$I,2,0),"")</f>
        <v/>
      </c>
      <c r="EG33" s="28" t="str">
        <f t="shared" si="24"/>
        <v>00:00</v>
      </c>
      <c r="EH33" s="29"/>
      <c r="EI33" s="27"/>
      <c r="EJ33" s="27"/>
      <c r="EK33" s="28" t="str">
        <f>IFERROR(VLOOKUP(EI33,Horarios!$H:$I,2,0),"")</f>
        <v/>
      </c>
      <c r="EL33" s="28" t="str">
        <f>IFERROR(VLOOKUP(EJ33,Horarios!$H:$I,2,0),"")</f>
        <v/>
      </c>
      <c r="EM33" s="28" t="str">
        <f t="shared" si="25"/>
        <v>00:00</v>
      </c>
      <c r="EN33" s="29"/>
      <c r="EO33" s="27"/>
      <c r="EP33" s="27"/>
      <c r="EQ33" s="28" t="str">
        <f>IFERROR(VLOOKUP(EO33,Horarios!$H:$I,2,0),"")</f>
        <v/>
      </c>
      <c r="ER33" s="28" t="str">
        <f>IFERROR(VLOOKUP(EP33,Horarios!$H:$I,2,0),"")</f>
        <v/>
      </c>
      <c r="ES33" s="28" t="str">
        <f t="shared" si="26"/>
        <v>00:00</v>
      </c>
      <c r="ET33" s="29"/>
      <c r="EU33" s="27"/>
      <c r="EV33" s="27"/>
      <c r="EW33" s="28" t="str">
        <f>IFERROR(VLOOKUP(EU33,Horarios!$H:$I,2,0),"")</f>
        <v/>
      </c>
      <c r="EX33" s="28" t="str">
        <f>IFERROR(VLOOKUP(EV33,Horarios!$H:$I,2,0),"")</f>
        <v/>
      </c>
      <c r="EY33" s="28" t="str">
        <f t="shared" si="27"/>
        <v>00:00</v>
      </c>
      <c r="EZ33" s="29"/>
      <c r="FA33" s="27"/>
      <c r="FB33" s="27"/>
      <c r="FC33" s="28" t="str">
        <f>IFERROR(VLOOKUP(FA33,Horarios!$H:$I,2,0),"")</f>
        <v/>
      </c>
      <c r="FD33" s="28" t="str">
        <f>IFERROR(VLOOKUP(FB33,Horarios!$H:$I,2,0),"")</f>
        <v/>
      </c>
      <c r="FE33" s="28" t="str">
        <f t="shared" si="28"/>
        <v>00:00</v>
      </c>
      <c r="FF33" s="29"/>
      <c r="FG33" s="27"/>
      <c r="FH33" s="27"/>
      <c r="FI33" s="28" t="str">
        <f>IFERROR(VLOOKUP(FG33,Horarios!$H:$I,2,0),"")</f>
        <v/>
      </c>
      <c r="FJ33" s="28" t="str">
        <f>IFERROR(VLOOKUP(FH33,Horarios!$H:$I,2,0),"")</f>
        <v/>
      </c>
      <c r="FK33" s="28" t="str">
        <f t="shared" si="29"/>
        <v>00:00</v>
      </c>
      <c r="FL33" s="29"/>
      <c r="FM33" s="27"/>
      <c r="FN33" s="27"/>
      <c r="FO33" s="28" t="str">
        <f>IFERROR(VLOOKUP(FM33,Horarios!$H:$I,2,0),"")</f>
        <v/>
      </c>
      <c r="FP33" s="28" t="str">
        <f>IFERROR(VLOOKUP(FN33,Horarios!$H:$I,2,0),"")</f>
        <v/>
      </c>
      <c r="FQ33" s="28" t="str">
        <f t="shared" si="30"/>
        <v>00:00</v>
      </c>
      <c r="FR33" s="29"/>
      <c r="FS33" s="31" t="str">
        <f t="shared" si="31"/>
        <v/>
      </c>
      <c r="FT33" s="27"/>
      <c r="FU33" s="27"/>
      <c r="FV33" s="28" t="str">
        <f>IFERROR(VLOOKUP(FT33,Horarios!$H:$I,2,0),"")</f>
        <v/>
      </c>
      <c r="FW33" s="28" t="str">
        <f>IFERROR(VLOOKUP(FU33,Horarios!$H:$I,2,0),"")</f>
        <v/>
      </c>
      <c r="FX33" s="28" t="str">
        <f t="shared" si="32"/>
        <v>00:00</v>
      </c>
      <c r="FY33" s="29"/>
      <c r="FZ33" s="27"/>
      <c r="GA33" s="27"/>
      <c r="GB33" s="28" t="str">
        <f>IFERROR(VLOOKUP(FZ33,Horarios!$H:$I,2,0),"")</f>
        <v/>
      </c>
      <c r="GC33" s="28" t="str">
        <f>IFERROR(VLOOKUP(GA33,Horarios!$H:$I,2,0),"")</f>
        <v/>
      </c>
      <c r="GD33" s="28" t="str">
        <f t="shared" si="33"/>
        <v>00:00</v>
      </c>
      <c r="GE33" s="29"/>
      <c r="GF33" s="27"/>
      <c r="GG33" s="27"/>
      <c r="GH33" s="28" t="str">
        <f>IFERROR(VLOOKUP(GF33,Horarios!$H:$I,2,0),"")</f>
        <v/>
      </c>
      <c r="GI33" s="28" t="str">
        <f>IFERROR(VLOOKUP(GG33,Horarios!$H:$I,2,0),"")</f>
        <v/>
      </c>
      <c r="GJ33" s="28" t="str">
        <f t="shared" si="34"/>
        <v>00:00</v>
      </c>
      <c r="GK33" s="29"/>
      <c r="GL33" s="27"/>
      <c r="GM33" s="27"/>
      <c r="GN33" s="28" t="str">
        <f>IFERROR(VLOOKUP(GL33,Horarios!$H:$I,2,0),"")</f>
        <v/>
      </c>
      <c r="GO33" s="28" t="str">
        <f>IFERROR(VLOOKUP(GM33,Horarios!$H:$I,2,0),"")</f>
        <v/>
      </c>
      <c r="GP33" s="28" t="str">
        <f t="shared" si="35"/>
        <v>00:00</v>
      </c>
      <c r="GQ33" s="29"/>
      <c r="GR33" s="27"/>
      <c r="GS33" s="27"/>
      <c r="GT33" s="28" t="str">
        <f>IFERROR(VLOOKUP(GR33,Horarios!$H:$I,2,0),"")</f>
        <v/>
      </c>
      <c r="GU33" s="28" t="str">
        <f>IFERROR(VLOOKUP(GS33,Horarios!$H:$I,2,0),"")</f>
        <v/>
      </c>
      <c r="GV33" s="28" t="str">
        <f t="shared" si="36"/>
        <v>00:00</v>
      </c>
      <c r="GW33" s="29"/>
      <c r="GX33" s="27"/>
      <c r="GY33" s="27"/>
      <c r="GZ33" s="28" t="str">
        <f>IFERROR(VLOOKUP(GX33,Horarios!$H:$I,2,0),"")</f>
        <v/>
      </c>
      <c r="HA33" s="28" t="str">
        <f>IFERROR(VLOOKUP(GY33,Horarios!$H:$I,2,0),"")</f>
        <v/>
      </c>
      <c r="HB33" s="28" t="str">
        <f t="shared" si="37"/>
        <v>00:00</v>
      </c>
      <c r="HC33" s="29"/>
      <c r="HD33" s="27"/>
      <c r="HE33" s="27"/>
      <c r="HF33" s="28" t="str">
        <f>IFERROR(VLOOKUP(HD33,Horarios!$H:$I,2,0),"")</f>
        <v/>
      </c>
      <c r="HG33" s="28" t="str">
        <f>IFERROR(VLOOKUP(HE33,Horarios!$H:$I,2,0),"")</f>
        <v/>
      </c>
      <c r="HH33" s="28" t="str">
        <f t="shared" si="38"/>
        <v>00:00</v>
      </c>
      <c r="HI33" s="29"/>
      <c r="HJ33" s="31" t="str">
        <f t="shared" si="39"/>
        <v/>
      </c>
      <c r="HK33" s="27"/>
      <c r="HL33" s="27"/>
      <c r="HM33" s="28" t="str">
        <f>IFERROR(VLOOKUP(HK33,Horarios!$H:$I,2,0),"")</f>
        <v/>
      </c>
      <c r="HN33" s="28" t="str">
        <f>IFERROR(VLOOKUP(HL33,Horarios!$H:$I,2,0),"")</f>
        <v/>
      </c>
      <c r="HO33" s="28" t="str">
        <f t="shared" si="40"/>
        <v>00:00</v>
      </c>
      <c r="HP33" s="29"/>
      <c r="HQ33" s="27"/>
      <c r="HR33" s="27"/>
      <c r="HS33" s="28" t="str">
        <f>IFERROR(VLOOKUP(HQ33,Horarios!$H:$I,2,0),"")</f>
        <v/>
      </c>
      <c r="HT33" s="28" t="str">
        <f>IFERROR(VLOOKUP(HR33,Horarios!$H:$I,2,0),"")</f>
        <v/>
      </c>
      <c r="HU33" s="28" t="str">
        <f t="shared" si="41"/>
        <v>00:00</v>
      </c>
      <c r="HV33" s="29"/>
      <c r="HW33" s="27"/>
      <c r="HX33" s="27"/>
      <c r="HY33" s="28" t="str">
        <f>IFERROR(VLOOKUP(HW33,Horarios!$H:$I,2,0),"")</f>
        <v/>
      </c>
      <c r="HZ33" s="28" t="str">
        <f>IFERROR(VLOOKUP(HX33,Horarios!$H:$I,2,0),"")</f>
        <v/>
      </c>
      <c r="IA33" s="28" t="str">
        <f t="shared" si="42"/>
        <v>00:00</v>
      </c>
      <c r="IB33" s="29"/>
      <c r="IC33" s="27"/>
      <c r="ID33" s="27"/>
      <c r="IE33" s="28" t="str">
        <f>IFERROR(VLOOKUP(IC33,Horarios!$H:$I,2,0),"")</f>
        <v/>
      </c>
      <c r="IF33" s="28" t="str">
        <f>IFERROR(VLOOKUP(ID33,Horarios!$H:$I,2,0),"")</f>
        <v/>
      </c>
      <c r="IG33" s="28" t="str">
        <f t="shared" si="43"/>
        <v>00:00</v>
      </c>
      <c r="IH33" s="29"/>
      <c r="II33" s="27"/>
      <c r="IJ33" s="27"/>
      <c r="IK33" s="28" t="str">
        <f>IFERROR(VLOOKUP(II33,Horarios!$H:$I,2,0),"")</f>
        <v/>
      </c>
      <c r="IL33" s="28" t="str">
        <f>IFERROR(VLOOKUP(IJ33,Horarios!$H:$I,2,0),"")</f>
        <v/>
      </c>
      <c r="IM33" s="28" t="str">
        <f t="shared" si="44"/>
        <v>00:00</v>
      </c>
      <c r="IN33" s="29"/>
      <c r="IO33" s="27"/>
      <c r="IP33" s="27"/>
      <c r="IQ33" s="28" t="str">
        <f>IFERROR(VLOOKUP(IO33,Horarios!$H:$I,2,0),"")</f>
        <v/>
      </c>
      <c r="IR33" s="28" t="str">
        <f>IFERROR(VLOOKUP(IP33,Horarios!$H:$I,2,0),"")</f>
        <v/>
      </c>
      <c r="IS33" s="28" t="str">
        <f t="shared" si="45"/>
        <v>00:00</v>
      </c>
      <c r="IT33" s="29"/>
      <c r="IU33" s="27"/>
      <c r="IV33" s="27"/>
      <c r="IW33" s="28" t="str">
        <f>IFERROR(VLOOKUP(IU33,Horarios!$H:$I,2,0),"")</f>
        <v/>
      </c>
      <c r="IX33" s="28" t="str">
        <f>IFERROR(VLOOKUP(IV33,Horarios!$H:$I,2,0),"")</f>
        <v/>
      </c>
      <c r="IY33" s="28" t="str">
        <f t="shared" si="46"/>
        <v>00:00</v>
      </c>
      <c r="IZ33" s="29"/>
      <c r="JA33" s="31" t="str">
        <f t="shared" si="47"/>
        <v/>
      </c>
    </row>
    <row r="34" spans="1:261" s="24" customFormat="1" ht="17.399999999999999" x14ac:dyDescent="0.25">
      <c r="A34" s="25"/>
      <c r="B34" s="26" t="str">
        <f>IFERROR(VLOOKUP(A34,BaseNombres!A:B,2,0),"")</f>
        <v/>
      </c>
      <c r="C34" s="26" t="str">
        <f>IFERROR(VLOOKUP(A34,BaseNombres!A:C,3,0),"")</f>
        <v/>
      </c>
      <c r="D34" s="30"/>
      <c r="E34" s="27"/>
      <c r="F34" s="28" t="str">
        <f>IFERROR(VLOOKUP(D34,Horarios!$H:$I,2,0),"")</f>
        <v/>
      </c>
      <c r="G34" s="28" t="str">
        <f>IFERROR(VLOOKUP(E34,Horarios!$H:$I,2,0),"")</f>
        <v/>
      </c>
      <c r="H34" s="28" t="str">
        <f t="shared" si="0"/>
        <v>00:00</v>
      </c>
      <c r="I34" s="29"/>
      <c r="J34" s="30"/>
      <c r="K34" s="27"/>
      <c r="L34" s="28" t="str">
        <f>IFERROR(VLOOKUP(J34,Horarios!$H:$I,2,0),"")</f>
        <v/>
      </c>
      <c r="M34" s="28" t="str">
        <f>IFERROR(VLOOKUP(K34,Horarios!$H:$I,2,0),"")</f>
        <v/>
      </c>
      <c r="N34" s="28" t="str">
        <f t="shared" si="1"/>
        <v>00:00</v>
      </c>
      <c r="O34" s="29"/>
      <c r="P34" s="30"/>
      <c r="Q34" s="27"/>
      <c r="R34" s="28" t="str">
        <f>IFERROR(VLOOKUP(P34,Horarios!$H:$I,2,0),"")</f>
        <v/>
      </c>
      <c r="S34" s="28" t="str">
        <f>IFERROR(VLOOKUP(Q34,Horarios!$H:$I,2,0),"")</f>
        <v/>
      </c>
      <c r="T34" s="28" t="str">
        <f t="shared" si="2"/>
        <v>00:00</v>
      </c>
      <c r="U34" s="29"/>
      <c r="V34" s="30"/>
      <c r="W34" s="27"/>
      <c r="X34" s="28" t="str">
        <f>IFERROR(VLOOKUP(V34,Horarios!$H:$I,2,0),"")</f>
        <v/>
      </c>
      <c r="Y34" s="28" t="str">
        <f>IFERROR(VLOOKUP(W34,Horarios!$H:$I,2,0),"")</f>
        <v/>
      </c>
      <c r="Z34" s="28" t="str">
        <f t="shared" si="3"/>
        <v>00:00</v>
      </c>
      <c r="AA34" s="29"/>
      <c r="AB34" s="30"/>
      <c r="AC34" s="27"/>
      <c r="AD34" s="28" t="str">
        <f>IFERROR(VLOOKUP(AB34,Horarios!$H:$I,2,0),"")</f>
        <v/>
      </c>
      <c r="AE34" s="28" t="str">
        <f>IFERROR(VLOOKUP(AC34,Horarios!$H:$I,2,0),"")</f>
        <v/>
      </c>
      <c r="AF34" s="28" t="str">
        <f t="shared" si="4"/>
        <v>00:00</v>
      </c>
      <c r="AG34" s="29"/>
      <c r="AH34" s="30"/>
      <c r="AI34" s="27"/>
      <c r="AJ34" s="28" t="str">
        <f>IFERROR(VLOOKUP(AH34,Horarios!$H:$I,2,0),"")</f>
        <v/>
      </c>
      <c r="AK34" s="28" t="str">
        <f>IFERROR(VLOOKUP(AI34,Horarios!$H:$I,2,0),"")</f>
        <v/>
      </c>
      <c r="AL34" s="28" t="str">
        <f t="shared" si="5"/>
        <v>00:00</v>
      </c>
      <c r="AM34" s="29"/>
      <c r="AN34" s="30"/>
      <c r="AO34" s="27"/>
      <c r="AP34" s="28" t="str">
        <f>IFERROR(VLOOKUP(AN34,Horarios!$H:$I,2,0),"")</f>
        <v/>
      </c>
      <c r="AQ34" s="28" t="str">
        <f>IFERROR(VLOOKUP(AO34,Horarios!$H:$I,2,0),"")</f>
        <v/>
      </c>
      <c r="AR34" s="28" t="str">
        <f t="shared" si="6"/>
        <v>00:00</v>
      </c>
      <c r="AS34" s="29"/>
      <c r="AT34" s="31" t="str">
        <f t="shared" si="7"/>
        <v/>
      </c>
      <c r="AU34" s="30"/>
      <c r="AV34" s="27"/>
      <c r="AW34" s="28" t="str">
        <f>IFERROR(VLOOKUP(AU34,Horarios!$H:$I,2,0),"")</f>
        <v/>
      </c>
      <c r="AX34" s="28" t="str">
        <f>IFERROR(VLOOKUP(AV34,Horarios!$H:$I,2,0),"")</f>
        <v/>
      </c>
      <c r="AY34" s="28" t="str">
        <f t="shared" si="8"/>
        <v>00:00</v>
      </c>
      <c r="AZ34" s="29"/>
      <c r="BA34" s="30"/>
      <c r="BB34" s="27"/>
      <c r="BC34" s="28" t="str">
        <f>IFERROR(VLOOKUP(BA34,Horarios!$H:$I,2,0),"")</f>
        <v/>
      </c>
      <c r="BD34" s="28" t="str">
        <f>IFERROR(VLOOKUP(BB34,Horarios!$H:$I,2,0),"")</f>
        <v/>
      </c>
      <c r="BE34" s="28" t="str">
        <f t="shared" si="9"/>
        <v>00:00</v>
      </c>
      <c r="BF34" s="29"/>
      <c r="BG34" s="30"/>
      <c r="BH34" s="27"/>
      <c r="BI34" s="28" t="str">
        <f>IFERROR(VLOOKUP(BG34,Horarios!$H:$I,2,0),"")</f>
        <v/>
      </c>
      <c r="BJ34" s="28" t="str">
        <f>IFERROR(VLOOKUP(BH34,Horarios!$H:$I,2,0),"")</f>
        <v/>
      </c>
      <c r="BK34" s="28" t="str">
        <f t="shared" si="10"/>
        <v>00:00</v>
      </c>
      <c r="BL34" s="29"/>
      <c r="BM34" s="30"/>
      <c r="BN34" s="27"/>
      <c r="BO34" s="28" t="str">
        <f>IFERROR(VLOOKUP(BM34,Horarios!$H:$I,2,0),"")</f>
        <v/>
      </c>
      <c r="BP34" s="28" t="str">
        <f>IFERROR(VLOOKUP(BN34,Horarios!$H:$I,2,0),"")</f>
        <v/>
      </c>
      <c r="BQ34" s="28" t="str">
        <f t="shared" si="11"/>
        <v>00:00</v>
      </c>
      <c r="BR34" s="29"/>
      <c r="BS34" s="30"/>
      <c r="BT34" s="27"/>
      <c r="BU34" s="28" t="str">
        <f>IFERROR(VLOOKUP(BS34,Horarios!$H:$I,2,0),"")</f>
        <v/>
      </c>
      <c r="BV34" s="28" t="str">
        <f>IFERROR(VLOOKUP(BT34,Horarios!$H:$I,2,0),"")</f>
        <v/>
      </c>
      <c r="BW34" s="28" t="str">
        <f t="shared" si="12"/>
        <v>00:00</v>
      </c>
      <c r="BX34" s="29"/>
      <c r="BY34" s="30"/>
      <c r="BZ34" s="27"/>
      <c r="CA34" s="28" t="str">
        <f>IFERROR(VLOOKUP(BY34,Horarios!$H:$I,2,0),"")</f>
        <v/>
      </c>
      <c r="CB34" s="28" t="str">
        <f>IFERROR(VLOOKUP(BZ34,Horarios!$H:$I,2,0),"")</f>
        <v/>
      </c>
      <c r="CC34" s="28" t="str">
        <f t="shared" si="13"/>
        <v>00:00</v>
      </c>
      <c r="CD34" s="29"/>
      <c r="CE34" s="30"/>
      <c r="CF34" s="27"/>
      <c r="CG34" s="28" t="str">
        <f>IFERROR(VLOOKUP(CE34,Horarios!$H:$I,2,0),"")</f>
        <v/>
      </c>
      <c r="CH34" s="28" t="str">
        <f>IFERROR(VLOOKUP(CF34,Horarios!$H:$I,2,0),"")</f>
        <v/>
      </c>
      <c r="CI34" s="28" t="str">
        <f t="shared" si="14"/>
        <v>00:00</v>
      </c>
      <c r="CJ34" s="29"/>
      <c r="CK34" s="31" t="str">
        <f t="shared" si="15"/>
        <v/>
      </c>
      <c r="CL34" s="30"/>
      <c r="CM34" s="27"/>
      <c r="CN34" s="28" t="str">
        <f>IFERROR(VLOOKUP(CL34,Horarios!$H:$I,2,0),"")</f>
        <v/>
      </c>
      <c r="CO34" s="28" t="str">
        <f>IFERROR(VLOOKUP(CM34,Horarios!$H:$I,2,0),"")</f>
        <v/>
      </c>
      <c r="CP34" s="28" t="str">
        <f t="shared" si="16"/>
        <v>00:00</v>
      </c>
      <c r="CQ34" s="29"/>
      <c r="CR34" s="30"/>
      <c r="CS34" s="27"/>
      <c r="CT34" s="28" t="str">
        <f>IFERROR(VLOOKUP(CR34,Horarios!$H:$I,2,0),"")</f>
        <v/>
      </c>
      <c r="CU34" s="28" t="str">
        <f>IFERROR(VLOOKUP(CS34,Horarios!$H:$I,2,0),"")</f>
        <v/>
      </c>
      <c r="CV34" s="28" t="str">
        <f t="shared" si="17"/>
        <v>00:00</v>
      </c>
      <c r="CW34" s="29"/>
      <c r="CX34" s="30"/>
      <c r="CY34" s="27"/>
      <c r="CZ34" s="28" t="str">
        <f>IFERROR(VLOOKUP(CX34,Horarios!$H:$I,2,0),"")</f>
        <v/>
      </c>
      <c r="DA34" s="28" t="str">
        <f>IFERROR(VLOOKUP(CY34,Horarios!$H:$I,2,0),"")</f>
        <v/>
      </c>
      <c r="DB34" s="28" t="str">
        <f t="shared" si="18"/>
        <v>00:00</v>
      </c>
      <c r="DC34" s="29"/>
      <c r="DD34" s="30"/>
      <c r="DE34" s="27"/>
      <c r="DF34" s="28" t="str">
        <f>IFERROR(VLOOKUP(DD34,Horarios!$H:$I,2,0),"")</f>
        <v/>
      </c>
      <c r="DG34" s="28" t="str">
        <f>IFERROR(VLOOKUP(DE34,Horarios!$H:$I,2,0),"")</f>
        <v/>
      </c>
      <c r="DH34" s="28" t="str">
        <f t="shared" si="19"/>
        <v>00:00</v>
      </c>
      <c r="DI34" s="29"/>
      <c r="DJ34" s="30"/>
      <c r="DK34" s="27"/>
      <c r="DL34" s="28" t="str">
        <f>IFERROR(VLOOKUP(DJ34,Horarios!$H:$I,2,0),"")</f>
        <v/>
      </c>
      <c r="DM34" s="28" t="str">
        <f>IFERROR(VLOOKUP(DK34,Horarios!$H:$I,2,0),"")</f>
        <v/>
      </c>
      <c r="DN34" s="28" t="str">
        <f t="shared" si="20"/>
        <v>00:00</v>
      </c>
      <c r="DO34" s="29"/>
      <c r="DP34" s="30"/>
      <c r="DQ34" s="27"/>
      <c r="DR34" s="28" t="str">
        <f>IFERROR(VLOOKUP(DP34,Horarios!$H:$I,2,0),"")</f>
        <v/>
      </c>
      <c r="DS34" s="28" t="str">
        <f>IFERROR(VLOOKUP(DQ34,Horarios!$H:$I,2,0),"")</f>
        <v/>
      </c>
      <c r="DT34" s="28" t="str">
        <f t="shared" si="21"/>
        <v>00:00</v>
      </c>
      <c r="DU34" s="29"/>
      <c r="DV34" s="30"/>
      <c r="DW34" s="27"/>
      <c r="DX34" s="28" t="str">
        <f>IFERROR(VLOOKUP(DV34,Horarios!$H:$I,2,0),"")</f>
        <v/>
      </c>
      <c r="DY34" s="28" t="str">
        <f>IFERROR(VLOOKUP(DW34,Horarios!$H:$I,2,0),"")</f>
        <v/>
      </c>
      <c r="DZ34" s="28" t="str">
        <f t="shared" si="22"/>
        <v>00:00</v>
      </c>
      <c r="EA34" s="29"/>
      <c r="EB34" s="31" t="str">
        <f t="shared" si="23"/>
        <v/>
      </c>
      <c r="EC34" s="30"/>
      <c r="ED34" s="27"/>
      <c r="EE34" s="28" t="str">
        <f>IFERROR(VLOOKUP(EC34,Horarios!$H:$I,2,0),"")</f>
        <v/>
      </c>
      <c r="EF34" s="28" t="str">
        <f>IFERROR(VLOOKUP(ED34,Horarios!$H:$I,2,0),"")</f>
        <v/>
      </c>
      <c r="EG34" s="28" t="str">
        <f t="shared" si="24"/>
        <v>00:00</v>
      </c>
      <c r="EH34" s="29"/>
      <c r="EI34" s="30"/>
      <c r="EJ34" s="27"/>
      <c r="EK34" s="28" t="str">
        <f>IFERROR(VLOOKUP(EI34,Horarios!$H:$I,2,0),"")</f>
        <v/>
      </c>
      <c r="EL34" s="28" t="str">
        <f>IFERROR(VLOOKUP(EJ34,Horarios!$H:$I,2,0),"")</f>
        <v/>
      </c>
      <c r="EM34" s="28" t="str">
        <f t="shared" si="25"/>
        <v>00:00</v>
      </c>
      <c r="EN34" s="29"/>
      <c r="EO34" s="30"/>
      <c r="EP34" s="27"/>
      <c r="EQ34" s="28" t="str">
        <f>IFERROR(VLOOKUP(EO34,Horarios!$H:$I,2,0),"")</f>
        <v/>
      </c>
      <c r="ER34" s="28" t="str">
        <f>IFERROR(VLOOKUP(EP34,Horarios!$H:$I,2,0),"")</f>
        <v/>
      </c>
      <c r="ES34" s="28" t="str">
        <f t="shared" si="26"/>
        <v>00:00</v>
      </c>
      <c r="ET34" s="29"/>
      <c r="EU34" s="30"/>
      <c r="EV34" s="27"/>
      <c r="EW34" s="28" t="str">
        <f>IFERROR(VLOOKUP(EU34,Horarios!$H:$I,2,0),"")</f>
        <v/>
      </c>
      <c r="EX34" s="28" t="str">
        <f>IFERROR(VLOOKUP(EV34,Horarios!$H:$I,2,0),"")</f>
        <v/>
      </c>
      <c r="EY34" s="28" t="str">
        <f t="shared" si="27"/>
        <v>00:00</v>
      </c>
      <c r="EZ34" s="29"/>
      <c r="FA34" s="30"/>
      <c r="FB34" s="27"/>
      <c r="FC34" s="28" t="str">
        <f>IFERROR(VLOOKUP(FA34,Horarios!$H:$I,2,0),"")</f>
        <v/>
      </c>
      <c r="FD34" s="28" t="str">
        <f>IFERROR(VLOOKUP(FB34,Horarios!$H:$I,2,0),"")</f>
        <v/>
      </c>
      <c r="FE34" s="28" t="str">
        <f t="shared" si="28"/>
        <v>00:00</v>
      </c>
      <c r="FF34" s="29"/>
      <c r="FG34" s="30"/>
      <c r="FH34" s="27"/>
      <c r="FI34" s="28" t="str">
        <f>IFERROR(VLOOKUP(FG34,Horarios!$H:$I,2,0),"")</f>
        <v/>
      </c>
      <c r="FJ34" s="28" t="str">
        <f>IFERROR(VLOOKUP(FH34,Horarios!$H:$I,2,0),"")</f>
        <v/>
      </c>
      <c r="FK34" s="28" t="str">
        <f t="shared" si="29"/>
        <v>00:00</v>
      </c>
      <c r="FL34" s="29"/>
      <c r="FM34" s="30"/>
      <c r="FN34" s="27"/>
      <c r="FO34" s="28" t="str">
        <f>IFERROR(VLOOKUP(FM34,Horarios!$H:$I,2,0),"")</f>
        <v/>
      </c>
      <c r="FP34" s="28" t="str">
        <f>IFERROR(VLOOKUP(FN34,Horarios!$H:$I,2,0),"")</f>
        <v/>
      </c>
      <c r="FQ34" s="28" t="str">
        <f t="shared" si="30"/>
        <v>00:00</v>
      </c>
      <c r="FR34" s="29"/>
      <c r="FS34" s="31" t="str">
        <f t="shared" si="31"/>
        <v/>
      </c>
      <c r="FT34" s="30"/>
      <c r="FU34" s="27"/>
      <c r="FV34" s="28" t="str">
        <f>IFERROR(VLOOKUP(FT34,Horarios!$H:$I,2,0),"")</f>
        <v/>
      </c>
      <c r="FW34" s="28" t="str">
        <f>IFERROR(VLOOKUP(FU34,Horarios!$H:$I,2,0),"")</f>
        <v/>
      </c>
      <c r="FX34" s="28" t="str">
        <f t="shared" si="32"/>
        <v>00:00</v>
      </c>
      <c r="FY34" s="29"/>
      <c r="FZ34" s="30"/>
      <c r="GA34" s="27"/>
      <c r="GB34" s="28" t="str">
        <f>IFERROR(VLOOKUP(FZ34,Horarios!$H:$I,2,0),"")</f>
        <v/>
      </c>
      <c r="GC34" s="28" t="str">
        <f>IFERROR(VLOOKUP(GA34,Horarios!$H:$I,2,0),"")</f>
        <v/>
      </c>
      <c r="GD34" s="28" t="str">
        <f t="shared" si="33"/>
        <v>00:00</v>
      </c>
      <c r="GE34" s="29"/>
      <c r="GF34" s="30"/>
      <c r="GG34" s="27"/>
      <c r="GH34" s="28" t="str">
        <f>IFERROR(VLOOKUP(GF34,Horarios!$H:$I,2,0),"")</f>
        <v/>
      </c>
      <c r="GI34" s="28" t="str">
        <f>IFERROR(VLOOKUP(GG34,Horarios!$H:$I,2,0),"")</f>
        <v/>
      </c>
      <c r="GJ34" s="28" t="str">
        <f t="shared" si="34"/>
        <v>00:00</v>
      </c>
      <c r="GK34" s="29"/>
      <c r="GL34" s="30"/>
      <c r="GM34" s="27"/>
      <c r="GN34" s="28" t="str">
        <f>IFERROR(VLOOKUP(GL34,Horarios!$H:$I,2,0),"")</f>
        <v/>
      </c>
      <c r="GO34" s="28" t="str">
        <f>IFERROR(VLOOKUP(GM34,Horarios!$H:$I,2,0),"")</f>
        <v/>
      </c>
      <c r="GP34" s="28" t="str">
        <f t="shared" si="35"/>
        <v>00:00</v>
      </c>
      <c r="GQ34" s="29"/>
      <c r="GR34" s="30"/>
      <c r="GS34" s="27"/>
      <c r="GT34" s="28" t="str">
        <f>IFERROR(VLOOKUP(GR34,Horarios!$H:$I,2,0),"")</f>
        <v/>
      </c>
      <c r="GU34" s="28" t="str">
        <f>IFERROR(VLOOKUP(GS34,Horarios!$H:$I,2,0),"")</f>
        <v/>
      </c>
      <c r="GV34" s="28" t="str">
        <f t="shared" si="36"/>
        <v>00:00</v>
      </c>
      <c r="GW34" s="29"/>
      <c r="GX34" s="30"/>
      <c r="GY34" s="27"/>
      <c r="GZ34" s="28" t="str">
        <f>IFERROR(VLOOKUP(GX34,Horarios!$H:$I,2,0),"")</f>
        <v/>
      </c>
      <c r="HA34" s="28" t="str">
        <f>IFERROR(VLOOKUP(GY34,Horarios!$H:$I,2,0),"")</f>
        <v/>
      </c>
      <c r="HB34" s="28" t="str">
        <f t="shared" si="37"/>
        <v>00:00</v>
      </c>
      <c r="HC34" s="29"/>
      <c r="HD34" s="30"/>
      <c r="HE34" s="27"/>
      <c r="HF34" s="28" t="str">
        <f>IFERROR(VLOOKUP(HD34,Horarios!$H:$I,2,0),"")</f>
        <v/>
      </c>
      <c r="HG34" s="28" t="str">
        <f>IFERROR(VLOOKUP(HE34,Horarios!$H:$I,2,0),"")</f>
        <v/>
      </c>
      <c r="HH34" s="28" t="str">
        <f t="shared" si="38"/>
        <v>00:00</v>
      </c>
      <c r="HI34" s="29"/>
      <c r="HJ34" s="31" t="str">
        <f t="shared" si="39"/>
        <v/>
      </c>
      <c r="HK34" s="30"/>
      <c r="HL34" s="27"/>
      <c r="HM34" s="28" t="str">
        <f>IFERROR(VLOOKUP(HK34,Horarios!$H:$I,2,0),"")</f>
        <v/>
      </c>
      <c r="HN34" s="28" t="str">
        <f>IFERROR(VLOOKUP(HL34,Horarios!$H:$I,2,0),"")</f>
        <v/>
      </c>
      <c r="HO34" s="28" t="str">
        <f t="shared" si="40"/>
        <v>00:00</v>
      </c>
      <c r="HP34" s="29"/>
      <c r="HQ34" s="30"/>
      <c r="HR34" s="27"/>
      <c r="HS34" s="28" t="str">
        <f>IFERROR(VLOOKUP(HQ34,Horarios!$H:$I,2,0),"")</f>
        <v/>
      </c>
      <c r="HT34" s="28" t="str">
        <f>IFERROR(VLOOKUP(HR34,Horarios!$H:$I,2,0),"")</f>
        <v/>
      </c>
      <c r="HU34" s="28" t="str">
        <f t="shared" si="41"/>
        <v>00:00</v>
      </c>
      <c r="HV34" s="29"/>
      <c r="HW34" s="30"/>
      <c r="HX34" s="27"/>
      <c r="HY34" s="28" t="str">
        <f>IFERROR(VLOOKUP(HW34,Horarios!$H:$I,2,0),"")</f>
        <v/>
      </c>
      <c r="HZ34" s="28" t="str">
        <f>IFERROR(VLOOKUP(HX34,Horarios!$H:$I,2,0),"")</f>
        <v/>
      </c>
      <c r="IA34" s="28" t="str">
        <f t="shared" si="42"/>
        <v>00:00</v>
      </c>
      <c r="IB34" s="29"/>
      <c r="IC34" s="30"/>
      <c r="ID34" s="27"/>
      <c r="IE34" s="28" t="str">
        <f>IFERROR(VLOOKUP(IC34,Horarios!$H:$I,2,0),"")</f>
        <v/>
      </c>
      <c r="IF34" s="28" t="str">
        <f>IFERROR(VLOOKUP(ID34,Horarios!$H:$I,2,0),"")</f>
        <v/>
      </c>
      <c r="IG34" s="28" t="str">
        <f t="shared" si="43"/>
        <v>00:00</v>
      </c>
      <c r="IH34" s="29"/>
      <c r="II34" s="30"/>
      <c r="IJ34" s="27"/>
      <c r="IK34" s="28" t="str">
        <f>IFERROR(VLOOKUP(II34,Horarios!$H:$I,2,0),"")</f>
        <v/>
      </c>
      <c r="IL34" s="28" t="str">
        <f>IFERROR(VLOOKUP(IJ34,Horarios!$H:$I,2,0),"")</f>
        <v/>
      </c>
      <c r="IM34" s="28" t="str">
        <f t="shared" si="44"/>
        <v>00:00</v>
      </c>
      <c r="IN34" s="29"/>
      <c r="IO34" s="30"/>
      <c r="IP34" s="27"/>
      <c r="IQ34" s="28" t="str">
        <f>IFERROR(VLOOKUP(IO34,Horarios!$H:$I,2,0),"")</f>
        <v/>
      </c>
      <c r="IR34" s="28" t="str">
        <f>IFERROR(VLOOKUP(IP34,Horarios!$H:$I,2,0),"")</f>
        <v/>
      </c>
      <c r="IS34" s="28" t="str">
        <f t="shared" si="45"/>
        <v>00:00</v>
      </c>
      <c r="IT34" s="29"/>
      <c r="IU34" s="30"/>
      <c r="IV34" s="27"/>
      <c r="IW34" s="28" t="str">
        <f>IFERROR(VLOOKUP(IU34,Horarios!$H:$I,2,0),"")</f>
        <v/>
      </c>
      <c r="IX34" s="28" t="str">
        <f>IFERROR(VLOOKUP(IV34,Horarios!$H:$I,2,0),"")</f>
        <v/>
      </c>
      <c r="IY34" s="28" t="str">
        <f t="shared" si="46"/>
        <v>00:00</v>
      </c>
      <c r="IZ34" s="29"/>
      <c r="JA34" s="31" t="str">
        <f t="shared" si="47"/>
        <v/>
      </c>
    </row>
    <row r="35" spans="1:261" s="24" customFormat="1" ht="17.399999999999999" x14ac:dyDescent="0.25">
      <c r="A35" s="25"/>
      <c r="B35" s="26" t="str">
        <f>IFERROR(VLOOKUP(A35,BaseNombres!A:B,2,0),"")</f>
        <v/>
      </c>
      <c r="C35" s="26" t="str">
        <f>IFERROR(VLOOKUP(A35,BaseNombres!A:C,3,0),"")</f>
        <v/>
      </c>
      <c r="D35" s="30"/>
      <c r="E35" s="27"/>
      <c r="F35" s="28" t="str">
        <f>IFERROR(VLOOKUP(D35,Horarios!$H:$I,2,0),"")</f>
        <v/>
      </c>
      <c r="G35" s="28" t="str">
        <f>IFERROR(VLOOKUP(E35,Horarios!$H:$I,2,0),"")</f>
        <v/>
      </c>
      <c r="H35" s="28" t="str">
        <f t="shared" si="0"/>
        <v>00:00</v>
      </c>
      <c r="I35" s="29"/>
      <c r="J35" s="30"/>
      <c r="K35" s="27"/>
      <c r="L35" s="28" t="str">
        <f>IFERROR(VLOOKUP(J35,Horarios!$H:$I,2,0),"")</f>
        <v/>
      </c>
      <c r="M35" s="28" t="str">
        <f>IFERROR(VLOOKUP(K35,Horarios!$H:$I,2,0),"")</f>
        <v/>
      </c>
      <c r="N35" s="28" t="str">
        <f t="shared" si="1"/>
        <v>00:00</v>
      </c>
      <c r="O35" s="29"/>
      <c r="P35" s="30"/>
      <c r="Q35" s="27"/>
      <c r="R35" s="28" t="str">
        <f>IFERROR(VLOOKUP(P35,Horarios!$H:$I,2,0),"")</f>
        <v/>
      </c>
      <c r="S35" s="28" t="str">
        <f>IFERROR(VLOOKUP(Q35,Horarios!$H:$I,2,0),"")</f>
        <v/>
      </c>
      <c r="T35" s="28" t="str">
        <f t="shared" si="2"/>
        <v>00:00</v>
      </c>
      <c r="U35" s="29"/>
      <c r="V35" s="30"/>
      <c r="W35" s="27"/>
      <c r="X35" s="28" t="str">
        <f>IFERROR(VLOOKUP(V35,Horarios!$H:$I,2,0),"")</f>
        <v/>
      </c>
      <c r="Y35" s="28" t="str">
        <f>IFERROR(VLOOKUP(W35,Horarios!$H:$I,2,0),"")</f>
        <v/>
      </c>
      <c r="Z35" s="28" t="str">
        <f t="shared" si="3"/>
        <v>00:00</v>
      </c>
      <c r="AA35" s="29"/>
      <c r="AB35" s="30"/>
      <c r="AC35" s="27"/>
      <c r="AD35" s="28" t="str">
        <f>IFERROR(VLOOKUP(AB35,Horarios!$H:$I,2,0),"")</f>
        <v/>
      </c>
      <c r="AE35" s="28" t="str">
        <f>IFERROR(VLOOKUP(AC35,Horarios!$H:$I,2,0),"")</f>
        <v/>
      </c>
      <c r="AF35" s="28" t="str">
        <f t="shared" si="4"/>
        <v>00:00</v>
      </c>
      <c r="AG35" s="29"/>
      <c r="AH35" s="30"/>
      <c r="AI35" s="27"/>
      <c r="AJ35" s="28" t="str">
        <f>IFERROR(VLOOKUP(AH35,Horarios!$H:$I,2,0),"")</f>
        <v/>
      </c>
      <c r="AK35" s="28" t="str">
        <f>IFERROR(VLOOKUP(AI35,Horarios!$H:$I,2,0),"")</f>
        <v/>
      </c>
      <c r="AL35" s="28" t="str">
        <f t="shared" si="5"/>
        <v>00:00</v>
      </c>
      <c r="AM35" s="29"/>
      <c r="AN35" s="30"/>
      <c r="AO35" s="27"/>
      <c r="AP35" s="28" t="str">
        <f>IFERROR(VLOOKUP(AN35,Horarios!$H:$I,2,0),"")</f>
        <v/>
      </c>
      <c r="AQ35" s="28" t="str">
        <f>IFERROR(VLOOKUP(AO35,Horarios!$H:$I,2,0),"")</f>
        <v/>
      </c>
      <c r="AR35" s="28" t="str">
        <f t="shared" si="6"/>
        <v>00:00</v>
      </c>
      <c r="AS35" s="29"/>
      <c r="AT35" s="31" t="str">
        <f t="shared" si="7"/>
        <v/>
      </c>
      <c r="AU35" s="30"/>
      <c r="AV35" s="27"/>
      <c r="AW35" s="28" t="str">
        <f>IFERROR(VLOOKUP(AU35,Horarios!$H:$I,2,0),"")</f>
        <v/>
      </c>
      <c r="AX35" s="28" t="str">
        <f>IFERROR(VLOOKUP(AV35,Horarios!$H:$I,2,0),"")</f>
        <v/>
      </c>
      <c r="AY35" s="28" t="str">
        <f t="shared" si="8"/>
        <v>00:00</v>
      </c>
      <c r="AZ35" s="29"/>
      <c r="BA35" s="30"/>
      <c r="BB35" s="27"/>
      <c r="BC35" s="28" t="str">
        <f>IFERROR(VLOOKUP(BA35,Horarios!$H:$I,2,0),"")</f>
        <v/>
      </c>
      <c r="BD35" s="28" t="str">
        <f>IFERROR(VLOOKUP(BB35,Horarios!$H:$I,2,0),"")</f>
        <v/>
      </c>
      <c r="BE35" s="28" t="str">
        <f t="shared" si="9"/>
        <v>00:00</v>
      </c>
      <c r="BF35" s="29"/>
      <c r="BG35" s="30"/>
      <c r="BH35" s="27"/>
      <c r="BI35" s="28" t="str">
        <f>IFERROR(VLOOKUP(BG35,Horarios!$H:$I,2,0),"")</f>
        <v/>
      </c>
      <c r="BJ35" s="28" t="str">
        <f>IFERROR(VLOOKUP(BH35,Horarios!$H:$I,2,0),"")</f>
        <v/>
      </c>
      <c r="BK35" s="28" t="str">
        <f t="shared" si="10"/>
        <v>00:00</v>
      </c>
      <c r="BL35" s="29"/>
      <c r="BM35" s="30"/>
      <c r="BN35" s="27"/>
      <c r="BO35" s="28" t="str">
        <f>IFERROR(VLOOKUP(BM35,Horarios!$H:$I,2,0),"")</f>
        <v/>
      </c>
      <c r="BP35" s="28" t="str">
        <f>IFERROR(VLOOKUP(BN35,Horarios!$H:$I,2,0),"")</f>
        <v/>
      </c>
      <c r="BQ35" s="28" t="str">
        <f t="shared" si="11"/>
        <v>00:00</v>
      </c>
      <c r="BR35" s="29"/>
      <c r="BS35" s="30"/>
      <c r="BT35" s="27"/>
      <c r="BU35" s="28" t="str">
        <f>IFERROR(VLOOKUP(BS35,Horarios!$H:$I,2,0),"")</f>
        <v/>
      </c>
      <c r="BV35" s="28" t="str">
        <f>IFERROR(VLOOKUP(BT35,Horarios!$H:$I,2,0),"")</f>
        <v/>
      </c>
      <c r="BW35" s="28" t="str">
        <f t="shared" si="12"/>
        <v>00:00</v>
      </c>
      <c r="BX35" s="29"/>
      <c r="BY35" s="30"/>
      <c r="BZ35" s="27"/>
      <c r="CA35" s="28" t="str">
        <f>IFERROR(VLOOKUP(BY35,Horarios!$H:$I,2,0),"")</f>
        <v/>
      </c>
      <c r="CB35" s="28" t="str">
        <f>IFERROR(VLOOKUP(BZ35,Horarios!$H:$I,2,0),"")</f>
        <v/>
      </c>
      <c r="CC35" s="28" t="str">
        <f t="shared" si="13"/>
        <v>00:00</v>
      </c>
      <c r="CD35" s="29"/>
      <c r="CE35" s="30"/>
      <c r="CF35" s="27"/>
      <c r="CG35" s="28" t="str">
        <f>IFERROR(VLOOKUP(CE35,Horarios!$H:$I,2,0),"")</f>
        <v/>
      </c>
      <c r="CH35" s="28" t="str">
        <f>IFERROR(VLOOKUP(CF35,Horarios!$H:$I,2,0),"")</f>
        <v/>
      </c>
      <c r="CI35" s="28" t="str">
        <f t="shared" si="14"/>
        <v>00:00</v>
      </c>
      <c r="CJ35" s="29"/>
      <c r="CK35" s="31" t="str">
        <f t="shared" si="15"/>
        <v/>
      </c>
      <c r="CL35" s="30"/>
      <c r="CM35" s="27"/>
      <c r="CN35" s="28" t="str">
        <f>IFERROR(VLOOKUP(CL35,Horarios!$H:$I,2,0),"")</f>
        <v/>
      </c>
      <c r="CO35" s="28" t="str">
        <f>IFERROR(VLOOKUP(CM35,Horarios!$H:$I,2,0),"")</f>
        <v/>
      </c>
      <c r="CP35" s="28" t="str">
        <f t="shared" si="16"/>
        <v>00:00</v>
      </c>
      <c r="CQ35" s="29"/>
      <c r="CR35" s="30"/>
      <c r="CS35" s="27"/>
      <c r="CT35" s="28" t="str">
        <f>IFERROR(VLOOKUP(CR35,Horarios!$H:$I,2,0),"")</f>
        <v/>
      </c>
      <c r="CU35" s="28" t="str">
        <f>IFERROR(VLOOKUP(CS35,Horarios!$H:$I,2,0),"")</f>
        <v/>
      </c>
      <c r="CV35" s="28" t="str">
        <f t="shared" si="17"/>
        <v>00:00</v>
      </c>
      <c r="CW35" s="29"/>
      <c r="CX35" s="30"/>
      <c r="CY35" s="27"/>
      <c r="CZ35" s="28" t="str">
        <f>IFERROR(VLOOKUP(CX35,Horarios!$H:$I,2,0),"")</f>
        <v/>
      </c>
      <c r="DA35" s="28" t="str">
        <f>IFERROR(VLOOKUP(CY35,Horarios!$H:$I,2,0),"")</f>
        <v/>
      </c>
      <c r="DB35" s="28" t="str">
        <f t="shared" si="18"/>
        <v>00:00</v>
      </c>
      <c r="DC35" s="29"/>
      <c r="DD35" s="30"/>
      <c r="DE35" s="27"/>
      <c r="DF35" s="28" t="str">
        <f>IFERROR(VLOOKUP(DD35,Horarios!$H:$I,2,0),"")</f>
        <v/>
      </c>
      <c r="DG35" s="28" t="str">
        <f>IFERROR(VLOOKUP(DE35,Horarios!$H:$I,2,0),"")</f>
        <v/>
      </c>
      <c r="DH35" s="28" t="str">
        <f t="shared" si="19"/>
        <v>00:00</v>
      </c>
      <c r="DI35" s="29"/>
      <c r="DJ35" s="30"/>
      <c r="DK35" s="27"/>
      <c r="DL35" s="28" t="str">
        <f>IFERROR(VLOOKUP(DJ35,Horarios!$H:$I,2,0),"")</f>
        <v/>
      </c>
      <c r="DM35" s="28" t="str">
        <f>IFERROR(VLOOKUP(DK35,Horarios!$H:$I,2,0),"")</f>
        <v/>
      </c>
      <c r="DN35" s="28" t="str">
        <f t="shared" si="20"/>
        <v>00:00</v>
      </c>
      <c r="DO35" s="29"/>
      <c r="DP35" s="30"/>
      <c r="DQ35" s="27"/>
      <c r="DR35" s="28" t="str">
        <f>IFERROR(VLOOKUP(DP35,Horarios!$H:$I,2,0),"")</f>
        <v/>
      </c>
      <c r="DS35" s="28" t="str">
        <f>IFERROR(VLOOKUP(DQ35,Horarios!$H:$I,2,0),"")</f>
        <v/>
      </c>
      <c r="DT35" s="28" t="str">
        <f t="shared" si="21"/>
        <v>00:00</v>
      </c>
      <c r="DU35" s="29"/>
      <c r="DV35" s="30"/>
      <c r="DW35" s="27"/>
      <c r="DX35" s="28" t="str">
        <f>IFERROR(VLOOKUP(DV35,Horarios!$H:$I,2,0),"")</f>
        <v/>
      </c>
      <c r="DY35" s="28" t="str">
        <f>IFERROR(VLOOKUP(DW35,Horarios!$H:$I,2,0),"")</f>
        <v/>
      </c>
      <c r="DZ35" s="28" t="str">
        <f t="shared" si="22"/>
        <v>00:00</v>
      </c>
      <c r="EA35" s="29"/>
      <c r="EB35" s="31" t="str">
        <f t="shared" si="23"/>
        <v/>
      </c>
      <c r="EC35" s="30"/>
      <c r="ED35" s="27"/>
      <c r="EE35" s="28" t="str">
        <f>IFERROR(VLOOKUP(EC35,Horarios!$H:$I,2,0),"")</f>
        <v/>
      </c>
      <c r="EF35" s="28" t="str">
        <f>IFERROR(VLOOKUP(ED35,Horarios!$H:$I,2,0),"")</f>
        <v/>
      </c>
      <c r="EG35" s="28" t="str">
        <f t="shared" si="24"/>
        <v>00:00</v>
      </c>
      <c r="EH35" s="29"/>
      <c r="EI35" s="30"/>
      <c r="EJ35" s="27"/>
      <c r="EK35" s="28" t="str">
        <f>IFERROR(VLOOKUP(EI35,Horarios!$H:$I,2,0),"")</f>
        <v/>
      </c>
      <c r="EL35" s="28" t="str">
        <f>IFERROR(VLOOKUP(EJ35,Horarios!$H:$I,2,0),"")</f>
        <v/>
      </c>
      <c r="EM35" s="28" t="str">
        <f t="shared" si="25"/>
        <v>00:00</v>
      </c>
      <c r="EN35" s="29"/>
      <c r="EO35" s="30"/>
      <c r="EP35" s="27"/>
      <c r="EQ35" s="28" t="str">
        <f>IFERROR(VLOOKUP(EO35,Horarios!$H:$I,2,0),"")</f>
        <v/>
      </c>
      <c r="ER35" s="28" t="str">
        <f>IFERROR(VLOOKUP(EP35,Horarios!$H:$I,2,0),"")</f>
        <v/>
      </c>
      <c r="ES35" s="28" t="str">
        <f t="shared" si="26"/>
        <v>00:00</v>
      </c>
      <c r="ET35" s="29"/>
      <c r="EU35" s="30"/>
      <c r="EV35" s="27"/>
      <c r="EW35" s="28" t="str">
        <f>IFERROR(VLOOKUP(EU35,Horarios!$H:$I,2,0),"")</f>
        <v/>
      </c>
      <c r="EX35" s="28" t="str">
        <f>IFERROR(VLOOKUP(EV35,Horarios!$H:$I,2,0),"")</f>
        <v/>
      </c>
      <c r="EY35" s="28" t="str">
        <f t="shared" si="27"/>
        <v>00:00</v>
      </c>
      <c r="EZ35" s="29"/>
      <c r="FA35" s="30"/>
      <c r="FB35" s="27"/>
      <c r="FC35" s="28" t="str">
        <f>IFERROR(VLOOKUP(FA35,Horarios!$H:$I,2,0),"")</f>
        <v/>
      </c>
      <c r="FD35" s="28" t="str">
        <f>IFERROR(VLOOKUP(FB35,Horarios!$H:$I,2,0),"")</f>
        <v/>
      </c>
      <c r="FE35" s="28" t="str">
        <f t="shared" si="28"/>
        <v>00:00</v>
      </c>
      <c r="FF35" s="29"/>
      <c r="FG35" s="30"/>
      <c r="FH35" s="27"/>
      <c r="FI35" s="28" t="str">
        <f>IFERROR(VLOOKUP(FG35,Horarios!$H:$I,2,0),"")</f>
        <v/>
      </c>
      <c r="FJ35" s="28" t="str">
        <f>IFERROR(VLOOKUP(FH35,Horarios!$H:$I,2,0),"")</f>
        <v/>
      </c>
      <c r="FK35" s="28" t="str">
        <f t="shared" si="29"/>
        <v>00:00</v>
      </c>
      <c r="FL35" s="29"/>
      <c r="FM35" s="30"/>
      <c r="FN35" s="27"/>
      <c r="FO35" s="28" t="str">
        <f>IFERROR(VLOOKUP(FM35,Horarios!$H:$I,2,0),"")</f>
        <v/>
      </c>
      <c r="FP35" s="28" t="str">
        <f>IFERROR(VLOOKUP(FN35,Horarios!$H:$I,2,0),"")</f>
        <v/>
      </c>
      <c r="FQ35" s="28" t="str">
        <f t="shared" si="30"/>
        <v>00:00</v>
      </c>
      <c r="FR35" s="29"/>
      <c r="FS35" s="31" t="str">
        <f t="shared" si="31"/>
        <v/>
      </c>
      <c r="FT35" s="30"/>
      <c r="FU35" s="27"/>
      <c r="FV35" s="28" t="str">
        <f>IFERROR(VLOOKUP(FT35,Horarios!$H:$I,2,0),"")</f>
        <v/>
      </c>
      <c r="FW35" s="28" t="str">
        <f>IFERROR(VLOOKUP(FU35,Horarios!$H:$I,2,0),"")</f>
        <v/>
      </c>
      <c r="FX35" s="28" t="str">
        <f t="shared" si="32"/>
        <v>00:00</v>
      </c>
      <c r="FY35" s="29"/>
      <c r="FZ35" s="30"/>
      <c r="GA35" s="27"/>
      <c r="GB35" s="28" t="str">
        <f>IFERROR(VLOOKUP(FZ35,Horarios!$H:$I,2,0),"")</f>
        <v/>
      </c>
      <c r="GC35" s="28" t="str">
        <f>IFERROR(VLOOKUP(GA35,Horarios!$H:$I,2,0),"")</f>
        <v/>
      </c>
      <c r="GD35" s="28" t="str">
        <f t="shared" si="33"/>
        <v>00:00</v>
      </c>
      <c r="GE35" s="29"/>
      <c r="GF35" s="30"/>
      <c r="GG35" s="27"/>
      <c r="GH35" s="28" t="str">
        <f>IFERROR(VLOOKUP(GF35,Horarios!$H:$I,2,0),"")</f>
        <v/>
      </c>
      <c r="GI35" s="28" t="str">
        <f>IFERROR(VLOOKUP(GG35,Horarios!$H:$I,2,0),"")</f>
        <v/>
      </c>
      <c r="GJ35" s="28" t="str">
        <f t="shared" si="34"/>
        <v>00:00</v>
      </c>
      <c r="GK35" s="29"/>
      <c r="GL35" s="30"/>
      <c r="GM35" s="27"/>
      <c r="GN35" s="28" t="str">
        <f>IFERROR(VLOOKUP(GL35,Horarios!$H:$I,2,0),"")</f>
        <v/>
      </c>
      <c r="GO35" s="28" t="str">
        <f>IFERROR(VLOOKUP(GM35,Horarios!$H:$I,2,0),"")</f>
        <v/>
      </c>
      <c r="GP35" s="28" t="str">
        <f t="shared" si="35"/>
        <v>00:00</v>
      </c>
      <c r="GQ35" s="29"/>
      <c r="GR35" s="30"/>
      <c r="GS35" s="27"/>
      <c r="GT35" s="28" t="str">
        <f>IFERROR(VLOOKUP(GR35,Horarios!$H:$I,2,0),"")</f>
        <v/>
      </c>
      <c r="GU35" s="28" t="str">
        <f>IFERROR(VLOOKUP(GS35,Horarios!$H:$I,2,0),"")</f>
        <v/>
      </c>
      <c r="GV35" s="28" t="str">
        <f t="shared" si="36"/>
        <v>00:00</v>
      </c>
      <c r="GW35" s="29"/>
      <c r="GX35" s="30"/>
      <c r="GY35" s="27"/>
      <c r="GZ35" s="28" t="str">
        <f>IFERROR(VLOOKUP(GX35,Horarios!$H:$I,2,0),"")</f>
        <v/>
      </c>
      <c r="HA35" s="28" t="str">
        <f>IFERROR(VLOOKUP(GY35,Horarios!$H:$I,2,0),"")</f>
        <v/>
      </c>
      <c r="HB35" s="28" t="str">
        <f t="shared" si="37"/>
        <v>00:00</v>
      </c>
      <c r="HC35" s="29"/>
      <c r="HD35" s="30"/>
      <c r="HE35" s="27"/>
      <c r="HF35" s="28" t="str">
        <f>IFERROR(VLOOKUP(HD35,Horarios!$H:$I,2,0),"")</f>
        <v/>
      </c>
      <c r="HG35" s="28" t="str">
        <f>IFERROR(VLOOKUP(HE35,Horarios!$H:$I,2,0),"")</f>
        <v/>
      </c>
      <c r="HH35" s="28" t="str">
        <f t="shared" si="38"/>
        <v>00:00</v>
      </c>
      <c r="HI35" s="29"/>
      <c r="HJ35" s="31" t="str">
        <f t="shared" si="39"/>
        <v/>
      </c>
      <c r="HK35" s="30"/>
      <c r="HL35" s="27"/>
      <c r="HM35" s="28" t="str">
        <f>IFERROR(VLOOKUP(HK35,Horarios!$H:$I,2,0),"")</f>
        <v/>
      </c>
      <c r="HN35" s="28" t="str">
        <f>IFERROR(VLOOKUP(HL35,Horarios!$H:$I,2,0),"")</f>
        <v/>
      </c>
      <c r="HO35" s="28" t="str">
        <f t="shared" si="40"/>
        <v>00:00</v>
      </c>
      <c r="HP35" s="29"/>
      <c r="HQ35" s="30"/>
      <c r="HR35" s="27"/>
      <c r="HS35" s="28" t="str">
        <f>IFERROR(VLOOKUP(HQ35,Horarios!$H:$I,2,0),"")</f>
        <v/>
      </c>
      <c r="HT35" s="28" t="str">
        <f>IFERROR(VLOOKUP(HR35,Horarios!$H:$I,2,0),"")</f>
        <v/>
      </c>
      <c r="HU35" s="28" t="str">
        <f t="shared" si="41"/>
        <v>00:00</v>
      </c>
      <c r="HV35" s="29"/>
      <c r="HW35" s="30"/>
      <c r="HX35" s="27"/>
      <c r="HY35" s="28" t="str">
        <f>IFERROR(VLOOKUP(HW35,Horarios!$H:$I,2,0),"")</f>
        <v/>
      </c>
      <c r="HZ35" s="28" t="str">
        <f>IFERROR(VLOOKUP(HX35,Horarios!$H:$I,2,0),"")</f>
        <v/>
      </c>
      <c r="IA35" s="28" t="str">
        <f t="shared" si="42"/>
        <v>00:00</v>
      </c>
      <c r="IB35" s="29"/>
      <c r="IC35" s="30"/>
      <c r="ID35" s="27"/>
      <c r="IE35" s="28" t="str">
        <f>IFERROR(VLOOKUP(IC35,Horarios!$H:$I,2,0),"")</f>
        <v/>
      </c>
      <c r="IF35" s="28" t="str">
        <f>IFERROR(VLOOKUP(ID35,Horarios!$H:$I,2,0),"")</f>
        <v/>
      </c>
      <c r="IG35" s="28" t="str">
        <f t="shared" si="43"/>
        <v>00:00</v>
      </c>
      <c r="IH35" s="29"/>
      <c r="II35" s="30"/>
      <c r="IJ35" s="27"/>
      <c r="IK35" s="28" t="str">
        <f>IFERROR(VLOOKUP(II35,Horarios!$H:$I,2,0),"")</f>
        <v/>
      </c>
      <c r="IL35" s="28" t="str">
        <f>IFERROR(VLOOKUP(IJ35,Horarios!$H:$I,2,0),"")</f>
        <v/>
      </c>
      <c r="IM35" s="28" t="str">
        <f t="shared" si="44"/>
        <v>00:00</v>
      </c>
      <c r="IN35" s="29"/>
      <c r="IO35" s="30"/>
      <c r="IP35" s="27"/>
      <c r="IQ35" s="28" t="str">
        <f>IFERROR(VLOOKUP(IO35,Horarios!$H:$I,2,0),"")</f>
        <v/>
      </c>
      <c r="IR35" s="28" t="str">
        <f>IFERROR(VLOOKUP(IP35,Horarios!$H:$I,2,0),"")</f>
        <v/>
      </c>
      <c r="IS35" s="28" t="str">
        <f t="shared" si="45"/>
        <v>00:00</v>
      </c>
      <c r="IT35" s="29"/>
      <c r="IU35" s="30"/>
      <c r="IV35" s="27"/>
      <c r="IW35" s="28" t="str">
        <f>IFERROR(VLOOKUP(IU35,Horarios!$H:$I,2,0),"")</f>
        <v/>
      </c>
      <c r="IX35" s="28" t="str">
        <f>IFERROR(VLOOKUP(IV35,Horarios!$H:$I,2,0),"")</f>
        <v/>
      </c>
      <c r="IY35" s="28" t="str">
        <f t="shared" si="46"/>
        <v>00:00</v>
      </c>
      <c r="IZ35" s="29"/>
      <c r="JA35" s="31" t="str">
        <f t="shared" si="47"/>
        <v/>
      </c>
    </row>
    <row r="36" spans="1:261" s="24" customFormat="1" ht="17.399999999999999" x14ac:dyDescent="0.25">
      <c r="A36" s="25"/>
      <c r="B36" s="26" t="str">
        <f>IFERROR(VLOOKUP(A36,BaseNombres!A:B,2,0),"")</f>
        <v/>
      </c>
      <c r="C36" s="26" t="str">
        <f>IFERROR(VLOOKUP(A36,BaseNombres!A:C,3,0),"")</f>
        <v/>
      </c>
      <c r="D36" s="27"/>
      <c r="E36" s="27"/>
      <c r="F36" s="28" t="str">
        <f>IFERROR(VLOOKUP(D36,Horarios!$H:$I,2,0),"")</f>
        <v/>
      </c>
      <c r="G36" s="28" t="str">
        <f>IFERROR(VLOOKUP(E36,Horarios!$H:$I,2,0),"")</f>
        <v/>
      </c>
      <c r="H36" s="28" t="str">
        <f t="shared" si="0"/>
        <v>00:00</v>
      </c>
      <c r="I36" s="29"/>
      <c r="J36" s="27"/>
      <c r="K36" s="27"/>
      <c r="L36" s="28" t="str">
        <f>IFERROR(VLOOKUP(J36,Horarios!$H:$I,2,0),"")</f>
        <v/>
      </c>
      <c r="M36" s="28" t="str">
        <f>IFERROR(VLOOKUP(K36,Horarios!$H:$I,2,0),"")</f>
        <v/>
      </c>
      <c r="N36" s="28" t="str">
        <f t="shared" si="1"/>
        <v>00:00</v>
      </c>
      <c r="O36" s="29"/>
      <c r="P36" s="27"/>
      <c r="Q36" s="27"/>
      <c r="R36" s="28" t="str">
        <f>IFERROR(VLOOKUP(P36,Horarios!$H:$I,2,0),"")</f>
        <v/>
      </c>
      <c r="S36" s="28" t="str">
        <f>IFERROR(VLOOKUP(Q36,Horarios!$H:$I,2,0),"")</f>
        <v/>
      </c>
      <c r="T36" s="28" t="str">
        <f t="shared" si="2"/>
        <v>00:00</v>
      </c>
      <c r="U36" s="29"/>
      <c r="V36" s="27"/>
      <c r="W36" s="27"/>
      <c r="X36" s="28" t="str">
        <f>IFERROR(VLOOKUP(V36,Horarios!$H:$I,2,0),"")</f>
        <v/>
      </c>
      <c r="Y36" s="28" t="str">
        <f>IFERROR(VLOOKUP(W36,Horarios!$H:$I,2,0),"")</f>
        <v/>
      </c>
      <c r="Z36" s="28" t="str">
        <f t="shared" si="3"/>
        <v>00:00</v>
      </c>
      <c r="AA36" s="29"/>
      <c r="AB36" s="27"/>
      <c r="AC36" s="27"/>
      <c r="AD36" s="28" t="str">
        <f>IFERROR(VLOOKUP(AB36,Horarios!$H:$I,2,0),"")</f>
        <v/>
      </c>
      <c r="AE36" s="28" t="str">
        <f>IFERROR(VLOOKUP(AC36,Horarios!$H:$I,2,0),"")</f>
        <v/>
      </c>
      <c r="AF36" s="28" t="str">
        <f t="shared" si="4"/>
        <v>00:00</v>
      </c>
      <c r="AG36" s="29"/>
      <c r="AH36" s="27"/>
      <c r="AI36" s="27"/>
      <c r="AJ36" s="28" t="str">
        <f>IFERROR(VLOOKUP(AH36,Horarios!$H:$I,2,0),"")</f>
        <v/>
      </c>
      <c r="AK36" s="28" t="str">
        <f>IFERROR(VLOOKUP(AI36,Horarios!$H:$I,2,0),"")</f>
        <v/>
      </c>
      <c r="AL36" s="28" t="str">
        <f t="shared" si="5"/>
        <v>00:00</v>
      </c>
      <c r="AM36" s="29"/>
      <c r="AN36" s="27"/>
      <c r="AO36" s="27"/>
      <c r="AP36" s="28" t="str">
        <f>IFERROR(VLOOKUP(AN36,Horarios!$H:$I,2,0),"")</f>
        <v/>
      </c>
      <c r="AQ36" s="28" t="str">
        <f>IFERROR(VLOOKUP(AO36,Horarios!$H:$I,2,0),"")</f>
        <v/>
      </c>
      <c r="AR36" s="28" t="str">
        <f t="shared" si="6"/>
        <v>00:00</v>
      </c>
      <c r="AS36" s="29"/>
      <c r="AT36" s="31" t="str">
        <f t="shared" si="7"/>
        <v/>
      </c>
      <c r="AU36" s="27"/>
      <c r="AV36" s="27"/>
      <c r="AW36" s="28" t="str">
        <f>IFERROR(VLOOKUP(AU36,Horarios!$H:$I,2,0),"")</f>
        <v/>
      </c>
      <c r="AX36" s="28" t="str">
        <f>IFERROR(VLOOKUP(AV36,Horarios!$H:$I,2,0),"")</f>
        <v/>
      </c>
      <c r="AY36" s="28" t="str">
        <f t="shared" si="8"/>
        <v>00:00</v>
      </c>
      <c r="AZ36" s="29"/>
      <c r="BA36" s="27"/>
      <c r="BB36" s="27"/>
      <c r="BC36" s="28" t="str">
        <f>IFERROR(VLOOKUP(BA36,Horarios!$H:$I,2,0),"")</f>
        <v/>
      </c>
      <c r="BD36" s="28" t="str">
        <f>IFERROR(VLOOKUP(BB36,Horarios!$H:$I,2,0),"")</f>
        <v/>
      </c>
      <c r="BE36" s="28" t="str">
        <f t="shared" si="9"/>
        <v>00:00</v>
      </c>
      <c r="BF36" s="29"/>
      <c r="BG36" s="27"/>
      <c r="BH36" s="27"/>
      <c r="BI36" s="28" t="str">
        <f>IFERROR(VLOOKUP(BG36,Horarios!$H:$I,2,0),"")</f>
        <v/>
      </c>
      <c r="BJ36" s="28" t="str">
        <f>IFERROR(VLOOKUP(BH36,Horarios!$H:$I,2,0),"")</f>
        <v/>
      </c>
      <c r="BK36" s="28" t="str">
        <f t="shared" si="10"/>
        <v>00:00</v>
      </c>
      <c r="BL36" s="29"/>
      <c r="BM36" s="27"/>
      <c r="BN36" s="27"/>
      <c r="BO36" s="28" t="str">
        <f>IFERROR(VLOOKUP(BM36,Horarios!$H:$I,2,0),"")</f>
        <v/>
      </c>
      <c r="BP36" s="28" t="str">
        <f>IFERROR(VLOOKUP(BN36,Horarios!$H:$I,2,0),"")</f>
        <v/>
      </c>
      <c r="BQ36" s="28" t="str">
        <f t="shared" si="11"/>
        <v>00:00</v>
      </c>
      <c r="BR36" s="29"/>
      <c r="BS36" s="27"/>
      <c r="BT36" s="27"/>
      <c r="BU36" s="28" t="str">
        <f>IFERROR(VLOOKUP(BS36,Horarios!$H:$I,2,0),"")</f>
        <v/>
      </c>
      <c r="BV36" s="28" t="str">
        <f>IFERROR(VLOOKUP(BT36,Horarios!$H:$I,2,0),"")</f>
        <v/>
      </c>
      <c r="BW36" s="28" t="str">
        <f t="shared" si="12"/>
        <v>00:00</v>
      </c>
      <c r="BX36" s="29"/>
      <c r="BY36" s="27"/>
      <c r="BZ36" s="27"/>
      <c r="CA36" s="28" t="str">
        <f>IFERROR(VLOOKUP(BY36,Horarios!$H:$I,2,0),"")</f>
        <v/>
      </c>
      <c r="CB36" s="28" t="str">
        <f>IFERROR(VLOOKUP(BZ36,Horarios!$H:$I,2,0),"")</f>
        <v/>
      </c>
      <c r="CC36" s="28" t="str">
        <f t="shared" si="13"/>
        <v>00:00</v>
      </c>
      <c r="CD36" s="29"/>
      <c r="CE36" s="27"/>
      <c r="CF36" s="27"/>
      <c r="CG36" s="28" t="str">
        <f>IFERROR(VLOOKUP(CE36,Horarios!$H:$I,2,0),"")</f>
        <v/>
      </c>
      <c r="CH36" s="28" t="str">
        <f>IFERROR(VLOOKUP(CF36,Horarios!$H:$I,2,0),"")</f>
        <v/>
      </c>
      <c r="CI36" s="28" t="str">
        <f t="shared" si="14"/>
        <v>00:00</v>
      </c>
      <c r="CJ36" s="29"/>
      <c r="CK36" s="31" t="str">
        <f t="shared" si="15"/>
        <v/>
      </c>
      <c r="CL36" s="27"/>
      <c r="CM36" s="27"/>
      <c r="CN36" s="28" t="str">
        <f>IFERROR(VLOOKUP(CL36,Horarios!$H:$I,2,0),"")</f>
        <v/>
      </c>
      <c r="CO36" s="28" t="str">
        <f>IFERROR(VLOOKUP(CM36,Horarios!$H:$I,2,0),"")</f>
        <v/>
      </c>
      <c r="CP36" s="28" t="str">
        <f t="shared" si="16"/>
        <v>00:00</v>
      </c>
      <c r="CQ36" s="29"/>
      <c r="CR36" s="27"/>
      <c r="CS36" s="27"/>
      <c r="CT36" s="28" t="str">
        <f>IFERROR(VLOOKUP(CR36,Horarios!$H:$I,2,0),"")</f>
        <v/>
      </c>
      <c r="CU36" s="28" t="str">
        <f>IFERROR(VLOOKUP(CS36,Horarios!$H:$I,2,0),"")</f>
        <v/>
      </c>
      <c r="CV36" s="28" t="str">
        <f t="shared" si="17"/>
        <v>00:00</v>
      </c>
      <c r="CW36" s="29"/>
      <c r="CX36" s="27"/>
      <c r="CY36" s="27"/>
      <c r="CZ36" s="28" t="str">
        <f>IFERROR(VLOOKUP(CX36,Horarios!$H:$I,2,0),"")</f>
        <v/>
      </c>
      <c r="DA36" s="28" t="str">
        <f>IFERROR(VLOOKUP(CY36,Horarios!$H:$I,2,0),"")</f>
        <v/>
      </c>
      <c r="DB36" s="28" t="str">
        <f t="shared" si="18"/>
        <v>00:00</v>
      </c>
      <c r="DC36" s="29"/>
      <c r="DD36" s="27"/>
      <c r="DE36" s="27"/>
      <c r="DF36" s="28" t="str">
        <f>IFERROR(VLOOKUP(DD36,Horarios!$H:$I,2,0),"")</f>
        <v/>
      </c>
      <c r="DG36" s="28" t="str">
        <f>IFERROR(VLOOKUP(DE36,Horarios!$H:$I,2,0),"")</f>
        <v/>
      </c>
      <c r="DH36" s="28" t="str">
        <f t="shared" si="19"/>
        <v>00:00</v>
      </c>
      <c r="DI36" s="29"/>
      <c r="DJ36" s="27"/>
      <c r="DK36" s="27"/>
      <c r="DL36" s="28" t="str">
        <f>IFERROR(VLOOKUP(DJ36,Horarios!$H:$I,2,0),"")</f>
        <v/>
      </c>
      <c r="DM36" s="28" t="str">
        <f>IFERROR(VLOOKUP(DK36,Horarios!$H:$I,2,0),"")</f>
        <v/>
      </c>
      <c r="DN36" s="28" t="str">
        <f t="shared" si="20"/>
        <v>00:00</v>
      </c>
      <c r="DO36" s="29"/>
      <c r="DP36" s="27"/>
      <c r="DQ36" s="27"/>
      <c r="DR36" s="28" t="str">
        <f>IFERROR(VLOOKUP(DP36,Horarios!$H:$I,2,0),"")</f>
        <v/>
      </c>
      <c r="DS36" s="28" t="str">
        <f>IFERROR(VLOOKUP(DQ36,Horarios!$H:$I,2,0),"")</f>
        <v/>
      </c>
      <c r="DT36" s="28" t="str">
        <f t="shared" si="21"/>
        <v>00:00</v>
      </c>
      <c r="DU36" s="29"/>
      <c r="DV36" s="27"/>
      <c r="DW36" s="27"/>
      <c r="DX36" s="28" t="str">
        <f>IFERROR(VLOOKUP(DV36,Horarios!$H:$I,2,0),"")</f>
        <v/>
      </c>
      <c r="DY36" s="28" t="str">
        <f>IFERROR(VLOOKUP(DW36,Horarios!$H:$I,2,0),"")</f>
        <v/>
      </c>
      <c r="DZ36" s="28" t="str">
        <f t="shared" si="22"/>
        <v>00:00</v>
      </c>
      <c r="EA36" s="29"/>
      <c r="EB36" s="31" t="str">
        <f t="shared" si="23"/>
        <v/>
      </c>
      <c r="EC36" s="27"/>
      <c r="ED36" s="27"/>
      <c r="EE36" s="28" t="str">
        <f>IFERROR(VLOOKUP(EC36,Horarios!$H:$I,2,0),"")</f>
        <v/>
      </c>
      <c r="EF36" s="28" t="str">
        <f>IFERROR(VLOOKUP(ED36,Horarios!$H:$I,2,0),"")</f>
        <v/>
      </c>
      <c r="EG36" s="28" t="str">
        <f t="shared" si="24"/>
        <v>00:00</v>
      </c>
      <c r="EH36" s="29"/>
      <c r="EI36" s="27"/>
      <c r="EJ36" s="27"/>
      <c r="EK36" s="28" t="str">
        <f>IFERROR(VLOOKUP(EI36,Horarios!$H:$I,2,0),"")</f>
        <v/>
      </c>
      <c r="EL36" s="28" t="str">
        <f>IFERROR(VLOOKUP(EJ36,Horarios!$H:$I,2,0),"")</f>
        <v/>
      </c>
      <c r="EM36" s="28" t="str">
        <f t="shared" si="25"/>
        <v>00:00</v>
      </c>
      <c r="EN36" s="29"/>
      <c r="EO36" s="27"/>
      <c r="EP36" s="27"/>
      <c r="EQ36" s="28" t="str">
        <f>IFERROR(VLOOKUP(EO36,Horarios!$H:$I,2,0),"")</f>
        <v/>
      </c>
      <c r="ER36" s="28" t="str">
        <f>IFERROR(VLOOKUP(EP36,Horarios!$H:$I,2,0),"")</f>
        <v/>
      </c>
      <c r="ES36" s="28" t="str">
        <f t="shared" si="26"/>
        <v>00:00</v>
      </c>
      <c r="ET36" s="29"/>
      <c r="EU36" s="27"/>
      <c r="EV36" s="27"/>
      <c r="EW36" s="28" t="str">
        <f>IFERROR(VLOOKUP(EU36,Horarios!$H:$I,2,0),"")</f>
        <v/>
      </c>
      <c r="EX36" s="28" t="str">
        <f>IFERROR(VLOOKUP(EV36,Horarios!$H:$I,2,0),"")</f>
        <v/>
      </c>
      <c r="EY36" s="28" t="str">
        <f t="shared" si="27"/>
        <v>00:00</v>
      </c>
      <c r="EZ36" s="29"/>
      <c r="FA36" s="27"/>
      <c r="FB36" s="27"/>
      <c r="FC36" s="28" t="str">
        <f>IFERROR(VLOOKUP(FA36,Horarios!$H:$I,2,0),"")</f>
        <v/>
      </c>
      <c r="FD36" s="28" t="str">
        <f>IFERROR(VLOOKUP(FB36,Horarios!$H:$I,2,0),"")</f>
        <v/>
      </c>
      <c r="FE36" s="28" t="str">
        <f t="shared" si="28"/>
        <v>00:00</v>
      </c>
      <c r="FF36" s="29"/>
      <c r="FG36" s="27"/>
      <c r="FH36" s="27"/>
      <c r="FI36" s="28" t="str">
        <f>IFERROR(VLOOKUP(FG36,Horarios!$H:$I,2,0),"")</f>
        <v/>
      </c>
      <c r="FJ36" s="28" t="str">
        <f>IFERROR(VLOOKUP(FH36,Horarios!$H:$I,2,0),"")</f>
        <v/>
      </c>
      <c r="FK36" s="28" t="str">
        <f t="shared" si="29"/>
        <v>00:00</v>
      </c>
      <c r="FL36" s="29"/>
      <c r="FM36" s="27"/>
      <c r="FN36" s="27"/>
      <c r="FO36" s="28" t="str">
        <f>IFERROR(VLOOKUP(FM36,Horarios!$H:$I,2,0),"")</f>
        <v/>
      </c>
      <c r="FP36" s="28" t="str">
        <f>IFERROR(VLOOKUP(FN36,Horarios!$H:$I,2,0),"")</f>
        <v/>
      </c>
      <c r="FQ36" s="28" t="str">
        <f t="shared" si="30"/>
        <v>00:00</v>
      </c>
      <c r="FR36" s="29"/>
      <c r="FS36" s="31" t="str">
        <f t="shared" si="31"/>
        <v/>
      </c>
      <c r="FT36" s="27"/>
      <c r="FU36" s="27"/>
      <c r="FV36" s="28" t="str">
        <f>IFERROR(VLOOKUP(FT36,Horarios!$H:$I,2,0),"")</f>
        <v/>
      </c>
      <c r="FW36" s="28" t="str">
        <f>IFERROR(VLOOKUP(FU36,Horarios!$H:$I,2,0),"")</f>
        <v/>
      </c>
      <c r="FX36" s="28" t="str">
        <f t="shared" si="32"/>
        <v>00:00</v>
      </c>
      <c r="FY36" s="29"/>
      <c r="FZ36" s="27"/>
      <c r="GA36" s="27"/>
      <c r="GB36" s="28" t="str">
        <f>IFERROR(VLOOKUP(FZ36,Horarios!$H:$I,2,0),"")</f>
        <v/>
      </c>
      <c r="GC36" s="28" t="str">
        <f>IFERROR(VLOOKUP(GA36,Horarios!$H:$I,2,0),"")</f>
        <v/>
      </c>
      <c r="GD36" s="28" t="str">
        <f t="shared" si="33"/>
        <v>00:00</v>
      </c>
      <c r="GE36" s="29"/>
      <c r="GF36" s="27"/>
      <c r="GG36" s="27"/>
      <c r="GH36" s="28" t="str">
        <f>IFERROR(VLOOKUP(GF36,Horarios!$H:$I,2,0),"")</f>
        <v/>
      </c>
      <c r="GI36" s="28" t="str">
        <f>IFERROR(VLOOKUP(GG36,Horarios!$H:$I,2,0),"")</f>
        <v/>
      </c>
      <c r="GJ36" s="28" t="str">
        <f t="shared" si="34"/>
        <v>00:00</v>
      </c>
      <c r="GK36" s="29"/>
      <c r="GL36" s="27"/>
      <c r="GM36" s="27"/>
      <c r="GN36" s="28" t="str">
        <f>IFERROR(VLOOKUP(GL36,Horarios!$H:$I,2,0),"")</f>
        <v/>
      </c>
      <c r="GO36" s="28" t="str">
        <f>IFERROR(VLOOKUP(GM36,Horarios!$H:$I,2,0),"")</f>
        <v/>
      </c>
      <c r="GP36" s="28" t="str">
        <f t="shared" si="35"/>
        <v>00:00</v>
      </c>
      <c r="GQ36" s="29"/>
      <c r="GR36" s="27"/>
      <c r="GS36" s="27"/>
      <c r="GT36" s="28" t="str">
        <f>IFERROR(VLOOKUP(GR36,Horarios!$H:$I,2,0),"")</f>
        <v/>
      </c>
      <c r="GU36" s="28" t="str">
        <f>IFERROR(VLOOKUP(GS36,Horarios!$H:$I,2,0),"")</f>
        <v/>
      </c>
      <c r="GV36" s="28" t="str">
        <f t="shared" si="36"/>
        <v>00:00</v>
      </c>
      <c r="GW36" s="29"/>
      <c r="GX36" s="27"/>
      <c r="GY36" s="27"/>
      <c r="GZ36" s="28" t="str">
        <f>IFERROR(VLOOKUP(GX36,Horarios!$H:$I,2,0),"")</f>
        <v/>
      </c>
      <c r="HA36" s="28" t="str">
        <f>IFERROR(VLOOKUP(GY36,Horarios!$H:$I,2,0),"")</f>
        <v/>
      </c>
      <c r="HB36" s="28" t="str">
        <f t="shared" si="37"/>
        <v>00:00</v>
      </c>
      <c r="HC36" s="29"/>
      <c r="HD36" s="27"/>
      <c r="HE36" s="27"/>
      <c r="HF36" s="28" t="str">
        <f>IFERROR(VLOOKUP(HD36,Horarios!$H:$I,2,0),"")</f>
        <v/>
      </c>
      <c r="HG36" s="28" t="str">
        <f>IFERROR(VLOOKUP(HE36,Horarios!$H:$I,2,0),"")</f>
        <v/>
      </c>
      <c r="HH36" s="28" t="str">
        <f t="shared" si="38"/>
        <v>00:00</v>
      </c>
      <c r="HI36" s="29"/>
      <c r="HJ36" s="31" t="str">
        <f t="shared" si="39"/>
        <v/>
      </c>
      <c r="HK36" s="27"/>
      <c r="HL36" s="27"/>
      <c r="HM36" s="28" t="str">
        <f>IFERROR(VLOOKUP(HK36,Horarios!$H:$I,2,0),"")</f>
        <v/>
      </c>
      <c r="HN36" s="28" t="str">
        <f>IFERROR(VLOOKUP(HL36,Horarios!$H:$I,2,0),"")</f>
        <v/>
      </c>
      <c r="HO36" s="28" t="str">
        <f t="shared" si="40"/>
        <v>00:00</v>
      </c>
      <c r="HP36" s="29"/>
      <c r="HQ36" s="27"/>
      <c r="HR36" s="27"/>
      <c r="HS36" s="28" t="str">
        <f>IFERROR(VLOOKUP(HQ36,Horarios!$H:$I,2,0),"")</f>
        <v/>
      </c>
      <c r="HT36" s="28" t="str">
        <f>IFERROR(VLOOKUP(HR36,Horarios!$H:$I,2,0),"")</f>
        <v/>
      </c>
      <c r="HU36" s="28" t="str">
        <f t="shared" si="41"/>
        <v>00:00</v>
      </c>
      <c r="HV36" s="29"/>
      <c r="HW36" s="27"/>
      <c r="HX36" s="27"/>
      <c r="HY36" s="28" t="str">
        <f>IFERROR(VLOOKUP(HW36,Horarios!$H:$I,2,0),"")</f>
        <v/>
      </c>
      <c r="HZ36" s="28" t="str">
        <f>IFERROR(VLOOKUP(HX36,Horarios!$H:$I,2,0),"")</f>
        <v/>
      </c>
      <c r="IA36" s="28" t="str">
        <f t="shared" si="42"/>
        <v>00:00</v>
      </c>
      <c r="IB36" s="29"/>
      <c r="IC36" s="27"/>
      <c r="ID36" s="27"/>
      <c r="IE36" s="28" t="str">
        <f>IFERROR(VLOOKUP(IC36,Horarios!$H:$I,2,0),"")</f>
        <v/>
      </c>
      <c r="IF36" s="28" t="str">
        <f>IFERROR(VLOOKUP(ID36,Horarios!$H:$I,2,0),"")</f>
        <v/>
      </c>
      <c r="IG36" s="28" t="str">
        <f t="shared" si="43"/>
        <v>00:00</v>
      </c>
      <c r="IH36" s="29"/>
      <c r="II36" s="27"/>
      <c r="IJ36" s="27"/>
      <c r="IK36" s="28" t="str">
        <f>IFERROR(VLOOKUP(II36,Horarios!$H:$I,2,0),"")</f>
        <v/>
      </c>
      <c r="IL36" s="28" t="str">
        <f>IFERROR(VLOOKUP(IJ36,Horarios!$H:$I,2,0),"")</f>
        <v/>
      </c>
      <c r="IM36" s="28" t="str">
        <f t="shared" si="44"/>
        <v>00:00</v>
      </c>
      <c r="IN36" s="29"/>
      <c r="IO36" s="27"/>
      <c r="IP36" s="27"/>
      <c r="IQ36" s="28" t="str">
        <f>IFERROR(VLOOKUP(IO36,Horarios!$H:$I,2,0),"")</f>
        <v/>
      </c>
      <c r="IR36" s="28" t="str">
        <f>IFERROR(VLOOKUP(IP36,Horarios!$H:$I,2,0),"")</f>
        <v/>
      </c>
      <c r="IS36" s="28" t="str">
        <f t="shared" si="45"/>
        <v>00:00</v>
      </c>
      <c r="IT36" s="29"/>
      <c r="IU36" s="27"/>
      <c r="IV36" s="27"/>
      <c r="IW36" s="28" t="str">
        <f>IFERROR(VLOOKUP(IU36,Horarios!$H:$I,2,0),"")</f>
        <v/>
      </c>
      <c r="IX36" s="28" t="str">
        <f>IFERROR(VLOOKUP(IV36,Horarios!$H:$I,2,0),"")</f>
        <v/>
      </c>
      <c r="IY36" s="28" t="str">
        <f t="shared" si="46"/>
        <v>00:00</v>
      </c>
      <c r="IZ36" s="29"/>
      <c r="JA36" s="31" t="str">
        <f t="shared" si="47"/>
        <v/>
      </c>
    </row>
    <row r="37" spans="1:261" s="24" customFormat="1" ht="17.399999999999999" x14ac:dyDescent="0.25">
      <c r="A37" s="25"/>
      <c r="B37" s="26" t="str">
        <f>IFERROR(VLOOKUP(A37,BaseNombres!A:B,2,0),"")</f>
        <v/>
      </c>
      <c r="C37" s="26" t="str">
        <f>IFERROR(VLOOKUP(A37,BaseNombres!A:C,3,0),"")</f>
        <v/>
      </c>
      <c r="D37" s="27"/>
      <c r="E37" s="27"/>
      <c r="F37" s="28" t="str">
        <f>IFERROR(VLOOKUP(D37,Horarios!$H:$I,2,0),"")</f>
        <v/>
      </c>
      <c r="G37" s="28" t="str">
        <f>IFERROR(VLOOKUP(E37,Horarios!$H:$I,2,0),"")</f>
        <v/>
      </c>
      <c r="H37" s="28" t="str">
        <f t="shared" si="0"/>
        <v>00:00</v>
      </c>
      <c r="I37" s="29"/>
      <c r="J37" s="27"/>
      <c r="K37" s="27"/>
      <c r="L37" s="28" t="str">
        <f>IFERROR(VLOOKUP(J37,Horarios!$H:$I,2,0),"")</f>
        <v/>
      </c>
      <c r="M37" s="28" t="str">
        <f>IFERROR(VLOOKUP(K37,Horarios!$H:$I,2,0),"")</f>
        <v/>
      </c>
      <c r="N37" s="28" t="str">
        <f t="shared" si="1"/>
        <v>00:00</v>
      </c>
      <c r="O37" s="29"/>
      <c r="P37" s="27"/>
      <c r="Q37" s="27"/>
      <c r="R37" s="28" t="str">
        <f>IFERROR(VLOOKUP(P37,Horarios!$H:$I,2,0),"")</f>
        <v/>
      </c>
      <c r="S37" s="28" t="str">
        <f>IFERROR(VLOOKUP(Q37,Horarios!$H:$I,2,0),"")</f>
        <v/>
      </c>
      <c r="T37" s="28" t="str">
        <f t="shared" si="2"/>
        <v>00:00</v>
      </c>
      <c r="U37" s="29"/>
      <c r="V37" s="27"/>
      <c r="W37" s="27"/>
      <c r="X37" s="28" t="str">
        <f>IFERROR(VLOOKUP(V37,Horarios!$H:$I,2,0),"")</f>
        <v/>
      </c>
      <c r="Y37" s="28" t="str">
        <f>IFERROR(VLOOKUP(W37,Horarios!$H:$I,2,0),"")</f>
        <v/>
      </c>
      <c r="Z37" s="28" t="str">
        <f t="shared" si="3"/>
        <v>00:00</v>
      </c>
      <c r="AA37" s="29"/>
      <c r="AB37" s="27"/>
      <c r="AC37" s="27"/>
      <c r="AD37" s="28" t="str">
        <f>IFERROR(VLOOKUP(AB37,Horarios!$H:$I,2,0),"")</f>
        <v/>
      </c>
      <c r="AE37" s="28" t="str">
        <f>IFERROR(VLOOKUP(AC37,Horarios!$H:$I,2,0),"")</f>
        <v/>
      </c>
      <c r="AF37" s="28" t="str">
        <f t="shared" si="4"/>
        <v>00:00</v>
      </c>
      <c r="AG37" s="29"/>
      <c r="AH37" s="27"/>
      <c r="AI37" s="27"/>
      <c r="AJ37" s="28" t="str">
        <f>IFERROR(VLOOKUP(AH37,Horarios!$H:$I,2,0),"")</f>
        <v/>
      </c>
      <c r="AK37" s="28" t="str">
        <f>IFERROR(VLOOKUP(AI37,Horarios!$H:$I,2,0),"")</f>
        <v/>
      </c>
      <c r="AL37" s="28" t="str">
        <f t="shared" si="5"/>
        <v>00:00</v>
      </c>
      <c r="AM37" s="29"/>
      <c r="AN37" s="27"/>
      <c r="AO37" s="27"/>
      <c r="AP37" s="28" t="str">
        <f>IFERROR(VLOOKUP(AN37,Horarios!$H:$I,2,0),"")</f>
        <v/>
      </c>
      <c r="AQ37" s="28" t="str">
        <f>IFERROR(VLOOKUP(AO37,Horarios!$H:$I,2,0),"")</f>
        <v/>
      </c>
      <c r="AR37" s="28" t="str">
        <f t="shared" si="6"/>
        <v>00:00</v>
      </c>
      <c r="AS37" s="29"/>
      <c r="AT37" s="31" t="str">
        <f t="shared" si="7"/>
        <v/>
      </c>
      <c r="AU37" s="27"/>
      <c r="AV37" s="27"/>
      <c r="AW37" s="28" t="str">
        <f>IFERROR(VLOOKUP(AU37,Horarios!$H:$I,2,0),"")</f>
        <v/>
      </c>
      <c r="AX37" s="28" t="str">
        <f>IFERROR(VLOOKUP(AV37,Horarios!$H:$I,2,0),"")</f>
        <v/>
      </c>
      <c r="AY37" s="28" t="str">
        <f t="shared" si="8"/>
        <v>00:00</v>
      </c>
      <c r="AZ37" s="29"/>
      <c r="BA37" s="27"/>
      <c r="BB37" s="27"/>
      <c r="BC37" s="28" t="str">
        <f>IFERROR(VLOOKUP(BA37,Horarios!$H:$I,2,0),"")</f>
        <v/>
      </c>
      <c r="BD37" s="28" t="str">
        <f>IFERROR(VLOOKUP(BB37,Horarios!$H:$I,2,0),"")</f>
        <v/>
      </c>
      <c r="BE37" s="28" t="str">
        <f t="shared" si="9"/>
        <v>00:00</v>
      </c>
      <c r="BF37" s="29"/>
      <c r="BG37" s="27"/>
      <c r="BH37" s="27"/>
      <c r="BI37" s="28" t="str">
        <f>IFERROR(VLOOKUP(BG37,Horarios!$H:$I,2,0),"")</f>
        <v/>
      </c>
      <c r="BJ37" s="28" t="str">
        <f>IFERROR(VLOOKUP(BH37,Horarios!$H:$I,2,0),"")</f>
        <v/>
      </c>
      <c r="BK37" s="28" t="str">
        <f t="shared" si="10"/>
        <v>00:00</v>
      </c>
      <c r="BL37" s="29"/>
      <c r="BM37" s="27"/>
      <c r="BN37" s="27"/>
      <c r="BO37" s="28" t="str">
        <f>IFERROR(VLOOKUP(BM37,Horarios!$H:$I,2,0),"")</f>
        <v/>
      </c>
      <c r="BP37" s="28" t="str">
        <f>IFERROR(VLOOKUP(BN37,Horarios!$H:$I,2,0),"")</f>
        <v/>
      </c>
      <c r="BQ37" s="28" t="str">
        <f t="shared" si="11"/>
        <v>00:00</v>
      </c>
      <c r="BR37" s="29"/>
      <c r="BS37" s="27"/>
      <c r="BT37" s="27"/>
      <c r="BU37" s="28" t="str">
        <f>IFERROR(VLOOKUP(BS37,Horarios!$H:$I,2,0),"")</f>
        <v/>
      </c>
      <c r="BV37" s="28" t="str">
        <f>IFERROR(VLOOKUP(BT37,Horarios!$H:$I,2,0),"")</f>
        <v/>
      </c>
      <c r="BW37" s="28" t="str">
        <f t="shared" si="12"/>
        <v>00:00</v>
      </c>
      <c r="BX37" s="29"/>
      <c r="BY37" s="27"/>
      <c r="BZ37" s="27"/>
      <c r="CA37" s="28" t="str">
        <f>IFERROR(VLOOKUP(BY37,Horarios!$H:$I,2,0),"")</f>
        <v/>
      </c>
      <c r="CB37" s="28" t="str">
        <f>IFERROR(VLOOKUP(BZ37,Horarios!$H:$I,2,0),"")</f>
        <v/>
      </c>
      <c r="CC37" s="28" t="str">
        <f t="shared" si="13"/>
        <v>00:00</v>
      </c>
      <c r="CD37" s="29"/>
      <c r="CE37" s="27"/>
      <c r="CF37" s="27"/>
      <c r="CG37" s="28" t="str">
        <f>IFERROR(VLOOKUP(CE37,Horarios!$H:$I,2,0),"")</f>
        <v/>
      </c>
      <c r="CH37" s="28" t="str">
        <f>IFERROR(VLOOKUP(CF37,Horarios!$H:$I,2,0),"")</f>
        <v/>
      </c>
      <c r="CI37" s="28" t="str">
        <f t="shared" si="14"/>
        <v>00:00</v>
      </c>
      <c r="CJ37" s="29"/>
      <c r="CK37" s="31" t="str">
        <f t="shared" si="15"/>
        <v/>
      </c>
      <c r="CL37" s="27"/>
      <c r="CM37" s="27"/>
      <c r="CN37" s="28" t="str">
        <f>IFERROR(VLOOKUP(CL37,Horarios!$H:$I,2,0),"")</f>
        <v/>
      </c>
      <c r="CO37" s="28" t="str">
        <f>IFERROR(VLOOKUP(CM37,Horarios!$H:$I,2,0),"")</f>
        <v/>
      </c>
      <c r="CP37" s="28" t="str">
        <f t="shared" si="16"/>
        <v>00:00</v>
      </c>
      <c r="CQ37" s="29"/>
      <c r="CR37" s="27"/>
      <c r="CS37" s="27"/>
      <c r="CT37" s="28" t="str">
        <f>IFERROR(VLOOKUP(CR37,Horarios!$H:$I,2,0),"")</f>
        <v/>
      </c>
      <c r="CU37" s="28" t="str">
        <f>IFERROR(VLOOKUP(CS37,Horarios!$H:$I,2,0),"")</f>
        <v/>
      </c>
      <c r="CV37" s="28" t="str">
        <f t="shared" si="17"/>
        <v>00:00</v>
      </c>
      <c r="CW37" s="29"/>
      <c r="CX37" s="27"/>
      <c r="CY37" s="27"/>
      <c r="CZ37" s="28" t="str">
        <f>IFERROR(VLOOKUP(CX37,Horarios!$H:$I,2,0),"")</f>
        <v/>
      </c>
      <c r="DA37" s="28" t="str">
        <f>IFERROR(VLOOKUP(CY37,Horarios!$H:$I,2,0),"")</f>
        <v/>
      </c>
      <c r="DB37" s="28" t="str">
        <f t="shared" si="18"/>
        <v>00:00</v>
      </c>
      <c r="DC37" s="29"/>
      <c r="DD37" s="27"/>
      <c r="DE37" s="27"/>
      <c r="DF37" s="28" t="str">
        <f>IFERROR(VLOOKUP(DD37,Horarios!$H:$I,2,0),"")</f>
        <v/>
      </c>
      <c r="DG37" s="28" t="str">
        <f>IFERROR(VLOOKUP(DE37,Horarios!$H:$I,2,0),"")</f>
        <v/>
      </c>
      <c r="DH37" s="28" t="str">
        <f t="shared" si="19"/>
        <v>00:00</v>
      </c>
      <c r="DI37" s="29"/>
      <c r="DJ37" s="27"/>
      <c r="DK37" s="27"/>
      <c r="DL37" s="28" t="str">
        <f>IFERROR(VLOOKUP(DJ37,Horarios!$H:$I,2,0),"")</f>
        <v/>
      </c>
      <c r="DM37" s="28" t="str">
        <f>IFERROR(VLOOKUP(DK37,Horarios!$H:$I,2,0),"")</f>
        <v/>
      </c>
      <c r="DN37" s="28" t="str">
        <f t="shared" si="20"/>
        <v>00:00</v>
      </c>
      <c r="DO37" s="29"/>
      <c r="DP37" s="27"/>
      <c r="DQ37" s="27"/>
      <c r="DR37" s="28" t="str">
        <f>IFERROR(VLOOKUP(DP37,Horarios!$H:$I,2,0),"")</f>
        <v/>
      </c>
      <c r="DS37" s="28" t="str">
        <f>IFERROR(VLOOKUP(DQ37,Horarios!$H:$I,2,0),"")</f>
        <v/>
      </c>
      <c r="DT37" s="28" t="str">
        <f t="shared" si="21"/>
        <v>00:00</v>
      </c>
      <c r="DU37" s="29"/>
      <c r="DV37" s="27"/>
      <c r="DW37" s="27"/>
      <c r="DX37" s="28" t="str">
        <f>IFERROR(VLOOKUP(DV37,Horarios!$H:$I,2,0),"")</f>
        <v/>
      </c>
      <c r="DY37" s="28" t="str">
        <f>IFERROR(VLOOKUP(DW37,Horarios!$H:$I,2,0),"")</f>
        <v/>
      </c>
      <c r="DZ37" s="28" t="str">
        <f t="shared" si="22"/>
        <v>00:00</v>
      </c>
      <c r="EA37" s="29"/>
      <c r="EB37" s="31" t="str">
        <f t="shared" si="23"/>
        <v/>
      </c>
      <c r="EC37" s="27"/>
      <c r="ED37" s="27"/>
      <c r="EE37" s="28" t="str">
        <f>IFERROR(VLOOKUP(EC37,Horarios!$H:$I,2,0),"")</f>
        <v/>
      </c>
      <c r="EF37" s="28" t="str">
        <f>IFERROR(VLOOKUP(ED37,Horarios!$H:$I,2,0),"")</f>
        <v/>
      </c>
      <c r="EG37" s="28" t="str">
        <f t="shared" si="24"/>
        <v>00:00</v>
      </c>
      <c r="EH37" s="29"/>
      <c r="EI37" s="27"/>
      <c r="EJ37" s="27"/>
      <c r="EK37" s="28" t="str">
        <f>IFERROR(VLOOKUP(EI37,Horarios!$H:$I,2,0),"")</f>
        <v/>
      </c>
      <c r="EL37" s="28" t="str">
        <f>IFERROR(VLOOKUP(EJ37,Horarios!$H:$I,2,0),"")</f>
        <v/>
      </c>
      <c r="EM37" s="28" t="str">
        <f t="shared" si="25"/>
        <v>00:00</v>
      </c>
      <c r="EN37" s="29"/>
      <c r="EO37" s="27"/>
      <c r="EP37" s="27"/>
      <c r="EQ37" s="28" t="str">
        <f>IFERROR(VLOOKUP(EO37,Horarios!$H:$I,2,0),"")</f>
        <v/>
      </c>
      <c r="ER37" s="28" t="str">
        <f>IFERROR(VLOOKUP(EP37,Horarios!$H:$I,2,0),"")</f>
        <v/>
      </c>
      <c r="ES37" s="28" t="str">
        <f t="shared" si="26"/>
        <v>00:00</v>
      </c>
      <c r="ET37" s="29"/>
      <c r="EU37" s="27"/>
      <c r="EV37" s="27"/>
      <c r="EW37" s="28" t="str">
        <f>IFERROR(VLOOKUP(EU37,Horarios!$H:$I,2,0),"")</f>
        <v/>
      </c>
      <c r="EX37" s="28" t="str">
        <f>IFERROR(VLOOKUP(EV37,Horarios!$H:$I,2,0),"")</f>
        <v/>
      </c>
      <c r="EY37" s="28" t="str">
        <f t="shared" si="27"/>
        <v>00:00</v>
      </c>
      <c r="EZ37" s="29"/>
      <c r="FA37" s="27"/>
      <c r="FB37" s="27"/>
      <c r="FC37" s="28" t="str">
        <f>IFERROR(VLOOKUP(FA37,Horarios!$H:$I,2,0),"")</f>
        <v/>
      </c>
      <c r="FD37" s="28" t="str">
        <f>IFERROR(VLOOKUP(FB37,Horarios!$H:$I,2,0),"")</f>
        <v/>
      </c>
      <c r="FE37" s="28" t="str">
        <f t="shared" si="28"/>
        <v>00:00</v>
      </c>
      <c r="FF37" s="29"/>
      <c r="FG37" s="27"/>
      <c r="FH37" s="27"/>
      <c r="FI37" s="28" t="str">
        <f>IFERROR(VLOOKUP(FG37,Horarios!$H:$I,2,0),"")</f>
        <v/>
      </c>
      <c r="FJ37" s="28" t="str">
        <f>IFERROR(VLOOKUP(FH37,Horarios!$H:$I,2,0),"")</f>
        <v/>
      </c>
      <c r="FK37" s="28" t="str">
        <f t="shared" si="29"/>
        <v>00:00</v>
      </c>
      <c r="FL37" s="29"/>
      <c r="FM37" s="27"/>
      <c r="FN37" s="27"/>
      <c r="FO37" s="28" t="str">
        <f>IFERROR(VLOOKUP(FM37,Horarios!$H:$I,2,0),"")</f>
        <v/>
      </c>
      <c r="FP37" s="28" t="str">
        <f>IFERROR(VLOOKUP(FN37,Horarios!$H:$I,2,0),"")</f>
        <v/>
      </c>
      <c r="FQ37" s="28" t="str">
        <f t="shared" si="30"/>
        <v>00:00</v>
      </c>
      <c r="FR37" s="29"/>
      <c r="FS37" s="31" t="str">
        <f t="shared" si="31"/>
        <v/>
      </c>
      <c r="FT37" s="27"/>
      <c r="FU37" s="27"/>
      <c r="FV37" s="28" t="str">
        <f>IFERROR(VLOOKUP(FT37,Horarios!$H:$I,2,0),"")</f>
        <v/>
      </c>
      <c r="FW37" s="28" t="str">
        <f>IFERROR(VLOOKUP(FU37,Horarios!$H:$I,2,0),"")</f>
        <v/>
      </c>
      <c r="FX37" s="28" t="str">
        <f t="shared" si="32"/>
        <v>00:00</v>
      </c>
      <c r="FY37" s="29"/>
      <c r="FZ37" s="27"/>
      <c r="GA37" s="27"/>
      <c r="GB37" s="28" t="str">
        <f>IFERROR(VLOOKUP(FZ37,Horarios!$H:$I,2,0),"")</f>
        <v/>
      </c>
      <c r="GC37" s="28" t="str">
        <f>IFERROR(VLOOKUP(GA37,Horarios!$H:$I,2,0),"")</f>
        <v/>
      </c>
      <c r="GD37" s="28" t="str">
        <f t="shared" si="33"/>
        <v>00:00</v>
      </c>
      <c r="GE37" s="29"/>
      <c r="GF37" s="27"/>
      <c r="GG37" s="27"/>
      <c r="GH37" s="28" t="str">
        <f>IFERROR(VLOOKUP(GF37,Horarios!$H:$I,2,0),"")</f>
        <v/>
      </c>
      <c r="GI37" s="28" t="str">
        <f>IFERROR(VLOOKUP(GG37,Horarios!$H:$I,2,0),"")</f>
        <v/>
      </c>
      <c r="GJ37" s="28" t="str">
        <f t="shared" si="34"/>
        <v>00:00</v>
      </c>
      <c r="GK37" s="29"/>
      <c r="GL37" s="27"/>
      <c r="GM37" s="27"/>
      <c r="GN37" s="28" t="str">
        <f>IFERROR(VLOOKUP(GL37,Horarios!$H:$I,2,0),"")</f>
        <v/>
      </c>
      <c r="GO37" s="28" t="str">
        <f>IFERROR(VLOOKUP(GM37,Horarios!$H:$I,2,0),"")</f>
        <v/>
      </c>
      <c r="GP37" s="28" t="str">
        <f t="shared" si="35"/>
        <v>00:00</v>
      </c>
      <c r="GQ37" s="29"/>
      <c r="GR37" s="27"/>
      <c r="GS37" s="27"/>
      <c r="GT37" s="28" t="str">
        <f>IFERROR(VLOOKUP(GR37,Horarios!$H:$I,2,0),"")</f>
        <v/>
      </c>
      <c r="GU37" s="28" t="str">
        <f>IFERROR(VLOOKUP(GS37,Horarios!$H:$I,2,0),"")</f>
        <v/>
      </c>
      <c r="GV37" s="28" t="str">
        <f t="shared" si="36"/>
        <v>00:00</v>
      </c>
      <c r="GW37" s="29"/>
      <c r="GX37" s="27"/>
      <c r="GY37" s="27"/>
      <c r="GZ37" s="28" t="str">
        <f>IFERROR(VLOOKUP(GX37,Horarios!$H:$I,2,0),"")</f>
        <v/>
      </c>
      <c r="HA37" s="28" t="str">
        <f>IFERROR(VLOOKUP(GY37,Horarios!$H:$I,2,0),"")</f>
        <v/>
      </c>
      <c r="HB37" s="28" t="str">
        <f t="shared" si="37"/>
        <v>00:00</v>
      </c>
      <c r="HC37" s="29"/>
      <c r="HD37" s="27"/>
      <c r="HE37" s="27"/>
      <c r="HF37" s="28" t="str">
        <f>IFERROR(VLOOKUP(HD37,Horarios!$H:$I,2,0),"")</f>
        <v/>
      </c>
      <c r="HG37" s="28" t="str">
        <f>IFERROR(VLOOKUP(HE37,Horarios!$H:$I,2,0),"")</f>
        <v/>
      </c>
      <c r="HH37" s="28" t="str">
        <f t="shared" si="38"/>
        <v>00:00</v>
      </c>
      <c r="HI37" s="29"/>
      <c r="HJ37" s="31" t="str">
        <f t="shared" si="39"/>
        <v/>
      </c>
      <c r="HK37" s="27"/>
      <c r="HL37" s="27"/>
      <c r="HM37" s="28" t="str">
        <f>IFERROR(VLOOKUP(HK37,Horarios!$H:$I,2,0),"")</f>
        <v/>
      </c>
      <c r="HN37" s="28" t="str">
        <f>IFERROR(VLOOKUP(HL37,Horarios!$H:$I,2,0),"")</f>
        <v/>
      </c>
      <c r="HO37" s="28" t="str">
        <f t="shared" si="40"/>
        <v>00:00</v>
      </c>
      <c r="HP37" s="29"/>
      <c r="HQ37" s="27"/>
      <c r="HR37" s="27"/>
      <c r="HS37" s="28" t="str">
        <f>IFERROR(VLOOKUP(HQ37,Horarios!$H:$I,2,0),"")</f>
        <v/>
      </c>
      <c r="HT37" s="28" t="str">
        <f>IFERROR(VLOOKUP(HR37,Horarios!$H:$I,2,0),"")</f>
        <v/>
      </c>
      <c r="HU37" s="28" t="str">
        <f t="shared" si="41"/>
        <v>00:00</v>
      </c>
      <c r="HV37" s="29"/>
      <c r="HW37" s="27"/>
      <c r="HX37" s="27"/>
      <c r="HY37" s="28" t="str">
        <f>IFERROR(VLOOKUP(HW37,Horarios!$H:$I,2,0),"")</f>
        <v/>
      </c>
      <c r="HZ37" s="28" t="str">
        <f>IFERROR(VLOOKUP(HX37,Horarios!$H:$I,2,0),"")</f>
        <v/>
      </c>
      <c r="IA37" s="28" t="str">
        <f t="shared" si="42"/>
        <v>00:00</v>
      </c>
      <c r="IB37" s="29"/>
      <c r="IC37" s="27"/>
      <c r="ID37" s="27"/>
      <c r="IE37" s="28" t="str">
        <f>IFERROR(VLOOKUP(IC37,Horarios!$H:$I,2,0),"")</f>
        <v/>
      </c>
      <c r="IF37" s="28" t="str">
        <f>IFERROR(VLOOKUP(ID37,Horarios!$H:$I,2,0),"")</f>
        <v/>
      </c>
      <c r="IG37" s="28" t="str">
        <f t="shared" si="43"/>
        <v>00:00</v>
      </c>
      <c r="IH37" s="29"/>
      <c r="II37" s="27"/>
      <c r="IJ37" s="27"/>
      <c r="IK37" s="28" t="str">
        <f>IFERROR(VLOOKUP(II37,Horarios!$H:$I,2,0),"")</f>
        <v/>
      </c>
      <c r="IL37" s="28" t="str">
        <f>IFERROR(VLOOKUP(IJ37,Horarios!$H:$I,2,0),"")</f>
        <v/>
      </c>
      <c r="IM37" s="28" t="str">
        <f t="shared" si="44"/>
        <v>00:00</v>
      </c>
      <c r="IN37" s="29"/>
      <c r="IO37" s="27"/>
      <c r="IP37" s="27"/>
      <c r="IQ37" s="28" t="str">
        <f>IFERROR(VLOOKUP(IO37,Horarios!$H:$I,2,0),"")</f>
        <v/>
      </c>
      <c r="IR37" s="28" t="str">
        <f>IFERROR(VLOOKUP(IP37,Horarios!$H:$I,2,0),"")</f>
        <v/>
      </c>
      <c r="IS37" s="28" t="str">
        <f t="shared" si="45"/>
        <v>00:00</v>
      </c>
      <c r="IT37" s="29"/>
      <c r="IU37" s="27"/>
      <c r="IV37" s="27"/>
      <c r="IW37" s="28" t="str">
        <f>IFERROR(VLOOKUP(IU37,Horarios!$H:$I,2,0),"")</f>
        <v/>
      </c>
      <c r="IX37" s="28" t="str">
        <f>IFERROR(VLOOKUP(IV37,Horarios!$H:$I,2,0),"")</f>
        <v/>
      </c>
      <c r="IY37" s="28" t="str">
        <f t="shared" si="46"/>
        <v>00:00</v>
      </c>
      <c r="IZ37" s="29"/>
      <c r="JA37" s="31" t="str">
        <f t="shared" si="47"/>
        <v/>
      </c>
    </row>
    <row r="38" spans="1:261" s="24" customFormat="1" ht="17.399999999999999" x14ac:dyDescent="0.25">
      <c r="A38" s="25"/>
      <c r="B38" s="26" t="str">
        <f>IFERROR(VLOOKUP(A38,BaseNombres!A:B,2,0),"")</f>
        <v/>
      </c>
      <c r="C38" s="26" t="str">
        <f>IFERROR(VLOOKUP(A38,BaseNombres!A:C,3,0),"")</f>
        <v/>
      </c>
      <c r="D38" s="27"/>
      <c r="E38" s="27"/>
      <c r="F38" s="28" t="str">
        <f>IFERROR(VLOOKUP(D38,Horarios!$H:$I,2,0),"")</f>
        <v/>
      </c>
      <c r="G38" s="28" t="str">
        <f>IFERROR(VLOOKUP(E38,Horarios!$H:$I,2,0),"")</f>
        <v/>
      </c>
      <c r="H38" s="28" t="str">
        <f t="shared" si="0"/>
        <v>00:00</v>
      </c>
      <c r="I38" s="29"/>
      <c r="J38" s="27"/>
      <c r="K38" s="27"/>
      <c r="L38" s="28" t="str">
        <f>IFERROR(VLOOKUP(J38,Horarios!$H:$I,2,0),"")</f>
        <v/>
      </c>
      <c r="M38" s="28" t="str">
        <f>IFERROR(VLOOKUP(K38,Horarios!$H:$I,2,0),"")</f>
        <v/>
      </c>
      <c r="N38" s="28" t="str">
        <f t="shared" si="1"/>
        <v>00:00</v>
      </c>
      <c r="O38" s="29"/>
      <c r="P38" s="27"/>
      <c r="Q38" s="27"/>
      <c r="R38" s="28" t="str">
        <f>IFERROR(VLOOKUP(P38,Horarios!$H:$I,2,0),"")</f>
        <v/>
      </c>
      <c r="S38" s="28" t="str">
        <f>IFERROR(VLOOKUP(Q38,Horarios!$H:$I,2,0),"")</f>
        <v/>
      </c>
      <c r="T38" s="28" t="str">
        <f t="shared" si="2"/>
        <v>00:00</v>
      </c>
      <c r="U38" s="29"/>
      <c r="V38" s="27"/>
      <c r="W38" s="27"/>
      <c r="X38" s="28" t="str">
        <f>IFERROR(VLOOKUP(V38,Horarios!$H:$I,2,0),"")</f>
        <v/>
      </c>
      <c r="Y38" s="28" t="str">
        <f>IFERROR(VLOOKUP(W38,Horarios!$H:$I,2,0),"")</f>
        <v/>
      </c>
      <c r="Z38" s="28" t="str">
        <f t="shared" si="3"/>
        <v>00:00</v>
      </c>
      <c r="AA38" s="29"/>
      <c r="AB38" s="27"/>
      <c r="AC38" s="27"/>
      <c r="AD38" s="28" t="str">
        <f>IFERROR(VLOOKUP(AB38,Horarios!$H:$I,2,0),"")</f>
        <v/>
      </c>
      <c r="AE38" s="28" t="str">
        <f>IFERROR(VLOOKUP(AC38,Horarios!$H:$I,2,0),"")</f>
        <v/>
      </c>
      <c r="AF38" s="28" t="str">
        <f t="shared" si="4"/>
        <v>00:00</v>
      </c>
      <c r="AG38" s="29"/>
      <c r="AH38" s="27"/>
      <c r="AI38" s="27"/>
      <c r="AJ38" s="28" t="str">
        <f>IFERROR(VLOOKUP(AH38,Horarios!$H:$I,2,0),"")</f>
        <v/>
      </c>
      <c r="AK38" s="28" t="str">
        <f>IFERROR(VLOOKUP(AI38,Horarios!$H:$I,2,0),"")</f>
        <v/>
      </c>
      <c r="AL38" s="28" t="str">
        <f t="shared" si="5"/>
        <v>00:00</v>
      </c>
      <c r="AM38" s="29"/>
      <c r="AN38" s="27"/>
      <c r="AO38" s="27"/>
      <c r="AP38" s="28" t="str">
        <f>IFERROR(VLOOKUP(AN38,Horarios!$H:$I,2,0),"")</f>
        <v/>
      </c>
      <c r="AQ38" s="28" t="str">
        <f>IFERROR(VLOOKUP(AO38,Horarios!$H:$I,2,0),"")</f>
        <v/>
      </c>
      <c r="AR38" s="28" t="str">
        <f t="shared" si="6"/>
        <v>00:00</v>
      </c>
      <c r="AS38" s="29"/>
      <c r="AT38" s="31" t="str">
        <f t="shared" si="7"/>
        <v/>
      </c>
      <c r="AU38" s="27"/>
      <c r="AV38" s="27"/>
      <c r="AW38" s="28" t="str">
        <f>IFERROR(VLOOKUP(AU38,Horarios!$H:$I,2,0),"")</f>
        <v/>
      </c>
      <c r="AX38" s="28" t="str">
        <f>IFERROR(VLOOKUP(AV38,Horarios!$H:$I,2,0),"")</f>
        <v/>
      </c>
      <c r="AY38" s="28" t="str">
        <f t="shared" si="8"/>
        <v>00:00</v>
      </c>
      <c r="AZ38" s="29"/>
      <c r="BA38" s="27"/>
      <c r="BB38" s="27"/>
      <c r="BC38" s="28" t="str">
        <f>IFERROR(VLOOKUP(BA38,Horarios!$H:$I,2,0),"")</f>
        <v/>
      </c>
      <c r="BD38" s="28" t="str">
        <f>IFERROR(VLOOKUP(BB38,Horarios!$H:$I,2,0),"")</f>
        <v/>
      </c>
      <c r="BE38" s="28" t="str">
        <f t="shared" si="9"/>
        <v>00:00</v>
      </c>
      <c r="BF38" s="29"/>
      <c r="BG38" s="27"/>
      <c r="BH38" s="27"/>
      <c r="BI38" s="28" t="str">
        <f>IFERROR(VLOOKUP(BG38,Horarios!$H:$I,2,0),"")</f>
        <v/>
      </c>
      <c r="BJ38" s="28" t="str">
        <f>IFERROR(VLOOKUP(BH38,Horarios!$H:$I,2,0),"")</f>
        <v/>
      </c>
      <c r="BK38" s="28" t="str">
        <f t="shared" si="10"/>
        <v>00:00</v>
      </c>
      <c r="BL38" s="29"/>
      <c r="BM38" s="27"/>
      <c r="BN38" s="27"/>
      <c r="BO38" s="28" t="str">
        <f>IFERROR(VLOOKUP(BM38,Horarios!$H:$I,2,0),"")</f>
        <v/>
      </c>
      <c r="BP38" s="28" t="str">
        <f>IFERROR(VLOOKUP(BN38,Horarios!$H:$I,2,0),"")</f>
        <v/>
      </c>
      <c r="BQ38" s="28" t="str">
        <f t="shared" si="11"/>
        <v>00:00</v>
      </c>
      <c r="BR38" s="29"/>
      <c r="BS38" s="27"/>
      <c r="BT38" s="27"/>
      <c r="BU38" s="28" t="str">
        <f>IFERROR(VLOOKUP(BS38,Horarios!$H:$I,2,0),"")</f>
        <v/>
      </c>
      <c r="BV38" s="28" t="str">
        <f>IFERROR(VLOOKUP(BT38,Horarios!$H:$I,2,0),"")</f>
        <v/>
      </c>
      <c r="BW38" s="28" t="str">
        <f t="shared" si="12"/>
        <v>00:00</v>
      </c>
      <c r="BX38" s="29"/>
      <c r="BY38" s="27"/>
      <c r="BZ38" s="27"/>
      <c r="CA38" s="28" t="str">
        <f>IFERROR(VLOOKUP(BY38,Horarios!$H:$I,2,0),"")</f>
        <v/>
      </c>
      <c r="CB38" s="28" t="str">
        <f>IFERROR(VLOOKUP(BZ38,Horarios!$H:$I,2,0),"")</f>
        <v/>
      </c>
      <c r="CC38" s="28" t="str">
        <f t="shared" si="13"/>
        <v>00:00</v>
      </c>
      <c r="CD38" s="29"/>
      <c r="CE38" s="27"/>
      <c r="CF38" s="27"/>
      <c r="CG38" s="28" t="str">
        <f>IFERROR(VLOOKUP(CE38,Horarios!$H:$I,2,0),"")</f>
        <v/>
      </c>
      <c r="CH38" s="28" t="str">
        <f>IFERROR(VLOOKUP(CF38,Horarios!$H:$I,2,0),"")</f>
        <v/>
      </c>
      <c r="CI38" s="28" t="str">
        <f t="shared" si="14"/>
        <v>00:00</v>
      </c>
      <c r="CJ38" s="29"/>
      <c r="CK38" s="31" t="str">
        <f t="shared" si="15"/>
        <v/>
      </c>
      <c r="CL38" s="27"/>
      <c r="CM38" s="27"/>
      <c r="CN38" s="28" t="str">
        <f>IFERROR(VLOOKUP(CL38,Horarios!$H:$I,2,0),"")</f>
        <v/>
      </c>
      <c r="CO38" s="28" t="str">
        <f>IFERROR(VLOOKUP(CM38,Horarios!$H:$I,2,0),"")</f>
        <v/>
      </c>
      <c r="CP38" s="28" t="str">
        <f t="shared" si="16"/>
        <v>00:00</v>
      </c>
      <c r="CQ38" s="29"/>
      <c r="CR38" s="27"/>
      <c r="CS38" s="27"/>
      <c r="CT38" s="28" t="str">
        <f>IFERROR(VLOOKUP(CR38,Horarios!$H:$I,2,0),"")</f>
        <v/>
      </c>
      <c r="CU38" s="28" t="str">
        <f>IFERROR(VLOOKUP(CS38,Horarios!$H:$I,2,0),"")</f>
        <v/>
      </c>
      <c r="CV38" s="28" t="str">
        <f t="shared" si="17"/>
        <v>00:00</v>
      </c>
      <c r="CW38" s="29"/>
      <c r="CX38" s="27"/>
      <c r="CY38" s="27"/>
      <c r="CZ38" s="28" t="str">
        <f>IFERROR(VLOOKUP(CX38,Horarios!$H:$I,2,0),"")</f>
        <v/>
      </c>
      <c r="DA38" s="28" t="str">
        <f>IFERROR(VLOOKUP(CY38,Horarios!$H:$I,2,0),"")</f>
        <v/>
      </c>
      <c r="DB38" s="28" t="str">
        <f t="shared" si="18"/>
        <v>00:00</v>
      </c>
      <c r="DC38" s="29"/>
      <c r="DD38" s="27"/>
      <c r="DE38" s="27"/>
      <c r="DF38" s="28" t="str">
        <f>IFERROR(VLOOKUP(DD38,Horarios!$H:$I,2,0),"")</f>
        <v/>
      </c>
      <c r="DG38" s="28" t="str">
        <f>IFERROR(VLOOKUP(DE38,Horarios!$H:$I,2,0),"")</f>
        <v/>
      </c>
      <c r="DH38" s="28" t="str">
        <f t="shared" si="19"/>
        <v>00:00</v>
      </c>
      <c r="DI38" s="29"/>
      <c r="DJ38" s="27"/>
      <c r="DK38" s="27"/>
      <c r="DL38" s="28" t="str">
        <f>IFERROR(VLOOKUP(DJ38,Horarios!$H:$I,2,0),"")</f>
        <v/>
      </c>
      <c r="DM38" s="28" t="str">
        <f>IFERROR(VLOOKUP(DK38,Horarios!$H:$I,2,0),"")</f>
        <v/>
      </c>
      <c r="DN38" s="28" t="str">
        <f t="shared" si="20"/>
        <v>00:00</v>
      </c>
      <c r="DO38" s="29"/>
      <c r="DP38" s="27"/>
      <c r="DQ38" s="27"/>
      <c r="DR38" s="28" t="str">
        <f>IFERROR(VLOOKUP(DP38,Horarios!$H:$I,2,0),"")</f>
        <v/>
      </c>
      <c r="DS38" s="28" t="str">
        <f>IFERROR(VLOOKUP(DQ38,Horarios!$H:$I,2,0),"")</f>
        <v/>
      </c>
      <c r="DT38" s="28" t="str">
        <f t="shared" si="21"/>
        <v>00:00</v>
      </c>
      <c r="DU38" s="29"/>
      <c r="DV38" s="27"/>
      <c r="DW38" s="27"/>
      <c r="DX38" s="28" t="str">
        <f>IFERROR(VLOOKUP(DV38,Horarios!$H:$I,2,0),"")</f>
        <v/>
      </c>
      <c r="DY38" s="28" t="str">
        <f>IFERROR(VLOOKUP(DW38,Horarios!$H:$I,2,0),"")</f>
        <v/>
      </c>
      <c r="DZ38" s="28" t="str">
        <f t="shared" si="22"/>
        <v>00:00</v>
      </c>
      <c r="EA38" s="29"/>
      <c r="EB38" s="31" t="str">
        <f t="shared" si="23"/>
        <v/>
      </c>
      <c r="EC38" s="27"/>
      <c r="ED38" s="27"/>
      <c r="EE38" s="28" t="str">
        <f>IFERROR(VLOOKUP(EC38,Horarios!$H:$I,2,0),"")</f>
        <v/>
      </c>
      <c r="EF38" s="28" t="str">
        <f>IFERROR(VLOOKUP(ED38,Horarios!$H:$I,2,0),"")</f>
        <v/>
      </c>
      <c r="EG38" s="28" t="str">
        <f t="shared" si="24"/>
        <v>00:00</v>
      </c>
      <c r="EH38" s="29"/>
      <c r="EI38" s="27"/>
      <c r="EJ38" s="27"/>
      <c r="EK38" s="28" t="str">
        <f>IFERROR(VLOOKUP(EI38,Horarios!$H:$I,2,0),"")</f>
        <v/>
      </c>
      <c r="EL38" s="28" t="str">
        <f>IFERROR(VLOOKUP(EJ38,Horarios!$H:$I,2,0),"")</f>
        <v/>
      </c>
      <c r="EM38" s="28" t="str">
        <f t="shared" si="25"/>
        <v>00:00</v>
      </c>
      <c r="EN38" s="29"/>
      <c r="EO38" s="27"/>
      <c r="EP38" s="27"/>
      <c r="EQ38" s="28" t="str">
        <f>IFERROR(VLOOKUP(EO38,Horarios!$H:$I,2,0),"")</f>
        <v/>
      </c>
      <c r="ER38" s="28" t="str">
        <f>IFERROR(VLOOKUP(EP38,Horarios!$H:$I,2,0),"")</f>
        <v/>
      </c>
      <c r="ES38" s="28" t="str">
        <f t="shared" si="26"/>
        <v>00:00</v>
      </c>
      <c r="ET38" s="29"/>
      <c r="EU38" s="27"/>
      <c r="EV38" s="27"/>
      <c r="EW38" s="28" t="str">
        <f>IFERROR(VLOOKUP(EU38,Horarios!$H:$I,2,0),"")</f>
        <v/>
      </c>
      <c r="EX38" s="28" t="str">
        <f>IFERROR(VLOOKUP(EV38,Horarios!$H:$I,2,0),"")</f>
        <v/>
      </c>
      <c r="EY38" s="28" t="str">
        <f t="shared" si="27"/>
        <v>00:00</v>
      </c>
      <c r="EZ38" s="29"/>
      <c r="FA38" s="27"/>
      <c r="FB38" s="27"/>
      <c r="FC38" s="28" t="str">
        <f>IFERROR(VLOOKUP(FA38,Horarios!$H:$I,2,0),"")</f>
        <v/>
      </c>
      <c r="FD38" s="28" t="str">
        <f>IFERROR(VLOOKUP(FB38,Horarios!$H:$I,2,0),"")</f>
        <v/>
      </c>
      <c r="FE38" s="28" t="str">
        <f t="shared" si="28"/>
        <v>00:00</v>
      </c>
      <c r="FF38" s="29"/>
      <c r="FG38" s="27"/>
      <c r="FH38" s="27"/>
      <c r="FI38" s="28" t="str">
        <f>IFERROR(VLOOKUP(FG38,Horarios!$H:$I,2,0),"")</f>
        <v/>
      </c>
      <c r="FJ38" s="28" t="str">
        <f>IFERROR(VLOOKUP(FH38,Horarios!$H:$I,2,0),"")</f>
        <v/>
      </c>
      <c r="FK38" s="28" t="str">
        <f t="shared" si="29"/>
        <v>00:00</v>
      </c>
      <c r="FL38" s="29"/>
      <c r="FM38" s="27"/>
      <c r="FN38" s="27"/>
      <c r="FO38" s="28" t="str">
        <f>IFERROR(VLOOKUP(FM38,Horarios!$H:$I,2,0),"")</f>
        <v/>
      </c>
      <c r="FP38" s="28" t="str">
        <f>IFERROR(VLOOKUP(FN38,Horarios!$H:$I,2,0),"")</f>
        <v/>
      </c>
      <c r="FQ38" s="28" t="str">
        <f t="shared" si="30"/>
        <v>00:00</v>
      </c>
      <c r="FR38" s="29"/>
      <c r="FS38" s="31" t="str">
        <f t="shared" si="31"/>
        <v/>
      </c>
      <c r="FT38" s="27"/>
      <c r="FU38" s="27"/>
      <c r="FV38" s="28" t="str">
        <f>IFERROR(VLOOKUP(FT38,Horarios!$H:$I,2,0),"")</f>
        <v/>
      </c>
      <c r="FW38" s="28" t="str">
        <f>IFERROR(VLOOKUP(FU38,Horarios!$H:$I,2,0),"")</f>
        <v/>
      </c>
      <c r="FX38" s="28" t="str">
        <f t="shared" si="32"/>
        <v>00:00</v>
      </c>
      <c r="FY38" s="29"/>
      <c r="FZ38" s="27"/>
      <c r="GA38" s="27"/>
      <c r="GB38" s="28" t="str">
        <f>IFERROR(VLOOKUP(FZ38,Horarios!$H:$I,2,0),"")</f>
        <v/>
      </c>
      <c r="GC38" s="28" t="str">
        <f>IFERROR(VLOOKUP(GA38,Horarios!$H:$I,2,0),"")</f>
        <v/>
      </c>
      <c r="GD38" s="28" t="str">
        <f t="shared" si="33"/>
        <v>00:00</v>
      </c>
      <c r="GE38" s="29"/>
      <c r="GF38" s="27"/>
      <c r="GG38" s="27"/>
      <c r="GH38" s="28" t="str">
        <f>IFERROR(VLOOKUP(GF38,Horarios!$H:$I,2,0),"")</f>
        <v/>
      </c>
      <c r="GI38" s="28" t="str">
        <f>IFERROR(VLOOKUP(GG38,Horarios!$H:$I,2,0),"")</f>
        <v/>
      </c>
      <c r="GJ38" s="28" t="str">
        <f t="shared" si="34"/>
        <v>00:00</v>
      </c>
      <c r="GK38" s="29"/>
      <c r="GL38" s="27"/>
      <c r="GM38" s="27"/>
      <c r="GN38" s="28" t="str">
        <f>IFERROR(VLOOKUP(GL38,Horarios!$H:$I,2,0),"")</f>
        <v/>
      </c>
      <c r="GO38" s="28" t="str">
        <f>IFERROR(VLOOKUP(GM38,Horarios!$H:$I,2,0),"")</f>
        <v/>
      </c>
      <c r="GP38" s="28" t="str">
        <f t="shared" si="35"/>
        <v>00:00</v>
      </c>
      <c r="GQ38" s="29"/>
      <c r="GR38" s="27"/>
      <c r="GS38" s="27"/>
      <c r="GT38" s="28" t="str">
        <f>IFERROR(VLOOKUP(GR38,Horarios!$H:$I,2,0),"")</f>
        <v/>
      </c>
      <c r="GU38" s="28" t="str">
        <f>IFERROR(VLOOKUP(GS38,Horarios!$H:$I,2,0),"")</f>
        <v/>
      </c>
      <c r="GV38" s="28" t="str">
        <f t="shared" si="36"/>
        <v>00:00</v>
      </c>
      <c r="GW38" s="29"/>
      <c r="GX38" s="27"/>
      <c r="GY38" s="27"/>
      <c r="GZ38" s="28" t="str">
        <f>IFERROR(VLOOKUP(GX38,Horarios!$H:$I,2,0),"")</f>
        <v/>
      </c>
      <c r="HA38" s="28" t="str">
        <f>IFERROR(VLOOKUP(GY38,Horarios!$H:$I,2,0),"")</f>
        <v/>
      </c>
      <c r="HB38" s="28" t="str">
        <f t="shared" si="37"/>
        <v>00:00</v>
      </c>
      <c r="HC38" s="29"/>
      <c r="HD38" s="27"/>
      <c r="HE38" s="27"/>
      <c r="HF38" s="28" t="str">
        <f>IFERROR(VLOOKUP(HD38,Horarios!$H:$I,2,0),"")</f>
        <v/>
      </c>
      <c r="HG38" s="28" t="str">
        <f>IFERROR(VLOOKUP(HE38,Horarios!$H:$I,2,0),"")</f>
        <v/>
      </c>
      <c r="HH38" s="28" t="str">
        <f t="shared" si="38"/>
        <v>00:00</v>
      </c>
      <c r="HI38" s="29"/>
      <c r="HJ38" s="31" t="str">
        <f t="shared" si="39"/>
        <v/>
      </c>
      <c r="HK38" s="27"/>
      <c r="HL38" s="27"/>
      <c r="HM38" s="28" t="str">
        <f>IFERROR(VLOOKUP(HK38,Horarios!$H:$I,2,0),"")</f>
        <v/>
      </c>
      <c r="HN38" s="28" t="str">
        <f>IFERROR(VLOOKUP(HL38,Horarios!$H:$I,2,0),"")</f>
        <v/>
      </c>
      <c r="HO38" s="28" t="str">
        <f t="shared" si="40"/>
        <v>00:00</v>
      </c>
      <c r="HP38" s="29"/>
      <c r="HQ38" s="27"/>
      <c r="HR38" s="27"/>
      <c r="HS38" s="28" t="str">
        <f>IFERROR(VLOOKUP(HQ38,Horarios!$H:$I,2,0),"")</f>
        <v/>
      </c>
      <c r="HT38" s="28" t="str">
        <f>IFERROR(VLOOKUP(HR38,Horarios!$H:$I,2,0),"")</f>
        <v/>
      </c>
      <c r="HU38" s="28" t="str">
        <f t="shared" si="41"/>
        <v>00:00</v>
      </c>
      <c r="HV38" s="29"/>
      <c r="HW38" s="27"/>
      <c r="HX38" s="27"/>
      <c r="HY38" s="28" t="str">
        <f>IFERROR(VLOOKUP(HW38,Horarios!$H:$I,2,0),"")</f>
        <v/>
      </c>
      <c r="HZ38" s="28" t="str">
        <f>IFERROR(VLOOKUP(HX38,Horarios!$H:$I,2,0),"")</f>
        <v/>
      </c>
      <c r="IA38" s="28" t="str">
        <f t="shared" si="42"/>
        <v>00:00</v>
      </c>
      <c r="IB38" s="29"/>
      <c r="IC38" s="27"/>
      <c r="ID38" s="27"/>
      <c r="IE38" s="28" t="str">
        <f>IFERROR(VLOOKUP(IC38,Horarios!$H:$I,2,0),"")</f>
        <v/>
      </c>
      <c r="IF38" s="28" t="str">
        <f>IFERROR(VLOOKUP(ID38,Horarios!$H:$I,2,0),"")</f>
        <v/>
      </c>
      <c r="IG38" s="28" t="str">
        <f t="shared" si="43"/>
        <v>00:00</v>
      </c>
      <c r="IH38" s="29"/>
      <c r="II38" s="27"/>
      <c r="IJ38" s="27"/>
      <c r="IK38" s="28" t="str">
        <f>IFERROR(VLOOKUP(II38,Horarios!$H:$I,2,0),"")</f>
        <v/>
      </c>
      <c r="IL38" s="28" t="str">
        <f>IFERROR(VLOOKUP(IJ38,Horarios!$H:$I,2,0),"")</f>
        <v/>
      </c>
      <c r="IM38" s="28" t="str">
        <f t="shared" si="44"/>
        <v>00:00</v>
      </c>
      <c r="IN38" s="29"/>
      <c r="IO38" s="27"/>
      <c r="IP38" s="27"/>
      <c r="IQ38" s="28" t="str">
        <f>IFERROR(VLOOKUP(IO38,Horarios!$H:$I,2,0),"")</f>
        <v/>
      </c>
      <c r="IR38" s="28" t="str">
        <f>IFERROR(VLOOKUP(IP38,Horarios!$H:$I,2,0),"")</f>
        <v/>
      </c>
      <c r="IS38" s="28" t="str">
        <f t="shared" si="45"/>
        <v>00:00</v>
      </c>
      <c r="IT38" s="29"/>
      <c r="IU38" s="27"/>
      <c r="IV38" s="27"/>
      <c r="IW38" s="28" t="str">
        <f>IFERROR(VLOOKUP(IU38,Horarios!$H:$I,2,0),"")</f>
        <v/>
      </c>
      <c r="IX38" s="28" t="str">
        <f>IFERROR(VLOOKUP(IV38,Horarios!$H:$I,2,0),"")</f>
        <v/>
      </c>
      <c r="IY38" s="28" t="str">
        <f t="shared" si="46"/>
        <v>00:00</v>
      </c>
      <c r="IZ38" s="29"/>
      <c r="JA38" s="31" t="str">
        <f t="shared" si="47"/>
        <v/>
      </c>
    </row>
    <row r="39" spans="1:261" s="24" customFormat="1" ht="17.399999999999999" x14ac:dyDescent="0.25">
      <c r="A39" s="25"/>
      <c r="B39" s="26" t="str">
        <f>IFERROR(VLOOKUP(A39,BaseNombres!A:B,2,0),"")</f>
        <v/>
      </c>
      <c r="C39" s="26" t="str">
        <f>IFERROR(VLOOKUP(A39,BaseNombres!A:C,3,0),"")</f>
        <v/>
      </c>
      <c r="D39" s="27"/>
      <c r="E39" s="27"/>
      <c r="F39" s="28" t="str">
        <f>IFERROR(VLOOKUP(D39,Horarios!$H:$I,2,0),"")</f>
        <v/>
      </c>
      <c r="G39" s="28" t="str">
        <f>IFERROR(VLOOKUP(E39,Horarios!$H:$I,2,0),"")</f>
        <v/>
      </c>
      <c r="H39" s="28" t="str">
        <f t="shared" si="0"/>
        <v>00:00</v>
      </c>
      <c r="I39" s="29"/>
      <c r="J39" s="27"/>
      <c r="K39" s="27"/>
      <c r="L39" s="28" t="str">
        <f>IFERROR(VLOOKUP(J39,Horarios!$H:$I,2,0),"")</f>
        <v/>
      </c>
      <c r="M39" s="28" t="str">
        <f>IFERROR(VLOOKUP(K39,Horarios!$H:$I,2,0),"")</f>
        <v/>
      </c>
      <c r="N39" s="28" t="str">
        <f t="shared" si="1"/>
        <v>00:00</v>
      </c>
      <c r="O39" s="29"/>
      <c r="P39" s="27"/>
      <c r="Q39" s="27"/>
      <c r="R39" s="28" t="str">
        <f>IFERROR(VLOOKUP(P39,Horarios!$H:$I,2,0),"")</f>
        <v/>
      </c>
      <c r="S39" s="28" t="str">
        <f>IFERROR(VLOOKUP(Q39,Horarios!$H:$I,2,0),"")</f>
        <v/>
      </c>
      <c r="T39" s="28" t="str">
        <f t="shared" si="2"/>
        <v>00:00</v>
      </c>
      <c r="U39" s="29"/>
      <c r="V39" s="27"/>
      <c r="W39" s="27"/>
      <c r="X39" s="28" t="str">
        <f>IFERROR(VLOOKUP(V39,Horarios!$H:$I,2,0),"")</f>
        <v/>
      </c>
      <c r="Y39" s="28" t="str">
        <f>IFERROR(VLOOKUP(W39,Horarios!$H:$I,2,0),"")</f>
        <v/>
      </c>
      <c r="Z39" s="28" t="str">
        <f t="shared" si="3"/>
        <v>00:00</v>
      </c>
      <c r="AA39" s="29"/>
      <c r="AB39" s="27"/>
      <c r="AC39" s="27"/>
      <c r="AD39" s="28" t="str">
        <f>IFERROR(VLOOKUP(AB39,Horarios!$H:$I,2,0),"")</f>
        <v/>
      </c>
      <c r="AE39" s="28" t="str">
        <f>IFERROR(VLOOKUP(AC39,Horarios!$H:$I,2,0),"")</f>
        <v/>
      </c>
      <c r="AF39" s="28" t="str">
        <f t="shared" si="4"/>
        <v>00:00</v>
      </c>
      <c r="AG39" s="29"/>
      <c r="AH39" s="27"/>
      <c r="AI39" s="27"/>
      <c r="AJ39" s="28" t="str">
        <f>IFERROR(VLOOKUP(AH39,Horarios!$H:$I,2,0),"")</f>
        <v/>
      </c>
      <c r="AK39" s="28" t="str">
        <f>IFERROR(VLOOKUP(AI39,Horarios!$H:$I,2,0),"")</f>
        <v/>
      </c>
      <c r="AL39" s="28" t="str">
        <f t="shared" si="5"/>
        <v>00:00</v>
      </c>
      <c r="AM39" s="29"/>
      <c r="AN39" s="27"/>
      <c r="AO39" s="27"/>
      <c r="AP39" s="28" t="str">
        <f>IFERROR(VLOOKUP(AN39,Horarios!$H:$I,2,0),"")</f>
        <v/>
      </c>
      <c r="AQ39" s="28" t="str">
        <f>IFERROR(VLOOKUP(AO39,Horarios!$H:$I,2,0),"")</f>
        <v/>
      </c>
      <c r="AR39" s="28" t="str">
        <f t="shared" si="6"/>
        <v>00:00</v>
      </c>
      <c r="AS39" s="29"/>
      <c r="AT39" s="31" t="str">
        <f t="shared" si="7"/>
        <v/>
      </c>
      <c r="AU39" s="27"/>
      <c r="AV39" s="27"/>
      <c r="AW39" s="28" t="str">
        <f>IFERROR(VLOOKUP(AU39,Horarios!$H:$I,2,0),"")</f>
        <v/>
      </c>
      <c r="AX39" s="28" t="str">
        <f>IFERROR(VLOOKUP(AV39,Horarios!$H:$I,2,0),"")</f>
        <v/>
      </c>
      <c r="AY39" s="28" t="str">
        <f t="shared" si="8"/>
        <v>00:00</v>
      </c>
      <c r="AZ39" s="29"/>
      <c r="BA39" s="27"/>
      <c r="BB39" s="27"/>
      <c r="BC39" s="28" t="str">
        <f>IFERROR(VLOOKUP(BA39,Horarios!$H:$I,2,0),"")</f>
        <v/>
      </c>
      <c r="BD39" s="28" t="str">
        <f>IFERROR(VLOOKUP(BB39,Horarios!$H:$I,2,0),"")</f>
        <v/>
      </c>
      <c r="BE39" s="28" t="str">
        <f t="shared" si="9"/>
        <v>00:00</v>
      </c>
      <c r="BF39" s="29"/>
      <c r="BG39" s="27"/>
      <c r="BH39" s="27"/>
      <c r="BI39" s="28" t="str">
        <f>IFERROR(VLOOKUP(BG39,Horarios!$H:$I,2,0),"")</f>
        <v/>
      </c>
      <c r="BJ39" s="28" t="str">
        <f>IFERROR(VLOOKUP(BH39,Horarios!$H:$I,2,0),"")</f>
        <v/>
      </c>
      <c r="BK39" s="28" t="str">
        <f t="shared" si="10"/>
        <v>00:00</v>
      </c>
      <c r="BL39" s="29"/>
      <c r="BM39" s="27"/>
      <c r="BN39" s="27"/>
      <c r="BO39" s="28" t="str">
        <f>IFERROR(VLOOKUP(BM39,Horarios!$H:$I,2,0),"")</f>
        <v/>
      </c>
      <c r="BP39" s="28" t="str">
        <f>IFERROR(VLOOKUP(BN39,Horarios!$H:$I,2,0),"")</f>
        <v/>
      </c>
      <c r="BQ39" s="28" t="str">
        <f t="shared" si="11"/>
        <v>00:00</v>
      </c>
      <c r="BR39" s="29"/>
      <c r="BS39" s="27"/>
      <c r="BT39" s="27"/>
      <c r="BU39" s="28" t="str">
        <f>IFERROR(VLOOKUP(BS39,Horarios!$H:$I,2,0),"")</f>
        <v/>
      </c>
      <c r="BV39" s="28" t="str">
        <f>IFERROR(VLOOKUP(BT39,Horarios!$H:$I,2,0),"")</f>
        <v/>
      </c>
      <c r="BW39" s="28" t="str">
        <f t="shared" si="12"/>
        <v>00:00</v>
      </c>
      <c r="BX39" s="29"/>
      <c r="BY39" s="27"/>
      <c r="BZ39" s="27"/>
      <c r="CA39" s="28" t="str">
        <f>IFERROR(VLOOKUP(BY39,Horarios!$H:$I,2,0),"")</f>
        <v/>
      </c>
      <c r="CB39" s="28" t="str">
        <f>IFERROR(VLOOKUP(BZ39,Horarios!$H:$I,2,0),"")</f>
        <v/>
      </c>
      <c r="CC39" s="28" t="str">
        <f t="shared" si="13"/>
        <v>00:00</v>
      </c>
      <c r="CD39" s="29"/>
      <c r="CE39" s="27"/>
      <c r="CF39" s="27"/>
      <c r="CG39" s="28" t="str">
        <f>IFERROR(VLOOKUP(CE39,Horarios!$H:$I,2,0),"")</f>
        <v/>
      </c>
      <c r="CH39" s="28" t="str">
        <f>IFERROR(VLOOKUP(CF39,Horarios!$H:$I,2,0),"")</f>
        <v/>
      </c>
      <c r="CI39" s="28" t="str">
        <f t="shared" si="14"/>
        <v>00:00</v>
      </c>
      <c r="CJ39" s="29"/>
      <c r="CK39" s="31" t="str">
        <f t="shared" si="15"/>
        <v/>
      </c>
      <c r="CL39" s="27"/>
      <c r="CM39" s="27"/>
      <c r="CN39" s="28" t="str">
        <f>IFERROR(VLOOKUP(CL39,Horarios!$H:$I,2,0),"")</f>
        <v/>
      </c>
      <c r="CO39" s="28" t="str">
        <f>IFERROR(VLOOKUP(CM39,Horarios!$H:$I,2,0),"")</f>
        <v/>
      </c>
      <c r="CP39" s="28" t="str">
        <f t="shared" si="16"/>
        <v>00:00</v>
      </c>
      <c r="CQ39" s="29"/>
      <c r="CR39" s="27"/>
      <c r="CS39" s="27"/>
      <c r="CT39" s="28" t="str">
        <f>IFERROR(VLOOKUP(CR39,Horarios!$H:$I,2,0),"")</f>
        <v/>
      </c>
      <c r="CU39" s="28" t="str">
        <f>IFERROR(VLOOKUP(CS39,Horarios!$H:$I,2,0),"")</f>
        <v/>
      </c>
      <c r="CV39" s="28" t="str">
        <f t="shared" si="17"/>
        <v>00:00</v>
      </c>
      <c r="CW39" s="29"/>
      <c r="CX39" s="27"/>
      <c r="CY39" s="27"/>
      <c r="CZ39" s="28" t="str">
        <f>IFERROR(VLOOKUP(CX39,Horarios!$H:$I,2,0),"")</f>
        <v/>
      </c>
      <c r="DA39" s="28" t="str">
        <f>IFERROR(VLOOKUP(CY39,Horarios!$H:$I,2,0),"")</f>
        <v/>
      </c>
      <c r="DB39" s="28" t="str">
        <f t="shared" si="18"/>
        <v>00:00</v>
      </c>
      <c r="DC39" s="29"/>
      <c r="DD39" s="27"/>
      <c r="DE39" s="27"/>
      <c r="DF39" s="28" t="str">
        <f>IFERROR(VLOOKUP(DD39,Horarios!$H:$I,2,0),"")</f>
        <v/>
      </c>
      <c r="DG39" s="28" t="str">
        <f>IFERROR(VLOOKUP(DE39,Horarios!$H:$I,2,0),"")</f>
        <v/>
      </c>
      <c r="DH39" s="28" t="str">
        <f t="shared" si="19"/>
        <v>00:00</v>
      </c>
      <c r="DI39" s="29"/>
      <c r="DJ39" s="27"/>
      <c r="DK39" s="27"/>
      <c r="DL39" s="28" t="str">
        <f>IFERROR(VLOOKUP(DJ39,Horarios!$H:$I,2,0),"")</f>
        <v/>
      </c>
      <c r="DM39" s="28" t="str">
        <f>IFERROR(VLOOKUP(DK39,Horarios!$H:$I,2,0),"")</f>
        <v/>
      </c>
      <c r="DN39" s="28" t="str">
        <f t="shared" si="20"/>
        <v>00:00</v>
      </c>
      <c r="DO39" s="29"/>
      <c r="DP39" s="27"/>
      <c r="DQ39" s="27"/>
      <c r="DR39" s="28" t="str">
        <f>IFERROR(VLOOKUP(DP39,Horarios!$H:$I,2,0),"")</f>
        <v/>
      </c>
      <c r="DS39" s="28" t="str">
        <f>IFERROR(VLOOKUP(DQ39,Horarios!$H:$I,2,0),"")</f>
        <v/>
      </c>
      <c r="DT39" s="28" t="str">
        <f t="shared" si="21"/>
        <v>00:00</v>
      </c>
      <c r="DU39" s="29"/>
      <c r="DV39" s="27"/>
      <c r="DW39" s="27"/>
      <c r="DX39" s="28" t="str">
        <f>IFERROR(VLOOKUP(DV39,Horarios!$H:$I,2,0),"")</f>
        <v/>
      </c>
      <c r="DY39" s="28" t="str">
        <f>IFERROR(VLOOKUP(DW39,Horarios!$H:$I,2,0),"")</f>
        <v/>
      </c>
      <c r="DZ39" s="28" t="str">
        <f t="shared" si="22"/>
        <v>00:00</v>
      </c>
      <c r="EA39" s="29"/>
      <c r="EB39" s="31" t="str">
        <f t="shared" si="23"/>
        <v/>
      </c>
      <c r="EC39" s="27"/>
      <c r="ED39" s="27"/>
      <c r="EE39" s="28" t="str">
        <f>IFERROR(VLOOKUP(EC39,Horarios!$H:$I,2,0),"")</f>
        <v/>
      </c>
      <c r="EF39" s="28" t="str">
        <f>IFERROR(VLOOKUP(ED39,Horarios!$H:$I,2,0),"")</f>
        <v/>
      </c>
      <c r="EG39" s="28" t="str">
        <f t="shared" si="24"/>
        <v>00:00</v>
      </c>
      <c r="EH39" s="29"/>
      <c r="EI39" s="27"/>
      <c r="EJ39" s="27"/>
      <c r="EK39" s="28" t="str">
        <f>IFERROR(VLOOKUP(EI39,Horarios!$H:$I,2,0),"")</f>
        <v/>
      </c>
      <c r="EL39" s="28" t="str">
        <f>IFERROR(VLOOKUP(EJ39,Horarios!$H:$I,2,0),"")</f>
        <v/>
      </c>
      <c r="EM39" s="28" t="str">
        <f t="shared" si="25"/>
        <v>00:00</v>
      </c>
      <c r="EN39" s="29"/>
      <c r="EO39" s="27"/>
      <c r="EP39" s="27"/>
      <c r="EQ39" s="28" t="str">
        <f>IFERROR(VLOOKUP(EO39,Horarios!$H:$I,2,0),"")</f>
        <v/>
      </c>
      <c r="ER39" s="28" t="str">
        <f>IFERROR(VLOOKUP(EP39,Horarios!$H:$I,2,0),"")</f>
        <v/>
      </c>
      <c r="ES39" s="28" t="str">
        <f t="shared" si="26"/>
        <v>00:00</v>
      </c>
      <c r="ET39" s="29"/>
      <c r="EU39" s="27"/>
      <c r="EV39" s="27"/>
      <c r="EW39" s="28" t="str">
        <f>IFERROR(VLOOKUP(EU39,Horarios!$H:$I,2,0),"")</f>
        <v/>
      </c>
      <c r="EX39" s="28" t="str">
        <f>IFERROR(VLOOKUP(EV39,Horarios!$H:$I,2,0),"")</f>
        <v/>
      </c>
      <c r="EY39" s="28" t="str">
        <f t="shared" si="27"/>
        <v>00:00</v>
      </c>
      <c r="EZ39" s="29"/>
      <c r="FA39" s="27"/>
      <c r="FB39" s="27"/>
      <c r="FC39" s="28" t="str">
        <f>IFERROR(VLOOKUP(FA39,Horarios!$H:$I,2,0),"")</f>
        <v/>
      </c>
      <c r="FD39" s="28" t="str">
        <f>IFERROR(VLOOKUP(FB39,Horarios!$H:$I,2,0),"")</f>
        <v/>
      </c>
      <c r="FE39" s="28" t="str">
        <f t="shared" si="28"/>
        <v>00:00</v>
      </c>
      <c r="FF39" s="29"/>
      <c r="FG39" s="27"/>
      <c r="FH39" s="27"/>
      <c r="FI39" s="28" t="str">
        <f>IFERROR(VLOOKUP(FG39,Horarios!$H:$I,2,0),"")</f>
        <v/>
      </c>
      <c r="FJ39" s="28" t="str">
        <f>IFERROR(VLOOKUP(FH39,Horarios!$H:$I,2,0),"")</f>
        <v/>
      </c>
      <c r="FK39" s="28" t="str">
        <f t="shared" si="29"/>
        <v>00:00</v>
      </c>
      <c r="FL39" s="29"/>
      <c r="FM39" s="27"/>
      <c r="FN39" s="27"/>
      <c r="FO39" s="28" t="str">
        <f>IFERROR(VLOOKUP(FM39,Horarios!$H:$I,2,0),"")</f>
        <v/>
      </c>
      <c r="FP39" s="28" t="str">
        <f>IFERROR(VLOOKUP(FN39,Horarios!$H:$I,2,0),"")</f>
        <v/>
      </c>
      <c r="FQ39" s="28" t="str">
        <f t="shared" si="30"/>
        <v>00:00</v>
      </c>
      <c r="FR39" s="29"/>
      <c r="FS39" s="31" t="str">
        <f t="shared" si="31"/>
        <v/>
      </c>
      <c r="FT39" s="27"/>
      <c r="FU39" s="27"/>
      <c r="FV39" s="28" t="str">
        <f>IFERROR(VLOOKUP(FT39,Horarios!$H:$I,2,0),"")</f>
        <v/>
      </c>
      <c r="FW39" s="28" t="str">
        <f>IFERROR(VLOOKUP(FU39,Horarios!$H:$I,2,0),"")</f>
        <v/>
      </c>
      <c r="FX39" s="28" t="str">
        <f t="shared" si="32"/>
        <v>00:00</v>
      </c>
      <c r="FY39" s="29"/>
      <c r="FZ39" s="27"/>
      <c r="GA39" s="27"/>
      <c r="GB39" s="28" t="str">
        <f>IFERROR(VLOOKUP(FZ39,Horarios!$H:$I,2,0),"")</f>
        <v/>
      </c>
      <c r="GC39" s="28" t="str">
        <f>IFERROR(VLOOKUP(GA39,Horarios!$H:$I,2,0),"")</f>
        <v/>
      </c>
      <c r="GD39" s="28" t="str">
        <f t="shared" si="33"/>
        <v>00:00</v>
      </c>
      <c r="GE39" s="29"/>
      <c r="GF39" s="27"/>
      <c r="GG39" s="27"/>
      <c r="GH39" s="28" t="str">
        <f>IFERROR(VLOOKUP(GF39,Horarios!$H:$I,2,0),"")</f>
        <v/>
      </c>
      <c r="GI39" s="28" t="str">
        <f>IFERROR(VLOOKUP(GG39,Horarios!$H:$I,2,0),"")</f>
        <v/>
      </c>
      <c r="GJ39" s="28" t="str">
        <f t="shared" si="34"/>
        <v>00:00</v>
      </c>
      <c r="GK39" s="29"/>
      <c r="GL39" s="27"/>
      <c r="GM39" s="27"/>
      <c r="GN39" s="28" t="str">
        <f>IFERROR(VLOOKUP(GL39,Horarios!$H:$I,2,0),"")</f>
        <v/>
      </c>
      <c r="GO39" s="28" t="str">
        <f>IFERROR(VLOOKUP(GM39,Horarios!$H:$I,2,0),"")</f>
        <v/>
      </c>
      <c r="GP39" s="28" t="str">
        <f t="shared" si="35"/>
        <v>00:00</v>
      </c>
      <c r="GQ39" s="29"/>
      <c r="GR39" s="27"/>
      <c r="GS39" s="27"/>
      <c r="GT39" s="28" t="str">
        <f>IFERROR(VLOOKUP(GR39,Horarios!$H:$I,2,0),"")</f>
        <v/>
      </c>
      <c r="GU39" s="28" t="str">
        <f>IFERROR(VLOOKUP(GS39,Horarios!$H:$I,2,0),"")</f>
        <v/>
      </c>
      <c r="GV39" s="28" t="str">
        <f t="shared" si="36"/>
        <v>00:00</v>
      </c>
      <c r="GW39" s="29"/>
      <c r="GX39" s="27"/>
      <c r="GY39" s="27"/>
      <c r="GZ39" s="28" t="str">
        <f>IFERROR(VLOOKUP(GX39,Horarios!$H:$I,2,0),"")</f>
        <v/>
      </c>
      <c r="HA39" s="28" t="str">
        <f>IFERROR(VLOOKUP(GY39,Horarios!$H:$I,2,0),"")</f>
        <v/>
      </c>
      <c r="HB39" s="28" t="str">
        <f t="shared" si="37"/>
        <v>00:00</v>
      </c>
      <c r="HC39" s="29"/>
      <c r="HD39" s="27"/>
      <c r="HE39" s="27"/>
      <c r="HF39" s="28" t="str">
        <f>IFERROR(VLOOKUP(HD39,Horarios!$H:$I,2,0),"")</f>
        <v/>
      </c>
      <c r="HG39" s="28" t="str">
        <f>IFERROR(VLOOKUP(HE39,Horarios!$H:$I,2,0),"")</f>
        <v/>
      </c>
      <c r="HH39" s="28" t="str">
        <f t="shared" si="38"/>
        <v>00:00</v>
      </c>
      <c r="HI39" s="29"/>
      <c r="HJ39" s="31" t="str">
        <f t="shared" si="39"/>
        <v/>
      </c>
      <c r="HK39" s="27"/>
      <c r="HL39" s="27"/>
      <c r="HM39" s="28" t="str">
        <f>IFERROR(VLOOKUP(HK39,Horarios!$H:$I,2,0),"")</f>
        <v/>
      </c>
      <c r="HN39" s="28" t="str">
        <f>IFERROR(VLOOKUP(HL39,Horarios!$H:$I,2,0),"")</f>
        <v/>
      </c>
      <c r="HO39" s="28" t="str">
        <f t="shared" si="40"/>
        <v>00:00</v>
      </c>
      <c r="HP39" s="29"/>
      <c r="HQ39" s="27"/>
      <c r="HR39" s="27"/>
      <c r="HS39" s="28" t="str">
        <f>IFERROR(VLOOKUP(HQ39,Horarios!$H:$I,2,0),"")</f>
        <v/>
      </c>
      <c r="HT39" s="28" t="str">
        <f>IFERROR(VLOOKUP(HR39,Horarios!$H:$I,2,0),"")</f>
        <v/>
      </c>
      <c r="HU39" s="28" t="str">
        <f t="shared" si="41"/>
        <v>00:00</v>
      </c>
      <c r="HV39" s="29"/>
      <c r="HW39" s="27"/>
      <c r="HX39" s="27"/>
      <c r="HY39" s="28" t="str">
        <f>IFERROR(VLOOKUP(HW39,Horarios!$H:$I,2,0),"")</f>
        <v/>
      </c>
      <c r="HZ39" s="28" t="str">
        <f>IFERROR(VLOOKUP(HX39,Horarios!$H:$I,2,0),"")</f>
        <v/>
      </c>
      <c r="IA39" s="28" t="str">
        <f t="shared" si="42"/>
        <v>00:00</v>
      </c>
      <c r="IB39" s="29"/>
      <c r="IC39" s="27"/>
      <c r="ID39" s="27"/>
      <c r="IE39" s="28" t="str">
        <f>IFERROR(VLOOKUP(IC39,Horarios!$H:$I,2,0),"")</f>
        <v/>
      </c>
      <c r="IF39" s="28" t="str">
        <f>IFERROR(VLOOKUP(ID39,Horarios!$H:$I,2,0),"")</f>
        <v/>
      </c>
      <c r="IG39" s="28" t="str">
        <f t="shared" si="43"/>
        <v>00:00</v>
      </c>
      <c r="IH39" s="29"/>
      <c r="II39" s="27"/>
      <c r="IJ39" s="27"/>
      <c r="IK39" s="28" t="str">
        <f>IFERROR(VLOOKUP(II39,Horarios!$H:$I,2,0),"")</f>
        <v/>
      </c>
      <c r="IL39" s="28" t="str">
        <f>IFERROR(VLOOKUP(IJ39,Horarios!$H:$I,2,0),"")</f>
        <v/>
      </c>
      <c r="IM39" s="28" t="str">
        <f t="shared" si="44"/>
        <v>00:00</v>
      </c>
      <c r="IN39" s="29"/>
      <c r="IO39" s="27"/>
      <c r="IP39" s="27"/>
      <c r="IQ39" s="28" t="str">
        <f>IFERROR(VLOOKUP(IO39,Horarios!$H:$I,2,0),"")</f>
        <v/>
      </c>
      <c r="IR39" s="28" t="str">
        <f>IFERROR(VLOOKUP(IP39,Horarios!$H:$I,2,0),"")</f>
        <v/>
      </c>
      <c r="IS39" s="28" t="str">
        <f t="shared" si="45"/>
        <v>00:00</v>
      </c>
      <c r="IT39" s="29"/>
      <c r="IU39" s="27"/>
      <c r="IV39" s="27"/>
      <c r="IW39" s="28" t="str">
        <f>IFERROR(VLOOKUP(IU39,Horarios!$H:$I,2,0),"")</f>
        <v/>
      </c>
      <c r="IX39" s="28" t="str">
        <f>IFERROR(VLOOKUP(IV39,Horarios!$H:$I,2,0),"")</f>
        <v/>
      </c>
      <c r="IY39" s="28" t="str">
        <f t="shared" si="46"/>
        <v>00:00</v>
      </c>
      <c r="IZ39" s="29"/>
      <c r="JA39" s="31" t="str">
        <f t="shared" si="47"/>
        <v/>
      </c>
    </row>
    <row r="40" spans="1:261" s="24" customFormat="1" ht="17.399999999999999" x14ac:dyDescent="0.25">
      <c r="A40" s="25"/>
      <c r="B40" s="26" t="str">
        <f>IFERROR(VLOOKUP(A40,BaseNombres!A:B,2,0),"")</f>
        <v/>
      </c>
      <c r="C40" s="26" t="str">
        <f>IFERROR(VLOOKUP(A40,BaseNombres!A:C,3,0),"")</f>
        <v/>
      </c>
      <c r="D40" s="27"/>
      <c r="E40" s="27"/>
      <c r="F40" s="28" t="str">
        <f>IFERROR(VLOOKUP(D40,Horarios!$H:$I,2,0),"")</f>
        <v/>
      </c>
      <c r="G40" s="28" t="str">
        <f>IFERROR(VLOOKUP(E40,Horarios!$H:$I,2,0),"")</f>
        <v/>
      </c>
      <c r="H40" s="28" t="str">
        <f t="shared" si="0"/>
        <v>00:00</v>
      </c>
      <c r="I40" s="29"/>
      <c r="J40" s="27"/>
      <c r="K40" s="27"/>
      <c r="L40" s="28" t="str">
        <f>IFERROR(VLOOKUP(J40,Horarios!$H:$I,2,0),"")</f>
        <v/>
      </c>
      <c r="M40" s="28" t="str">
        <f>IFERROR(VLOOKUP(K40,Horarios!$H:$I,2,0),"")</f>
        <v/>
      </c>
      <c r="N40" s="28" t="str">
        <f t="shared" si="1"/>
        <v>00:00</v>
      </c>
      <c r="O40" s="29"/>
      <c r="P40" s="27"/>
      <c r="Q40" s="27"/>
      <c r="R40" s="28" t="str">
        <f>IFERROR(VLOOKUP(P40,Horarios!$H:$I,2,0),"")</f>
        <v/>
      </c>
      <c r="S40" s="28" t="str">
        <f>IFERROR(VLOOKUP(Q40,Horarios!$H:$I,2,0),"")</f>
        <v/>
      </c>
      <c r="T40" s="28" t="str">
        <f t="shared" si="2"/>
        <v>00:00</v>
      </c>
      <c r="U40" s="29"/>
      <c r="V40" s="27"/>
      <c r="W40" s="27"/>
      <c r="X40" s="28" t="str">
        <f>IFERROR(VLOOKUP(V40,Horarios!$H:$I,2,0),"")</f>
        <v/>
      </c>
      <c r="Y40" s="28" t="str">
        <f>IFERROR(VLOOKUP(W40,Horarios!$H:$I,2,0),"")</f>
        <v/>
      </c>
      <c r="Z40" s="28" t="str">
        <f t="shared" si="3"/>
        <v>00:00</v>
      </c>
      <c r="AA40" s="29"/>
      <c r="AB40" s="27"/>
      <c r="AC40" s="27"/>
      <c r="AD40" s="28" t="str">
        <f>IFERROR(VLOOKUP(AB40,Horarios!$H:$I,2,0),"")</f>
        <v/>
      </c>
      <c r="AE40" s="28" t="str">
        <f>IFERROR(VLOOKUP(AC40,Horarios!$H:$I,2,0),"")</f>
        <v/>
      </c>
      <c r="AF40" s="28" t="str">
        <f t="shared" si="4"/>
        <v>00:00</v>
      </c>
      <c r="AG40" s="29"/>
      <c r="AH40" s="27"/>
      <c r="AI40" s="27"/>
      <c r="AJ40" s="28" t="str">
        <f>IFERROR(VLOOKUP(AH40,Horarios!$H:$I,2,0),"")</f>
        <v/>
      </c>
      <c r="AK40" s="28" t="str">
        <f>IFERROR(VLOOKUP(AI40,Horarios!$H:$I,2,0),"")</f>
        <v/>
      </c>
      <c r="AL40" s="28" t="str">
        <f t="shared" si="5"/>
        <v>00:00</v>
      </c>
      <c r="AM40" s="29"/>
      <c r="AN40" s="27"/>
      <c r="AO40" s="27"/>
      <c r="AP40" s="28" t="str">
        <f>IFERROR(VLOOKUP(AN40,Horarios!$H:$I,2,0),"")</f>
        <v/>
      </c>
      <c r="AQ40" s="28" t="str">
        <f>IFERROR(VLOOKUP(AO40,Horarios!$H:$I,2,0),"")</f>
        <v/>
      </c>
      <c r="AR40" s="28" t="str">
        <f t="shared" si="6"/>
        <v>00:00</v>
      </c>
      <c r="AS40" s="29"/>
      <c r="AT40" s="31" t="str">
        <f t="shared" si="7"/>
        <v/>
      </c>
      <c r="AU40" s="27"/>
      <c r="AV40" s="27"/>
      <c r="AW40" s="28" t="str">
        <f>IFERROR(VLOOKUP(AU40,Horarios!$H:$I,2,0),"")</f>
        <v/>
      </c>
      <c r="AX40" s="28" t="str">
        <f>IFERROR(VLOOKUP(AV40,Horarios!$H:$I,2,0),"")</f>
        <v/>
      </c>
      <c r="AY40" s="28" t="str">
        <f t="shared" si="8"/>
        <v>00:00</v>
      </c>
      <c r="AZ40" s="29"/>
      <c r="BA40" s="27"/>
      <c r="BB40" s="27"/>
      <c r="BC40" s="28" t="str">
        <f>IFERROR(VLOOKUP(BA40,Horarios!$H:$I,2,0),"")</f>
        <v/>
      </c>
      <c r="BD40" s="28" t="str">
        <f>IFERROR(VLOOKUP(BB40,Horarios!$H:$I,2,0),"")</f>
        <v/>
      </c>
      <c r="BE40" s="28" t="str">
        <f t="shared" si="9"/>
        <v>00:00</v>
      </c>
      <c r="BF40" s="29"/>
      <c r="BG40" s="27"/>
      <c r="BH40" s="27"/>
      <c r="BI40" s="28" t="str">
        <f>IFERROR(VLOOKUP(BG40,Horarios!$H:$I,2,0),"")</f>
        <v/>
      </c>
      <c r="BJ40" s="28" t="str">
        <f>IFERROR(VLOOKUP(BH40,Horarios!$H:$I,2,0),"")</f>
        <v/>
      </c>
      <c r="BK40" s="28" t="str">
        <f t="shared" si="10"/>
        <v>00:00</v>
      </c>
      <c r="BL40" s="29"/>
      <c r="BM40" s="27"/>
      <c r="BN40" s="27"/>
      <c r="BO40" s="28" t="str">
        <f>IFERROR(VLOOKUP(BM40,Horarios!$H:$I,2,0),"")</f>
        <v/>
      </c>
      <c r="BP40" s="28" t="str">
        <f>IFERROR(VLOOKUP(BN40,Horarios!$H:$I,2,0),"")</f>
        <v/>
      </c>
      <c r="BQ40" s="28" t="str">
        <f t="shared" si="11"/>
        <v>00:00</v>
      </c>
      <c r="BR40" s="29"/>
      <c r="BS40" s="27"/>
      <c r="BT40" s="27"/>
      <c r="BU40" s="28" t="str">
        <f>IFERROR(VLOOKUP(BS40,Horarios!$H:$I,2,0),"")</f>
        <v/>
      </c>
      <c r="BV40" s="28" t="str">
        <f>IFERROR(VLOOKUP(BT40,Horarios!$H:$I,2,0),"")</f>
        <v/>
      </c>
      <c r="BW40" s="28" t="str">
        <f t="shared" si="12"/>
        <v>00:00</v>
      </c>
      <c r="BX40" s="29"/>
      <c r="BY40" s="27"/>
      <c r="BZ40" s="27"/>
      <c r="CA40" s="28" t="str">
        <f>IFERROR(VLOOKUP(BY40,Horarios!$H:$I,2,0),"")</f>
        <v/>
      </c>
      <c r="CB40" s="28" t="str">
        <f>IFERROR(VLOOKUP(BZ40,Horarios!$H:$I,2,0),"")</f>
        <v/>
      </c>
      <c r="CC40" s="28" t="str">
        <f t="shared" si="13"/>
        <v>00:00</v>
      </c>
      <c r="CD40" s="29"/>
      <c r="CE40" s="27"/>
      <c r="CF40" s="27"/>
      <c r="CG40" s="28" t="str">
        <f>IFERROR(VLOOKUP(CE40,Horarios!$H:$I,2,0),"")</f>
        <v/>
      </c>
      <c r="CH40" s="28" t="str">
        <f>IFERROR(VLOOKUP(CF40,Horarios!$H:$I,2,0),"")</f>
        <v/>
      </c>
      <c r="CI40" s="28" t="str">
        <f t="shared" si="14"/>
        <v>00:00</v>
      </c>
      <c r="CJ40" s="29"/>
      <c r="CK40" s="31" t="str">
        <f t="shared" si="15"/>
        <v/>
      </c>
      <c r="CL40" s="27"/>
      <c r="CM40" s="27"/>
      <c r="CN40" s="28" t="str">
        <f>IFERROR(VLOOKUP(CL40,Horarios!$H:$I,2,0),"")</f>
        <v/>
      </c>
      <c r="CO40" s="28" t="str">
        <f>IFERROR(VLOOKUP(CM40,Horarios!$H:$I,2,0),"")</f>
        <v/>
      </c>
      <c r="CP40" s="28" t="str">
        <f t="shared" si="16"/>
        <v>00:00</v>
      </c>
      <c r="CQ40" s="29"/>
      <c r="CR40" s="27"/>
      <c r="CS40" s="27"/>
      <c r="CT40" s="28" t="str">
        <f>IFERROR(VLOOKUP(CR40,Horarios!$H:$I,2,0),"")</f>
        <v/>
      </c>
      <c r="CU40" s="28" t="str">
        <f>IFERROR(VLOOKUP(CS40,Horarios!$H:$I,2,0),"")</f>
        <v/>
      </c>
      <c r="CV40" s="28" t="str">
        <f t="shared" si="17"/>
        <v>00:00</v>
      </c>
      <c r="CW40" s="29"/>
      <c r="CX40" s="27"/>
      <c r="CY40" s="27"/>
      <c r="CZ40" s="28" t="str">
        <f>IFERROR(VLOOKUP(CX40,Horarios!$H:$I,2,0),"")</f>
        <v/>
      </c>
      <c r="DA40" s="28" t="str">
        <f>IFERROR(VLOOKUP(CY40,Horarios!$H:$I,2,0),"")</f>
        <v/>
      </c>
      <c r="DB40" s="28" t="str">
        <f t="shared" si="18"/>
        <v>00:00</v>
      </c>
      <c r="DC40" s="29"/>
      <c r="DD40" s="27"/>
      <c r="DE40" s="27"/>
      <c r="DF40" s="28" t="str">
        <f>IFERROR(VLOOKUP(DD40,Horarios!$H:$I,2,0),"")</f>
        <v/>
      </c>
      <c r="DG40" s="28" t="str">
        <f>IFERROR(VLOOKUP(DE40,Horarios!$H:$I,2,0),"")</f>
        <v/>
      </c>
      <c r="DH40" s="28" t="str">
        <f t="shared" si="19"/>
        <v>00:00</v>
      </c>
      <c r="DI40" s="29"/>
      <c r="DJ40" s="27"/>
      <c r="DK40" s="27"/>
      <c r="DL40" s="28" t="str">
        <f>IFERROR(VLOOKUP(DJ40,Horarios!$H:$I,2,0),"")</f>
        <v/>
      </c>
      <c r="DM40" s="28" t="str">
        <f>IFERROR(VLOOKUP(DK40,Horarios!$H:$I,2,0),"")</f>
        <v/>
      </c>
      <c r="DN40" s="28" t="str">
        <f t="shared" si="20"/>
        <v>00:00</v>
      </c>
      <c r="DO40" s="29"/>
      <c r="DP40" s="27"/>
      <c r="DQ40" s="27"/>
      <c r="DR40" s="28" t="str">
        <f>IFERROR(VLOOKUP(DP40,Horarios!$H:$I,2,0),"")</f>
        <v/>
      </c>
      <c r="DS40" s="28" t="str">
        <f>IFERROR(VLOOKUP(DQ40,Horarios!$H:$I,2,0),"")</f>
        <v/>
      </c>
      <c r="DT40" s="28" t="str">
        <f t="shared" si="21"/>
        <v>00:00</v>
      </c>
      <c r="DU40" s="29"/>
      <c r="DV40" s="27"/>
      <c r="DW40" s="27"/>
      <c r="DX40" s="28" t="str">
        <f>IFERROR(VLOOKUP(DV40,Horarios!$H:$I,2,0),"")</f>
        <v/>
      </c>
      <c r="DY40" s="28" t="str">
        <f>IFERROR(VLOOKUP(DW40,Horarios!$H:$I,2,0),"")</f>
        <v/>
      </c>
      <c r="DZ40" s="28" t="str">
        <f t="shared" si="22"/>
        <v>00:00</v>
      </c>
      <c r="EA40" s="29"/>
      <c r="EB40" s="31" t="str">
        <f t="shared" si="23"/>
        <v/>
      </c>
      <c r="EC40" s="27"/>
      <c r="ED40" s="27"/>
      <c r="EE40" s="28" t="str">
        <f>IFERROR(VLOOKUP(EC40,Horarios!$H:$I,2,0),"")</f>
        <v/>
      </c>
      <c r="EF40" s="28" t="str">
        <f>IFERROR(VLOOKUP(ED40,Horarios!$H:$I,2,0),"")</f>
        <v/>
      </c>
      <c r="EG40" s="28" t="str">
        <f t="shared" si="24"/>
        <v>00:00</v>
      </c>
      <c r="EH40" s="29"/>
      <c r="EI40" s="27"/>
      <c r="EJ40" s="27"/>
      <c r="EK40" s="28" t="str">
        <f>IFERROR(VLOOKUP(EI40,Horarios!$H:$I,2,0),"")</f>
        <v/>
      </c>
      <c r="EL40" s="28" t="str">
        <f>IFERROR(VLOOKUP(EJ40,Horarios!$H:$I,2,0),"")</f>
        <v/>
      </c>
      <c r="EM40" s="28" t="str">
        <f t="shared" si="25"/>
        <v>00:00</v>
      </c>
      <c r="EN40" s="29"/>
      <c r="EO40" s="27"/>
      <c r="EP40" s="27"/>
      <c r="EQ40" s="28" t="str">
        <f>IFERROR(VLOOKUP(EO40,Horarios!$H:$I,2,0),"")</f>
        <v/>
      </c>
      <c r="ER40" s="28" t="str">
        <f>IFERROR(VLOOKUP(EP40,Horarios!$H:$I,2,0),"")</f>
        <v/>
      </c>
      <c r="ES40" s="28" t="str">
        <f t="shared" si="26"/>
        <v>00:00</v>
      </c>
      <c r="ET40" s="29"/>
      <c r="EU40" s="27"/>
      <c r="EV40" s="27"/>
      <c r="EW40" s="28" t="str">
        <f>IFERROR(VLOOKUP(EU40,Horarios!$H:$I,2,0),"")</f>
        <v/>
      </c>
      <c r="EX40" s="28" t="str">
        <f>IFERROR(VLOOKUP(EV40,Horarios!$H:$I,2,0),"")</f>
        <v/>
      </c>
      <c r="EY40" s="28" t="str">
        <f t="shared" si="27"/>
        <v>00:00</v>
      </c>
      <c r="EZ40" s="29"/>
      <c r="FA40" s="27"/>
      <c r="FB40" s="27"/>
      <c r="FC40" s="28" t="str">
        <f>IFERROR(VLOOKUP(FA40,Horarios!$H:$I,2,0),"")</f>
        <v/>
      </c>
      <c r="FD40" s="28" t="str">
        <f>IFERROR(VLOOKUP(FB40,Horarios!$H:$I,2,0),"")</f>
        <v/>
      </c>
      <c r="FE40" s="28" t="str">
        <f t="shared" si="28"/>
        <v>00:00</v>
      </c>
      <c r="FF40" s="29"/>
      <c r="FG40" s="27"/>
      <c r="FH40" s="27"/>
      <c r="FI40" s="28" t="str">
        <f>IFERROR(VLOOKUP(FG40,Horarios!$H:$I,2,0),"")</f>
        <v/>
      </c>
      <c r="FJ40" s="28" t="str">
        <f>IFERROR(VLOOKUP(FH40,Horarios!$H:$I,2,0),"")</f>
        <v/>
      </c>
      <c r="FK40" s="28" t="str">
        <f t="shared" si="29"/>
        <v>00:00</v>
      </c>
      <c r="FL40" s="29"/>
      <c r="FM40" s="27"/>
      <c r="FN40" s="27"/>
      <c r="FO40" s="28" t="str">
        <f>IFERROR(VLOOKUP(FM40,Horarios!$H:$I,2,0),"")</f>
        <v/>
      </c>
      <c r="FP40" s="28" t="str">
        <f>IFERROR(VLOOKUP(FN40,Horarios!$H:$I,2,0),"")</f>
        <v/>
      </c>
      <c r="FQ40" s="28" t="str">
        <f t="shared" si="30"/>
        <v>00:00</v>
      </c>
      <c r="FR40" s="29"/>
      <c r="FS40" s="31" t="str">
        <f t="shared" si="31"/>
        <v/>
      </c>
      <c r="FT40" s="27"/>
      <c r="FU40" s="27"/>
      <c r="FV40" s="28" t="str">
        <f>IFERROR(VLOOKUP(FT40,Horarios!$H:$I,2,0),"")</f>
        <v/>
      </c>
      <c r="FW40" s="28" t="str">
        <f>IFERROR(VLOOKUP(FU40,Horarios!$H:$I,2,0),"")</f>
        <v/>
      </c>
      <c r="FX40" s="28" t="str">
        <f t="shared" si="32"/>
        <v>00:00</v>
      </c>
      <c r="FY40" s="29"/>
      <c r="FZ40" s="27"/>
      <c r="GA40" s="27"/>
      <c r="GB40" s="28" t="str">
        <f>IFERROR(VLOOKUP(FZ40,Horarios!$H:$I,2,0),"")</f>
        <v/>
      </c>
      <c r="GC40" s="28" t="str">
        <f>IFERROR(VLOOKUP(GA40,Horarios!$H:$I,2,0),"")</f>
        <v/>
      </c>
      <c r="GD40" s="28" t="str">
        <f t="shared" si="33"/>
        <v>00:00</v>
      </c>
      <c r="GE40" s="29"/>
      <c r="GF40" s="27"/>
      <c r="GG40" s="27"/>
      <c r="GH40" s="28" t="str">
        <f>IFERROR(VLOOKUP(GF40,Horarios!$H:$I,2,0),"")</f>
        <v/>
      </c>
      <c r="GI40" s="28" t="str">
        <f>IFERROR(VLOOKUP(GG40,Horarios!$H:$I,2,0),"")</f>
        <v/>
      </c>
      <c r="GJ40" s="28" t="str">
        <f t="shared" si="34"/>
        <v>00:00</v>
      </c>
      <c r="GK40" s="29"/>
      <c r="GL40" s="27"/>
      <c r="GM40" s="27"/>
      <c r="GN40" s="28" t="str">
        <f>IFERROR(VLOOKUP(GL40,Horarios!$H:$I,2,0),"")</f>
        <v/>
      </c>
      <c r="GO40" s="28" t="str">
        <f>IFERROR(VLOOKUP(GM40,Horarios!$H:$I,2,0),"")</f>
        <v/>
      </c>
      <c r="GP40" s="28" t="str">
        <f t="shared" si="35"/>
        <v>00:00</v>
      </c>
      <c r="GQ40" s="29"/>
      <c r="GR40" s="27"/>
      <c r="GS40" s="27"/>
      <c r="GT40" s="28" t="str">
        <f>IFERROR(VLOOKUP(GR40,Horarios!$H:$I,2,0),"")</f>
        <v/>
      </c>
      <c r="GU40" s="28" t="str">
        <f>IFERROR(VLOOKUP(GS40,Horarios!$H:$I,2,0),"")</f>
        <v/>
      </c>
      <c r="GV40" s="28" t="str">
        <f t="shared" si="36"/>
        <v>00:00</v>
      </c>
      <c r="GW40" s="29"/>
      <c r="GX40" s="27"/>
      <c r="GY40" s="27"/>
      <c r="GZ40" s="28" t="str">
        <f>IFERROR(VLOOKUP(GX40,Horarios!$H:$I,2,0),"")</f>
        <v/>
      </c>
      <c r="HA40" s="28" t="str">
        <f>IFERROR(VLOOKUP(GY40,Horarios!$H:$I,2,0),"")</f>
        <v/>
      </c>
      <c r="HB40" s="28" t="str">
        <f t="shared" si="37"/>
        <v>00:00</v>
      </c>
      <c r="HC40" s="29"/>
      <c r="HD40" s="27"/>
      <c r="HE40" s="27"/>
      <c r="HF40" s="28" t="str">
        <f>IFERROR(VLOOKUP(HD40,Horarios!$H:$I,2,0),"")</f>
        <v/>
      </c>
      <c r="HG40" s="28" t="str">
        <f>IFERROR(VLOOKUP(HE40,Horarios!$H:$I,2,0),"")</f>
        <v/>
      </c>
      <c r="HH40" s="28" t="str">
        <f t="shared" si="38"/>
        <v>00:00</v>
      </c>
      <c r="HI40" s="29"/>
      <c r="HJ40" s="31" t="str">
        <f t="shared" si="39"/>
        <v/>
      </c>
      <c r="HK40" s="27"/>
      <c r="HL40" s="27"/>
      <c r="HM40" s="28" t="str">
        <f>IFERROR(VLOOKUP(HK40,Horarios!$H:$I,2,0),"")</f>
        <v/>
      </c>
      <c r="HN40" s="28" t="str">
        <f>IFERROR(VLOOKUP(HL40,Horarios!$H:$I,2,0),"")</f>
        <v/>
      </c>
      <c r="HO40" s="28" t="str">
        <f t="shared" si="40"/>
        <v>00:00</v>
      </c>
      <c r="HP40" s="29"/>
      <c r="HQ40" s="27"/>
      <c r="HR40" s="27"/>
      <c r="HS40" s="28" t="str">
        <f>IFERROR(VLOOKUP(HQ40,Horarios!$H:$I,2,0),"")</f>
        <v/>
      </c>
      <c r="HT40" s="28" t="str">
        <f>IFERROR(VLOOKUP(HR40,Horarios!$H:$I,2,0),"")</f>
        <v/>
      </c>
      <c r="HU40" s="28" t="str">
        <f t="shared" si="41"/>
        <v>00:00</v>
      </c>
      <c r="HV40" s="29"/>
      <c r="HW40" s="27"/>
      <c r="HX40" s="27"/>
      <c r="HY40" s="28" t="str">
        <f>IFERROR(VLOOKUP(HW40,Horarios!$H:$I,2,0),"")</f>
        <v/>
      </c>
      <c r="HZ40" s="28" t="str">
        <f>IFERROR(VLOOKUP(HX40,Horarios!$H:$I,2,0),"")</f>
        <v/>
      </c>
      <c r="IA40" s="28" t="str">
        <f t="shared" si="42"/>
        <v>00:00</v>
      </c>
      <c r="IB40" s="29"/>
      <c r="IC40" s="27"/>
      <c r="ID40" s="27"/>
      <c r="IE40" s="28" t="str">
        <f>IFERROR(VLOOKUP(IC40,Horarios!$H:$I,2,0),"")</f>
        <v/>
      </c>
      <c r="IF40" s="28" t="str">
        <f>IFERROR(VLOOKUP(ID40,Horarios!$H:$I,2,0),"")</f>
        <v/>
      </c>
      <c r="IG40" s="28" t="str">
        <f t="shared" si="43"/>
        <v>00:00</v>
      </c>
      <c r="IH40" s="29"/>
      <c r="II40" s="27"/>
      <c r="IJ40" s="27"/>
      <c r="IK40" s="28" t="str">
        <f>IFERROR(VLOOKUP(II40,Horarios!$H:$I,2,0),"")</f>
        <v/>
      </c>
      <c r="IL40" s="28" t="str">
        <f>IFERROR(VLOOKUP(IJ40,Horarios!$H:$I,2,0),"")</f>
        <v/>
      </c>
      <c r="IM40" s="28" t="str">
        <f t="shared" si="44"/>
        <v>00:00</v>
      </c>
      <c r="IN40" s="29"/>
      <c r="IO40" s="27"/>
      <c r="IP40" s="27"/>
      <c r="IQ40" s="28" t="str">
        <f>IFERROR(VLOOKUP(IO40,Horarios!$H:$I,2,0),"")</f>
        <v/>
      </c>
      <c r="IR40" s="28" t="str">
        <f>IFERROR(VLOOKUP(IP40,Horarios!$H:$I,2,0),"")</f>
        <v/>
      </c>
      <c r="IS40" s="28" t="str">
        <f t="shared" si="45"/>
        <v>00:00</v>
      </c>
      <c r="IT40" s="29"/>
      <c r="IU40" s="27"/>
      <c r="IV40" s="27"/>
      <c r="IW40" s="28" t="str">
        <f>IFERROR(VLOOKUP(IU40,Horarios!$H:$I,2,0),"")</f>
        <v/>
      </c>
      <c r="IX40" s="28" t="str">
        <f>IFERROR(VLOOKUP(IV40,Horarios!$H:$I,2,0),"")</f>
        <v/>
      </c>
      <c r="IY40" s="28" t="str">
        <f t="shared" si="46"/>
        <v>00:00</v>
      </c>
      <c r="IZ40" s="29"/>
      <c r="JA40" s="31" t="str">
        <f t="shared" si="47"/>
        <v/>
      </c>
    </row>
    <row r="41" spans="1:261" s="24" customFormat="1" ht="17.399999999999999" x14ac:dyDescent="0.25">
      <c r="A41" s="25"/>
      <c r="B41" s="26" t="str">
        <f>IFERROR(VLOOKUP(A41,BaseNombres!A:B,2,0),"")</f>
        <v/>
      </c>
      <c r="C41" s="26" t="str">
        <f>IFERROR(VLOOKUP(A41,BaseNombres!A:C,3,0),"")</f>
        <v/>
      </c>
      <c r="D41" s="27"/>
      <c r="E41" s="27"/>
      <c r="F41" s="28" t="str">
        <f>IFERROR(VLOOKUP(D41,Horarios!$H:$I,2,0),"")</f>
        <v/>
      </c>
      <c r="G41" s="28" t="str">
        <f>IFERROR(VLOOKUP(E41,Horarios!$H:$I,2,0),"")</f>
        <v/>
      </c>
      <c r="H41" s="28" t="str">
        <f t="shared" si="0"/>
        <v>00:00</v>
      </c>
      <c r="I41" s="29"/>
      <c r="J41" s="27"/>
      <c r="K41" s="27"/>
      <c r="L41" s="28" t="str">
        <f>IFERROR(VLOOKUP(J41,Horarios!$H:$I,2,0),"")</f>
        <v/>
      </c>
      <c r="M41" s="28" t="str">
        <f>IFERROR(VLOOKUP(K41,Horarios!$H:$I,2,0),"")</f>
        <v/>
      </c>
      <c r="N41" s="28" t="str">
        <f t="shared" si="1"/>
        <v>00:00</v>
      </c>
      <c r="O41" s="29"/>
      <c r="P41" s="27"/>
      <c r="Q41" s="27"/>
      <c r="R41" s="28" t="str">
        <f>IFERROR(VLOOKUP(P41,Horarios!$H:$I,2,0),"")</f>
        <v/>
      </c>
      <c r="S41" s="28" t="str">
        <f>IFERROR(VLOOKUP(Q41,Horarios!$H:$I,2,0),"")</f>
        <v/>
      </c>
      <c r="T41" s="28" t="str">
        <f t="shared" si="2"/>
        <v>00:00</v>
      </c>
      <c r="U41" s="29"/>
      <c r="V41" s="27"/>
      <c r="W41" s="27"/>
      <c r="X41" s="28" t="str">
        <f>IFERROR(VLOOKUP(V41,Horarios!$H:$I,2,0),"")</f>
        <v/>
      </c>
      <c r="Y41" s="28" t="str">
        <f>IFERROR(VLOOKUP(W41,Horarios!$H:$I,2,0),"")</f>
        <v/>
      </c>
      <c r="Z41" s="28" t="str">
        <f t="shared" si="3"/>
        <v>00:00</v>
      </c>
      <c r="AA41" s="29"/>
      <c r="AB41" s="27"/>
      <c r="AC41" s="27"/>
      <c r="AD41" s="28" t="str">
        <f>IFERROR(VLOOKUP(AB41,Horarios!$H:$I,2,0),"")</f>
        <v/>
      </c>
      <c r="AE41" s="28" t="str">
        <f>IFERROR(VLOOKUP(AC41,Horarios!$H:$I,2,0),"")</f>
        <v/>
      </c>
      <c r="AF41" s="28" t="str">
        <f t="shared" si="4"/>
        <v>00:00</v>
      </c>
      <c r="AG41" s="29"/>
      <c r="AH41" s="27"/>
      <c r="AI41" s="27"/>
      <c r="AJ41" s="28" t="str">
        <f>IFERROR(VLOOKUP(AH41,Horarios!$H:$I,2,0),"")</f>
        <v/>
      </c>
      <c r="AK41" s="28" t="str">
        <f>IFERROR(VLOOKUP(AI41,Horarios!$H:$I,2,0),"")</f>
        <v/>
      </c>
      <c r="AL41" s="28" t="str">
        <f t="shared" si="5"/>
        <v>00:00</v>
      </c>
      <c r="AM41" s="29"/>
      <c r="AN41" s="27"/>
      <c r="AO41" s="27"/>
      <c r="AP41" s="28" t="str">
        <f>IFERROR(VLOOKUP(AN41,Horarios!$H:$I,2,0),"")</f>
        <v/>
      </c>
      <c r="AQ41" s="28" t="str">
        <f>IFERROR(VLOOKUP(AO41,Horarios!$H:$I,2,0),"")</f>
        <v/>
      </c>
      <c r="AR41" s="28" t="str">
        <f t="shared" si="6"/>
        <v>00:00</v>
      </c>
      <c r="AS41" s="29"/>
      <c r="AT41" s="31" t="str">
        <f t="shared" si="7"/>
        <v/>
      </c>
      <c r="AU41" s="27"/>
      <c r="AV41" s="27"/>
      <c r="AW41" s="28" t="str">
        <f>IFERROR(VLOOKUP(AU41,Horarios!$H:$I,2,0),"")</f>
        <v/>
      </c>
      <c r="AX41" s="28" t="str">
        <f>IFERROR(VLOOKUP(AV41,Horarios!$H:$I,2,0),"")</f>
        <v/>
      </c>
      <c r="AY41" s="28" t="str">
        <f t="shared" si="8"/>
        <v>00:00</v>
      </c>
      <c r="AZ41" s="29"/>
      <c r="BA41" s="27"/>
      <c r="BB41" s="27"/>
      <c r="BC41" s="28" t="str">
        <f>IFERROR(VLOOKUP(BA41,Horarios!$H:$I,2,0),"")</f>
        <v/>
      </c>
      <c r="BD41" s="28" t="str">
        <f>IFERROR(VLOOKUP(BB41,Horarios!$H:$I,2,0),"")</f>
        <v/>
      </c>
      <c r="BE41" s="28" t="str">
        <f t="shared" si="9"/>
        <v>00:00</v>
      </c>
      <c r="BF41" s="29"/>
      <c r="BG41" s="27"/>
      <c r="BH41" s="27"/>
      <c r="BI41" s="28" t="str">
        <f>IFERROR(VLOOKUP(BG41,Horarios!$H:$I,2,0),"")</f>
        <v/>
      </c>
      <c r="BJ41" s="28" t="str">
        <f>IFERROR(VLOOKUP(BH41,Horarios!$H:$I,2,0),"")</f>
        <v/>
      </c>
      <c r="BK41" s="28" t="str">
        <f t="shared" si="10"/>
        <v>00:00</v>
      </c>
      <c r="BL41" s="29"/>
      <c r="BM41" s="27"/>
      <c r="BN41" s="27"/>
      <c r="BO41" s="28" t="str">
        <f>IFERROR(VLOOKUP(BM41,Horarios!$H:$I,2,0),"")</f>
        <v/>
      </c>
      <c r="BP41" s="28" t="str">
        <f>IFERROR(VLOOKUP(BN41,Horarios!$H:$I,2,0),"")</f>
        <v/>
      </c>
      <c r="BQ41" s="28" t="str">
        <f t="shared" si="11"/>
        <v>00:00</v>
      </c>
      <c r="BR41" s="29"/>
      <c r="BS41" s="27"/>
      <c r="BT41" s="27"/>
      <c r="BU41" s="28" t="str">
        <f>IFERROR(VLOOKUP(BS41,Horarios!$H:$I,2,0),"")</f>
        <v/>
      </c>
      <c r="BV41" s="28" t="str">
        <f>IFERROR(VLOOKUP(BT41,Horarios!$H:$I,2,0),"")</f>
        <v/>
      </c>
      <c r="BW41" s="28" t="str">
        <f t="shared" si="12"/>
        <v>00:00</v>
      </c>
      <c r="BX41" s="29"/>
      <c r="BY41" s="27"/>
      <c r="BZ41" s="27"/>
      <c r="CA41" s="28" t="str">
        <f>IFERROR(VLOOKUP(BY41,Horarios!$H:$I,2,0),"")</f>
        <v/>
      </c>
      <c r="CB41" s="28" t="str">
        <f>IFERROR(VLOOKUP(BZ41,Horarios!$H:$I,2,0),"")</f>
        <v/>
      </c>
      <c r="CC41" s="28" t="str">
        <f t="shared" si="13"/>
        <v>00:00</v>
      </c>
      <c r="CD41" s="29"/>
      <c r="CE41" s="27"/>
      <c r="CF41" s="27"/>
      <c r="CG41" s="28" t="str">
        <f>IFERROR(VLOOKUP(CE41,Horarios!$H:$I,2,0),"")</f>
        <v/>
      </c>
      <c r="CH41" s="28" t="str">
        <f>IFERROR(VLOOKUP(CF41,Horarios!$H:$I,2,0),"")</f>
        <v/>
      </c>
      <c r="CI41" s="28" t="str">
        <f t="shared" si="14"/>
        <v>00:00</v>
      </c>
      <c r="CJ41" s="29"/>
      <c r="CK41" s="31" t="str">
        <f t="shared" si="15"/>
        <v/>
      </c>
      <c r="CL41" s="27"/>
      <c r="CM41" s="27"/>
      <c r="CN41" s="28" t="str">
        <f>IFERROR(VLOOKUP(CL41,Horarios!$H:$I,2,0),"")</f>
        <v/>
      </c>
      <c r="CO41" s="28" t="str">
        <f>IFERROR(VLOOKUP(CM41,Horarios!$H:$I,2,0),"")</f>
        <v/>
      </c>
      <c r="CP41" s="28" t="str">
        <f t="shared" si="16"/>
        <v>00:00</v>
      </c>
      <c r="CQ41" s="29"/>
      <c r="CR41" s="27"/>
      <c r="CS41" s="27"/>
      <c r="CT41" s="28" t="str">
        <f>IFERROR(VLOOKUP(CR41,Horarios!$H:$I,2,0),"")</f>
        <v/>
      </c>
      <c r="CU41" s="28" t="str">
        <f>IFERROR(VLOOKUP(CS41,Horarios!$H:$I,2,0),"")</f>
        <v/>
      </c>
      <c r="CV41" s="28" t="str">
        <f t="shared" si="17"/>
        <v>00:00</v>
      </c>
      <c r="CW41" s="29"/>
      <c r="CX41" s="27"/>
      <c r="CY41" s="27"/>
      <c r="CZ41" s="28" t="str">
        <f>IFERROR(VLOOKUP(CX41,Horarios!$H:$I,2,0),"")</f>
        <v/>
      </c>
      <c r="DA41" s="28" t="str">
        <f>IFERROR(VLOOKUP(CY41,Horarios!$H:$I,2,0),"")</f>
        <v/>
      </c>
      <c r="DB41" s="28" t="str">
        <f t="shared" si="18"/>
        <v>00:00</v>
      </c>
      <c r="DC41" s="29"/>
      <c r="DD41" s="27"/>
      <c r="DE41" s="27"/>
      <c r="DF41" s="28" t="str">
        <f>IFERROR(VLOOKUP(DD41,Horarios!$H:$I,2,0),"")</f>
        <v/>
      </c>
      <c r="DG41" s="28" t="str">
        <f>IFERROR(VLOOKUP(DE41,Horarios!$H:$I,2,0),"")</f>
        <v/>
      </c>
      <c r="DH41" s="28" t="str">
        <f t="shared" si="19"/>
        <v>00:00</v>
      </c>
      <c r="DI41" s="29"/>
      <c r="DJ41" s="27"/>
      <c r="DK41" s="27"/>
      <c r="DL41" s="28" t="str">
        <f>IFERROR(VLOOKUP(DJ41,Horarios!$H:$I,2,0),"")</f>
        <v/>
      </c>
      <c r="DM41" s="28" t="str">
        <f>IFERROR(VLOOKUP(DK41,Horarios!$H:$I,2,0),"")</f>
        <v/>
      </c>
      <c r="DN41" s="28" t="str">
        <f t="shared" si="20"/>
        <v>00:00</v>
      </c>
      <c r="DO41" s="29"/>
      <c r="DP41" s="27"/>
      <c r="DQ41" s="27"/>
      <c r="DR41" s="28" t="str">
        <f>IFERROR(VLOOKUP(DP41,Horarios!$H:$I,2,0),"")</f>
        <v/>
      </c>
      <c r="DS41" s="28" t="str">
        <f>IFERROR(VLOOKUP(DQ41,Horarios!$H:$I,2,0),"")</f>
        <v/>
      </c>
      <c r="DT41" s="28" t="str">
        <f t="shared" si="21"/>
        <v>00:00</v>
      </c>
      <c r="DU41" s="29"/>
      <c r="DV41" s="27"/>
      <c r="DW41" s="27"/>
      <c r="DX41" s="28" t="str">
        <f>IFERROR(VLOOKUP(DV41,Horarios!$H:$I,2,0),"")</f>
        <v/>
      </c>
      <c r="DY41" s="28" t="str">
        <f>IFERROR(VLOOKUP(DW41,Horarios!$H:$I,2,0),"")</f>
        <v/>
      </c>
      <c r="DZ41" s="28" t="str">
        <f t="shared" si="22"/>
        <v>00:00</v>
      </c>
      <c r="EA41" s="29"/>
      <c r="EB41" s="31" t="str">
        <f t="shared" si="23"/>
        <v/>
      </c>
      <c r="EC41" s="27"/>
      <c r="ED41" s="27"/>
      <c r="EE41" s="28" t="str">
        <f>IFERROR(VLOOKUP(EC41,Horarios!$H:$I,2,0),"")</f>
        <v/>
      </c>
      <c r="EF41" s="28" t="str">
        <f>IFERROR(VLOOKUP(ED41,Horarios!$H:$I,2,0),"")</f>
        <v/>
      </c>
      <c r="EG41" s="28" t="str">
        <f t="shared" si="24"/>
        <v>00:00</v>
      </c>
      <c r="EH41" s="29"/>
      <c r="EI41" s="27"/>
      <c r="EJ41" s="27"/>
      <c r="EK41" s="28" t="str">
        <f>IFERROR(VLOOKUP(EI41,Horarios!$H:$I,2,0),"")</f>
        <v/>
      </c>
      <c r="EL41" s="28" t="str">
        <f>IFERROR(VLOOKUP(EJ41,Horarios!$H:$I,2,0),"")</f>
        <v/>
      </c>
      <c r="EM41" s="28" t="str">
        <f t="shared" si="25"/>
        <v>00:00</v>
      </c>
      <c r="EN41" s="29"/>
      <c r="EO41" s="27"/>
      <c r="EP41" s="27"/>
      <c r="EQ41" s="28" t="str">
        <f>IFERROR(VLOOKUP(EO41,Horarios!$H:$I,2,0),"")</f>
        <v/>
      </c>
      <c r="ER41" s="28" t="str">
        <f>IFERROR(VLOOKUP(EP41,Horarios!$H:$I,2,0),"")</f>
        <v/>
      </c>
      <c r="ES41" s="28" t="str">
        <f t="shared" si="26"/>
        <v>00:00</v>
      </c>
      <c r="ET41" s="29"/>
      <c r="EU41" s="27"/>
      <c r="EV41" s="27"/>
      <c r="EW41" s="28" t="str">
        <f>IFERROR(VLOOKUP(EU41,Horarios!$H:$I,2,0),"")</f>
        <v/>
      </c>
      <c r="EX41" s="28" t="str">
        <f>IFERROR(VLOOKUP(EV41,Horarios!$H:$I,2,0),"")</f>
        <v/>
      </c>
      <c r="EY41" s="28" t="str">
        <f t="shared" si="27"/>
        <v>00:00</v>
      </c>
      <c r="EZ41" s="29"/>
      <c r="FA41" s="27"/>
      <c r="FB41" s="27"/>
      <c r="FC41" s="28" t="str">
        <f>IFERROR(VLOOKUP(FA41,Horarios!$H:$I,2,0),"")</f>
        <v/>
      </c>
      <c r="FD41" s="28" t="str">
        <f>IFERROR(VLOOKUP(FB41,Horarios!$H:$I,2,0),"")</f>
        <v/>
      </c>
      <c r="FE41" s="28" t="str">
        <f t="shared" si="28"/>
        <v>00:00</v>
      </c>
      <c r="FF41" s="29"/>
      <c r="FG41" s="27"/>
      <c r="FH41" s="27"/>
      <c r="FI41" s="28" t="str">
        <f>IFERROR(VLOOKUP(FG41,Horarios!$H:$I,2,0),"")</f>
        <v/>
      </c>
      <c r="FJ41" s="28" t="str">
        <f>IFERROR(VLOOKUP(FH41,Horarios!$H:$I,2,0),"")</f>
        <v/>
      </c>
      <c r="FK41" s="28" t="str">
        <f t="shared" si="29"/>
        <v>00:00</v>
      </c>
      <c r="FL41" s="29"/>
      <c r="FM41" s="27"/>
      <c r="FN41" s="27"/>
      <c r="FO41" s="28" t="str">
        <f>IFERROR(VLOOKUP(FM41,Horarios!$H:$I,2,0),"")</f>
        <v/>
      </c>
      <c r="FP41" s="28" t="str">
        <f>IFERROR(VLOOKUP(FN41,Horarios!$H:$I,2,0),"")</f>
        <v/>
      </c>
      <c r="FQ41" s="28" t="str">
        <f t="shared" si="30"/>
        <v>00:00</v>
      </c>
      <c r="FR41" s="29"/>
      <c r="FS41" s="31" t="str">
        <f t="shared" si="31"/>
        <v/>
      </c>
      <c r="FT41" s="27"/>
      <c r="FU41" s="27"/>
      <c r="FV41" s="28" t="str">
        <f>IFERROR(VLOOKUP(FT41,Horarios!$H:$I,2,0),"")</f>
        <v/>
      </c>
      <c r="FW41" s="28" t="str">
        <f>IFERROR(VLOOKUP(FU41,Horarios!$H:$I,2,0),"")</f>
        <v/>
      </c>
      <c r="FX41" s="28" t="str">
        <f t="shared" si="32"/>
        <v>00:00</v>
      </c>
      <c r="FY41" s="29"/>
      <c r="FZ41" s="27"/>
      <c r="GA41" s="27"/>
      <c r="GB41" s="28" t="str">
        <f>IFERROR(VLOOKUP(FZ41,Horarios!$H:$I,2,0),"")</f>
        <v/>
      </c>
      <c r="GC41" s="28" t="str">
        <f>IFERROR(VLOOKUP(GA41,Horarios!$H:$I,2,0),"")</f>
        <v/>
      </c>
      <c r="GD41" s="28" t="str">
        <f t="shared" si="33"/>
        <v>00:00</v>
      </c>
      <c r="GE41" s="29"/>
      <c r="GF41" s="27"/>
      <c r="GG41" s="27"/>
      <c r="GH41" s="28" t="str">
        <f>IFERROR(VLOOKUP(GF41,Horarios!$H:$I,2,0),"")</f>
        <v/>
      </c>
      <c r="GI41" s="28" t="str">
        <f>IFERROR(VLOOKUP(GG41,Horarios!$H:$I,2,0),"")</f>
        <v/>
      </c>
      <c r="GJ41" s="28" t="str">
        <f t="shared" si="34"/>
        <v>00:00</v>
      </c>
      <c r="GK41" s="29"/>
      <c r="GL41" s="27"/>
      <c r="GM41" s="27"/>
      <c r="GN41" s="28" t="str">
        <f>IFERROR(VLOOKUP(GL41,Horarios!$H:$I,2,0),"")</f>
        <v/>
      </c>
      <c r="GO41" s="28" t="str">
        <f>IFERROR(VLOOKUP(GM41,Horarios!$H:$I,2,0),"")</f>
        <v/>
      </c>
      <c r="GP41" s="28" t="str">
        <f t="shared" si="35"/>
        <v>00:00</v>
      </c>
      <c r="GQ41" s="29"/>
      <c r="GR41" s="27"/>
      <c r="GS41" s="27"/>
      <c r="GT41" s="28" t="str">
        <f>IFERROR(VLOOKUP(GR41,Horarios!$H:$I,2,0),"")</f>
        <v/>
      </c>
      <c r="GU41" s="28" t="str">
        <f>IFERROR(VLOOKUP(GS41,Horarios!$H:$I,2,0),"")</f>
        <v/>
      </c>
      <c r="GV41" s="28" t="str">
        <f t="shared" si="36"/>
        <v>00:00</v>
      </c>
      <c r="GW41" s="29"/>
      <c r="GX41" s="27"/>
      <c r="GY41" s="27"/>
      <c r="GZ41" s="28" t="str">
        <f>IFERROR(VLOOKUP(GX41,Horarios!$H:$I,2,0),"")</f>
        <v/>
      </c>
      <c r="HA41" s="28" t="str">
        <f>IFERROR(VLOOKUP(GY41,Horarios!$H:$I,2,0),"")</f>
        <v/>
      </c>
      <c r="HB41" s="28" t="str">
        <f t="shared" si="37"/>
        <v>00:00</v>
      </c>
      <c r="HC41" s="29"/>
      <c r="HD41" s="27"/>
      <c r="HE41" s="27"/>
      <c r="HF41" s="28" t="str">
        <f>IFERROR(VLOOKUP(HD41,Horarios!$H:$I,2,0),"")</f>
        <v/>
      </c>
      <c r="HG41" s="28" t="str">
        <f>IFERROR(VLOOKUP(HE41,Horarios!$H:$I,2,0),"")</f>
        <v/>
      </c>
      <c r="HH41" s="28" t="str">
        <f t="shared" si="38"/>
        <v>00:00</v>
      </c>
      <c r="HI41" s="29"/>
      <c r="HJ41" s="31" t="str">
        <f t="shared" si="39"/>
        <v/>
      </c>
      <c r="HK41" s="27"/>
      <c r="HL41" s="27"/>
      <c r="HM41" s="28" t="str">
        <f>IFERROR(VLOOKUP(HK41,Horarios!$H:$I,2,0),"")</f>
        <v/>
      </c>
      <c r="HN41" s="28" t="str">
        <f>IFERROR(VLOOKUP(HL41,Horarios!$H:$I,2,0),"")</f>
        <v/>
      </c>
      <c r="HO41" s="28" t="str">
        <f t="shared" si="40"/>
        <v>00:00</v>
      </c>
      <c r="HP41" s="29"/>
      <c r="HQ41" s="27"/>
      <c r="HR41" s="27"/>
      <c r="HS41" s="28" t="str">
        <f>IFERROR(VLOOKUP(HQ41,Horarios!$H:$I,2,0),"")</f>
        <v/>
      </c>
      <c r="HT41" s="28" t="str">
        <f>IFERROR(VLOOKUP(HR41,Horarios!$H:$I,2,0),"")</f>
        <v/>
      </c>
      <c r="HU41" s="28" t="str">
        <f t="shared" si="41"/>
        <v>00:00</v>
      </c>
      <c r="HV41" s="29"/>
      <c r="HW41" s="27"/>
      <c r="HX41" s="27"/>
      <c r="HY41" s="28" t="str">
        <f>IFERROR(VLOOKUP(HW41,Horarios!$H:$I,2,0),"")</f>
        <v/>
      </c>
      <c r="HZ41" s="28" t="str">
        <f>IFERROR(VLOOKUP(HX41,Horarios!$H:$I,2,0),"")</f>
        <v/>
      </c>
      <c r="IA41" s="28" t="str">
        <f t="shared" si="42"/>
        <v>00:00</v>
      </c>
      <c r="IB41" s="29"/>
      <c r="IC41" s="27"/>
      <c r="ID41" s="27"/>
      <c r="IE41" s="28" t="str">
        <f>IFERROR(VLOOKUP(IC41,Horarios!$H:$I,2,0),"")</f>
        <v/>
      </c>
      <c r="IF41" s="28" t="str">
        <f>IFERROR(VLOOKUP(ID41,Horarios!$H:$I,2,0),"")</f>
        <v/>
      </c>
      <c r="IG41" s="28" t="str">
        <f t="shared" si="43"/>
        <v>00:00</v>
      </c>
      <c r="IH41" s="29"/>
      <c r="II41" s="27"/>
      <c r="IJ41" s="27"/>
      <c r="IK41" s="28" t="str">
        <f>IFERROR(VLOOKUP(II41,Horarios!$H:$I,2,0),"")</f>
        <v/>
      </c>
      <c r="IL41" s="28" t="str">
        <f>IFERROR(VLOOKUP(IJ41,Horarios!$H:$I,2,0),"")</f>
        <v/>
      </c>
      <c r="IM41" s="28" t="str">
        <f t="shared" si="44"/>
        <v>00:00</v>
      </c>
      <c r="IN41" s="29"/>
      <c r="IO41" s="27"/>
      <c r="IP41" s="27"/>
      <c r="IQ41" s="28" t="str">
        <f>IFERROR(VLOOKUP(IO41,Horarios!$H:$I,2,0),"")</f>
        <v/>
      </c>
      <c r="IR41" s="28" t="str">
        <f>IFERROR(VLOOKUP(IP41,Horarios!$H:$I,2,0),"")</f>
        <v/>
      </c>
      <c r="IS41" s="28" t="str">
        <f t="shared" si="45"/>
        <v>00:00</v>
      </c>
      <c r="IT41" s="29"/>
      <c r="IU41" s="27"/>
      <c r="IV41" s="27"/>
      <c r="IW41" s="28" t="str">
        <f>IFERROR(VLOOKUP(IU41,Horarios!$H:$I,2,0),"")</f>
        <v/>
      </c>
      <c r="IX41" s="28" t="str">
        <f>IFERROR(VLOOKUP(IV41,Horarios!$H:$I,2,0),"")</f>
        <v/>
      </c>
      <c r="IY41" s="28" t="str">
        <f t="shared" si="46"/>
        <v>00:00</v>
      </c>
      <c r="IZ41" s="29"/>
      <c r="JA41" s="31" t="str">
        <f t="shared" si="47"/>
        <v/>
      </c>
    </row>
    <row r="42" spans="1:261" s="24" customFormat="1" ht="17.399999999999999" x14ac:dyDescent="0.25">
      <c r="A42" s="25"/>
      <c r="B42" s="26" t="str">
        <f>IFERROR(VLOOKUP(A42,BaseNombres!A:B,2,0),"")</f>
        <v/>
      </c>
      <c r="C42" s="26" t="str">
        <f>IFERROR(VLOOKUP(A42,BaseNombres!A:C,3,0),"")</f>
        <v/>
      </c>
      <c r="D42" s="27"/>
      <c r="E42" s="27"/>
      <c r="F42" s="28" t="str">
        <f>IFERROR(VLOOKUP(D42,Horarios!$H:$I,2,0),"")</f>
        <v/>
      </c>
      <c r="G42" s="28" t="str">
        <f>IFERROR(VLOOKUP(E42,Horarios!$H:$I,2,0),"")</f>
        <v/>
      </c>
      <c r="H42" s="28" t="str">
        <f t="shared" si="0"/>
        <v>00:00</v>
      </c>
      <c r="I42" s="29"/>
      <c r="J42" s="27"/>
      <c r="K42" s="27"/>
      <c r="L42" s="28" t="str">
        <f>IFERROR(VLOOKUP(J42,Horarios!$H:$I,2,0),"")</f>
        <v/>
      </c>
      <c r="M42" s="28" t="str">
        <f>IFERROR(VLOOKUP(K42,Horarios!$H:$I,2,0),"")</f>
        <v/>
      </c>
      <c r="N42" s="28" t="str">
        <f t="shared" si="1"/>
        <v>00:00</v>
      </c>
      <c r="O42" s="29"/>
      <c r="P42" s="27"/>
      <c r="Q42" s="27"/>
      <c r="R42" s="28" t="str">
        <f>IFERROR(VLOOKUP(P42,Horarios!$H:$I,2,0),"")</f>
        <v/>
      </c>
      <c r="S42" s="28" t="str">
        <f>IFERROR(VLOOKUP(Q42,Horarios!$H:$I,2,0),"")</f>
        <v/>
      </c>
      <c r="T42" s="28" t="str">
        <f t="shared" si="2"/>
        <v>00:00</v>
      </c>
      <c r="U42" s="29"/>
      <c r="V42" s="27"/>
      <c r="W42" s="27"/>
      <c r="X42" s="28" t="str">
        <f>IFERROR(VLOOKUP(V42,Horarios!$H:$I,2,0),"")</f>
        <v/>
      </c>
      <c r="Y42" s="28" t="str">
        <f>IFERROR(VLOOKUP(W42,Horarios!$H:$I,2,0),"")</f>
        <v/>
      </c>
      <c r="Z42" s="28" t="str">
        <f t="shared" si="3"/>
        <v>00:00</v>
      </c>
      <c r="AA42" s="29"/>
      <c r="AB42" s="27"/>
      <c r="AC42" s="27"/>
      <c r="AD42" s="28" t="str">
        <f>IFERROR(VLOOKUP(AB42,Horarios!$H:$I,2,0),"")</f>
        <v/>
      </c>
      <c r="AE42" s="28" t="str">
        <f>IFERROR(VLOOKUP(AC42,Horarios!$H:$I,2,0),"")</f>
        <v/>
      </c>
      <c r="AF42" s="28" t="str">
        <f t="shared" si="4"/>
        <v>00:00</v>
      </c>
      <c r="AG42" s="29"/>
      <c r="AH42" s="27"/>
      <c r="AI42" s="27"/>
      <c r="AJ42" s="28" t="str">
        <f>IFERROR(VLOOKUP(AH42,Horarios!$H:$I,2,0),"")</f>
        <v/>
      </c>
      <c r="AK42" s="28" t="str">
        <f>IFERROR(VLOOKUP(AI42,Horarios!$H:$I,2,0),"")</f>
        <v/>
      </c>
      <c r="AL42" s="28" t="str">
        <f t="shared" si="5"/>
        <v>00:00</v>
      </c>
      <c r="AM42" s="29"/>
      <c r="AN42" s="27"/>
      <c r="AO42" s="27"/>
      <c r="AP42" s="28" t="str">
        <f>IFERROR(VLOOKUP(AN42,Horarios!$H:$I,2,0),"")</f>
        <v/>
      </c>
      <c r="AQ42" s="28" t="str">
        <f>IFERROR(VLOOKUP(AO42,Horarios!$H:$I,2,0),"")</f>
        <v/>
      </c>
      <c r="AR42" s="28" t="str">
        <f t="shared" si="6"/>
        <v>00:00</v>
      </c>
      <c r="AS42" s="29"/>
      <c r="AT42" s="31" t="str">
        <f t="shared" si="7"/>
        <v/>
      </c>
      <c r="AU42" s="27"/>
      <c r="AV42" s="27"/>
      <c r="AW42" s="28" t="str">
        <f>IFERROR(VLOOKUP(AU42,Horarios!$H:$I,2,0),"")</f>
        <v/>
      </c>
      <c r="AX42" s="28" t="str">
        <f>IFERROR(VLOOKUP(AV42,Horarios!$H:$I,2,0),"")</f>
        <v/>
      </c>
      <c r="AY42" s="28" t="str">
        <f t="shared" si="8"/>
        <v>00:00</v>
      </c>
      <c r="AZ42" s="29"/>
      <c r="BA42" s="27"/>
      <c r="BB42" s="27"/>
      <c r="BC42" s="28" t="str">
        <f>IFERROR(VLOOKUP(BA42,Horarios!$H:$I,2,0),"")</f>
        <v/>
      </c>
      <c r="BD42" s="28" t="str">
        <f>IFERROR(VLOOKUP(BB42,Horarios!$H:$I,2,0),"")</f>
        <v/>
      </c>
      <c r="BE42" s="28" t="str">
        <f t="shared" si="9"/>
        <v>00:00</v>
      </c>
      <c r="BF42" s="29"/>
      <c r="BG42" s="27"/>
      <c r="BH42" s="27"/>
      <c r="BI42" s="28" t="str">
        <f>IFERROR(VLOOKUP(BG42,Horarios!$H:$I,2,0),"")</f>
        <v/>
      </c>
      <c r="BJ42" s="28" t="str">
        <f>IFERROR(VLOOKUP(BH42,Horarios!$H:$I,2,0),"")</f>
        <v/>
      </c>
      <c r="BK42" s="28" t="str">
        <f t="shared" si="10"/>
        <v>00:00</v>
      </c>
      <c r="BL42" s="29"/>
      <c r="BM42" s="27"/>
      <c r="BN42" s="27"/>
      <c r="BO42" s="28" t="str">
        <f>IFERROR(VLOOKUP(BM42,Horarios!$H:$I,2,0),"")</f>
        <v/>
      </c>
      <c r="BP42" s="28" t="str">
        <f>IFERROR(VLOOKUP(BN42,Horarios!$H:$I,2,0),"")</f>
        <v/>
      </c>
      <c r="BQ42" s="28" t="str">
        <f t="shared" si="11"/>
        <v>00:00</v>
      </c>
      <c r="BR42" s="29"/>
      <c r="BS42" s="27"/>
      <c r="BT42" s="27"/>
      <c r="BU42" s="28" t="str">
        <f>IFERROR(VLOOKUP(BS42,Horarios!$H:$I,2,0),"")</f>
        <v/>
      </c>
      <c r="BV42" s="28" t="str">
        <f>IFERROR(VLOOKUP(BT42,Horarios!$H:$I,2,0),"")</f>
        <v/>
      </c>
      <c r="BW42" s="28" t="str">
        <f t="shared" si="12"/>
        <v>00:00</v>
      </c>
      <c r="BX42" s="29"/>
      <c r="BY42" s="27"/>
      <c r="BZ42" s="27"/>
      <c r="CA42" s="28" t="str">
        <f>IFERROR(VLOOKUP(BY42,Horarios!$H:$I,2,0),"")</f>
        <v/>
      </c>
      <c r="CB42" s="28" t="str">
        <f>IFERROR(VLOOKUP(BZ42,Horarios!$H:$I,2,0),"")</f>
        <v/>
      </c>
      <c r="CC42" s="28" t="str">
        <f t="shared" si="13"/>
        <v>00:00</v>
      </c>
      <c r="CD42" s="29"/>
      <c r="CE42" s="27"/>
      <c r="CF42" s="27"/>
      <c r="CG42" s="28" t="str">
        <f>IFERROR(VLOOKUP(CE42,Horarios!$H:$I,2,0),"")</f>
        <v/>
      </c>
      <c r="CH42" s="28" t="str">
        <f>IFERROR(VLOOKUP(CF42,Horarios!$H:$I,2,0),"")</f>
        <v/>
      </c>
      <c r="CI42" s="28" t="str">
        <f t="shared" si="14"/>
        <v>00:00</v>
      </c>
      <c r="CJ42" s="29"/>
      <c r="CK42" s="31" t="str">
        <f t="shared" si="15"/>
        <v/>
      </c>
      <c r="CL42" s="27"/>
      <c r="CM42" s="27"/>
      <c r="CN42" s="28" t="str">
        <f>IFERROR(VLOOKUP(CL42,Horarios!$H:$I,2,0),"")</f>
        <v/>
      </c>
      <c r="CO42" s="28" t="str">
        <f>IFERROR(VLOOKUP(CM42,Horarios!$H:$I,2,0),"")</f>
        <v/>
      </c>
      <c r="CP42" s="28" t="str">
        <f t="shared" si="16"/>
        <v>00:00</v>
      </c>
      <c r="CQ42" s="29"/>
      <c r="CR42" s="27"/>
      <c r="CS42" s="27"/>
      <c r="CT42" s="28" t="str">
        <f>IFERROR(VLOOKUP(CR42,Horarios!$H:$I,2,0),"")</f>
        <v/>
      </c>
      <c r="CU42" s="28" t="str">
        <f>IFERROR(VLOOKUP(CS42,Horarios!$H:$I,2,0),"")</f>
        <v/>
      </c>
      <c r="CV42" s="28" t="str">
        <f t="shared" si="17"/>
        <v>00:00</v>
      </c>
      <c r="CW42" s="29"/>
      <c r="CX42" s="27"/>
      <c r="CY42" s="27"/>
      <c r="CZ42" s="28" t="str">
        <f>IFERROR(VLOOKUP(CX42,Horarios!$H:$I,2,0),"")</f>
        <v/>
      </c>
      <c r="DA42" s="28" t="str">
        <f>IFERROR(VLOOKUP(CY42,Horarios!$H:$I,2,0),"")</f>
        <v/>
      </c>
      <c r="DB42" s="28" t="str">
        <f t="shared" si="18"/>
        <v>00:00</v>
      </c>
      <c r="DC42" s="29"/>
      <c r="DD42" s="27"/>
      <c r="DE42" s="27"/>
      <c r="DF42" s="28" t="str">
        <f>IFERROR(VLOOKUP(DD42,Horarios!$H:$I,2,0),"")</f>
        <v/>
      </c>
      <c r="DG42" s="28" t="str">
        <f>IFERROR(VLOOKUP(DE42,Horarios!$H:$I,2,0),"")</f>
        <v/>
      </c>
      <c r="DH42" s="28" t="str">
        <f t="shared" si="19"/>
        <v>00:00</v>
      </c>
      <c r="DI42" s="29"/>
      <c r="DJ42" s="27"/>
      <c r="DK42" s="27"/>
      <c r="DL42" s="28" t="str">
        <f>IFERROR(VLOOKUP(DJ42,Horarios!$H:$I,2,0),"")</f>
        <v/>
      </c>
      <c r="DM42" s="28" t="str">
        <f>IFERROR(VLOOKUP(DK42,Horarios!$H:$I,2,0),"")</f>
        <v/>
      </c>
      <c r="DN42" s="28" t="str">
        <f t="shared" si="20"/>
        <v>00:00</v>
      </c>
      <c r="DO42" s="29"/>
      <c r="DP42" s="27"/>
      <c r="DQ42" s="27"/>
      <c r="DR42" s="28" t="str">
        <f>IFERROR(VLOOKUP(DP42,Horarios!$H:$I,2,0),"")</f>
        <v/>
      </c>
      <c r="DS42" s="28" t="str">
        <f>IFERROR(VLOOKUP(DQ42,Horarios!$H:$I,2,0),"")</f>
        <v/>
      </c>
      <c r="DT42" s="28" t="str">
        <f t="shared" si="21"/>
        <v>00:00</v>
      </c>
      <c r="DU42" s="29"/>
      <c r="DV42" s="27"/>
      <c r="DW42" s="27"/>
      <c r="DX42" s="28" t="str">
        <f>IFERROR(VLOOKUP(DV42,Horarios!$H:$I,2,0),"")</f>
        <v/>
      </c>
      <c r="DY42" s="28" t="str">
        <f>IFERROR(VLOOKUP(DW42,Horarios!$H:$I,2,0),"")</f>
        <v/>
      </c>
      <c r="DZ42" s="28" t="str">
        <f t="shared" si="22"/>
        <v>00:00</v>
      </c>
      <c r="EA42" s="29"/>
      <c r="EB42" s="31" t="str">
        <f t="shared" si="23"/>
        <v/>
      </c>
      <c r="EC42" s="27"/>
      <c r="ED42" s="27"/>
      <c r="EE42" s="28" t="str">
        <f>IFERROR(VLOOKUP(EC42,Horarios!$H:$I,2,0),"")</f>
        <v/>
      </c>
      <c r="EF42" s="28" t="str">
        <f>IFERROR(VLOOKUP(ED42,Horarios!$H:$I,2,0),"")</f>
        <v/>
      </c>
      <c r="EG42" s="28" t="str">
        <f t="shared" si="24"/>
        <v>00:00</v>
      </c>
      <c r="EH42" s="29"/>
      <c r="EI42" s="27"/>
      <c r="EJ42" s="27"/>
      <c r="EK42" s="28" t="str">
        <f>IFERROR(VLOOKUP(EI42,Horarios!$H:$I,2,0),"")</f>
        <v/>
      </c>
      <c r="EL42" s="28" t="str">
        <f>IFERROR(VLOOKUP(EJ42,Horarios!$H:$I,2,0),"")</f>
        <v/>
      </c>
      <c r="EM42" s="28" t="str">
        <f t="shared" si="25"/>
        <v>00:00</v>
      </c>
      <c r="EN42" s="29"/>
      <c r="EO42" s="27"/>
      <c r="EP42" s="27"/>
      <c r="EQ42" s="28" t="str">
        <f>IFERROR(VLOOKUP(EO42,Horarios!$H:$I,2,0),"")</f>
        <v/>
      </c>
      <c r="ER42" s="28" t="str">
        <f>IFERROR(VLOOKUP(EP42,Horarios!$H:$I,2,0),"")</f>
        <v/>
      </c>
      <c r="ES42" s="28" t="str">
        <f t="shared" si="26"/>
        <v>00:00</v>
      </c>
      <c r="ET42" s="29"/>
      <c r="EU42" s="27"/>
      <c r="EV42" s="27"/>
      <c r="EW42" s="28" t="str">
        <f>IFERROR(VLOOKUP(EU42,Horarios!$H:$I,2,0),"")</f>
        <v/>
      </c>
      <c r="EX42" s="28" t="str">
        <f>IFERROR(VLOOKUP(EV42,Horarios!$H:$I,2,0),"")</f>
        <v/>
      </c>
      <c r="EY42" s="28" t="str">
        <f t="shared" si="27"/>
        <v>00:00</v>
      </c>
      <c r="EZ42" s="29"/>
      <c r="FA42" s="27"/>
      <c r="FB42" s="27"/>
      <c r="FC42" s="28" t="str">
        <f>IFERROR(VLOOKUP(FA42,Horarios!$H:$I,2,0),"")</f>
        <v/>
      </c>
      <c r="FD42" s="28" t="str">
        <f>IFERROR(VLOOKUP(FB42,Horarios!$H:$I,2,0),"")</f>
        <v/>
      </c>
      <c r="FE42" s="28" t="str">
        <f t="shared" si="28"/>
        <v>00:00</v>
      </c>
      <c r="FF42" s="29"/>
      <c r="FG42" s="27"/>
      <c r="FH42" s="27"/>
      <c r="FI42" s="28" t="str">
        <f>IFERROR(VLOOKUP(FG42,Horarios!$H:$I,2,0),"")</f>
        <v/>
      </c>
      <c r="FJ42" s="28" t="str">
        <f>IFERROR(VLOOKUP(FH42,Horarios!$H:$I,2,0),"")</f>
        <v/>
      </c>
      <c r="FK42" s="28" t="str">
        <f t="shared" si="29"/>
        <v>00:00</v>
      </c>
      <c r="FL42" s="29"/>
      <c r="FM42" s="27"/>
      <c r="FN42" s="27"/>
      <c r="FO42" s="28" t="str">
        <f>IFERROR(VLOOKUP(FM42,Horarios!$H:$I,2,0),"")</f>
        <v/>
      </c>
      <c r="FP42" s="28" t="str">
        <f>IFERROR(VLOOKUP(FN42,Horarios!$H:$I,2,0),"")</f>
        <v/>
      </c>
      <c r="FQ42" s="28" t="str">
        <f t="shared" si="30"/>
        <v>00:00</v>
      </c>
      <c r="FR42" s="29"/>
      <c r="FS42" s="31" t="str">
        <f t="shared" si="31"/>
        <v/>
      </c>
      <c r="FT42" s="27"/>
      <c r="FU42" s="27"/>
      <c r="FV42" s="28" t="str">
        <f>IFERROR(VLOOKUP(FT42,Horarios!$H:$I,2,0),"")</f>
        <v/>
      </c>
      <c r="FW42" s="28" t="str">
        <f>IFERROR(VLOOKUP(FU42,Horarios!$H:$I,2,0),"")</f>
        <v/>
      </c>
      <c r="FX42" s="28" t="str">
        <f t="shared" si="32"/>
        <v>00:00</v>
      </c>
      <c r="FY42" s="29"/>
      <c r="FZ42" s="27"/>
      <c r="GA42" s="27"/>
      <c r="GB42" s="28" t="str">
        <f>IFERROR(VLOOKUP(FZ42,Horarios!$H:$I,2,0),"")</f>
        <v/>
      </c>
      <c r="GC42" s="28" t="str">
        <f>IFERROR(VLOOKUP(GA42,Horarios!$H:$I,2,0),"")</f>
        <v/>
      </c>
      <c r="GD42" s="28" t="str">
        <f t="shared" si="33"/>
        <v>00:00</v>
      </c>
      <c r="GE42" s="29"/>
      <c r="GF42" s="27"/>
      <c r="GG42" s="27"/>
      <c r="GH42" s="28" t="str">
        <f>IFERROR(VLOOKUP(GF42,Horarios!$H:$I,2,0),"")</f>
        <v/>
      </c>
      <c r="GI42" s="28" t="str">
        <f>IFERROR(VLOOKUP(GG42,Horarios!$H:$I,2,0),"")</f>
        <v/>
      </c>
      <c r="GJ42" s="28" t="str">
        <f t="shared" si="34"/>
        <v>00:00</v>
      </c>
      <c r="GK42" s="29"/>
      <c r="GL42" s="27"/>
      <c r="GM42" s="27"/>
      <c r="GN42" s="28" t="str">
        <f>IFERROR(VLOOKUP(GL42,Horarios!$H:$I,2,0),"")</f>
        <v/>
      </c>
      <c r="GO42" s="28" t="str">
        <f>IFERROR(VLOOKUP(GM42,Horarios!$H:$I,2,0),"")</f>
        <v/>
      </c>
      <c r="GP42" s="28" t="str">
        <f t="shared" si="35"/>
        <v>00:00</v>
      </c>
      <c r="GQ42" s="29"/>
      <c r="GR42" s="27"/>
      <c r="GS42" s="27"/>
      <c r="GT42" s="28" t="str">
        <f>IFERROR(VLOOKUP(GR42,Horarios!$H:$I,2,0),"")</f>
        <v/>
      </c>
      <c r="GU42" s="28" t="str">
        <f>IFERROR(VLOOKUP(GS42,Horarios!$H:$I,2,0),"")</f>
        <v/>
      </c>
      <c r="GV42" s="28" t="str">
        <f t="shared" si="36"/>
        <v>00:00</v>
      </c>
      <c r="GW42" s="29"/>
      <c r="GX42" s="27"/>
      <c r="GY42" s="27"/>
      <c r="GZ42" s="28" t="str">
        <f>IFERROR(VLOOKUP(GX42,Horarios!$H:$I,2,0),"")</f>
        <v/>
      </c>
      <c r="HA42" s="28" t="str">
        <f>IFERROR(VLOOKUP(GY42,Horarios!$H:$I,2,0),"")</f>
        <v/>
      </c>
      <c r="HB42" s="28" t="str">
        <f t="shared" si="37"/>
        <v>00:00</v>
      </c>
      <c r="HC42" s="29"/>
      <c r="HD42" s="27"/>
      <c r="HE42" s="27"/>
      <c r="HF42" s="28" t="str">
        <f>IFERROR(VLOOKUP(HD42,Horarios!$H:$I,2,0),"")</f>
        <v/>
      </c>
      <c r="HG42" s="28" t="str">
        <f>IFERROR(VLOOKUP(HE42,Horarios!$H:$I,2,0),"")</f>
        <v/>
      </c>
      <c r="HH42" s="28" t="str">
        <f t="shared" si="38"/>
        <v>00:00</v>
      </c>
      <c r="HI42" s="29"/>
      <c r="HJ42" s="31" t="str">
        <f t="shared" si="39"/>
        <v/>
      </c>
      <c r="HK42" s="27"/>
      <c r="HL42" s="27"/>
      <c r="HM42" s="28" t="str">
        <f>IFERROR(VLOOKUP(HK42,Horarios!$H:$I,2,0),"")</f>
        <v/>
      </c>
      <c r="HN42" s="28" t="str">
        <f>IFERROR(VLOOKUP(HL42,Horarios!$H:$I,2,0),"")</f>
        <v/>
      </c>
      <c r="HO42" s="28" t="str">
        <f t="shared" si="40"/>
        <v>00:00</v>
      </c>
      <c r="HP42" s="29"/>
      <c r="HQ42" s="27"/>
      <c r="HR42" s="27"/>
      <c r="HS42" s="28" t="str">
        <f>IFERROR(VLOOKUP(HQ42,Horarios!$H:$I,2,0),"")</f>
        <v/>
      </c>
      <c r="HT42" s="28" t="str">
        <f>IFERROR(VLOOKUP(HR42,Horarios!$H:$I,2,0),"")</f>
        <v/>
      </c>
      <c r="HU42" s="28" t="str">
        <f t="shared" si="41"/>
        <v>00:00</v>
      </c>
      <c r="HV42" s="29"/>
      <c r="HW42" s="27"/>
      <c r="HX42" s="27"/>
      <c r="HY42" s="28" t="str">
        <f>IFERROR(VLOOKUP(HW42,Horarios!$H:$I,2,0),"")</f>
        <v/>
      </c>
      <c r="HZ42" s="28" t="str">
        <f>IFERROR(VLOOKUP(HX42,Horarios!$H:$I,2,0),"")</f>
        <v/>
      </c>
      <c r="IA42" s="28" t="str">
        <f t="shared" si="42"/>
        <v>00:00</v>
      </c>
      <c r="IB42" s="29"/>
      <c r="IC42" s="27"/>
      <c r="ID42" s="27"/>
      <c r="IE42" s="28" t="str">
        <f>IFERROR(VLOOKUP(IC42,Horarios!$H:$I,2,0),"")</f>
        <v/>
      </c>
      <c r="IF42" s="28" t="str">
        <f>IFERROR(VLOOKUP(ID42,Horarios!$H:$I,2,0),"")</f>
        <v/>
      </c>
      <c r="IG42" s="28" t="str">
        <f t="shared" si="43"/>
        <v>00:00</v>
      </c>
      <c r="IH42" s="29"/>
      <c r="II42" s="27"/>
      <c r="IJ42" s="27"/>
      <c r="IK42" s="28" t="str">
        <f>IFERROR(VLOOKUP(II42,Horarios!$H:$I,2,0),"")</f>
        <v/>
      </c>
      <c r="IL42" s="28" t="str">
        <f>IFERROR(VLOOKUP(IJ42,Horarios!$H:$I,2,0),"")</f>
        <v/>
      </c>
      <c r="IM42" s="28" t="str">
        <f t="shared" si="44"/>
        <v>00:00</v>
      </c>
      <c r="IN42" s="29"/>
      <c r="IO42" s="27"/>
      <c r="IP42" s="27"/>
      <c r="IQ42" s="28" t="str">
        <f>IFERROR(VLOOKUP(IO42,Horarios!$H:$I,2,0),"")</f>
        <v/>
      </c>
      <c r="IR42" s="28" t="str">
        <f>IFERROR(VLOOKUP(IP42,Horarios!$H:$I,2,0),"")</f>
        <v/>
      </c>
      <c r="IS42" s="28" t="str">
        <f t="shared" si="45"/>
        <v>00:00</v>
      </c>
      <c r="IT42" s="29"/>
      <c r="IU42" s="27"/>
      <c r="IV42" s="27"/>
      <c r="IW42" s="28" t="str">
        <f>IFERROR(VLOOKUP(IU42,Horarios!$H:$I,2,0),"")</f>
        <v/>
      </c>
      <c r="IX42" s="28" t="str">
        <f>IFERROR(VLOOKUP(IV42,Horarios!$H:$I,2,0),"")</f>
        <v/>
      </c>
      <c r="IY42" s="28" t="str">
        <f t="shared" si="46"/>
        <v>00:00</v>
      </c>
      <c r="IZ42" s="29"/>
      <c r="JA42" s="31" t="str">
        <f t="shared" si="47"/>
        <v/>
      </c>
    </row>
    <row r="43" spans="1:261" s="24" customFormat="1" ht="17.399999999999999" x14ac:dyDescent="0.25">
      <c r="A43" s="25"/>
      <c r="B43" s="26" t="str">
        <f>IFERROR(VLOOKUP(A43,BaseNombres!A:B,2,0),"")</f>
        <v/>
      </c>
      <c r="C43" s="26" t="str">
        <f>IFERROR(VLOOKUP(A43,BaseNombres!A:C,3,0),"")</f>
        <v/>
      </c>
      <c r="D43" s="27"/>
      <c r="E43" s="27"/>
      <c r="F43" s="28" t="str">
        <f>IFERROR(VLOOKUP(D43,Horarios!$H:$I,2,0),"")</f>
        <v/>
      </c>
      <c r="G43" s="28" t="str">
        <f>IFERROR(VLOOKUP(E43,Horarios!$H:$I,2,0),"")</f>
        <v/>
      </c>
      <c r="H43" s="28" t="str">
        <f t="shared" si="0"/>
        <v>00:00</v>
      </c>
      <c r="I43" s="29"/>
      <c r="J43" s="27"/>
      <c r="K43" s="27"/>
      <c r="L43" s="28" t="str">
        <f>IFERROR(VLOOKUP(J43,Horarios!$H:$I,2,0),"")</f>
        <v/>
      </c>
      <c r="M43" s="28" t="str">
        <f>IFERROR(VLOOKUP(K43,Horarios!$H:$I,2,0),"")</f>
        <v/>
      </c>
      <c r="N43" s="28" t="str">
        <f t="shared" si="1"/>
        <v>00:00</v>
      </c>
      <c r="O43" s="29"/>
      <c r="P43" s="27"/>
      <c r="Q43" s="27"/>
      <c r="R43" s="28" t="str">
        <f>IFERROR(VLOOKUP(P43,Horarios!$H:$I,2,0),"")</f>
        <v/>
      </c>
      <c r="S43" s="28" t="str">
        <f>IFERROR(VLOOKUP(Q43,Horarios!$H:$I,2,0),"")</f>
        <v/>
      </c>
      <c r="T43" s="28" t="str">
        <f t="shared" si="2"/>
        <v>00:00</v>
      </c>
      <c r="U43" s="29"/>
      <c r="V43" s="27"/>
      <c r="W43" s="27"/>
      <c r="X43" s="28" t="str">
        <f>IFERROR(VLOOKUP(V43,Horarios!$H:$I,2,0),"")</f>
        <v/>
      </c>
      <c r="Y43" s="28" t="str">
        <f>IFERROR(VLOOKUP(W43,Horarios!$H:$I,2,0),"")</f>
        <v/>
      </c>
      <c r="Z43" s="28" t="str">
        <f t="shared" si="3"/>
        <v>00:00</v>
      </c>
      <c r="AA43" s="29"/>
      <c r="AB43" s="27"/>
      <c r="AC43" s="27"/>
      <c r="AD43" s="28" t="str">
        <f>IFERROR(VLOOKUP(AB43,Horarios!$H:$I,2,0),"")</f>
        <v/>
      </c>
      <c r="AE43" s="28" t="str">
        <f>IFERROR(VLOOKUP(AC43,Horarios!$H:$I,2,0),"")</f>
        <v/>
      </c>
      <c r="AF43" s="28" t="str">
        <f t="shared" si="4"/>
        <v>00:00</v>
      </c>
      <c r="AG43" s="29"/>
      <c r="AH43" s="27"/>
      <c r="AI43" s="27"/>
      <c r="AJ43" s="28" t="str">
        <f>IFERROR(VLOOKUP(AH43,Horarios!$H:$I,2,0),"")</f>
        <v/>
      </c>
      <c r="AK43" s="28" t="str">
        <f>IFERROR(VLOOKUP(AI43,Horarios!$H:$I,2,0),"")</f>
        <v/>
      </c>
      <c r="AL43" s="28" t="str">
        <f t="shared" si="5"/>
        <v>00:00</v>
      </c>
      <c r="AM43" s="29"/>
      <c r="AN43" s="27"/>
      <c r="AO43" s="27"/>
      <c r="AP43" s="28" t="str">
        <f>IFERROR(VLOOKUP(AN43,Horarios!$H:$I,2,0),"")</f>
        <v/>
      </c>
      <c r="AQ43" s="28" t="str">
        <f>IFERROR(VLOOKUP(AO43,Horarios!$H:$I,2,0),"")</f>
        <v/>
      </c>
      <c r="AR43" s="28" t="str">
        <f t="shared" si="6"/>
        <v>00:00</v>
      </c>
      <c r="AS43" s="29"/>
      <c r="AT43" s="31" t="str">
        <f t="shared" si="7"/>
        <v/>
      </c>
      <c r="AU43" s="27"/>
      <c r="AV43" s="27"/>
      <c r="AW43" s="28" t="str">
        <f>IFERROR(VLOOKUP(AU43,Horarios!$H:$I,2,0),"")</f>
        <v/>
      </c>
      <c r="AX43" s="28" t="str">
        <f>IFERROR(VLOOKUP(AV43,Horarios!$H:$I,2,0),"")</f>
        <v/>
      </c>
      <c r="AY43" s="28" t="str">
        <f t="shared" si="8"/>
        <v>00:00</v>
      </c>
      <c r="AZ43" s="29"/>
      <c r="BA43" s="27"/>
      <c r="BB43" s="27"/>
      <c r="BC43" s="28" t="str">
        <f>IFERROR(VLOOKUP(BA43,Horarios!$H:$I,2,0),"")</f>
        <v/>
      </c>
      <c r="BD43" s="28" t="str">
        <f>IFERROR(VLOOKUP(BB43,Horarios!$H:$I,2,0),"")</f>
        <v/>
      </c>
      <c r="BE43" s="28" t="str">
        <f t="shared" si="9"/>
        <v>00:00</v>
      </c>
      <c r="BF43" s="29"/>
      <c r="BG43" s="27"/>
      <c r="BH43" s="27"/>
      <c r="BI43" s="28" t="str">
        <f>IFERROR(VLOOKUP(BG43,Horarios!$H:$I,2,0),"")</f>
        <v/>
      </c>
      <c r="BJ43" s="28" t="str">
        <f>IFERROR(VLOOKUP(BH43,Horarios!$H:$I,2,0),"")</f>
        <v/>
      </c>
      <c r="BK43" s="28" t="str">
        <f t="shared" si="10"/>
        <v>00:00</v>
      </c>
      <c r="BL43" s="29"/>
      <c r="BM43" s="27"/>
      <c r="BN43" s="27"/>
      <c r="BO43" s="28" t="str">
        <f>IFERROR(VLOOKUP(BM43,Horarios!$H:$I,2,0),"")</f>
        <v/>
      </c>
      <c r="BP43" s="28" t="str">
        <f>IFERROR(VLOOKUP(BN43,Horarios!$H:$I,2,0),"")</f>
        <v/>
      </c>
      <c r="BQ43" s="28" t="str">
        <f t="shared" si="11"/>
        <v>00:00</v>
      </c>
      <c r="BR43" s="29"/>
      <c r="BS43" s="27"/>
      <c r="BT43" s="27"/>
      <c r="BU43" s="28" t="str">
        <f>IFERROR(VLOOKUP(BS43,Horarios!$H:$I,2,0),"")</f>
        <v/>
      </c>
      <c r="BV43" s="28" t="str">
        <f>IFERROR(VLOOKUP(BT43,Horarios!$H:$I,2,0),"")</f>
        <v/>
      </c>
      <c r="BW43" s="28" t="str">
        <f t="shared" si="12"/>
        <v>00:00</v>
      </c>
      <c r="BX43" s="29"/>
      <c r="BY43" s="27"/>
      <c r="BZ43" s="27"/>
      <c r="CA43" s="28" t="str">
        <f>IFERROR(VLOOKUP(BY43,Horarios!$H:$I,2,0),"")</f>
        <v/>
      </c>
      <c r="CB43" s="28" t="str">
        <f>IFERROR(VLOOKUP(BZ43,Horarios!$H:$I,2,0),"")</f>
        <v/>
      </c>
      <c r="CC43" s="28" t="str">
        <f t="shared" si="13"/>
        <v>00:00</v>
      </c>
      <c r="CD43" s="29"/>
      <c r="CE43" s="27"/>
      <c r="CF43" s="27"/>
      <c r="CG43" s="28" t="str">
        <f>IFERROR(VLOOKUP(CE43,Horarios!$H:$I,2,0),"")</f>
        <v/>
      </c>
      <c r="CH43" s="28" t="str">
        <f>IFERROR(VLOOKUP(CF43,Horarios!$H:$I,2,0),"")</f>
        <v/>
      </c>
      <c r="CI43" s="28" t="str">
        <f t="shared" si="14"/>
        <v>00:00</v>
      </c>
      <c r="CJ43" s="29"/>
      <c r="CK43" s="31" t="str">
        <f t="shared" si="15"/>
        <v/>
      </c>
      <c r="CL43" s="27"/>
      <c r="CM43" s="27"/>
      <c r="CN43" s="28" t="str">
        <f>IFERROR(VLOOKUP(CL43,Horarios!$H:$I,2,0),"")</f>
        <v/>
      </c>
      <c r="CO43" s="28" t="str">
        <f>IFERROR(VLOOKUP(CM43,Horarios!$H:$I,2,0),"")</f>
        <v/>
      </c>
      <c r="CP43" s="28" t="str">
        <f t="shared" si="16"/>
        <v>00:00</v>
      </c>
      <c r="CQ43" s="29"/>
      <c r="CR43" s="27"/>
      <c r="CS43" s="27"/>
      <c r="CT43" s="28" t="str">
        <f>IFERROR(VLOOKUP(CR43,Horarios!$H:$I,2,0),"")</f>
        <v/>
      </c>
      <c r="CU43" s="28" t="str">
        <f>IFERROR(VLOOKUP(CS43,Horarios!$H:$I,2,0),"")</f>
        <v/>
      </c>
      <c r="CV43" s="28" t="str">
        <f t="shared" si="17"/>
        <v>00:00</v>
      </c>
      <c r="CW43" s="29"/>
      <c r="CX43" s="27"/>
      <c r="CY43" s="27"/>
      <c r="CZ43" s="28" t="str">
        <f>IFERROR(VLOOKUP(CX43,Horarios!$H:$I,2,0),"")</f>
        <v/>
      </c>
      <c r="DA43" s="28" t="str">
        <f>IFERROR(VLOOKUP(CY43,Horarios!$H:$I,2,0),"")</f>
        <v/>
      </c>
      <c r="DB43" s="28" t="str">
        <f t="shared" si="18"/>
        <v>00:00</v>
      </c>
      <c r="DC43" s="29"/>
      <c r="DD43" s="27"/>
      <c r="DE43" s="27"/>
      <c r="DF43" s="28" t="str">
        <f>IFERROR(VLOOKUP(DD43,Horarios!$H:$I,2,0),"")</f>
        <v/>
      </c>
      <c r="DG43" s="28" t="str">
        <f>IFERROR(VLOOKUP(DE43,Horarios!$H:$I,2,0),"")</f>
        <v/>
      </c>
      <c r="DH43" s="28" t="str">
        <f t="shared" si="19"/>
        <v>00:00</v>
      </c>
      <c r="DI43" s="29"/>
      <c r="DJ43" s="27"/>
      <c r="DK43" s="27"/>
      <c r="DL43" s="28" t="str">
        <f>IFERROR(VLOOKUP(DJ43,Horarios!$H:$I,2,0),"")</f>
        <v/>
      </c>
      <c r="DM43" s="28" t="str">
        <f>IFERROR(VLOOKUP(DK43,Horarios!$H:$I,2,0),"")</f>
        <v/>
      </c>
      <c r="DN43" s="28" t="str">
        <f t="shared" si="20"/>
        <v>00:00</v>
      </c>
      <c r="DO43" s="29"/>
      <c r="DP43" s="27"/>
      <c r="DQ43" s="27"/>
      <c r="DR43" s="28" t="str">
        <f>IFERROR(VLOOKUP(DP43,Horarios!$H:$I,2,0),"")</f>
        <v/>
      </c>
      <c r="DS43" s="28" t="str">
        <f>IFERROR(VLOOKUP(DQ43,Horarios!$H:$I,2,0),"")</f>
        <v/>
      </c>
      <c r="DT43" s="28" t="str">
        <f t="shared" si="21"/>
        <v>00:00</v>
      </c>
      <c r="DU43" s="29"/>
      <c r="DV43" s="27"/>
      <c r="DW43" s="27"/>
      <c r="DX43" s="28" t="str">
        <f>IFERROR(VLOOKUP(DV43,Horarios!$H:$I,2,0),"")</f>
        <v/>
      </c>
      <c r="DY43" s="28" t="str">
        <f>IFERROR(VLOOKUP(DW43,Horarios!$H:$I,2,0),"")</f>
        <v/>
      </c>
      <c r="DZ43" s="28" t="str">
        <f t="shared" si="22"/>
        <v>00:00</v>
      </c>
      <c r="EA43" s="29"/>
      <c r="EB43" s="31" t="str">
        <f t="shared" si="23"/>
        <v/>
      </c>
      <c r="EC43" s="27"/>
      <c r="ED43" s="27"/>
      <c r="EE43" s="28" t="str">
        <f>IFERROR(VLOOKUP(EC43,Horarios!$H:$I,2,0),"")</f>
        <v/>
      </c>
      <c r="EF43" s="28" t="str">
        <f>IFERROR(VLOOKUP(ED43,Horarios!$H:$I,2,0),"")</f>
        <v/>
      </c>
      <c r="EG43" s="28" t="str">
        <f t="shared" si="24"/>
        <v>00:00</v>
      </c>
      <c r="EH43" s="29"/>
      <c r="EI43" s="27"/>
      <c r="EJ43" s="27"/>
      <c r="EK43" s="28" t="str">
        <f>IFERROR(VLOOKUP(EI43,Horarios!$H:$I,2,0),"")</f>
        <v/>
      </c>
      <c r="EL43" s="28" t="str">
        <f>IFERROR(VLOOKUP(EJ43,Horarios!$H:$I,2,0),"")</f>
        <v/>
      </c>
      <c r="EM43" s="28" t="str">
        <f t="shared" si="25"/>
        <v>00:00</v>
      </c>
      <c r="EN43" s="29"/>
      <c r="EO43" s="27"/>
      <c r="EP43" s="27"/>
      <c r="EQ43" s="28" t="str">
        <f>IFERROR(VLOOKUP(EO43,Horarios!$H:$I,2,0),"")</f>
        <v/>
      </c>
      <c r="ER43" s="28" t="str">
        <f>IFERROR(VLOOKUP(EP43,Horarios!$H:$I,2,0),"")</f>
        <v/>
      </c>
      <c r="ES43" s="28" t="str">
        <f t="shared" si="26"/>
        <v>00:00</v>
      </c>
      <c r="ET43" s="29"/>
      <c r="EU43" s="27"/>
      <c r="EV43" s="27"/>
      <c r="EW43" s="28" t="str">
        <f>IFERROR(VLOOKUP(EU43,Horarios!$H:$I,2,0),"")</f>
        <v/>
      </c>
      <c r="EX43" s="28" t="str">
        <f>IFERROR(VLOOKUP(EV43,Horarios!$H:$I,2,0),"")</f>
        <v/>
      </c>
      <c r="EY43" s="28" t="str">
        <f t="shared" si="27"/>
        <v>00:00</v>
      </c>
      <c r="EZ43" s="29"/>
      <c r="FA43" s="27"/>
      <c r="FB43" s="27"/>
      <c r="FC43" s="28" t="str">
        <f>IFERROR(VLOOKUP(FA43,Horarios!$H:$I,2,0),"")</f>
        <v/>
      </c>
      <c r="FD43" s="28" t="str">
        <f>IFERROR(VLOOKUP(FB43,Horarios!$H:$I,2,0),"")</f>
        <v/>
      </c>
      <c r="FE43" s="28" t="str">
        <f t="shared" si="28"/>
        <v>00:00</v>
      </c>
      <c r="FF43" s="29"/>
      <c r="FG43" s="27"/>
      <c r="FH43" s="27"/>
      <c r="FI43" s="28" t="str">
        <f>IFERROR(VLOOKUP(FG43,Horarios!$H:$I,2,0),"")</f>
        <v/>
      </c>
      <c r="FJ43" s="28" t="str">
        <f>IFERROR(VLOOKUP(FH43,Horarios!$H:$I,2,0),"")</f>
        <v/>
      </c>
      <c r="FK43" s="28" t="str">
        <f t="shared" si="29"/>
        <v>00:00</v>
      </c>
      <c r="FL43" s="29"/>
      <c r="FM43" s="27"/>
      <c r="FN43" s="27"/>
      <c r="FO43" s="28" t="str">
        <f>IFERROR(VLOOKUP(FM43,Horarios!$H:$I,2,0),"")</f>
        <v/>
      </c>
      <c r="FP43" s="28" t="str">
        <f>IFERROR(VLOOKUP(FN43,Horarios!$H:$I,2,0),"")</f>
        <v/>
      </c>
      <c r="FQ43" s="28" t="str">
        <f t="shared" si="30"/>
        <v>00:00</v>
      </c>
      <c r="FR43" s="29"/>
      <c r="FS43" s="31" t="str">
        <f t="shared" si="31"/>
        <v/>
      </c>
      <c r="FT43" s="27"/>
      <c r="FU43" s="27"/>
      <c r="FV43" s="28" t="str">
        <f>IFERROR(VLOOKUP(FT43,Horarios!$H:$I,2,0),"")</f>
        <v/>
      </c>
      <c r="FW43" s="28" t="str">
        <f>IFERROR(VLOOKUP(FU43,Horarios!$H:$I,2,0),"")</f>
        <v/>
      </c>
      <c r="FX43" s="28" t="str">
        <f t="shared" si="32"/>
        <v>00:00</v>
      </c>
      <c r="FY43" s="29"/>
      <c r="FZ43" s="27"/>
      <c r="GA43" s="27"/>
      <c r="GB43" s="28" t="str">
        <f>IFERROR(VLOOKUP(FZ43,Horarios!$H:$I,2,0),"")</f>
        <v/>
      </c>
      <c r="GC43" s="28" t="str">
        <f>IFERROR(VLOOKUP(GA43,Horarios!$H:$I,2,0),"")</f>
        <v/>
      </c>
      <c r="GD43" s="28" t="str">
        <f t="shared" si="33"/>
        <v>00:00</v>
      </c>
      <c r="GE43" s="29"/>
      <c r="GF43" s="27"/>
      <c r="GG43" s="27"/>
      <c r="GH43" s="28" t="str">
        <f>IFERROR(VLOOKUP(GF43,Horarios!$H:$I,2,0),"")</f>
        <v/>
      </c>
      <c r="GI43" s="28" t="str">
        <f>IFERROR(VLOOKUP(GG43,Horarios!$H:$I,2,0),"")</f>
        <v/>
      </c>
      <c r="GJ43" s="28" t="str">
        <f t="shared" si="34"/>
        <v>00:00</v>
      </c>
      <c r="GK43" s="29"/>
      <c r="GL43" s="27"/>
      <c r="GM43" s="27"/>
      <c r="GN43" s="28" t="str">
        <f>IFERROR(VLOOKUP(GL43,Horarios!$H:$I,2,0),"")</f>
        <v/>
      </c>
      <c r="GO43" s="28" t="str">
        <f>IFERROR(VLOOKUP(GM43,Horarios!$H:$I,2,0),"")</f>
        <v/>
      </c>
      <c r="GP43" s="28" t="str">
        <f t="shared" si="35"/>
        <v>00:00</v>
      </c>
      <c r="GQ43" s="29"/>
      <c r="GR43" s="27"/>
      <c r="GS43" s="27"/>
      <c r="GT43" s="28" t="str">
        <f>IFERROR(VLOOKUP(GR43,Horarios!$H:$I,2,0),"")</f>
        <v/>
      </c>
      <c r="GU43" s="28" t="str">
        <f>IFERROR(VLOOKUP(GS43,Horarios!$H:$I,2,0),"")</f>
        <v/>
      </c>
      <c r="GV43" s="28" t="str">
        <f t="shared" si="36"/>
        <v>00:00</v>
      </c>
      <c r="GW43" s="29"/>
      <c r="GX43" s="27"/>
      <c r="GY43" s="27"/>
      <c r="GZ43" s="28" t="str">
        <f>IFERROR(VLOOKUP(GX43,Horarios!$H:$I,2,0),"")</f>
        <v/>
      </c>
      <c r="HA43" s="28" t="str">
        <f>IFERROR(VLOOKUP(GY43,Horarios!$H:$I,2,0),"")</f>
        <v/>
      </c>
      <c r="HB43" s="28" t="str">
        <f t="shared" si="37"/>
        <v>00:00</v>
      </c>
      <c r="HC43" s="29"/>
      <c r="HD43" s="27"/>
      <c r="HE43" s="27"/>
      <c r="HF43" s="28" t="str">
        <f>IFERROR(VLOOKUP(HD43,Horarios!$H:$I,2,0),"")</f>
        <v/>
      </c>
      <c r="HG43" s="28" t="str">
        <f>IFERROR(VLOOKUP(HE43,Horarios!$H:$I,2,0),"")</f>
        <v/>
      </c>
      <c r="HH43" s="28" t="str">
        <f t="shared" si="38"/>
        <v>00:00</v>
      </c>
      <c r="HI43" s="29"/>
      <c r="HJ43" s="31" t="str">
        <f t="shared" si="39"/>
        <v/>
      </c>
      <c r="HK43" s="27"/>
      <c r="HL43" s="27"/>
      <c r="HM43" s="28" t="str">
        <f>IFERROR(VLOOKUP(HK43,Horarios!$H:$I,2,0),"")</f>
        <v/>
      </c>
      <c r="HN43" s="28" t="str">
        <f>IFERROR(VLOOKUP(HL43,Horarios!$H:$I,2,0),"")</f>
        <v/>
      </c>
      <c r="HO43" s="28" t="str">
        <f t="shared" si="40"/>
        <v>00:00</v>
      </c>
      <c r="HP43" s="29"/>
      <c r="HQ43" s="27"/>
      <c r="HR43" s="27"/>
      <c r="HS43" s="28" t="str">
        <f>IFERROR(VLOOKUP(HQ43,Horarios!$H:$I,2,0),"")</f>
        <v/>
      </c>
      <c r="HT43" s="28" t="str">
        <f>IFERROR(VLOOKUP(HR43,Horarios!$H:$I,2,0),"")</f>
        <v/>
      </c>
      <c r="HU43" s="28" t="str">
        <f t="shared" si="41"/>
        <v>00:00</v>
      </c>
      <c r="HV43" s="29"/>
      <c r="HW43" s="27"/>
      <c r="HX43" s="27"/>
      <c r="HY43" s="28" t="str">
        <f>IFERROR(VLOOKUP(HW43,Horarios!$H:$I,2,0),"")</f>
        <v/>
      </c>
      <c r="HZ43" s="28" t="str">
        <f>IFERROR(VLOOKUP(HX43,Horarios!$H:$I,2,0),"")</f>
        <v/>
      </c>
      <c r="IA43" s="28" t="str">
        <f t="shared" si="42"/>
        <v>00:00</v>
      </c>
      <c r="IB43" s="29"/>
      <c r="IC43" s="27"/>
      <c r="ID43" s="27"/>
      <c r="IE43" s="28" t="str">
        <f>IFERROR(VLOOKUP(IC43,Horarios!$H:$I,2,0),"")</f>
        <v/>
      </c>
      <c r="IF43" s="28" t="str">
        <f>IFERROR(VLOOKUP(ID43,Horarios!$H:$I,2,0),"")</f>
        <v/>
      </c>
      <c r="IG43" s="28" t="str">
        <f t="shared" si="43"/>
        <v>00:00</v>
      </c>
      <c r="IH43" s="29"/>
      <c r="II43" s="27"/>
      <c r="IJ43" s="27"/>
      <c r="IK43" s="28" t="str">
        <f>IFERROR(VLOOKUP(II43,Horarios!$H:$I,2,0),"")</f>
        <v/>
      </c>
      <c r="IL43" s="28" t="str">
        <f>IFERROR(VLOOKUP(IJ43,Horarios!$H:$I,2,0),"")</f>
        <v/>
      </c>
      <c r="IM43" s="28" t="str">
        <f t="shared" si="44"/>
        <v>00:00</v>
      </c>
      <c r="IN43" s="29"/>
      <c r="IO43" s="27"/>
      <c r="IP43" s="27"/>
      <c r="IQ43" s="28" t="str">
        <f>IFERROR(VLOOKUP(IO43,Horarios!$H:$I,2,0),"")</f>
        <v/>
      </c>
      <c r="IR43" s="28" t="str">
        <f>IFERROR(VLOOKUP(IP43,Horarios!$H:$I,2,0),"")</f>
        <v/>
      </c>
      <c r="IS43" s="28" t="str">
        <f t="shared" si="45"/>
        <v>00:00</v>
      </c>
      <c r="IT43" s="29"/>
      <c r="IU43" s="27"/>
      <c r="IV43" s="27"/>
      <c r="IW43" s="28" t="str">
        <f>IFERROR(VLOOKUP(IU43,Horarios!$H:$I,2,0),"")</f>
        <v/>
      </c>
      <c r="IX43" s="28" t="str">
        <f>IFERROR(VLOOKUP(IV43,Horarios!$H:$I,2,0),"")</f>
        <v/>
      </c>
      <c r="IY43" s="28" t="str">
        <f t="shared" si="46"/>
        <v>00:00</v>
      </c>
      <c r="IZ43" s="29"/>
      <c r="JA43" s="31" t="str">
        <f t="shared" si="47"/>
        <v/>
      </c>
    </row>
    <row r="44" spans="1:261" s="24" customFormat="1" ht="17.399999999999999" x14ac:dyDescent="0.25">
      <c r="A44" s="25"/>
      <c r="B44" s="26" t="str">
        <f>IFERROR(VLOOKUP(A44,BaseNombres!A:B,2,0),"")</f>
        <v/>
      </c>
      <c r="C44" s="26" t="str">
        <f>IFERROR(VLOOKUP(A44,BaseNombres!A:C,3,0),"")</f>
        <v/>
      </c>
      <c r="D44" s="27"/>
      <c r="E44" s="27"/>
      <c r="F44" s="28" t="str">
        <f>IFERROR(VLOOKUP(D44,Horarios!$H:$I,2,0),"")</f>
        <v/>
      </c>
      <c r="G44" s="28" t="str">
        <f>IFERROR(VLOOKUP(E44,Horarios!$H:$I,2,0),"")</f>
        <v/>
      </c>
      <c r="H44" s="28" t="str">
        <f t="shared" si="0"/>
        <v>00:00</v>
      </c>
      <c r="I44" s="29"/>
      <c r="J44" s="27"/>
      <c r="K44" s="27"/>
      <c r="L44" s="28" t="str">
        <f>IFERROR(VLOOKUP(J44,Horarios!$H:$I,2,0),"")</f>
        <v/>
      </c>
      <c r="M44" s="28" t="str">
        <f>IFERROR(VLOOKUP(K44,Horarios!$H:$I,2,0),"")</f>
        <v/>
      </c>
      <c r="N44" s="28" t="str">
        <f t="shared" si="1"/>
        <v>00:00</v>
      </c>
      <c r="O44" s="29"/>
      <c r="P44" s="27"/>
      <c r="Q44" s="27"/>
      <c r="R44" s="28" t="str">
        <f>IFERROR(VLOOKUP(P44,Horarios!$H:$I,2,0),"")</f>
        <v/>
      </c>
      <c r="S44" s="28" t="str">
        <f>IFERROR(VLOOKUP(Q44,Horarios!$H:$I,2,0),"")</f>
        <v/>
      </c>
      <c r="T44" s="28" t="str">
        <f t="shared" si="2"/>
        <v>00:00</v>
      </c>
      <c r="U44" s="29"/>
      <c r="V44" s="27"/>
      <c r="W44" s="27"/>
      <c r="X44" s="28" t="str">
        <f>IFERROR(VLOOKUP(V44,Horarios!$H:$I,2,0),"")</f>
        <v/>
      </c>
      <c r="Y44" s="28" t="str">
        <f>IFERROR(VLOOKUP(W44,Horarios!$H:$I,2,0),"")</f>
        <v/>
      </c>
      <c r="Z44" s="28" t="str">
        <f t="shared" si="3"/>
        <v>00:00</v>
      </c>
      <c r="AA44" s="29"/>
      <c r="AB44" s="27"/>
      <c r="AC44" s="27"/>
      <c r="AD44" s="28" t="str">
        <f>IFERROR(VLOOKUP(AB44,Horarios!$H:$I,2,0),"")</f>
        <v/>
      </c>
      <c r="AE44" s="28" t="str">
        <f>IFERROR(VLOOKUP(AC44,Horarios!$H:$I,2,0),"")</f>
        <v/>
      </c>
      <c r="AF44" s="28" t="str">
        <f t="shared" si="4"/>
        <v>00:00</v>
      </c>
      <c r="AG44" s="29"/>
      <c r="AH44" s="27"/>
      <c r="AI44" s="27"/>
      <c r="AJ44" s="28" t="str">
        <f>IFERROR(VLOOKUP(AH44,Horarios!$H:$I,2,0),"")</f>
        <v/>
      </c>
      <c r="AK44" s="28" t="str">
        <f>IFERROR(VLOOKUP(AI44,Horarios!$H:$I,2,0),"")</f>
        <v/>
      </c>
      <c r="AL44" s="28" t="str">
        <f t="shared" si="5"/>
        <v>00:00</v>
      </c>
      <c r="AM44" s="29"/>
      <c r="AN44" s="27"/>
      <c r="AO44" s="27"/>
      <c r="AP44" s="28" t="str">
        <f>IFERROR(VLOOKUP(AN44,Horarios!$H:$I,2,0),"")</f>
        <v/>
      </c>
      <c r="AQ44" s="28" t="str">
        <f>IFERROR(VLOOKUP(AO44,Horarios!$H:$I,2,0),"")</f>
        <v/>
      </c>
      <c r="AR44" s="28" t="str">
        <f t="shared" si="6"/>
        <v>00:00</v>
      </c>
      <c r="AS44" s="29"/>
      <c r="AT44" s="31" t="str">
        <f t="shared" si="7"/>
        <v/>
      </c>
      <c r="AU44" s="27"/>
      <c r="AV44" s="27"/>
      <c r="AW44" s="28" t="str">
        <f>IFERROR(VLOOKUP(AU44,Horarios!$H:$I,2,0),"")</f>
        <v/>
      </c>
      <c r="AX44" s="28" t="str">
        <f>IFERROR(VLOOKUP(AV44,Horarios!$H:$I,2,0),"")</f>
        <v/>
      </c>
      <c r="AY44" s="28" t="str">
        <f t="shared" si="8"/>
        <v>00:00</v>
      </c>
      <c r="AZ44" s="29"/>
      <c r="BA44" s="27"/>
      <c r="BB44" s="27"/>
      <c r="BC44" s="28" t="str">
        <f>IFERROR(VLOOKUP(BA44,Horarios!$H:$I,2,0),"")</f>
        <v/>
      </c>
      <c r="BD44" s="28" t="str">
        <f>IFERROR(VLOOKUP(BB44,Horarios!$H:$I,2,0),"")</f>
        <v/>
      </c>
      <c r="BE44" s="28" t="str">
        <f t="shared" si="9"/>
        <v>00:00</v>
      </c>
      <c r="BF44" s="29"/>
      <c r="BG44" s="27"/>
      <c r="BH44" s="27"/>
      <c r="BI44" s="28" t="str">
        <f>IFERROR(VLOOKUP(BG44,Horarios!$H:$I,2,0),"")</f>
        <v/>
      </c>
      <c r="BJ44" s="28" t="str">
        <f>IFERROR(VLOOKUP(BH44,Horarios!$H:$I,2,0),"")</f>
        <v/>
      </c>
      <c r="BK44" s="28" t="str">
        <f t="shared" si="10"/>
        <v>00:00</v>
      </c>
      <c r="BL44" s="29"/>
      <c r="BM44" s="27"/>
      <c r="BN44" s="27"/>
      <c r="BO44" s="28" t="str">
        <f>IFERROR(VLOOKUP(BM44,Horarios!$H:$I,2,0),"")</f>
        <v/>
      </c>
      <c r="BP44" s="28" t="str">
        <f>IFERROR(VLOOKUP(BN44,Horarios!$H:$I,2,0),"")</f>
        <v/>
      </c>
      <c r="BQ44" s="28" t="str">
        <f t="shared" si="11"/>
        <v>00:00</v>
      </c>
      <c r="BR44" s="29"/>
      <c r="BS44" s="27"/>
      <c r="BT44" s="27"/>
      <c r="BU44" s="28" t="str">
        <f>IFERROR(VLOOKUP(BS44,Horarios!$H:$I,2,0),"")</f>
        <v/>
      </c>
      <c r="BV44" s="28" t="str">
        <f>IFERROR(VLOOKUP(BT44,Horarios!$H:$I,2,0),"")</f>
        <v/>
      </c>
      <c r="BW44" s="28" t="str">
        <f t="shared" si="12"/>
        <v>00:00</v>
      </c>
      <c r="BX44" s="29"/>
      <c r="BY44" s="27"/>
      <c r="BZ44" s="27"/>
      <c r="CA44" s="28" t="str">
        <f>IFERROR(VLOOKUP(BY44,Horarios!$H:$I,2,0),"")</f>
        <v/>
      </c>
      <c r="CB44" s="28" t="str">
        <f>IFERROR(VLOOKUP(BZ44,Horarios!$H:$I,2,0),"")</f>
        <v/>
      </c>
      <c r="CC44" s="28" t="str">
        <f t="shared" si="13"/>
        <v>00:00</v>
      </c>
      <c r="CD44" s="29"/>
      <c r="CE44" s="27"/>
      <c r="CF44" s="27"/>
      <c r="CG44" s="28" t="str">
        <f>IFERROR(VLOOKUP(CE44,Horarios!$H:$I,2,0),"")</f>
        <v/>
      </c>
      <c r="CH44" s="28" t="str">
        <f>IFERROR(VLOOKUP(CF44,Horarios!$H:$I,2,0),"")</f>
        <v/>
      </c>
      <c r="CI44" s="28" t="str">
        <f t="shared" si="14"/>
        <v>00:00</v>
      </c>
      <c r="CJ44" s="29"/>
      <c r="CK44" s="31" t="str">
        <f t="shared" si="15"/>
        <v/>
      </c>
      <c r="CL44" s="27"/>
      <c r="CM44" s="27"/>
      <c r="CN44" s="28" t="str">
        <f>IFERROR(VLOOKUP(CL44,Horarios!$H:$I,2,0),"")</f>
        <v/>
      </c>
      <c r="CO44" s="28" t="str">
        <f>IFERROR(VLOOKUP(CM44,Horarios!$H:$I,2,0),"")</f>
        <v/>
      </c>
      <c r="CP44" s="28" t="str">
        <f t="shared" si="16"/>
        <v>00:00</v>
      </c>
      <c r="CQ44" s="29"/>
      <c r="CR44" s="27"/>
      <c r="CS44" s="27"/>
      <c r="CT44" s="28" t="str">
        <f>IFERROR(VLOOKUP(CR44,Horarios!$H:$I,2,0),"")</f>
        <v/>
      </c>
      <c r="CU44" s="28" t="str">
        <f>IFERROR(VLOOKUP(CS44,Horarios!$H:$I,2,0),"")</f>
        <v/>
      </c>
      <c r="CV44" s="28" t="str">
        <f t="shared" si="17"/>
        <v>00:00</v>
      </c>
      <c r="CW44" s="29"/>
      <c r="CX44" s="27"/>
      <c r="CY44" s="27"/>
      <c r="CZ44" s="28" t="str">
        <f>IFERROR(VLOOKUP(CX44,Horarios!$H:$I,2,0),"")</f>
        <v/>
      </c>
      <c r="DA44" s="28" t="str">
        <f>IFERROR(VLOOKUP(CY44,Horarios!$H:$I,2,0),"")</f>
        <v/>
      </c>
      <c r="DB44" s="28" t="str">
        <f t="shared" si="18"/>
        <v>00:00</v>
      </c>
      <c r="DC44" s="29"/>
      <c r="DD44" s="27"/>
      <c r="DE44" s="27"/>
      <c r="DF44" s="28" t="str">
        <f>IFERROR(VLOOKUP(DD44,Horarios!$H:$I,2,0),"")</f>
        <v/>
      </c>
      <c r="DG44" s="28" t="str">
        <f>IFERROR(VLOOKUP(DE44,Horarios!$H:$I,2,0),"")</f>
        <v/>
      </c>
      <c r="DH44" s="28" t="str">
        <f t="shared" si="19"/>
        <v>00:00</v>
      </c>
      <c r="DI44" s="29"/>
      <c r="DJ44" s="27"/>
      <c r="DK44" s="27"/>
      <c r="DL44" s="28" t="str">
        <f>IFERROR(VLOOKUP(DJ44,Horarios!$H:$I,2,0),"")</f>
        <v/>
      </c>
      <c r="DM44" s="28" t="str">
        <f>IFERROR(VLOOKUP(DK44,Horarios!$H:$I,2,0),"")</f>
        <v/>
      </c>
      <c r="DN44" s="28" t="str">
        <f t="shared" si="20"/>
        <v>00:00</v>
      </c>
      <c r="DO44" s="29"/>
      <c r="DP44" s="27"/>
      <c r="DQ44" s="27"/>
      <c r="DR44" s="28" t="str">
        <f>IFERROR(VLOOKUP(DP44,Horarios!$H:$I,2,0),"")</f>
        <v/>
      </c>
      <c r="DS44" s="28" t="str">
        <f>IFERROR(VLOOKUP(DQ44,Horarios!$H:$I,2,0),"")</f>
        <v/>
      </c>
      <c r="DT44" s="28" t="str">
        <f t="shared" si="21"/>
        <v>00:00</v>
      </c>
      <c r="DU44" s="29"/>
      <c r="DV44" s="27"/>
      <c r="DW44" s="27"/>
      <c r="DX44" s="28" t="str">
        <f>IFERROR(VLOOKUP(DV44,Horarios!$H:$I,2,0),"")</f>
        <v/>
      </c>
      <c r="DY44" s="28" t="str">
        <f>IFERROR(VLOOKUP(DW44,Horarios!$H:$I,2,0),"")</f>
        <v/>
      </c>
      <c r="DZ44" s="28" t="str">
        <f t="shared" si="22"/>
        <v>00:00</v>
      </c>
      <c r="EA44" s="29"/>
      <c r="EB44" s="31" t="str">
        <f t="shared" si="23"/>
        <v/>
      </c>
      <c r="EC44" s="27"/>
      <c r="ED44" s="27"/>
      <c r="EE44" s="28" t="str">
        <f>IFERROR(VLOOKUP(EC44,Horarios!$H:$I,2,0),"")</f>
        <v/>
      </c>
      <c r="EF44" s="28" t="str">
        <f>IFERROR(VLOOKUP(ED44,Horarios!$H:$I,2,0),"")</f>
        <v/>
      </c>
      <c r="EG44" s="28" t="str">
        <f t="shared" si="24"/>
        <v>00:00</v>
      </c>
      <c r="EH44" s="29"/>
      <c r="EI44" s="27"/>
      <c r="EJ44" s="27"/>
      <c r="EK44" s="28" t="str">
        <f>IFERROR(VLOOKUP(EI44,Horarios!$H:$I,2,0),"")</f>
        <v/>
      </c>
      <c r="EL44" s="28" t="str">
        <f>IFERROR(VLOOKUP(EJ44,Horarios!$H:$I,2,0),"")</f>
        <v/>
      </c>
      <c r="EM44" s="28" t="str">
        <f t="shared" si="25"/>
        <v>00:00</v>
      </c>
      <c r="EN44" s="29"/>
      <c r="EO44" s="27"/>
      <c r="EP44" s="27"/>
      <c r="EQ44" s="28" t="str">
        <f>IFERROR(VLOOKUP(EO44,Horarios!$H:$I,2,0),"")</f>
        <v/>
      </c>
      <c r="ER44" s="28" t="str">
        <f>IFERROR(VLOOKUP(EP44,Horarios!$H:$I,2,0),"")</f>
        <v/>
      </c>
      <c r="ES44" s="28" t="str">
        <f t="shared" si="26"/>
        <v>00:00</v>
      </c>
      <c r="ET44" s="29"/>
      <c r="EU44" s="27"/>
      <c r="EV44" s="27"/>
      <c r="EW44" s="28" t="str">
        <f>IFERROR(VLOOKUP(EU44,Horarios!$H:$I,2,0),"")</f>
        <v/>
      </c>
      <c r="EX44" s="28" t="str">
        <f>IFERROR(VLOOKUP(EV44,Horarios!$H:$I,2,0),"")</f>
        <v/>
      </c>
      <c r="EY44" s="28" t="str">
        <f t="shared" si="27"/>
        <v>00:00</v>
      </c>
      <c r="EZ44" s="29"/>
      <c r="FA44" s="27"/>
      <c r="FB44" s="27"/>
      <c r="FC44" s="28" t="str">
        <f>IFERROR(VLOOKUP(FA44,Horarios!$H:$I,2,0),"")</f>
        <v/>
      </c>
      <c r="FD44" s="28" t="str">
        <f>IFERROR(VLOOKUP(FB44,Horarios!$H:$I,2,0),"")</f>
        <v/>
      </c>
      <c r="FE44" s="28" t="str">
        <f t="shared" si="28"/>
        <v>00:00</v>
      </c>
      <c r="FF44" s="29"/>
      <c r="FG44" s="27"/>
      <c r="FH44" s="27"/>
      <c r="FI44" s="28" t="str">
        <f>IFERROR(VLOOKUP(FG44,Horarios!$H:$I,2,0),"")</f>
        <v/>
      </c>
      <c r="FJ44" s="28" t="str">
        <f>IFERROR(VLOOKUP(FH44,Horarios!$H:$I,2,0),"")</f>
        <v/>
      </c>
      <c r="FK44" s="28" t="str">
        <f t="shared" si="29"/>
        <v>00:00</v>
      </c>
      <c r="FL44" s="29"/>
      <c r="FM44" s="27"/>
      <c r="FN44" s="27"/>
      <c r="FO44" s="28" t="str">
        <f>IFERROR(VLOOKUP(FM44,Horarios!$H:$I,2,0),"")</f>
        <v/>
      </c>
      <c r="FP44" s="28" t="str">
        <f>IFERROR(VLOOKUP(FN44,Horarios!$H:$I,2,0),"")</f>
        <v/>
      </c>
      <c r="FQ44" s="28" t="str">
        <f t="shared" si="30"/>
        <v>00:00</v>
      </c>
      <c r="FR44" s="29"/>
      <c r="FS44" s="31" t="str">
        <f t="shared" si="31"/>
        <v/>
      </c>
      <c r="FT44" s="27"/>
      <c r="FU44" s="27"/>
      <c r="FV44" s="28" t="str">
        <f>IFERROR(VLOOKUP(FT44,Horarios!$H:$I,2,0),"")</f>
        <v/>
      </c>
      <c r="FW44" s="28" t="str">
        <f>IFERROR(VLOOKUP(FU44,Horarios!$H:$I,2,0),"")</f>
        <v/>
      </c>
      <c r="FX44" s="28" t="str">
        <f t="shared" si="32"/>
        <v>00:00</v>
      </c>
      <c r="FY44" s="29"/>
      <c r="FZ44" s="27"/>
      <c r="GA44" s="27"/>
      <c r="GB44" s="28" t="str">
        <f>IFERROR(VLOOKUP(FZ44,Horarios!$H:$I,2,0),"")</f>
        <v/>
      </c>
      <c r="GC44" s="28" t="str">
        <f>IFERROR(VLOOKUP(GA44,Horarios!$H:$I,2,0),"")</f>
        <v/>
      </c>
      <c r="GD44" s="28" t="str">
        <f t="shared" si="33"/>
        <v>00:00</v>
      </c>
      <c r="GE44" s="29"/>
      <c r="GF44" s="27"/>
      <c r="GG44" s="27"/>
      <c r="GH44" s="28" t="str">
        <f>IFERROR(VLOOKUP(GF44,Horarios!$H:$I,2,0),"")</f>
        <v/>
      </c>
      <c r="GI44" s="28" t="str">
        <f>IFERROR(VLOOKUP(GG44,Horarios!$H:$I,2,0),"")</f>
        <v/>
      </c>
      <c r="GJ44" s="28" t="str">
        <f t="shared" si="34"/>
        <v>00:00</v>
      </c>
      <c r="GK44" s="29"/>
      <c r="GL44" s="27"/>
      <c r="GM44" s="27"/>
      <c r="GN44" s="28" t="str">
        <f>IFERROR(VLOOKUP(GL44,Horarios!$H:$I,2,0),"")</f>
        <v/>
      </c>
      <c r="GO44" s="28" t="str">
        <f>IFERROR(VLOOKUP(GM44,Horarios!$H:$I,2,0),"")</f>
        <v/>
      </c>
      <c r="GP44" s="28" t="str">
        <f t="shared" si="35"/>
        <v>00:00</v>
      </c>
      <c r="GQ44" s="29"/>
      <c r="GR44" s="27"/>
      <c r="GS44" s="27"/>
      <c r="GT44" s="28" t="str">
        <f>IFERROR(VLOOKUP(GR44,Horarios!$H:$I,2,0),"")</f>
        <v/>
      </c>
      <c r="GU44" s="28" t="str">
        <f>IFERROR(VLOOKUP(GS44,Horarios!$H:$I,2,0),"")</f>
        <v/>
      </c>
      <c r="GV44" s="28" t="str">
        <f t="shared" si="36"/>
        <v>00:00</v>
      </c>
      <c r="GW44" s="29"/>
      <c r="GX44" s="27"/>
      <c r="GY44" s="27"/>
      <c r="GZ44" s="28" t="str">
        <f>IFERROR(VLOOKUP(GX44,Horarios!$H:$I,2,0),"")</f>
        <v/>
      </c>
      <c r="HA44" s="28" t="str">
        <f>IFERROR(VLOOKUP(GY44,Horarios!$H:$I,2,0),"")</f>
        <v/>
      </c>
      <c r="HB44" s="28" t="str">
        <f t="shared" si="37"/>
        <v>00:00</v>
      </c>
      <c r="HC44" s="29"/>
      <c r="HD44" s="27"/>
      <c r="HE44" s="27"/>
      <c r="HF44" s="28" t="str">
        <f>IFERROR(VLOOKUP(HD44,Horarios!$H:$I,2,0),"")</f>
        <v/>
      </c>
      <c r="HG44" s="28" t="str">
        <f>IFERROR(VLOOKUP(HE44,Horarios!$H:$I,2,0),"")</f>
        <v/>
      </c>
      <c r="HH44" s="28" t="str">
        <f t="shared" si="38"/>
        <v>00:00</v>
      </c>
      <c r="HI44" s="29"/>
      <c r="HJ44" s="31" t="str">
        <f t="shared" si="39"/>
        <v/>
      </c>
      <c r="HK44" s="27"/>
      <c r="HL44" s="27"/>
      <c r="HM44" s="28" t="str">
        <f>IFERROR(VLOOKUP(HK44,Horarios!$H:$I,2,0),"")</f>
        <v/>
      </c>
      <c r="HN44" s="28" t="str">
        <f>IFERROR(VLOOKUP(HL44,Horarios!$H:$I,2,0),"")</f>
        <v/>
      </c>
      <c r="HO44" s="28" t="str">
        <f t="shared" si="40"/>
        <v>00:00</v>
      </c>
      <c r="HP44" s="29"/>
      <c r="HQ44" s="27"/>
      <c r="HR44" s="27"/>
      <c r="HS44" s="28" t="str">
        <f>IFERROR(VLOOKUP(HQ44,Horarios!$H:$I,2,0),"")</f>
        <v/>
      </c>
      <c r="HT44" s="28" t="str">
        <f>IFERROR(VLOOKUP(HR44,Horarios!$H:$I,2,0),"")</f>
        <v/>
      </c>
      <c r="HU44" s="28" t="str">
        <f t="shared" si="41"/>
        <v>00:00</v>
      </c>
      <c r="HV44" s="29"/>
      <c r="HW44" s="27"/>
      <c r="HX44" s="27"/>
      <c r="HY44" s="28" t="str">
        <f>IFERROR(VLOOKUP(HW44,Horarios!$H:$I,2,0),"")</f>
        <v/>
      </c>
      <c r="HZ44" s="28" t="str">
        <f>IFERROR(VLOOKUP(HX44,Horarios!$H:$I,2,0),"")</f>
        <v/>
      </c>
      <c r="IA44" s="28" t="str">
        <f t="shared" si="42"/>
        <v>00:00</v>
      </c>
      <c r="IB44" s="29"/>
      <c r="IC44" s="27"/>
      <c r="ID44" s="27"/>
      <c r="IE44" s="28" t="str">
        <f>IFERROR(VLOOKUP(IC44,Horarios!$H:$I,2,0),"")</f>
        <v/>
      </c>
      <c r="IF44" s="28" t="str">
        <f>IFERROR(VLOOKUP(ID44,Horarios!$H:$I,2,0),"")</f>
        <v/>
      </c>
      <c r="IG44" s="28" t="str">
        <f t="shared" si="43"/>
        <v>00:00</v>
      </c>
      <c r="IH44" s="29"/>
      <c r="II44" s="27"/>
      <c r="IJ44" s="27"/>
      <c r="IK44" s="28" t="str">
        <f>IFERROR(VLOOKUP(II44,Horarios!$H:$I,2,0),"")</f>
        <v/>
      </c>
      <c r="IL44" s="28" t="str">
        <f>IFERROR(VLOOKUP(IJ44,Horarios!$H:$I,2,0),"")</f>
        <v/>
      </c>
      <c r="IM44" s="28" t="str">
        <f t="shared" si="44"/>
        <v>00:00</v>
      </c>
      <c r="IN44" s="29"/>
      <c r="IO44" s="27"/>
      <c r="IP44" s="27"/>
      <c r="IQ44" s="28" t="str">
        <f>IFERROR(VLOOKUP(IO44,Horarios!$H:$I,2,0),"")</f>
        <v/>
      </c>
      <c r="IR44" s="28" t="str">
        <f>IFERROR(VLOOKUP(IP44,Horarios!$H:$I,2,0),"")</f>
        <v/>
      </c>
      <c r="IS44" s="28" t="str">
        <f t="shared" si="45"/>
        <v>00:00</v>
      </c>
      <c r="IT44" s="29"/>
      <c r="IU44" s="27"/>
      <c r="IV44" s="27"/>
      <c r="IW44" s="28" t="str">
        <f>IFERROR(VLOOKUP(IU44,Horarios!$H:$I,2,0),"")</f>
        <v/>
      </c>
      <c r="IX44" s="28" t="str">
        <f>IFERROR(VLOOKUP(IV44,Horarios!$H:$I,2,0),"")</f>
        <v/>
      </c>
      <c r="IY44" s="28" t="str">
        <f t="shared" si="46"/>
        <v>00:00</v>
      </c>
      <c r="IZ44" s="29"/>
      <c r="JA44" s="31" t="str">
        <f t="shared" si="47"/>
        <v/>
      </c>
    </row>
    <row r="45" spans="1:261" s="24" customFormat="1" ht="17.399999999999999" x14ac:dyDescent="0.25">
      <c r="A45" s="25"/>
      <c r="B45" s="26" t="str">
        <f>IFERROR(VLOOKUP(A45,BaseNombres!A:B,2,0),"")</f>
        <v/>
      </c>
      <c r="C45" s="26" t="str">
        <f>IFERROR(VLOOKUP(A45,BaseNombres!A:C,3,0),"")</f>
        <v/>
      </c>
      <c r="D45" s="27"/>
      <c r="E45" s="27"/>
      <c r="F45" s="28" t="str">
        <f>IFERROR(VLOOKUP(D45,Horarios!$H:$I,2,0),"")</f>
        <v/>
      </c>
      <c r="G45" s="28" t="str">
        <f>IFERROR(VLOOKUP(E45,Horarios!$H:$I,2,0),"")</f>
        <v/>
      </c>
      <c r="H45" s="28" t="str">
        <f t="shared" si="0"/>
        <v>00:00</v>
      </c>
      <c r="I45" s="29"/>
      <c r="J45" s="27"/>
      <c r="K45" s="27"/>
      <c r="L45" s="28" t="str">
        <f>IFERROR(VLOOKUP(J45,Horarios!$H:$I,2,0),"")</f>
        <v/>
      </c>
      <c r="M45" s="28" t="str">
        <f>IFERROR(VLOOKUP(K45,Horarios!$H:$I,2,0),"")</f>
        <v/>
      </c>
      <c r="N45" s="28" t="str">
        <f t="shared" si="1"/>
        <v>00:00</v>
      </c>
      <c r="O45" s="29"/>
      <c r="P45" s="27"/>
      <c r="Q45" s="27"/>
      <c r="R45" s="28" t="str">
        <f>IFERROR(VLOOKUP(P45,Horarios!$H:$I,2,0),"")</f>
        <v/>
      </c>
      <c r="S45" s="28" t="str">
        <f>IFERROR(VLOOKUP(Q45,Horarios!$H:$I,2,0),"")</f>
        <v/>
      </c>
      <c r="T45" s="28" t="str">
        <f t="shared" si="2"/>
        <v>00:00</v>
      </c>
      <c r="U45" s="29"/>
      <c r="V45" s="27"/>
      <c r="W45" s="27"/>
      <c r="X45" s="28" t="str">
        <f>IFERROR(VLOOKUP(V45,Horarios!$H:$I,2,0),"")</f>
        <v/>
      </c>
      <c r="Y45" s="28" t="str">
        <f>IFERROR(VLOOKUP(W45,Horarios!$H:$I,2,0),"")</f>
        <v/>
      </c>
      <c r="Z45" s="28" t="str">
        <f t="shared" si="3"/>
        <v>00:00</v>
      </c>
      <c r="AA45" s="29"/>
      <c r="AB45" s="27"/>
      <c r="AC45" s="27"/>
      <c r="AD45" s="28" t="str">
        <f>IFERROR(VLOOKUP(AB45,Horarios!$H:$I,2,0),"")</f>
        <v/>
      </c>
      <c r="AE45" s="28" t="str">
        <f>IFERROR(VLOOKUP(AC45,Horarios!$H:$I,2,0),"")</f>
        <v/>
      </c>
      <c r="AF45" s="28" t="str">
        <f t="shared" si="4"/>
        <v>00:00</v>
      </c>
      <c r="AG45" s="29"/>
      <c r="AH45" s="27"/>
      <c r="AI45" s="27"/>
      <c r="AJ45" s="28" t="str">
        <f>IFERROR(VLOOKUP(AH45,Horarios!$H:$I,2,0),"")</f>
        <v/>
      </c>
      <c r="AK45" s="28" t="str">
        <f>IFERROR(VLOOKUP(AI45,Horarios!$H:$I,2,0),"")</f>
        <v/>
      </c>
      <c r="AL45" s="28" t="str">
        <f t="shared" si="5"/>
        <v>00:00</v>
      </c>
      <c r="AM45" s="29"/>
      <c r="AN45" s="27"/>
      <c r="AO45" s="27"/>
      <c r="AP45" s="28" t="str">
        <f>IFERROR(VLOOKUP(AN45,Horarios!$H:$I,2,0),"")</f>
        <v/>
      </c>
      <c r="AQ45" s="28" t="str">
        <f>IFERROR(VLOOKUP(AO45,Horarios!$H:$I,2,0),"")</f>
        <v/>
      </c>
      <c r="AR45" s="28" t="str">
        <f t="shared" si="6"/>
        <v>00:00</v>
      </c>
      <c r="AS45" s="29"/>
      <c r="AT45" s="31" t="str">
        <f t="shared" si="7"/>
        <v/>
      </c>
      <c r="AU45" s="27"/>
      <c r="AV45" s="27"/>
      <c r="AW45" s="28" t="str">
        <f>IFERROR(VLOOKUP(AU45,Horarios!$H:$I,2,0),"")</f>
        <v/>
      </c>
      <c r="AX45" s="28" t="str">
        <f>IFERROR(VLOOKUP(AV45,Horarios!$H:$I,2,0),"")</f>
        <v/>
      </c>
      <c r="AY45" s="28" t="str">
        <f t="shared" si="8"/>
        <v>00:00</v>
      </c>
      <c r="AZ45" s="29"/>
      <c r="BA45" s="27"/>
      <c r="BB45" s="27"/>
      <c r="BC45" s="28" t="str">
        <f>IFERROR(VLOOKUP(BA45,Horarios!$H:$I,2,0),"")</f>
        <v/>
      </c>
      <c r="BD45" s="28" t="str">
        <f>IFERROR(VLOOKUP(BB45,Horarios!$H:$I,2,0),"")</f>
        <v/>
      </c>
      <c r="BE45" s="28" t="str">
        <f t="shared" si="9"/>
        <v>00:00</v>
      </c>
      <c r="BF45" s="29"/>
      <c r="BG45" s="27"/>
      <c r="BH45" s="27"/>
      <c r="BI45" s="28" t="str">
        <f>IFERROR(VLOOKUP(BG45,Horarios!$H:$I,2,0),"")</f>
        <v/>
      </c>
      <c r="BJ45" s="28" t="str">
        <f>IFERROR(VLOOKUP(BH45,Horarios!$H:$I,2,0),"")</f>
        <v/>
      </c>
      <c r="BK45" s="28" t="str">
        <f t="shared" si="10"/>
        <v>00:00</v>
      </c>
      <c r="BL45" s="29"/>
      <c r="BM45" s="27"/>
      <c r="BN45" s="27"/>
      <c r="BO45" s="28" t="str">
        <f>IFERROR(VLOOKUP(BM45,Horarios!$H:$I,2,0),"")</f>
        <v/>
      </c>
      <c r="BP45" s="28" t="str">
        <f>IFERROR(VLOOKUP(BN45,Horarios!$H:$I,2,0),"")</f>
        <v/>
      </c>
      <c r="BQ45" s="28" t="str">
        <f t="shared" si="11"/>
        <v>00:00</v>
      </c>
      <c r="BR45" s="29"/>
      <c r="BS45" s="27"/>
      <c r="BT45" s="27"/>
      <c r="BU45" s="28" t="str">
        <f>IFERROR(VLOOKUP(BS45,Horarios!$H:$I,2,0),"")</f>
        <v/>
      </c>
      <c r="BV45" s="28" t="str">
        <f>IFERROR(VLOOKUP(BT45,Horarios!$H:$I,2,0),"")</f>
        <v/>
      </c>
      <c r="BW45" s="28" t="str">
        <f t="shared" si="12"/>
        <v>00:00</v>
      </c>
      <c r="BX45" s="29"/>
      <c r="BY45" s="27"/>
      <c r="BZ45" s="27"/>
      <c r="CA45" s="28" t="str">
        <f>IFERROR(VLOOKUP(BY45,Horarios!$H:$I,2,0),"")</f>
        <v/>
      </c>
      <c r="CB45" s="28" t="str">
        <f>IFERROR(VLOOKUP(BZ45,Horarios!$H:$I,2,0),"")</f>
        <v/>
      </c>
      <c r="CC45" s="28" t="str">
        <f t="shared" si="13"/>
        <v>00:00</v>
      </c>
      <c r="CD45" s="29"/>
      <c r="CE45" s="27"/>
      <c r="CF45" s="27"/>
      <c r="CG45" s="28" t="str">
        <f>IFERROR(VLOOKUP(CE45,Horarios!$H:$I,2,0),"")</f>
        <v/>
      </c>
      <c r="CH45" s="28" t="str">
        <f>IFERROR(VLOOKUP(CF45,Horarios!$H:$I,2,0),"")</f>
        <v/>
      </c>
      <c r="CI45" s="28" t="str">
        <f t="shared" si="14"/>
        <v>00:00</v>
      </c>
      <c r="CJ45" s="29"/>
      <c r="CK45" s="31" t="str">
        <f t="shared" si="15"/>
        <v/>
      </c>
      <c r="CL45" s="27"/>
      <c r="CM45" s="27"/>
      <c r="CN45" s="28" t="str">
        <f>IFERROR(VLOOKUP(CL45,Horarios!$H:$I,2,0),"")</f>
        <v/>
      </c>
      <c r="CO45" s="28" t="str">
        <f>IFERROR(VLOOKUP(CM45,Horarios!$H:$I,2,0),"")</f>
        <v/>
      </c>
      <c r="CP45" s="28" t="str">
        <f t="shared" si="16"/>
        <v>00:00</v>
      </c>
      <c r="CQ45" s="29"/>
      <c r="CR45" s="27"/>
      <c r="CS45" s="27"/>
      <c r="CT45" s="28" t="str">
        <f>IFERROR(VLOOKUP(CR45,Horarios!$H:$I,2,0),"")</f>
        <v/>
      </c>
      <c r="CU45" s="28" t="str">
        <f>IFERROR(VLOOKUP(CS45,Horarios!$H:$I,2,0),"")</f>
        <v/>
      </c>
      <c r="CV45" s="28" t="str">
        <f t="shared" si="17"/>
        <v>00:00</v>
      </c>
      <c r="CW45" s="29"/>
      <c r="CX45" s="27"/>
      <c r="CY45" s="27"/>
      <c r="CZ45" s="28" t="str">
        <f>IFERROR(VLOOKUP(CX45,Horarios!$H:$I,2,0),"")</f>
        <v/>
      </c>
      <c r="DA45" s="28" t="str">
        <f>IFERROR(VLOOKUP(CY45,Horarios!$H:$I,2,0),"")</f>
        <v/>
      </c>
      <c r="DB45" s="28" t="str">
        <f t="shared" si="18"/>
        <v>00:00</v>
      </c>
      <c r="DC45" s="29"/>
      <c r="DD45" s="27"/>
      <c r="DE45" s="27"/>
      <c r="DF45" s="28" t="str">
        <f>IFERROR(VLOOKUP(DD45,Horarios!$H:$I,2,0),"")</f>
        <v/>
      </c>
      <c r="DG45" s="28" t="str">
        <f>IFERROR(VLOOKUP(DE45,Horarios!$H:$I,2,0),"")</f>
        <v/>
      </c>
      <c r="DH45" s="28" t="str">
        <f t="shared" si="19"/>
        <v>00:00</v>
      </c>
      <c r="DI45" s="29"/>
      <c r="DJ45" s="27"/>
      <c r="DK45" s="27"/>
      <c r="DL45" s="28" t="str">
        <f>IFERROR(VLOOKUP(DJ45,Horarios!$H:$I,2,0),"")</f>
        <v/>
      </c>
      <c r="DM45" s="28" t="str">
        <f>IFERROR(VLOOKUP(DK45,Horarios!$H:$I,2,0),"")</f>
        <v/>
      </c>
      <c r="DN45" s="28" t="str">
        <f t="shared" si="20"/>
        <v>00:00</v>
      </c>
      <c r="DO45" s="29"/>
      <c r="DP45" s="27"/>
      <c r="DQ45" s="27"/>
      <c r="DR45" s="28" t="str">
        <f>IFERROR(VLOOKUP(DP45,Horarios!$H:$I,2,0),"")</f>
        <v/>
      </c>
      <c r="DS45" s="28" t="str">
        <f>IFERROR(VLOOKUP(DQ45,Horarios!$H:$I,2,0),"")</f>
        <v/>
      </c>
      <c r="DT45" s="28" t="str">
        <f t="shared" si="21"/>
        <v>00:00</v>
      </c>
      <c r="DU45" s="29"/>
      <c r="DV45" s="27"/>
      <c r="DW45" s="27"/>
      <c r="DX45" s="28" t="str">
        <f>IFERROR(VLOOKUP(DV45,Horarios!$H:$I,2,0),"")</f>
        <v/>
      </c>
      <c r="DY45" s="28" t="str">
        <f>IFERROR(VLOOKUP(DW45,Horarios!$H:$I,2,0),"")</f>
        <v/>
      </c>
      <c r="DZ45" s="28" t="str">
        <f t="shared" si="22"/>
        <v>00:00</v>
      </c>
      <c r="EA45" s="29"/>
      <c r="EB45" s="31" t="str">
        <f t="shared" si="23"/>
        <v/>
      </c>
      <c r="EC45" s="27"/>
      <c r="ED45" s="27"/>
      <c r="EE45" s="28" t="str">
        <f>IFERROR(VLOOKUP(EC45,Horarios!$H:$I,2,0),"")</f>
        <v/>
      </c>
      <c r="EF45" s="28" t="str">
        <f>IFERROR(VLOOKUP(ED45,Horarios!$H:$I,2,0),"")</f>
        <v/>
      </c>
      <c r="EG45" s="28" t="str">
        <f t="shared" si="24"/>
        <v>00:00</v>
      </c>
      <c r="EH45" s="29"/>
      <c r="EI45" s="27"/>
      <c r="EJ45" s="27"/>
      <c r="EK45" s="28" t="str">
        <f>IFERROR(VLOOKUP(EI45,Horarios!$H:$I,2,0),"")</f>
        <v/>
      </c>
      <c r="EL45" s="28" t="str">
        <f>IFERROR(VLOOKUP(EJ45,Horarios!$H:$I,2,0),"")</f>
        <v/>
      </c>
      <c r="EM45" s="28" t="str">
        <f t="shared" si="25"/>
        <v>00:00</v>
      </c>
      <c r="EN45" s="29"/>
      <c r="EO45" s="27"/>
      <c r="EP45" s="27"/>
      <c r="EQ45" s="28" t="str">
        <f>IFERROR(VLOOKUP(EO45,Horarios!$H:$I,2,0),"")</f>
        <v/>
      </c>
      <c r="ER45" s="28" t="str">
        <f>IFERROR(VLOOKUP(EP45,Horarios!$H:$I,2,0),"")</f>
        <v/>
      </c>
      <c r="ES45" s="28" t="str">
        <f t="shared" si="26"/>
        <v>00:00</v>
      </c>
      <c r="ET45" s="29"/>
      <c r="EU45" s="27"/>
      <c r="EV45" s="27"/>
      <c r="EW45" s="28" t="str">
        <f>IFERROR(VLOOKUP(EU45,Horarios!$H:$I,2,0),"")</f>
        <v/>
      </c>
      <c r="EX45" s="28" t="str">
        <f>IFERROR(VLOOKUP(EV45,Horarios!$H:$I,2,0),"")</f>
        <v/>
      </c>
      <c r="EY45" s="28" t="str">
        <f t="shared" si="27"/>
        <v>00:00</v>
      </c>
      <c r="EZ45" s="29"/>
      <c r="FA45" s="27"/>
      <c r="FB45" s="27"/>
      <c r="FC45" s="28" t="str">
        <f>IFERROR(VLOOKUP(FA45,Horarios!$H:$I,2,0),"")</f>
        <v/>
      </c>
      <c r="FD45" s="28" t="str">
        <f>IFERROR(VLOOKUP(FB45,Horarios!$H:$I,2,0),"")</f>
        <v/>
      </c>
      <c r="FE45" s="28" t="str">
        <f t="shared" si="28"/>
        <v>00:00</v>
      </c>
      <c r="FF45" s="29"/>
      <c r="FG45" s="27"/>
      <c r="FH45" s="27"/>
      <c r="FI45" s="28" t="str">
        <f>IFERROR(VLOOKUP(FG45,Horarios!$H:$I,2,0),"")</f>
        <v/>
      </c>
      <c r="FJ45" s="28" t="str">
        <f>IFERROR(VLOOKUP(FH45,Horarios!$H:$I,2,0),"")</f>
        <v/>
      </c>
      <c r="FK45" s="28" t="str">
        <f t="shared" si="29"/>
        <v>00:00</v>
      </c>
      <c r="FL45" s="29"/>
      <c r="FM45" s="27"/>
      <c r="FN45" s="27"/>
      <c r="FO45" s="28" t="str">
        <f>IFERROR(VLOOKUP(FM45,Horarios!$H:$I,2,0),"")</f>
        <v/>
      </c>
      <c r="FP45" s="28" t="str">
        <f>IFERROR(VLOOKUP(FN45,Horarios!$H:$I,2,0),"")</f>
        <v/>
      </c>
      <c r="FQ45" s="28" t="str">
        <f t="shared" si="30"/>
        <v>00:00</v>
      </c>
      <c r="FR45" s="29"/>
      <c r="FS45" s="31" t="str">
        <f t="shared" si="31"/>
        <v/>
      </c>
      <c r="FT45" s="27"/>
      <c r="FU45" s="27"/>
      <c r="FV45" s="28" t="str">
        <f>IFERROR(VLOOKUP(FT45,Horarios!$H:$I,2,0),"")</f>
        <v/>
      </c>
      <c r="FW45" s="28" t="str">
        <f>IFERROR(VLOOKUP(FU45,Horarios!$H:$I,2,0),"")</f>
        <v/>
      </c>
      <c r="FX45" s="28" t="str">
        <f t="shared" si="32"/>
        <v>00:00</v>
      </c>
      <c r="FY45" s="29"/>
      <c r="FZ45" s="27"/>
      <c r="GA45" s="27"/>
      <c r="GB45" s="28" t="str">
        <f>IFERROR(VLOOKUP(FZ45,Horarios!$H:$I,2,0),"")</f>
        <v/>
      </c>
      <c r="GC45" s="28" t="str">
        <f>IFERROR(VLOOKUP(GA45,Horarios!$H:$I,2,0),"")</f>
        <v/>
      </c>
      <c r="GD45" s="28" t="str">
        <f t="shared" si="33"/>
        <v>00:00</v>
      </c>
      <c r="GE45" s="29"/>
      <c r="GF45" s="27"/>
      <c r="GG45" s="27"/>
      <c r="GH45" s="28" t="str">
        <f>IFERROR(VLOOKUP(GF45,Horarios!$H:$I,2,0),"")</f>
        <v/>
      </c>
      <c r="GI45" s="28" t="str">
        <f>IFERROR(VLOOKUP(GG45,Horarios!$H:$I,2,0),"")</f>
        <v/>
      </c>
      <c r="GJ45" s="28" t="str">
        <f t="shared" si="34"/>
        <v>00:00</v>
      </c>
      <c r="GK45" s="29"/>
      <c r="GL45" s="27"/>
      <c r="GM45" s="27"/>
      <c r="GN45" s="28" t="str">
        <f>IFERROR(VLOOKUP(GL45,Horarios!$H:$I,2,0),"")</f>
        <v/>
      </c>
      <c r="GO45" s="28" t="str">
        <f>IFERROR(VLOOKUP(GM45,Horarios!$H:$I,2,0),"")</f>
        <v/>
      </c>
      <c r="GP45" s="28" t="str">
        <f t="shared" si="35"/>
        <v>00:00</v>
      </c>
      <c r="GQ45" s="29"/>
      <c r="GR45" s="27"/>
      <c r="GS45" s="27"/>
      <c r="GT45" s="28" t="str">
        <f>IFERROR(VLOOKUP(GR45,Horarios!$H:$I,2,0),"")</f>
        <v/>
      </c>
      <c r="GU45" s="28" t="str">
        <f>IFERROR(VLOOKUP(GS45,Horarios!$H:$I,2,0),"")</f>
        <v/>
      </c>
      <c r="GV45" s="28" t="str">
        <f t="shared" si="36"/>
        <v>00:00</v>
      </c>
      <c r="GW45" s="29"/>
      <c r="GX45" s="27"/>
      <c r="GY45" s="27"/>
      <c r="GZ45" s="28" t="str">
        <f>IFERROR(VLOOKUP(GX45,Horarios!$H:$I,2,0),"")</f>
        <v/>
      </c>
      <c r="HA45" s="28" t="str">
        <f>IFERROR(VLOOKUP(GY45,Horarios!$H:$I,2,0),"")</f>
        <v/>
      </c>
      <c r="HB45" s="28" t="str">
        <f t="shared" si="37"/>
        <v>00:00</v>
      </c>
      <c r="HC45" s="29"/>
      <c r="HD45" s="27"/>
      <c r="HE45" s="27"/>
      <c r="HF45" s="28" t="str">
        <f>IFERROR(VLOOKUP(HD45,Horarios!$H:$I,2,0),"")</f>
        <v/>
      </c>
      <c r="HG45" s="28" t="str">
        <f>IFERROR(VLOOKUP(HE45,Horarios!$H:$I,2,0),"")</f>
        <v/>
      </c>
      <c r="HH45" s="28" t="str">
        <f t="shared" si="38"/>
        <v>00:00</v>
      </c>
      <c r="HI45" s="29"/>
      <c r="HJ45" s="31" t="str">
        <f t="shared" si="39"/>
        <v/>
      </c>
      <c r="HK45" s="27"/>
      <c r="HL45" s="27"/>
      <c r="HM45" s="28" t="str">
        <f>IFERROR(VLOOKUP(HK45,Horarios!$H:$I,2,0),"")</f>
        <v/>
      </c>
      <c r="HN45" s="28" t="str">
        <f>IFERROR(VLOOKUP(HL45,Horarios!$H:$I,2,0),"")</f>
        <v/>
      </c>
      <c r="HO45" s="28" t="str">
        <f t="shared" si="40"/>
        <v>00:00</v>
      </c>
      <c r="HP45" s="29"/>
      <c r="HQ45" s="27"/>
      <c r="HR45" s="27"/>
      <c r="HS45" s="28" t="str">
        <f>IFERROR(VLOOKUP(HQ45,Horarios!$H:$I,2,0),"")</f>
        <v/>
      </c>
      <c r="HT45" s="28" t="str">
        <f>IFERROR(VLOOKUP(HR45,Horarios!$H:$I,2,0),"")</f>
        <v/>
      </c>
      <c r="HU45" s="28" t="str">
        <f t="shared" si="41"/>
        <v>00:00</v>
      </c>
      <c r="HV45" s="29"/>
      <c r="HW45" s="27"/>
      <c r="HX45" s="27"/>
      <c r="HY45" s="28" t="str">
        <f>IFERROR(VLOOKUP(HW45,Horarios!$H:$I,2,0),"")</f>
        <v/>
      </c>
      <c r="HZ45" s="28" t="str">
        <f>IFERROR(VLOOKUP(HX45,Horarios!$H:$I,2,0),"")</f>
        <v/>
      </c>
      <c r="IA45" s="28" t="str">
        <f t="shared" si="42"/>
        <v>00:00</v>
      </c>
      <c r="IB45" s="29"/>
      <c r="IC45" s="27"/>
      <c r="ID45" s="27"/>
      <c r="IE45" s="28" t="str">
        <f>IFERROR(VLOOKUP(IC45,Horarios!$H:$I,2,0),"")</f>
        <v/>
      </c>
      <c r="IF45" s="28" t="str">
        <f>IFERROR(VLOOKUP(ID45,Horarios!$H:$I,2,0),"")</f>
        <v/>
      </c>
      <c r="IG45" s="28" t="str">
        <f t="shared" si="43"/>
        <v>00:00</v>
      </c>
      <c r="IH45" s="29"/>
      <c r="II45" s="27"/>
      <c r="IJ45" s="27"/>
      <c r="IK45" s="28" t="str">
        <f>IFERROR(VLOOKUP(II45,Horarios!$H:$I,2,0),"")</f>
        <v/>
      </c>
      <c r="IL45" s="28" t="str">
        <f>IFERROR(VLOOKUP(IJ45,Horarios!$H:$I,2,0),"")</f>
        <v/>
      </c>
      <c r="IM45" s="28" t="str">
        <f t="shared" si="44"/>
        <v>00:00</v>
      </c>
      <c r="IN45" s="29"/>
      <c r="IO45" s="27"/>
      <c r="IP45" s="27"/>
      <c r="IQ45" s="28" t="str">
        <f>IFERROR(VLOOKUP(IO45,Horarios!$H:$I,2,0),"")</f>
        <v/>
      </c>
      <c r="IR45" s="28" t="str">
        <f>IFERROR(VLOOKUP(IP45,Horarios!$H:$I,2,0),"")</f>
        <v/>
      </c>
      <c r="IS45" s="28" t="str">
        <f t="shared" si="45"/>
        <v>00:00</v>
      </c>
      <c r="IT45" s="29"/>
      <c r="IU45" s="27"/>
      <c r="IV45" s="27"/>
      <c r="IW45" s="28" t="str">
        <f>IFERROR(VLOOKUP(IU45,Horarios!$H:$I,2,0),"")</f>
        <v/>
      </c>
      <c r="IX45" s="28" t="str">
        <f>IFERROR(VLOOKUP(IV45,Horarios!$H:$I,2,0),"")</f>
        <v/>
      </c>
      <c r="IY45" s="28" t="str">
        <f t="shared" si="46"/>
        <v>00:00</v>
      </c>
      <c r="IZ45" s="29"/>
      <c r="JA45" s="31" t="str">
        <f t="shared" si="47"/>
        <v/>
      </c>
    </row>
    <row r="46" spans="1:261" s="24" customFormat="1" ht="17.399999999999999" x14ac:dyDescent="0.25">
      <c r="A46" s="25"/>
      <c r="B46" s="26" t="str">
        <f>IFERROR(VLOOKUP(A46,BaseNombres!A:B,2,0),"")</f>
        <v/>
      </c>
      <c r="C46" s="26" t="str">
        <f>IFERROR(VLOOKUP(A46,BaseNombres!A:C,3,0),"")</f>
        <v/>
      </c>
      <c r="D46" s="27"/>
      <c r="E46" s="27"/>
      <c r="F46" s="28" t="str">
        <f>IFERROR(VLOOKUP(D46,Horarios!$H:$I,2,0),"")</f>
        <v/>
      </c>
      <c r="G46" s="28" t="str">
        <f>IFERROR(VLOOKUP(E46,Horarios!$H:$I,2,0),"")</f>
        <v/>
      </c>
      <c r="H46" s="28" t="str">
        <f t="shared" si="0"/>
        <v>00:00</v>
      </c>
      <c r="I46" s="29"/>
      <c r="J46" s="27"/>
      <c r="K46" s="27"/>
      <c r="L46" s="28" t="str">
        <f>IFERROR(VLOOKUP(J46,Horarios!$H:$I,2,0),"")</f>
        <v/>
      </c>
      <c r="M46" s="28" t="str">
        <f>IFERROR(VLOOKUP(K46,Horarios!$H:$I,2,0),"")</f>
        <v/>
      </c>
      <c r="N46" s="28" t="str">
        <f t="shared" si="1"/>
        <v>00:00</v>
      </c>
      <c r="O46" s="29"/>
      <c r="P46" s="27"/>
      <c r="Q46" s="27"/>
      <c r="R46" s="28" t="str">
        <f>IFERROR(VLOOKUP(P46,Horarios!$H:$I,2,0),"")</f>
        <v/>
      </c>
      <c r="S46" s="28" t="str">
        <f>IFERROR(VLOOKUP(Q46,Horarios!$H:$I,2,0),"")</f>
        <v/>
      </c>
      <c r="T46" s="28" t="str">
        <f t="shared" si="2"/>
        <v>00:00</v>
      </c>
      <c r="U46" s="29"/>
      <c r="V46" s="27"/>
      <c r="W46" s="27"/>
      <c r="X46" s="28" t="str">
        <f>IFERROR(VLOOKUP(V46,Horarios!$H:$I,2,0),"")</f>
        <v/>
      </c>
      <c r="Y46" s="28" t="str">
        <f>IFERROR(VLOOKUP(W46,Horarios!$H:$I,2,0),"")</f>
        <v/>
      </c>
      <c r="Z46" s="28" t="str">
        <f t="shared" si="3"/>
        <v>00:00</v>
      </c>
      <c r="AA46" s="29"/>
      <c r="AB46" s="27"/>
      <c r="AC46" s="27"/>
      <c r="AD46" s="28" t="str">
        <f>IFERROR(VLOOKUP(AB46,Horarios!$H:$I,2,0),"")</f>
        <v/>
      </c>
      <c r="AE46" s="28" t="str">
        <f>IFERROR(VLOOKUP(AC46,Horarios!$H:$I,2,0),"")</f>
        <v/>
      </c>
      <c r="AF46" s="28" t="str">
        <f t="shared" si="4"/>
        <v>00:00</v>
      </c>
      <c r="AG46" s="29"/>
      <c r="AH46" s="27"/>
      <c r="AI46" s="27"/>
      <c r="AJ46" s="28" t="str">
        <f>IFERROR(VLOOKUP(AH46,Horarios!$H:$I,2,0),"")</f>
        <v/>
      </c>
      <c r="AK46" s="28" t="str">
        <f>IFERROR(VLOOKUP(AI46,Horarios!$H:$I,2,0),"")</f>
        <v/>
      </c>
      <c r="AL46" s="28" t="str">
        <f t="shared" si="5"/>
        <v>00:00</v>
      </c>
      <c r="AM46" s="29"/>
      <c r="AN46" s="27"/>
      <c r="AO46" s="27"/>
      <c r="AP46" s="28" t="str">
        <f>IFERROR(VLOOKUP(AN46,Horarios!$H:$I,2,0),"")</f>
        <v/>
      </c>
      <c r="AQ46" s="28" t="str">
        <f>IFERROR(VLOOKUP(AO46,Horarios!$H:$I,2,0),"")</f>
        <v/>
      </c>
      <c r="AR46" s="28" t="str">
        <f t="shared" si="6"/>
        <v>00:00</v>
      </c>
      <c r="AS46" s="29"/>
      <c r="AT46" s="31" t="str">
        <f t="shared" si="7"/>
        <v/>
      </c>
      <c r="AU46" s="27"/>
      <c r="AV46" s="27"/>
      <c r="AW46" s="28" t="str">
        <f>IFERROR(VLOOKUP(AU46,Horarios!$H:$I,2,0),"")</f>
        <v/>
      </c>
      <c r="AX46" s="28" t="str">
        <f>IFERROR(VLOOKUP(AV46,Horarios!$H:$I,2,0),"")</f>
        <v/>
      </c>
      <c r="AY46" s="28" t="str">
        <f t="shared" si="8"/>
        <v>00:00</v>
      </c>
      <c r="AZ46" s="29"/>
      <c r="BA46" s="27"/>
      <c r="BB46" s="27"/>
      <c r="BC46" s="28" t="str">
        <f>IFERROR(VLOOKUP(BA46,Horarios!$H:$I,2,0),"")</f>
        <v/>
      </c>
      <c r="BD46" s="28" t="str">
        <f>IFERROR(VLOOKUP(BB46,Horarios!$H:$I,2,0),"")</f>
        <v/>
      </c>
      <c r="BE46" s="28" t="str">
        <f t="shared" si="9"/>
        <v>00:00</v>
      </c>
      <c r="BF46" s="29"/>
      <c r="BG46" s="27"/>
      <c r="BH46" s="27"/>
      <c r="BI46" s="28" t="str">
        <f>IFERROR(VLOOKUP(BG46,Horarios!$H:$I,2,0),"")</f>
        <v/>
      </c>
      <c r="BJ46" s="28" t="str">
        <f>IFERROR(VLOOKUP(BH46,Horarios!$H:$I,2,0),"")</f>
        <v/>
      </c>
      <c r="BK46" s="28" t="str">
        <f t="shared" si="10"/>
        <v>00:00</v>
      </c>
      <c r="BL46" s="29"/>
      <c r="BM46" s="27"/>
      <c r="BN46" s="27"/>
      <c r="BO46" s="28" t="str">
        <f>IFERROR(VLOOKUP(BM46,Horarios!$H:$I,2,0),"")</f>
        <v/>
      </c>
      <c r="BP46" s="28" t="str">
        <f>IFERROR(VLOOKUP(BN46,Horarios!$H:$I,2,0),"")</f>
        <v/>
      </c>
      <c r="BQ46" s="28" t="str">
        <f t="shared" si="11"/>
        <v>00:00</v>
      </c>
      <c r="BR46" s="29"/>
      <c r="BS46" s="27"/>
      <c r="BT46" s="27"/>
      <c r="BU46" s="28" t="str">
        <f>IFERROR(VLOOKUP(BS46,Horarios!$H:$I,2,0),"")</f>
        <v/>
      </c>
      <c r="BV46" s="28" t="str">
        <f>IFERROR(VLOOKUP(BT46,Horarios!$H:$I,2,0),"")</f>
        <v/>
      </c>
      <c r="BW46" s="28" t="str">
        <f t="shared" si="12"/>
        <v>00:00</v>
      </c>
      <c r="BX46" s="29"/>
      <c r="BY46" s="27"/>
      <c r="BZ46" s="27"/>
      <c r="CA46" s="28" t="str">
        <f>IFERROR(VLOOKUP(BY46,Horarios!$H:$I,2,0),"")</f>
        <v/>
      </c>
      <c r="CB46" s="28" t="str">
        <f>IFERROR(VLOOKUP(BZ46,Horarios!$H:$I,2,0),"")</f>
        <v/>
      </c>
      <c r="CC46" s="28" t="str">
        <f t="shared" si="13"/>
        <v>00:00</v>
      </c>
      <c r="CD46" s="29"/>
      <c r="CE46" s="27"/>
      <c r="CF46" s="27"/>
      <c r="CG46" s="28" t="str">
        <f>IFERROR(VLOOKUP(CE46,Horarios!$H:$I,2,0),"")</f>
        <v/>
      </c>
      <c r="CH46" s="28" t="str">
        <f>IFERROR(VLOOKUP(CF46,Horarios!$H:$I,2,0),"")</f>
        <v/>
      </c>
      <c r="CI46" s="28" t="str">
        <f t="shared" si="14"/>
        <v>00:00</v>
      </c>
      <c r="CJ46" s="29"/>
      <c r="CK46" s="31" t="str">
        <f t="shared" si="15"/>
        <v/>
      </c>
      <c r="CL46" s="27"/>
      <c r="CM46" s="27"/>
      <c r="CN46" s="28" t="str">
        <f>IFERROR(VLOOKUP(CL46,Horarios!$H:$I,2,0),"")</f>
        <v/>
      </c>
      <c r="CO46" s="28" t="str">
        <f>IFERROR(VLOOKUP(CM46,Horarios!$H:$I,2,0),"")</f>
        <v/>
      </c>
      <c r="CP46" s="28" t="str">
        <f t="shared" si="16"/>
        <v>00:00</v>
      </c>
      <c r="CQ46" s="29"/>
      <c r="CR46" s="27"/>
      <c r="CS46" s="27"/>
      <c r="CT46" s="28" t="str">
        <f>IFERROR(VLOOKUP(CR46,Horarios!$H:$I,2,0),"")</f>
        <v/>
      </c>
      <c r="CU46" s="28" t="str">
        <f>IFERROR(VLOOKUP(CS46,Horarios!$H:$I,2,0),"")</f>
        <v/>
      </c>
      <c r="CV46" s="28" t="str">
        <f t="shared" si="17"/>
        <v>00:00</v>
      </c>
      <c r="CW46" s="29"/>
      <c r="CX46" s="27"/>
      <c r="CY46" s="27"/>
      <c r="CZ46" s="28" t="str">
        <f>IFERROR(VLOOKUP(CX46,Horarios!$H:$I,2,0),"")</f>
        <v/>
      </c>
      <c r="DA46" s="28" t="str">
        <f>IFERROR(VLOOKUP(CY46,Horarios!$H:$I,2,0),"")</f>
        <v/>
      </c>
      <c r="DB46" s="28" t="str">
        <f t="shared" si="18"/>
        <v>00:00</v>
      </c>
      <c r="DC46" s="29"/>
      <c r="DD46" s="27"/>
      <c r="DE46" s="27"/>
      <c r="DF46" s="28" t="str">
        <f>IFERROR(VLOOKUP(DD46,Horarios!$H:$I,2,0),"")</f>
        <v/>
      </c>
      <c r="DG46" s="28" t="str">
        <f>IFERROR(VLOOKUP(DE46,Horarios!$H:$I,2,0),"")</f>
        <v/>
      </c>
      <c r="DH46" s="28" t="str">
        <f t="shared" si="19"/>
        <v>00:00</v>
      </c>
      <c r="DI46" s="29"/>
      <c r="DJ46" s="27"/>
      <c r="DK46" s="27"/>
      <c r="DL46" s="28" t="str">
        <f>IFERROR(VLOOKUP(DJ46,Horarios!$H:$I,2,0),"")</f>
        <v/>
      </c>
      <c r="DM46" s="28" t="str">
        <f>IFERROR(VLOOKUP(DK46,Horarios!$H:$I,2,0),"")</f>
        <v/>
      </c>
      <c r="DN46" s="28" t="str">
        <f t="shared" si="20"/>
        <v>00:00</v>
      </c>
      <c r="DO46" s="29"/>
      <c r="DP46" s="27"/>
      <c r="DQ46" s="27"/>
      <c r="DR46" s="28" t="str">
        <f>IFERROR(VLOOKUP(DP46,Horarios!$H:$I,2,0),"")</f>
        <v/>
      </c>
      <c r="DS46" s="28" t="str">
        <f>IFERROR(VLOOKUP(DQ46,Horarios!$H:$I,2,0),"")</f>
        <v/>
      </c>
      <c r="DT46" s="28" t="str">
        <f t="shared" si="21"/>
        <v>00:00</v>
      </c>
      <c r="DU46" s="29"/>
      <c r="DV46" s="27"/>
      <c r="DW46" s="27"/>
      <c r="DX46" s="28" t="str">
        <f>IFERROR(VLOOKUP(DV46,Horarios!$H:$I,2,0),"")</f>
        <v/>
      </c>
      <c r="DY46" s="28" t="str">
        <f>IFERROR(VLOOKUP(DW46,Horarios!$H:$I,2,0),"")</f>
        <v/>
      </c>
      <c r="DZ46" s="28" t="str">
        <f t="shared" si="22"/>
        <v>00:00</v>
      </c>
      <c r="EA46" s="29"/>
      <c r="EB46" s="31" t="str">
        <f t="shared" si="23"/>
        <v/>
      </c>
      <c r="EC46" s="27"/>
      <c r="ED46" s="27"/>
      <c r="EE46" s="28" t="str">
        <f>IFERROR(VLOOKUP(EC46,Horarios!$H:$I,2,0),"")</f>
        <v/>
      </c>
      <c r="EF46" s="28" t="str">
        <f>IFERROR(VLOOKUP(ED46,Horarios!$H:$I,2,0),"")</f>
        <v/>
      </c>
      <c r="EG46" s="28" t="str">
        <f t="shared" si="24"/>
        <v>00:00</v>
      </c>
      <c r="EH46" s="29"/>
      <c r="EI46" s="27"/>
      <c r="EJ46" s="27"/>
      <c r="EK46" s="28" t="str">
        <f>IFERROR(VLOOKUP(EI46,Horarios!$H:$I,2,0),"")</f>
        <v/>
      </c>
      <c r="EL46" s="28" t="str">
        <f>IFERROR(VLOOKUP(EJ46,Horarios!$H:$I,2,0),"")</f>
        <v/>
      </c>
      <c r="EM46" s="28" t="str">
        <f t="shared" si="25"/>
        <v>00:00</v>
      </c>
      <c r="EN46" s="29"/>
      <c r="EO46" s="27"/>
      <c r="EP46" s="27"/>
      <c r="EQ46" s="28" t="str">
        <f>IFERROR(VLOOKUP(EO46,Horarios!$H:$I,2,0),"")</f>
        <v/>
      </c>
      <c r="ER46" s="28" t="str">
        <f>IFERROR(VLOOKUP(EP46,Horarios!$H:$I,2,0),"")</f>
        <v/>
      </c>
      <c r="ES46" s="28" t="str">
        <f t="shared" si="26"/>
        <v>00:00</v>
      </c>
      <c r="ET46" s="29"/>
      <c r="EU46" s="27"/>
      <c r="EV46" s="27"/>
      <c r="EW46" s="28" t="str">
        <f>IFERROR(VLOOKUP(EU46,Horarios!$H:$I,2,0),"")</f>
        <v/>
      </c>
      <c r="EX46" s="28" t="str">
        <f>IFERROR(VLOOKUP(EV46,Horarios!$H:$I,2,0),"")</f>
        <v/>
      </c>
      <c r="EY46" s="28" t="str">
        <f t="shared" si="27"/>
        <v>00:00</v>
      </c>
      <c r="EZ46" s="29"/>
      <c r="FA46" s="27"/>
      <c r="FB46" s="27"/>
      <c r="FC46" s="28" t="str">
        <f>IFERROR(VLOOKUP(FA46,Horarios!$H:$I,2,0),"")</f>
        <v/>
      </c>
      <c r="FD46" s="28" t="str">
        <f>IFERROR(VLOOKUP(FB46,Horarios!$H:$I,2,0),"")</f>
        <v/>
      </c>
      <c r="FE46" s="28" t="str">
        <f t="shared" si="28"/>
        <v>00:00</v>
      </c>
      <c r="FF46" s="29"/>
      <c r="FG46" s="27"/>
      <c r="FH46" s="27"/>
      <c r="FI46" s="28" t="str">
        <f>IFERROR(VLOOKUP(FG46,Horarios!$H:$I,2,0),"")</f>
        <v/>
      </c>
      <c r="FJ46" s="28" t="str">
        <f>IFERROR(VLOOKUP(FH46,Horarios!$H:$I,2,0),"")</f>
        <v/>
      </c>
      <c r="FK46" s="28" t="str">
        <f t="shared" si="29"/>
        <v>00:00</v>
      </c>
      <c r="FL46" s="29"/>
      <c r="FM46" s="27"/>
      <c r="FN46" s="27"/>
      <c r="FO46" s="28" t="str">
        <f>IFERROR(VLOOKUP(FM46,Horarios!$H:$I,2,0),"")</f>
        <v/>
      </c>
      <c r="FP46" s="28" t="str">
        <f>IFERROR(VLOOKUP(FN46,Horarios!$H:$I,2,0),"")</f>
        <v/>
      </c>
      <c r="FQ46" s="28" t="str">
        <f t="shared" si="30"/>
        <v>00:00</v>
      </c>
      <c r="FR46" s="29"/>
      <c r="FS46" s="31" t="str">
        <f t="shared" si="31"/>
        <v/>
      </c>
      <c r="FT46" s="27"/>
      <c r="FU46" s="27"/>
      <c r="FV46" s="28" t="str">
        <f>IFERROR(VLOOKUP(FT46,Horarios!$H:$I,2,0),"")</f>
        <v/>
      </c>
      <c r="FW46" s="28" t="str">
        <f>IFERROR(VLOOKUP(FU46,Horarios!$H:$I,2,0),"")</f>
        <v/>
      </c>
      <c r="FX46" s="28" t="str">
        <f t="shared" si="32"/>
        <v>00:00</v>
      </c>
      <c r="FY46" s="29"/>
      <c r="FZ46" s="27"/>
      <c r="GA46" s="27"/>
      <c r="GB46" s="28" t="str">
        <f>IFERROR(VLOOKUP(FZ46,Horarios!$H:$I,2,0),"")</f>
        <v/>
      </c>
      <c r="GC46" s="28" t="str">
        <f>IFERROR(VLOOKUP(GA46,Horarios!$H:$I,2,0),"")</f>
        <v/>
      </c>
      <c r="GD46" s="28" t="str">
        <f t="shared" si="33"/>
        <v>00:00</v>
      </c>
      <c r="GE46" s="29"/>
      <c r="GF46" s="27"/>
      <c r="GG46" s="27"/>
      <c r="GH46" s="28" t="str">
        <f>IFERROR(VLOOKUP(GF46,Horarios!$H:$I,2,0),"")</f>
        <v/>
      </c>
      <c r="GI46" s="28" t="str">
        <f>IFERROR(VLOOKUP(GG46,Horarios!$H:$I,2,0),"")</f>
        <v/>
      </c>
      <c r="GJ46" s="28" t="str">
        <f t="shared" si="34"/>
        <v>00:00</v>
      </c>
      <c r="GK46" s="29"/>
      <c r="GL46" s="27"/>
      <c r="GM46" s="27"/>
      <c r="GN46" s="28" t="str">
        <f>IFERROR(VLOOKUP(GL46,Horarios!$H:$I,2,0),"")</f>
        <v/>
      </c>
      <c r="GO46" s="28" t="str">
        <f>IFERROR(VLOOKUP(GM46,Horarios!$H:$I,2,0),"")</f>
        <v/>
      </c>
      <c r="GP46" s="28" t="str">
        <f t="shared" si="35"/>
        <v>00:00</v>
      </c>
      <c r="GQ46" s="29"/>
      <c r="GR46" s="27"/>
      <c r="GS46" s="27"/>
      <c r="GT46" s="28" t="str">
        <f>IFERROR(VLOOKUP(GR46,Horarios!$H:$I,2,0),"")</f>
        <v/>
      </c>
      <c r="GU46" s="28" t="str">
        <f>IFERROR(VLOOKUP(GS46,Horarios!$H:$I,2,0),"")</f>
        <v/>
      </c>
      <c r="GV46" s="28" t="str">
        <f t="shared" si="36"/>
        <v>00:00</v>
      </c>
      <c r="GW46" s="29"/>
      <c r="GX46" s="27"/>
      <c r="GY46" s="27"/>
      <c r="GZ46" s="28" t="str">
        <f>IFERROR(VLOOKUP(GX46,Horarios!$H:$I,2,0),"")</f>
        <v/>
      </c>
      <c r="HA46" s="28" t="str">
        <f>IFERROR(VLOOKUP(GY46,Horarios!$H:$I,2,0),"")</f>
        <v/>
      </c>
      <c r="HB46" s="28" t="str">
        <f t="shared" si="37"/>
        <v>00:00</v>
      </c>
      <c r="HC46" s="29"/>
      <c r="HD46" s="27"/>
      <c r="HE46" s="27"/>
      <c r="HF46" s="28" t="str">
        <f>IFERROR(VLOOKUP(HD46,Horarios!$H:$I,2,0),"")</f>
        <v/>
      </c>
      <c r="HG46" s="28" t="str">
        <f>IFERROR(VLOOKUP(HE46,Horarios!$H:$I,2,0),"")</f>
        <v/>
      </c>
      <c r="HH46" s="28" t="str">
        <f t="shared" si="38"/>
        <v>00:00</v>
      </c>
      <c r="HI46" s="29"/>
      <c r="HJ46" s="31" t="str">
        <f t="shared" si="39"/>
        <v/>
      </c>
      <c r="HK46" s="27"/>
      <c r="HL46" s="27"/>
      <c r="HM46" s="28" t="str">
        <f>IFERROR(VLOOKUP(HK46,Horarios!$H:$I,2,0),"")</f>
        <v/>
      </c>
      <c r="HN46" s="28" t="str">
        <f>IFERROR(VLOOKUP(HL46,Horarios!$H:$I,2,0),"")</f>
        <v/>
      </c>
      <c r="HO46" s="28" t="str">
        <f t="shared" si="40"/>
        <v>00:00</v>
      </c>
      <c r="HP46" s="29"/>
      <c r="HQ46" s="27"/>
      <c r="HR46" s="27"/>
      <c r="HS46" s="28" t="str">
        <f>IFERROR(VLOOKUP(HQ46,Horarios!$H:$I,2,0),"")</f>
        <v/>
      </c>
      <c r="HT46" s="28" t="str">
        <f>IFERROR(VLOOKUP(HR46,Horarios!$H:$I,2,0),"")</f>
        <v/>
      </c>
      <c r="HU46" s="28" t="str">
        <f t="shared" si="41"/>
        <v>00:00</v>
      </c>
      <c r="HV46" s="29"/>
      <c r="HW46" s="27"/>
      <c r="HX46" s="27"/>
      <c r="HY46" s="28" t="str">
        <f>IFERROR(VLOOKUP(HW46,Horarios!$H:$I,2,0),"")</f>
        <v/>
      </c>
      <c r="HZ46" s="28" t="str">
        <f>IFERROR(VLOOKUP(HX46,Horarios!$H:$I,2,0),"")</f>
        <v/>
      </c>
      <c r="IA46" s="28" t="str">
        <f t="shared" si="42"/>
        <v>00:00</v>
      </c>
      <c r="IB46" s="29"/>
      <c r="IC46" s="27"/>
      <c r="ID46" s="27"/>
      <c r="IE46" s="28" t="str">
        <f>IFERROR(VLOOKUP(IC46,Horarios!$H:$I,2,0),"")</f>
        <v/>
      </c>
      <c r="IF46" s="28" t="str">
        <f>IFERROR(VLOOKUP(ID46,Horarios!$H:$I,2,0),"")</f>
        <v/>
      </c>
      <c r="IG46" s="28" t="str">
        <f t="shared" si="43"/>
        <v>00:00</v>
      </c>
      <c r="IH46" s="29"/>
      <c r="II46" s="27"/>
      <c r="IJ46" s="27"/>
      <c r="IK46" s="28" t="str">
        <f>IFERROR(VLOOKUP(II46,Horarios!$H:$I,2,0),"")</f>
        <v/>
      </c>
      <c r="IL46" s="28" t="str">
        <f>IFERROR(VLOOKUP(IJ46,Horarios!$H:$I,2,0),"")</f>
        <v/>
      </c>
      <c r="IM46" s="28" t="str">
        <f t="shared" si="44"/>
        <v>00:00</v>
      </c>
      <c r="IN46" s="29"/>
      <c r="IO46" s="27"/>
      <c r="IP46" s="27"/>
      <c r="IQ46" s="28" t="str">
        <f>IFERROR(VLOOKUP(IO46,Horarios!$H:$I,2,0),"")</f>
        <v/>
      </c>
      <c r="IR46" s="28" t="str">
        <f>IFERROR(VLOOKUP(IP46,Horarios!$H:$I,2,0),"")</f>
        <v/>
      </c>
      <c r="IS46" s="28" t="str">
        <f t="shared" si="45"/>
        <v>00:00</v>
      </c>
      <c r="IT46" s="29"/>
      <c r="IU46" s="27"/>
      <c r="IV46" s="27"/>
      <c r="IW46" s="28" t="str">
        <f>IFERROR(VLOOKUP(IU46,Horarios!$H:$I,2,0),"")</f>
        <v/>
      </c>
      <c r="IX46" s="28" t="str">
        <f>IFERROR(VLOOKUP(IV46,Horarios!$H:$I,2,0),"")</f>
        <v/>
      </c>
      <c r="IY46" s="28" t="str">
        <f t="shared" si="46"/>
        <v>00:00</v>
      </c>
      <c r="IZ46" s="29"/>
      <c r="JA46" s="31" t="str">
        <f t="shared" si="47"/>
        <v/>
      </c>
    </row>
    <row r="47" spans="1:261" s="24" customFormat="1" ht="17.399999999999999" x14ac:dyDescent="0.25">
      <c r="A47" s="25"/>
      <c r="B47" s="26" t="str">
        <f>IFERROR(VLOOKUP(A47,BaseNombres!A:B,2,0),"")</f>
        <v/>
      </c>
      <c r="C47" s="26" t="str">
        <f>IFERROR(VLOOKUP(A47,BaseNombres!A:C,3,0),"")</f>
        <v/>
      </c>
      <c r="D47" s="27"/>
      <c r="E47" s="27"/>
      <c r="F47" s="28" t="str">
        <f>IFERROR(VLOOKUP(D47,Horarios!$H:$I,2,0),"")</f>
        <v/>
      </c>
      <c r="G47" s="28" t="str">
        <f>IFERROR(VLOOKUP(E47,Horarios!$H:$I,2,0),"")</f>
        <v/>
      </c>
      <c r="H47" s="28" t="str">
        <f t="shared" si="0"/>
        <v>00:00</v>
      </c>
      <c r="I47" s="29"/>
      <c r="J47" s="27"/>
      <c r="K47" s="27"/>
      <c r="L47" s="28" t="str">
        <f>IFERROR(VLOOKUP(J47,Horarios!$H:$I,2,0),"")</f>
        <v/>
      </c>
      <c r="M47" s="28" t="str">
        <f>IFERROR(VLOOKUP(K47,Horarios!$H:$I,2,0),"")</f>
        <v/>
      </c>
      <c r="N47" s="28" t="str">
        <f t="shared" si="1"/>
        <v>00:00</v>
      </c>
      <c r="O47" s="29"/>
      <c r="P47" s="27"/>
      <c r="Q47" s="27"/>
      <c r="R47" s="28" t="str">
        <f>IFERROR(VLOOKUP(P47,Horarios!$H:$I,2,0),"")</f>
        <v/>
      </c>
      <c r="S47" s="28" t="str">
        <f>IFERROR(VLOOKUP(Q47,Horarios!$H:$I,2,0),"")</f>
        <v/>
      </c>
      <c r="T47" s="28" t="str">
        <f t="shared" si="2"/>
        <v>00:00</v>
      </c>
      <c r="U47" s="29"/>
      <c r="V47" s="27"/>
      <c r="W47" s="27"/>
      <c r="X47" s="28" t="str">
        <f>IFERROR(VLOOKUP(V47,Horarios!$H:$I,2,0),"")</f>
        <v/>
      </c>
      <c r="Y47" s="28" t="str">
        <f>IFERROR(VLOOKUP(W47,Horarios!$H:$I,2,0),"")</f>
        <v/>
      </c>
      <c r="Z47" s="28" t="str">
        <f t="shared" si="3"/>
        <v>00:00</v>
      </c>
      <c r="AA47" s="29"/>
      <c r="AB47" s="27"/>
      <c r="AC47" s="27"/>
      <c r="AD47" s="28" t="str">
        <f>IFERROR(VLOOKUP(AB47,Horarios!$H:$I,2,0),"")</f>
        <v/>
      </c>
      <c r="AE47" s="28" t="str">
        <f>IFERROR(VLOOKUP(AC47,Horarios!$H:$I,2,0),"")</f>
        <v/>
      </c>
      <c r="AF47" s="28" t="str">
        <f t="shared" si="4"/>
        <v>00:00</v>
      </c>
      <c r="AG47" s="29"/>
      <c r="AH47" s="27"/>
      <c r="AI47" s="27"/>
      <c r="AJ47" s="28" t="str">
        <f>IFERROR(VLOOKUP(AH47,Horarios!$H:$I,2,0),"")</f>
        <v/>
      </c>
      <c r="AK47" s="28" t="str">
        <f>IFERROR(VLOOKUP(AI47,Horarios!$H:$I,2,0),"")</f>
        <v/>
      </c>
      <c r="AL47" s="28" t="str">
        <f t="shared" si="5"/>
        <v>00:00</v>
      </c>
      <c r="AM47" s="29"/>
      <c r="AN47" s="27"/>
      <c r="AO47" s="27"/>
      <c r="AP47" s="28" t="str">
        <f>IFERROR(VLOOKUP(AN47,Horarios!$H:$I,2,0),"")</f>
        <v/>
      </c>
      <c r="AQ47" s="28" t="str">
        <f>IFERROR(VLOOKUP(AO47,Horarios!$H:$I,2,0),"")</f>
        <v/>
      </c>
      <c r="AR47" s="28" t="str">
        <f t="shared" si="6"/>
        <v>00:00</v>
      </c>
      <c r="AS47" s="29"/>
      <c r="AT47" s="31" t="str">
        <f t="shared" si="7"/>
        <v/>
      </c>
      <c r="AU47" s="27"/>
      <c r="AV47" s="27"/>
      <c r="AW47" s="28" t="str">
        <f>IFERROR(VLOOKUP(AU47,Horarios!$H:$I,2,0),"")</f>
        <v/>
      </c>
      <c r="AX47" s="28" t="str">
        <f>IFERROR(VLOOKUP(AV47,Horarios!$H:$I,2,0),"")</f>
        <v/>
      </c>
      <c r="AY47" s="28" t="str">
        <f t="shared" si="8"/>
        <v>00:00</v>
      </c>
      <c r="AZ47" s="29"/>
      <c r="BA47" s="27"/>
      <c r="BB47" s="27"/>
      <c r="BC47" s="28" t="str">
        <f>IFERROR(VLOOKUP(BA47,Horarios!$H:$I,2,0),"")</f>
        <v/>
      </c>
      <c r="BD47" s="28" t="str">
        <f>IFERROR(VLOOKUP(BB47,Horarios!$H:$I,2,0),"")</f>
        <v/>
      </c>
      <c r="BE47" s="28" t="str">
        <f t="shared" si="9"/>
        <v>00:00</v>
      </c>
      <c r="BF47" s="29"/>
      <c r="BG47" s="27"/>
      <c r="BH47" s="27"/>
      <c r="BI47" s="28" t="str">
        <f>IFERROR(VLOOKUP(BG47,Horarios!$H:$I,2,0),"")</f>
        <v/>
      </c>
      <c r="BJ47" s="28" t="str">
        <f>IFERROR(VLOOKUP(BH47,Horarios!$H:$I,2,0),"")</f>
        <v/>
      </c>
      <c r="BK47" s="28" t="str">
        <f t="shared" si="10"/>
        <v>00:00</v>
      </c>
      <c r="BL47" s="29"/>
      <c r="BM47" s="27"/>
      <c r="BN47" s="27"/>
      <c r="BO47" s="28" t="str">
        <f>IFERROR(VLOOKUP(BM47,Horarios!$H:$I,2,0),"")</f>
        <v/>
      </c>
      <c r="BP47" s="28" t="str">
        <f>IFERROR(VLOOKUP(BN47,Horarios!$H:$I,2,0),"")</f>
        <v/>
      </c>
      <c r="BQ47" s="28" t="str">
        <f t="shared" si="11"/>
        <v>00:00</v>
      </c>
      <c r="BR47" s="29"/>
      <c r="BS47" s="27"/>
      <c r="BT47" s="27"/>
      <c r="BU47" s="28" t="str">
        <f>IFERROR(VLOOKUP(BS47,Horarios!$H:$I,2,0),"")</f>
        <v/>
      </c>
      <c r="BV47" s="28" t="str">
        <f>IFERROR(VLOOKUP(BT47,Horarios!$H:$I,2,0),"")</f>
        <v/>
      </c>
      <c r="BW47" s="28" t="str">
        <f t="shared" si="12"/>
        <v>00:00</v>
      </c>
      <c r="BX47" s="29"/>
      <c r="BY47" s="27"/>
      <c r="BZ47" s="27"/>
      <c r="CA47" s="28" t="str">
        <f>IFERROR(VLOOKUP(BY47,Horarios!$H:$I,2,0),"")</f>
        <v/>
      </c>
      <c r="CB47" s="28" t="str">
        <f>IFERROR(VLOOKUP(BZ47,Horarios!$H:$I,2,0),"")</f>
        <v/>
      </c>
      <c r="CC47" s="28" t="str">
        <f t="shared" si="13"/>
        <v>00:00</v>
      </c>
      <c r="CD47" s="29"/>
      <c r="CE47" s="27"/>
      <c r="CF47" s="27"/>
      <c r="CG47" s="28" t="str">
        <f>IFERROR(VLOOKUP(CE47,Horarios!$H:$I,2,0),"")</f>
        <v/>
      </c>
      <c r="CH47" s="28" t="str">
        <f>IFERROR(VLOOKUP(CF47,Horarios!$H:$I,2,0),"")</f>
        <v/>
      </c>
      <c r="CI47" s="28" t="str">
        <f t="shared" si="14"/>
        <v>00:00</v>
      </c>
      <c r="CJ47" s="29"/>
      <c r="CK47" s="31" t="str">
        <f t="shared" si="15"/>
        <v/>
      </c>
      <c r="CL47" s="27"/>
      <c r="CM47" s="27"/>
      <c r="CN47" s="28" t="str">
        <f>IFERROR(VLOOKUP(CL47,Horarios!$H:$I,2,0),"")</f>
        <v/>
      </c>
      <c r="CO47" s="28" t="str">
        <f>IFERROR(VLOOKUP(CM47,Horarios!$H:$I,2,0),"")</f>
        <v/>
      </c>
      <c r="CP47" s="28" t="str">
        <f t="shared" si="16"/>
        <v>00:00</v>
      </c>
      <c r="CQ47" s="29"/>
      <c r="CR47" s="27"/>
      <c r="CS47" s="27"/>
      <c r="CT47" s="28" t="str">
        <f>IFERROR(VLOOKUP(CR47,Horarios!$H:$I,2,0),"")</f>
        <v/>
      </c>
      <c r="CU47" s="28" t="str">
        <f>IFERROR(VLOOKUP(CS47,Horarios!$H:$I,2,0),"")</f>
        <v/>
      </c>
      <c r="CV47" s="28" t="str">
        <f t="shared" si="17"/>
        <v>00:00</v>
      </c>
      <c r="CW47" s="29"/>
      <c r="CX47" s="27"/>
      <c r="CY47" s="27"/>
      <c r="CZ47" s="28" t="str">
        <f>IFERROR(VLOOKUP(CX47,Horarios!$H:$I,2,0),"")</f>
        <v/>
      </c>
      <c r="DA47" s="28" t="str">
        <f>IFERROR(VLOOKUP(CY47,Horarios!$H:$I,2,0),"")</f>
        <v/>
      </c>
      <c r="DB47" s="28" t="str">
        <f t="shared" si="18"/>
        <v>00:00</v>
      </c>
      <c r="DC47" s="29"/>
      <c r="DD47" s="27"/>
      <c r="DE47" s="27"/>
      <c r="DF47" s="28" t="str">
        <f>IFERROR(VLOOKUP(DD47,Horarios!$H:$I,2,0),"")</f>
        <v/>
      </c>
      <c r="DG47" s="28" t="str">
        <f>IFERROR(VLOOKUP(DE47,Horarios!$H:$I,2,0),"")</f>
        <v/>
      </c>
      <c r="DH47" s="28" t="str">
        <f t="shared" si="19"/>
        <v>00:00</v>
      </c>
      <c r="DI47" s="29"/>
      <c r="DJ47" s="27"/>
      <c r="DK47" s="27"/>
      <c r="DL47" s="28" t="str">
        <f>IFERROR(VLOOKUP(DJ47,Horarios!$H:$I,2,0),"")</f>
        <v/>
      </c>
      <c r="DM47" s="28" t="str">
        <f>IFERROR(VLOOKUP(DK47,Horarios!$H:$I,2,0),"")</f>
        <v/>
      </c>
      <c r="DN47" s="28" t="str">
        <f t="shared" si="20"/>
        <v>00:00</v>
      </c>
      <c r="DO47" s="29"/>
      <c r="DP47" s="27"/>
      <c r="DQ47" s="27"/>
      <c r="DR47" s="28" t="str">
        <f>IFERROR(VLOOKUP(DP47,Horarios!$H:$I,2,0),"")</f>
        <v/>
      </c>
      <c r="DS47" s="28" t="str">
        <f>IFERROR(VLOOKUP(DQ47,Horarios!$H:$I,2,0),"")</f>
        <v/>
      </c>
      <c r="DT47" s="28" t="str">
        <f t="shared" si="21"/>
        <v>00:00</v>
      </c>
      <c r="DU47" s="29"/>
      <c r="DV47" s="27"/>
      <c r="DW47" s="27"/>
      <c r="DX47" s="28" t="str">
        <f>IFERROR(VLOOKUP(DV47,Horarios!$H:$I,2,0),"")</f>
        <v/>
      </c>
      <c r="DY47" s="28" t="str">
        <f>IFERROR(VLOOKUP(DW47,Horarios!$H:$I,2,0),"")</f>
        <v/>
      </c>
      <c r="DZ47" s="28" t="str">
        <f t="shared" si="22"/>
        <v>00:00</v>
      </c>
      <c r="EA47" s="29"/>
      <c r="EB47" s="31" t="str">
        <f t="shared" si="23"/>
        <v/>
      </c>
      <c r="EC47" s="27"/>
      <c r="ED47" s="27"/>
      <c r="EE47" s="28" t="str">
        <f>IFERROR(VLOOKUP(EC47,Horarios!$H:$I,2,0),"")</f>
        <v/>
      </c>
      <c r="EF47" s="28" t="str">
        <f>IFERROR(VLOOKUP(ED47,Horarios!$H:$I,2,0),"")</f>
        <v/>
      </c>
      <c r="EG47" s="28" t="str">
        <f t="shared" si="24"/>
        <v>00:00</v>
      </c>
      <c r="EH47" s="29"/>
      <c r="EI47" s="27"/>
      <c r="EJ47" s="27"/>
      <c r="EK47" s="28" t="str">
        <f>IFERROR(VLOOKUP(EI47,Horarios!$H:$I,2,0),"")</f>
        <v/>
      </c>
      <c r="EL47" s="28" t="str">
        <f>IFERROR(VLOOKUP(EJ47,Horarios!$H:$I,2,0),"")</f>
        <v/>
      </c>
      <c r="EM47" s="28" t="str">
        <f t="shared" si="25"/>
        <v>00:00</v>
      </c>
      <c r="EN47" s="29"/>
      <c r="EO47" s="27"/>
      <c r="EP47" s="27"/>
      <c r="EQ47" s="28" t="str">
        <f>IFERROR(VLOOKUP(EO47,Horarios!$H:$I,2,0),"")</f>
        <v/>
      </c>
      <c r="ER47" s="28" t="str">
        <f>IFERROR(VLOOKUP(EP47,Horarios!$H:$I,2,0),"")</f>
        <v/>
      </c>
      <c r="ES47" s="28" t="str">
        <f t="shared" si="26"/>
        <v>00:00</v>
      </c>
      <c r="ET47" s="29"/>
      <c r="EU47" s="27"/>
      <c r="EV47" s="27"/>
      <c r="EW47" s="28" t="str">
        <f>IFERROR(VLOOKUP(EU47,Horarios!$H:$I,2,0),"")</f>
        <v/>
      </c>
      <c r="EX47" s="28" t="str">
        <f>IFERROR(VLOOKUP(EV47,Horarios!$H:$I,2,0),"")</f>
        <v/>
      </c>
      <c r="EY47" s="28" t="str">
        <f t="shared" si="27"/>
        <v>00:00</v>
      </c>
      <c r="EZ47" s="29"/>
      <c r="FA47" s="27"/>
      <c r="FB47" s="27"/>
      <c r="FC47" s="28" t="str">
        <f>IFERROR(VLOOKUP(FA47,Horarios!$H:$I,2,0),"")</f>
        <v/>
      </c>
      <c r="FD47" s="28" t="str">
        <f>IFERROR(VLOOKUP(FB47,Horarios!$H:$I,2,0),"")</f>
        <v/>
      </c>
      <c r="FE47" s="28" t="str">
        <f t="shared" si="28"/>
        <v>00:00</v>
      </c>
      <c r="FF47" s="29"/>
      <c r="FG47" s="27"/>
      <c r="FH47" s="27"/>
      <c r="FI47" s="28" t="str">
        <f>IFERROR(VLOOKUP(FG47,Horarios!$H:$I,2,0),"")</f>
        <v/>
      </c>
      <c r="FJ47" s="28" t="str">
        <f>IFERROR(VLOOKUP(FH47,Horarios!$H:$I,2,0),"")</f>
        <v/>
      </c>
      <c r="FK47" s="28" t="str">
        <f t="shared" si="29"/>
        <v>00:00</v>
      </c>
      <c r="FL47" s="29"/>
      <c r="FM47" s="27"/>
      <c r="FN47" s="27"/>
      <c r="FO47" s="28" t="str">
        <f>IFERROR(VLOOKUP(FM47,Horarios!$H:$I,2,0),"")</f>
        <v/>
      </c>
      <c r="FP47" s="28" t="str">
        <f>IFERROR(VLOOKUP(FN47,Horarios!$H:$I,2,0),"")</f>
        <v/>
      </c>
      <c r="FQ47" s="28" t="str">
        <f t="shared" si="30"/>
        <v>00:00</v>
      </c>
      <c r="FR47" s="29"/>
      <c r="FS47" s="31" t="str">
        <f t="shared" si="31"/>
        <v/>
      </c>
      <c r="FT47" s="27"/>
      <c r="FU47" s="27"/>
      <c r="FV47" s="28" t="str">
        <f>IFERROR(VLOOKUP(FT47,Horarios!$H:$I,2,0),"")</f>
        <v/>
      </c>
      <c r="FW47" s="28" t="str">
        <f>IFERROR(VLOOKUP(FU47,Horarios!$H:$I,2,0),"")</f>
        <v/>
      </c>
      <c r="FX47" s="28" t="str">
        <f t="shared" si="32"/>
        <v>00:00</v>
      </c>
      <c r="FY47" s="29"/>
      <c r="FZ47" s="27"/>
      <c r="GA47" s="27"/>
      <c r="GB47" s="28" t="str">
        <f>IFERROR(VLOOKUP(FZ47,Horarios!$H:$I,2,0),"")</f>
        <v/>
      </c>
      <c r="GC47" s="28" t="str">
        <f>IFERROR(VLOOKUP(GA47,Horarios!$H:$I,2,0),"")</f>
        <v/>
      </c>
      <c r="GD47" s="28" t="str">
        <f t="shared" si="33"/>
        <v>00:00</v>
      </c>
      <c r="GE47" s="29"/>
      <c r="GF47" s="27"/>
      <c r="GG47" s="27"/>
      <c r="GH47" s="28" t="str">
        <f>IFERROR(VLOOKUP(GF47,Horarios!$H:$I,2,0),"")</f>
        <v/>
      </c>
      <c r="GI47" s="28" t="str">
        <f>IFERROR(VLOOKUP(GG47,Horarios!$H:$I,2,0),"")</f>
        <v/>
      </c>
      <c r="GJ47" s="28" t="str">
        <f t="shared" si="34"/>
        <v>00:00</v>
      </c>
      <c r="GK47" s="29"/>
      <c r="GL47" s="27"/>
      <c r="GM47" s="27"/>
      <c r="GN47" s="28" t="str">
        <f>IFERROR(VLOOKUP(GL47,Horarios!$H:$I,2,0),"")</f>
        <v/>
      </c>
      <c r="GO47" s="28" t="str">
        <f>IFERROR(VLOOKUP(GM47,Horarios!$H:$I,2,0),"")</f>
        <v/>
      </c>
      <c r="GP47" s="28" t="str">
        <f t="shared" si="35"/>
        <v>00:00</v>
      </c>
      <c r="GQ47" s="29"/>
      <c r="GR47" s="27"/>
      <c r="GS47" s="27"/>
      <c r="GT47" s="28" t="str">
        <f>IFERROR(VLOOKUP(GR47,Horarios!$H:$I,2,0),"")</f>
        <v/>
      </c>
      <c r="GU47" s="28" t="str">
        <f>IFERROR(VLOOKUP(GS47,Horarios!$H:$I,2,0),"")</f>
        <v/>
      </c>
      <c r="GV47" s="28" t="str">
        <f t="shared" si="36"/>
        <v>00:00</v>
      </c>
      <c r="GW47" s="29"/>
      <c r="GX47" s="27"/>
      <c r="GY47" s="27"/>
      <c r="GZ47" s="28" t="str">
        <f>IFERROR(VLOOKUP(GX47,Horarios!$H:$I,2,0),"")</f>
        <v/>
      </c>
      <c r="HA47" s="28" t="str">
        <f>IFERROR(VLOOKUP(GY47,Horarios!$H:$I,2,0),"")</f>
        <v/>
      </c>
      <c r="HB47" s="28" t="str">
        <f t="shared" si="37"/>
        <v>00:00</v>
      </c>
      <c r="HC47" s="29"/>
      <c r="HD47" s="27"/>
      <c r="HE47" s="27"/>
      <c r="HF47" s="28" t="str">
        <f>IFERROR(VLOOKUP(HD47,Horarios!$H:$I,2,0),"")</f>
        <v/>
      </c>
      <c r="HG47" s="28" t="str">
        <f>IFERROR(VLOOKUP(HE47,Horarios!$H:$I,2,0),"")</f>
        <v/>
      </c>
      <c r="HH47" s="28" t="str">
        <f t="shared" si="38"/>
        <v>00:00</v>
      </c>
      <c r="HI47" s="29"/>
      <c r="HJ47" s="31" t="str">
        <f t="shared" si="39"/>
        <v/>
      </c>
      <c r="HK47" s="27"/>
      <c r="HL47" s="27"/>
      <c r="HM47" s="28" t="str">
        <f>IFERROR(VLOOKUP(HK47,Horarios!$H:$I,2,0),"")</f>
        <v/>
      </c>
      <c r="HN47" s="28" t="str">
        <f>IFERROR(VLOOKUP(HL47,Horarios!$H:$I,2,0),"")</f>
        <v/>
      </c>
      <c r="HO47" s="28" t="str">
        <f t="shared" si="40"/>
        <v>00:00</v>
      </c>
      <c r="HP47" s="29"/>
      <c r="HQ47" s="27"/>
      <c r="HR47" s="27"/>
      <c r="HS47" s="28" t="str">
        <f>IFERROR(VLOOKUP(HQ47,Horarios!$H:$I,2,0),"")</f>
        <v/>
      </c>
      <c r="HT47" s="28" t="str">
        <f>IFERROR(VLOOKUP(HR47,Horarios!$H:$I,2,0),"")</f>
        <v/>
      </c>
      <c r="HU47" s="28" t="str">
        <f t="shared" si="41"/>
        <v>00:00</v>
      </c>
      <c r="HV47" s="29"/>
      <c r="HW47" s="27"/>
      <c r="HX47" s="27"/>
      <c r="HY47" s="28" t="str">
        <f>IFERROR(VLOOKUP(HW47,Horarios!$H:$I,2,0),"")</f>
        <v/>
      </c>
      <c r="HZ47" s="28" t="str">
        <f>IFERROR(VLOOKUP(HX47,Horarios!$H:$I,2,0),"")</f>
        <v/>
      </c>
      <c r="IA47" s="28" t="str">
        <f t="shared" si="42"/>
        <v>00:00</v>
      </c>
      <c r="IB47" s="29"/>
      <c r="IC47" s="27"/>
      <c r="ID47" s="27"/>
      <c r="IE47" s="28" t="str">
        <f>IFERROR(VLOOKUP(IC47,Horarios!$H:$I,2,0),"")</f>
        <v/>
      </c>
      <c r="IF47" s="28" t="str">
        <f>IFERROR(VLOOKUP(ID47,Horarios!$H:$I,2,0),"")</f>
        <v/>
      </c>
      <c r="IG47" s="28" t="str">
        <f t="shared" si="43"/>
        <v>00:00</v>
      </c>
      <c r="IH47" s="29"/>
      <c r="II47" s="27"/>
      <c r="IJ47" s="27"/>
      <c r="IK47" s="28" t="str">
        <f>IFERROR(VLOOKUP(II47,Horarios!$H:$I,2,0),"")</f>
        <v/>
      </c>
      <c r="IL47" s="28" t="str">
        <f>IFERROR(VLOOKUP(IJ47,Horarios!$H:$I,2,0),"")</f>
        <v/>
      </c>
      <c r="IM47" s="28" t="str">
        <f t="shared" si="44"/>
        <v>00:00</v>
      </c>
      <c r="IN47" s="29"/>
      <c r="IO47" s="27"/>
      <c r="IP47" s="27"/>
      <c r="IQ47" s="28" t="str">
        <f>IFERROR(VLOOKUP(IO47,Horarios!$H:$I,2,0),"")</f>
        <v/>
      </c>
      <c r="IR47" s="28" t="str">
        <f>IFERROR(VLOOKUP(IP47,Horarios!$H:$I,2,0),"")</f>
        <v/>
      </c>
      <c r="IS47" s="28" t="str">
        <f t="shared" si="45"/>
        <v>00:00</v>
      </c>
      <c r="IT47" s="29"/>
      <c r="IU47" s="27"/>
      <c r="IV47" s="27"/>
      <c r="IW47" s="28" t="str">
        <f>IFERROR(VLOOKUP(IU47,Horarios!$H:$I,2,0),"")</f>
        <v/>
      </c>
      <c r="IX47" s="28" t="str">
        <f>IFERROR(VLOOKUP(IV47,Horarios!$H:$I,2,0),"")</f>
        <v/>
      </c>
      <c r="IY47" s="28" t="str">
        <f t="shared" si="46"/>
        <v>00:00</v>
      </c>
      <c r="IZ47" s="29"/>
      <c r="JA47" s="31" t="str">
        <f t="shared" si="47"/>
        <v/>
      </c>
    </row>
    <row r="48" spans="1:261" s="24" customFormat="1" ht="17.399999999999999" x14ac:dyDescent="0.25">
      <c r="A48" s="25"/>
      <c r="B48" s="26" t="str">
        <f>IFERROR(VLOOKUP(A48,BaseNombres!A:B,2,0),"")</f>
        <v/>
      </c>
      <c r="C48" s="26" t="str">
        <f>IFERROR(VLOOKUP(A48,BaseNombres!A:C,3,0),"")</f>
        <v/>
      </c>
      <c r="D48" s="27"/>
      <c r="E48" s="27"/>
      <c r="F48" s="28" t="str">
        <f>IFERROR(VLOOKUP(D48,Horarios!$H:$I,2,0),"")</f>
        <v/>
      </c>
      <c r="G48" s="28" t="str">
        <f>IFERROR(VLOOKUP(E48,Horarios!$H:$I,2,0),"")</f>
        <v/>
      </c>
      <c r="H48" s="28" t="str">
        <f t="shared" si="0"/>
        <v>00:00</v>
      </c>
      <c r="I48" s="29"/>
      <c r="J48" s="27"/>
      <c r="K48" s="27"/>
      <c r="L48" s="28" t="str">
        <f>IFERROR(VLOOKUP(J48,Horarios!$H:$I,2,0),"")</f>
        <v/>
      </c>
      <c r="M48" s="28" t="str">
        <f>IFERROR(VLOOKUP(K48,Horarios!$H:$I,2,0),"")</f>
        <v/>
      </c>
      <c r="N48" s="28" t="str">
        <f t="shared" si="1"/>
        <v>00:00</v>
      </c>
      <c r="O48" s="29"/>
      <c r="P48" s="27"/>
      <c r="Q48" s="27"/>
      <c r="R48" s="28" t="str">
        <f>IFERROR(VLOOKUP(P48,Horarios!$H:$I,2,0),"")</f>
        <v/>
      </c>
      <c r="S48" s="28" t="str">
        <f>IFERROR(VLOOKUP(Q48,Horarios!$H:$I,2,0),"")</f>
        <v/>
      </c>
      <c r="T48" s="28" t="str">
        <f t="shared" si="2"/>
        <v>00:00</v>
      </c>
      <c r="U48" s="29"/>
      <c r="V48" s="27"/>
      <c r="W48" s="27"/>
      <c r="X48" s="28" t="str">
        <f>IFERROR(VLOOKUP(V48,Horarios!$H:$I,2,0),"")</f>
        <v/>
      </c>
      <c r="Y48" s="28" t="str">
        <f>IFERROR(VLOOKUP(W48,Horarios!$H:$I,2,0),"")</f>
        <v/>
      </c>
      <c r="Z48" s="28" t="str">
        <f t="shared" si="3"/>
        <v>00:00</v>
      </c>
      <c r="AA48" s="29"/>
      <c r="AB48" s="27"/>
      <c r="AC48" s="27"/>
      <c r="AD48" s="28" t="str">
        <f>IFERROR(VLOOKUP(AB48,Horarios!$H:$I,2,0),"")</f>
        <v/>
      </c>
      <c r="AE48" s="28" t="str">
        <f>IFERROR(VLOOKUP(AC48,Horarios!$H:$I,2,0),"")</f>
        <v/>
      </c>
      <c r="AF48" s="28" t="str">
        <f t="shared" si="4"/>
        <v>00:00</v>
      </c>
      <c r="AG48" s="29"/>
      <c r="AH48" s="27"/>
      <c r="AI48" s="27"/>
      <c r="AJ48" s="28" t="str">
        <f>IFERROR(VLOOKUP(AH48,Horarios!$H:$I,2,0),"")</f>
        <v/>
      </c>
      <c r="AK48" s="28" t="str">
        <f>IFERROR(VLOOKUP(AI48,Horarios!$H:$I,2,0),"")</f>
        <v/>
      </c>
      <c r="AL48" s="28" t="str">
        <f t="shared" si="5"/>
        <v>00:00</v>
      </c>
      <c r="AM48" s="29"/>
      <c r="AN48" s="27"/>
      <c r="AO48" s="27"/>
      <c r="AP48" s="28" t="str">
        <f>IFERROR(VLOOKUP(AN48,Horarios!$H:$I,2,0),"")</f>
        <v/>
      </c>
      <c r="AQ48" s="28" t="str">
        <f>IFERROR(VLOOKUP(AO48,Horarios!$H:$I,2,0),"")</f>
        <v/>
      </c>
      <c r="AR48" s="28" t="str">
        <f t="shared" si="6"/>
        <v>00:00</v>
      </c>
      <c r="AS48" s="29"/>
      <c r="AT48" s="31" t="str">
        <f t="shared" si="7"/>
        <v/>
      </c>
      <c r="AU48" s="27"/>
      <c r="AV48" s="27"/>
      <c r="AW48" s="28" t="str">
        <f>IFERROR(VLOOKUP(AU48,Horarios!$H:$I,2,0),"")</f>
        <v/>
      </c>
      <c r="AX48" s="28" t="str">
        <f>IFERROR(VLOOKUP(AV48,Horarios!$H:$I,2,0),"")</f>
        <v/>
      </c>
      <c r="AY48" s="28" t="str">
        <f t="shared" si="8"/>
        <v>00:00</v>
      </c>
      <c r="AZ48" s="29"/>
      <c r="BA48" s="27"/>
      <c r="BB48" s="27"/>
      <c r="BC48" s="28" t="str">
        <f>IFERROR(VLOOKUP(BA48,Horarios!$H:$I,2,0),"")</f>
        <v/>
      </c>
      <c r="BD48" s="28" t="str">
        <f>IFERROR(VLOOKUP(BB48,Horarios!$H:$I,2,0),"")</f>
        <v/>
      </c>
      <c r="BE48" s="28" t="str">
        <f t="shared" si="9"/>
        <v>00:00</v>
      </c>
      <c r="BF48" s="29"/>
      <c r="BG48" s="27"/>
      <c r="BH48" s="27"/>
      <c r="BI48" s="28" t="str">
        <f>IFERROR(VLOOKUP(BG48,Horarios!$H:$I,2,0),"")</f>
        <v/>
      </c>
      <c r="BJ48" s="28" t="str">
        <f>IFERROR(VLOOKUP(BH48,Horarios!$H:$I,2,0),"")</f>
        <v/>
      </c>
      <c r="BK48" s="28" t="str">
        <f t="shared" si="10"/>
        <v>00:00</v>
      </c>
      <c r="BL48" s="29"/>
      <c r="BM48" s="27"/>
      <c r="BN48" s="27"/>
      <c r="BO48" s="28" t="str">
        <f>IFERROR(VLOOKUP(BM48,Horarios!$H:$I,2,0),"")</f>
        <v/>
      </c>
      <c r="BP48" s="28" t="str">
        <f>IFERROR(VLOOKUP(BN48,Horarios!$H:$I,2,0),"")</f>
        <v/>
      </c>
      <c r="BQ48" s="28" t="str">
        <f t="shared" si="11"/>
        <v>00:00</v>
      </c>
      <c r="BR48" s="29"/>
      <c r="BS48" s="27"/>
      <c r="BT48" s="27"/>
      <c r="BU48" s="28" t="str">
        <f>IFERROR(VLOOKUP(BS48,Horarios!$H:$I,2,0),"")</f>
        <v/>
      </c>
      <c r="BV48" s="28" t="str">
        <f>IFERROR(VLOOKUP(BT48,Horarios!$H:$I,2,0),"")</f>
        <v/>
      </c>
      <c r="BW48" s="28" t="str">
        <f t="shared" si="12"/>
        <v>00:00</v>
      </c>
      <c r="BX48" s="29"/>
      <c r="BY48" s="27"/>
      <c r="BZ48" s="27"/>
      <c r="CA48" s="28" t="str">
        <f>IFERROR(VLOOKUP(BY48,Horarios!$H:$I,2,0),"")</f>
        <v/>
      </c>
      <c r="CB48" s="28" t="str">
        <f>IFERROR(VLOOKUP(BZ48,Horarios!$H:$I,2,0),"")</f>
        <v/>
      </c>
      <c r="CC48" s="28" t="str">
        <f t="shared" si="13"/>
        <v>00:00</v>
      </c>
      <c r="CD48" s="29"/>
      <c r="CE48" s="27"/>
      <c r="CF48" s="27"/>
      <c r="CG48" s="28" t="str">
        <f>IFERROR(VLOOKUP(CE48,Horarios!$H:$I,2,0),"")</f>
        <v/>
      </c>
      <c r="CH48" s="28" t="str">
        <f>IFERROR(VLOOKUP(CF48,Horarios!$H:$I,2,0),"")</f>
        <v/>
      </c>
      <c r="CI48" s="28" t="str">
        <f t="shared" si="14"/>
        <v>00:00</v>
      </c>
      <c r="CJ48" s="29"/>
      <c r="CK48" s="31" t="str">
        <f t="shared" si="15"/>
        <v/>
      </c>
      <c r="CL48" s="27"/>
      <c r="CM48" s="27"/>
      <c r="CN48" s="28" t="str">
        <f>IFERROR(VLOOKUP(CL48,Horarios!$H:$I,2,0),"")</f>
        <v/>
      </c>
      <c r="CO48" s="28" t="str">
        <f>IFERROR(VLOOKUP(CM48,Horarios!$H:$I,2,0),"")</f>
        <v/>
      </c>
      <c r="CP48" s="28" t="str">
        <f t="shared" si="16"/>
        <v>00:00</v>
      </c>
      <c r="CQ48" s="29"/>
      <c r="CR48" s="27"/>
      <c r="CS48" s="27"/>
      <c r="CT48" s="28" t="str">
        <f>IFERROR(VLOOKUP(CR48,Horarios!$H:$I,2,0),"")</f>
        <v/>
      </c>
      <c r="CU48" s="28" t="str">
        <f>IFERROR(VLOOKUP(CS48,Horarios!$H:$I,2,0),"")</f>
        <v/>
      </c>
      <c r="CV48" s="28" t="str">
        <f t="shared" si="17"/>
        <v>00:00</v>
      </c>
      <c r="CW48" s="29"/>
      <c r="CX48" s="27"/>
      <c r="CY48" s="27"/>
      <c r="CZ48" s="28" t="str">
        <f>IFERROR(VLOOKUP(CX48,Horarios!$H:$I,2,0),"")</f>
        <v/>
      </c>
      <c r="DA48" s="28" t="str">
        <f>IFERROR(VLOOKUP(CY48,Horarios!$H:$I,2,0),"")</f>
        <v/>
      </c>
      <c r="DB48" s="28" t="str">
        <f t="shared" si="18"/>
        <v>00:00</v>
      </c>
      <c r="DC48" s="29"/>
      <c r="DD48" s="27"/>
      <c r="DE48" s="27"/>
      <c r="DF48" s="28" t="str">
        <f>IFERROR(VLOOKUP(DD48,Horarios!$H:$I,2,0),"")</f>
        <v/>
      </c>
      <c r="DG48" s="28" t="str">
        <f>IFERROR(VLOOKUP(DE48,Horarios!$H:$I,2,0),"")</f>
        <v/>
      </c>
      <c r="DH48" s="28" t="str">
        <f t="shared" si="19"/>
        <v>00:00</v>
      </c>
      <c r="DI48" s="29"/>
      <c r="DJ48" s="27"/>
      <c r="DK48" s="27"/>
      <c r="DL48" s="28" t="str">
        <f>IFERROR(VLOOKUP(DJ48,Horarios!$H:$I,2,0),"")</f>
        <v/>
      </c>
      <c r="DM48" s="28" t="str">
        <f>IFERROR(VLOOKUP(DK48,Horarios!$H:$I,2,0),"")</f>
        <v/>
      </c>
      <c r="DN48" s="28" t="str">
        <f t="shared" si="20"/>
        <v>00:00</v>
      </c>
      <c r="DO48" s="29"/>
      <c r="DP48" s="27"/>
      <c r="DQ48" s="27"/>
      <c r="DR48" s="28" t="str">
        <f>IFERROR(VLOOKUP(DP48,Horarios!$H:$I,2,0),"")</f>
        <v/>
      </c>
      <c r="DS48" s="28" t="str">
        <f>IFERROR(VLOOKUP(DQ48,Horarios!$H:$I,2,0),"")</f>
        <v/>
      </c>
      <c r="DT48" s="28" t="str">
        <f t="shared" si="21"/>
        <v>00:00</v>
      </c>
      <c r="DU48" s="29"/>
      <c r="DV48" s="27"/>
      <c r="DW48" s="27"/>
      <c r="DX48" s="28" t="str">
        <f>IFERROR(VLOOKUP(DV48,Horarios!$H:$I,2,0),"")</f>
        <v/>
      </c>
      <c r="DY48" s="28" t="str">
        <f>IFERROR(VLOOKUP(DW48,Horarios!$H:$I,2,0),"")</f>
        <v/>
      </c>
      <c r="DZ48" s="28" t="str">
        <f t="shared" si="22"/>
        <v>00:00</v>
      </c>
      <c r="EA48" s="29"/>
      <c r="EB48" s="31" t="str">
        <f t="shared" si="23"/>
        <v/>
      </c>
      <c r="EC48" s="27"/>
      <c r="ED48" s="27"/>
      <c r="EE48" s="28" t="str">
        <f>IFERROR(VLOOKUP(EC48,Horarios!$H:$I,2,0),"")</f>
        <v/>
      </c>
      <c r="EF48" s="28" t="str">
        <f>IFERROR(VLOOKUP(ED48,Horarios!$H:$I,2,0),"")</f>
        <v/>
      </c>
      <c r="EG48" s="28" t="str">
        <f t="shared" si="24"/>
        <v>00:00</v>
      </c>
      <c r="EH48" s="29"/>
      <c r="EI48" s="27"/>
      <c r="EJ48" s="27"/>
      <c r="EK48" s="28" t="str">
        <f>IFERROR(VLOOKUP(EI48,Horarios!$H:$I,2,0),"")</f>
        <v/>
      </c>
      <c r="EL48" s="28" t="str">
        <f>IFERROR(VLOOKUP(EJ48,Horarios!$H:$I,2,0),"")</f>
        <v/>
      </c>
      <c r="EM48" s="28" t="str">
        <f t="shared" si="25"/>
        <v>00:00</v>
      </c>
      <c r="EN48" s="29"/>
      <c r="EO48" s="27"/>
      <c r="EP48" s="27"/>
      <c r="EQ48" s="28" t="str">
        <f>IFERROR(VLOOKUP(EO48,Horarios!$H:$I,2,0),"")</f>
        <v/>
      </c>
      <c r="ER48" s="28" t="str">
        <f>IFERROR(VLOOKUP(EP48,Horarios!$H:$I,2,0),"")</f>
        <v/>
      </c>
      <c r="ES48" s="28" t="str">
        <f t="shared" si="26"/>
        <v>00:00</v>
      </c>
      <c r="ET48" s="29"/>
      <c r="EU48" s="27"/>
      <c r="EV48" s="27"/>
      <c r="EW48" s="28" t="str">
        <f>IFERROR(VLOOKUP(EU48,Horarios!$H:$I,2,0),"")</f>
        <v/>
      </c>
      <c r="EX48" s="28" t="str">
        <f>IFERROR(VLOOKUP(EV48,Horarios!$H:$I,2,0),"")</f>
        <v/>
      </c>
      <c r="EY48" s="28" t="str">
        <f t="shared" si="27"/>
        <v>00:00</v>
      </c>
      <c r="EZ48" s="29"/>
      <c r="FA48" s="27"/>
      <c r="FB48" s="27"/>
      <c r="FC48" s="28" t="str">
        <f>IFERROR(VLOOKUP(FA48,Horarios!$H:$I,2,0),"")</f>
        <v/>
      </c>
      <c r="FD48" s="28" t="str">
        <f>IFERROR(VLOOKUP(FB48,Horarios!$H:$I,2,0),"")</f>
        <v/>
      </c>
      <c r="FE48" s="28" t="str">
        <f t="shared" si="28"/>
        <v>00:00</v>
      </c>
      <c r="FF48" s="29"/>
      <c r="FG48" s="27"/>
      <c r="FH48" s="27"/>
      <c r="FI48" s="28" t="str">
        <f>IFERROR(VLOOKUP(FG48,Horarios!$H:$I,2,0),"")</f>
        <v/>
      </c>
      <c r="FJ48" s="28" t="str">
        <f>IFERROR(VLOOKUP(FH48,Horarios!$H:$I,2,0),"")</f>
        <v/>
      </c>
      <c r="FK48" s="28" t="str">
        <f t="shared" si="29"/>
        <v>00:00</v>
      </c>
      <c r="FL48" s="29"/>
      <c r="FM48" s="27"/>
      <c r="FN48" s="27"/>
      <c r="FO48" s="28" t="str">
        <f>IFERROR(VLOOKUP(FM48,Horarios!$H:$I,2,0),"")</f>
        <v/>
      </c>
      <c r="FP48" s="28" t="str">
        <f>IFERROR(VLOOKUP(FN48,Horarios!$H:$I,2,0),"")</f>
        <v/>
      </c>
      <c r="FQ48" s="28" t="str">
        <f t="shared" si="30"/>
        <v>00:00</v>
      </c>
      <c r="FR48" s="29"/>
      <c r="FS48" s="31" t="str">
        <f t="shared" si="31"/>
        <v/>
      </c>
      <c r="FT48" s="27"/>
      <c r="FU48" s="27"/>
      <c r="FV48" s="28" t="str">
        <f>IFERROR(VLOOKUP(FT48,Horarios!$H:$I,2,0),"")</f>
        <v/>
      </c>
      <c r="FW48" s="28" t="str">
        <f>IFERROR(VLOOKUP(FU48,Horarios!$H:$I,2,0),"")</f>
        <v/>
      </c>
      <c r="FX48" s="28" t="str">
        <f t="shared" si="32"/>
        <v>00:00</v>
      </c>
      <c r="FY48" s="29"/>
      <c r="FZ48" s="27"/>
      <c r="GA48" s="27"/>
      <c r="GB48" s="28" t="str">
        <f>IFERROR(VLOOKUP(FZ48,Horarios!$H:$I,2,0),"")</f>
        <v/>
      </c>
      <c r="GC48" s="28" t="str">
        <f>IFERROR(VLOOKUP(GA48,Horarios!$H:$I,2,0),"")</f>
        <v/>
      </c>
      <c r="GD48" s="28" t="str">
        <f t="shared" si="33"/>
        <v>00:00</v>
      </c>
      <c r="GE48" s="29"/>
      <c r="GF48" s="27"/>
      <c r="GG48" s="27"/>
      <c r="GH48" s="28" t="str">
        <f>IFERROR(VLOOKUP(GF48,Horarios!$H:$I,2,0),"")</f>
        <v/>
      </c>
      <c r="GI48" s="28" t="str">
        <f>IFERROR(VLOOKUP(GG48,Horarios!$H:$I,2,0),"")</f>
        <v/>
      </c>
      <c r="GJ48" s="28" t="str">
        <f t="shared" si="34"/>
        <v>00:00</v>
      </c>
      <c r="GK48" s="29"/>
      <c r="GL48" s="27"/>
      <c r="GM48" s="27"/>
      <c r="GN48" s="28" t="str">
        <f>IFERROR(VLOOKUP(GL48,Horarios!$H:$I,2,0),"")</f>
        <v/>
      </c>
      <c r="GO48" s="28" t="str">
        <f>IFERROR(VLOOKUP(GM48,Horarios!$H:$I,2,0),"")</f>
        <v/>
      </c>
      <c r="GP48" s="28" t="str">
        <f t="shared" si="35"/>
        <v>00:00</v>
      </c>
      <c r="GQ48" s="29"/>
      <c r="GR48" s="27"/>
      <c r="GS48" s="27"/>
      <c r="GT48" s="28" t="str">
        <f>IFERROR(VLOOKUP(GR48,Horarios!$H:$I,2,0),"")</f>
        <v/>
      </c>
      <c r="GU48" s="28" t="str">
        <f>IFERROR(VLOOKUP(GS48,Horarios!$H:$I,2,0),"")</f>
        <v/>
      </c>
      <c r="GV48" s="28" t="str">
        <f t="shared" si="36"/>
        <v>00:00</v>
      </c>
      <c r="GW48" s="29"/>
      <c r="GX48" s="27"/>
      <c r="GY48" s="27"/>
      <c r="GZ48" s="28" t="str">
        <f>IFERROR(VLOOKUP(GX48,Horarios!$H:$I,2,0),"")</f>
        <v/>
      </c>
      <c r="HA48" s="28" t="str">
        <f>IFERROR(VLOOKUP(GY48,Horarios!$H:$I,2,0),"")</f>
        <v/>
      </c>
      <c r="HB48" s="28" t="str">
        <f t="shared" si="37"/>
        <v>00:00</v>
      </c>
      <c r="HC48" s="29"/>
      <c r="HD48" s="27"/>
      <c r="HE48" s="27"/>
      <c r="HF48" s="28" t="str">
        <f>IFERROR(VLOOKUP(HD48,Horarios!$H:$I,2,0),"")</f>
        <v/>
      </c>
      <c r="HG48" s="28" t="str">
        <f>IFERROR(VLOOKUP(HE48,Horarios!$H:$I,2,0),"")</f>
        <v/>
      </c>
      <c r="HH48" s="28" t="str">
        <f t="shared" si="38"/>
        <v>00:00</v>
      </c>
      <c r="HI48" s="29"/>
      <c r="HJ48" s="31" t="str">
        <f t="shared" si="39"/>
        <v/>
      </c>
      <c r="HK48" s="27"/>
      <c r="HL48" s="27"/>
      <c r="HM48" s="28" t="str">
        <f>IFERROR(VLOOKUP(HK48,Horarios!$H:$I,2,0),"")</f>
        <v/>
      </c>
      <c r="HN48" s="28" t="str">
        <f>IFERROR(VLOOKUP(HL48,Horarios!$H:$I,2,0),"")</f>
        <v/>
      </c>
      <c r="HO48" s="28" t="str">
        <f t="shared" si="40"/>
        <v>00:00</v>
      </c>
      <c r="HP48" s="29"/>
      <c r="HQ48" s="27"/>
      <c r="HR48" s="27"/>
      <c r="HS48" s="28" t="str">
        <f>IFERROR(VLOOKUP(HQ48,Horarios!$H:$I,2,0),"")</f>
        <v/>
      </c>
      <c r="HT48" s="28" t="str">
        <f>IFERROR(VLOOKUP(HR48,Horarios!$H:$I,2,0),"")</f>
        <v/>
      </c>
      <c r="HU48" s="28" t="str">
        <f t="shared" si="41"/>
        <v>00:00</v>
      </c>
      <c r="HV48" s="29"/>
      <c r="HW48" s="27"/>
      <c r="HX48" s="27"/>
      <c r="HY48" s="28" t="str">
        <f>IFERROR(VLOOKUP(HW48,Horarios!$H:$I,2,0),"")</f>
        <v/>
      </c>
      <c r="HZ48" s="28" t="str">
        <f>IFERROR(VLOOKUP(HX48,Horarios!$H:$I,2,0),"")</f>
        <v/>
      </c>
      <c r="IA48" s="28" t="str">
        <f t="shared" si="42"/>
        <v>00:00</v>
      </c>
      <c r="IB48" s="29"/>
      <c r="IC48" s="27"/>
      <c r="ID48" s="27"/>
      <c r="IE48" s="28" t="str">
        <f>IFERROR(VLOOKUP(IC48,Horarios!$H:$I,2,0),"")</f>
        <v/>
      </c>
      <c r="IF48" s="28" t="str">
        <f>IFERROR(VLOOKUP(ID48,Horarios!$H:$I,2,0),"")</f>
        <v/>
      </c>
      <c r="IG48" s="28" t="str">
        <f t="shared" si="43"/>
        <v>00:00</v>
      </c>
      <c r="IH48" s="29"/>
      <c r="II48" s="27"/>
      <c r="IJ48" s="27"/>
      <c r="IK48" s="28" t="str">
        <f>IFERROR(VLOOKUP(II48,Horarios!$H:$I,2,0),"")</f>
        <v/>
      </c>
      <c r="IL48" s="28" t="str">
        <f>IFERROR(VLOOKUP(IJ48,Horarios!$H:$I,2,0),"")</f>
        <v/>
      </c>
      <c r="IM48" s="28" t="str">
        <f t="shared" si="44"/>
        <v>00:00</v>
      </c>
      <c r="IN48" s="29"/>
      <c r="IO48" s="27"/>
      <c r="IP48" s="27"/>
      <c r="IQ48" s="28" t="str">
        <f>IFERROR(VLOOKUP(IO48,Horarios!$H:$I,2,0),"")</f>
        <v/>
      </c>
      <c r="IR48" s="28" t="str">
        <f>IFERROR(VLOOKUP(IP48,Horarios!$H:$I,2,0),"")</f>
        <v/>
      </c>
      <c r="IS48" s="28" t="str">
        <f t="shared" si="45"/>
        <v>00:00</v>
      </c>
      <c r="IT48" s="29"/>
      <c r="IU48" s="27"/>
      <c r="IV48" s="27"/>
      <c r="IW48" s="28" t="str">
        <f>IFERROR(VLOOKUP(IU48,Horarios!$H:$I,2,0),"")</f>
        <v/>
      </c>
      <c r="IX48" s="28" t="str">
        <f>IFERROR(VLOOKUP(IV48,Horarios!$H:$I,2,0),"")</f>
        <v/>
      </c>
      <c r="IY48" s="28" t="str">
        <f t="shared" si="46"/>
        <v>00:00</v>
      </c>
      <c r="IZ48" s="29"/>
      <c r="JA48" s="31" t="str">
        <f t="shared" si="47"/>
        <v/>
      </c>
    </row>
    <row r="49" spans="1:261" s="24" customFormat="1" ht="17.399999999999999" x14ac:dyDescent="0.25">
      <c r="A49" s="25"/>
      <c r="B49" s="26" t="str">
        <f>IFERROR(VLOOKUP(A49,BaseNombres!A:B,2,0),"")</f>
        <v/>
      </c>
      <c r="C49" s="26" t="str">
        <f>IFERROR(VLOOKUP(A49,BaseNombres!A:C,3,0),"")</f>
        <v/>
      </c>
      <c r="D49" s="27"/>
      <c r="E49" s="27"/>
      <c r="F49" s="28" t="str">
        <f>IFERROR(VLOOKUP(D49,Horarios!$H:$I,2,0),"")</f>
        <v/>
      </c>
      <c r="G49" s="28" t="str">
        <f>IFERROR(VLOOKUP(E49,Horarios!$H:$I,2,0),"")</f>
        <v/>
      </c>
      <c r="H49" s="28" t="str">
        <f t="shared" si="0"/>
        <v>00:00</v>
      </c>
      <c r="I49" s="29"/>
      <c r="J49" s="27"/>
      <c r="K49" s="27"/>
      <c r="L49" s="28" t="str">
        <f>IFERROR(VLOOKUP(J49,Horarios!$H:$I,2,0),"")</f>
        <v/>
      </c>
      <c r="M49" s="28" t="str">
        <f>IFERROR(VLOOKUP(K49,Horarios!$H:$I,2,0),"")</f>
        <v/>
      </c>
      <c r="N49" s="28" t="str">
        <f t="shared" si="1"/>
        <v>00:00</v>
      </c>
      <c r="O49" s="29"/>
      <c r="P49" s="27"/>
      <c r="Q49" s="27"/>
      <c r="R49" s="28" t="str">
        <f>IFERROR(VLOOKUP(P49,Horarios!$H:$I,2,0),"")</f>
        <v/>
      </c>
      <c r="S49" s="28" t="str">
        <f>IFERROR(VLOOKUP(Q49,Horarios!$H:$I,2,0),"")</f>
        <v/>
      </c>
      <c r="T49" s="28" t="str">
        <f t="shared" si="2"/>
        <v>00:00</v>
      </c>
      <c r="U49" s="29"/>
      <c r="V49" s="27"/>
      <c r="W49" s="27"/>
      <c r="X49" s="28" t="str">
        <f>IFERROR(VLOOKUP(V49,Horarios!$H:$I,2,0),"")</f>
        <v/>
      </c>
      <c r="Y49" s="28" t="str">
        <f>IFERROR(VLOOKUP(W49,Horarios!$H:$I,2,0),"")</f>
        <v/>
      </c>
      <c r="Z49" s="28" t="str">
        <f t="shared" si="3"/>
        <v>00:00</v>
      </c>
      <c r="AA49" s="29"/>
      <c r="AB49" s="27"/>
      <c r="AC49" s="27"/>
      <c r="AD49" s="28" t="str">
        <f>IFERROR(VLOOKUP(AB49,Horarios!$H:$I,2,0),"")</f>
        <v/>
      </c>
      <c r="AE49" s="28" t="str">
        <f>IFERROR(VLOOKUP(AC49,Horarios!$H:$I,2,0),"")</f>
        <v/>
      </c>
      <c r="AF49" s="28" t="str">
        <f t="shared" si="4"/>
        <v>00:00</v>
      </c>
      <c r="AG49" s="29"/>
      <c r="AH49" s="27"/>
      <c r="AI49" s="27"/>
      <c r="AJ49" s="28" t="str">
        <f>IFERROR(VLOOKUP(AH49,Horarios!$H:$I,2,0),"")</f>
        <v/>
      </c>
      <c r="AK49" s="28" t="str">
        <f>IFERROR(VLOOKUP(AI49,Horarios!$H:$I,2,0),"")</f>
        <v/>
      </c>
      <c r="AL49" s="28" t="str">
        <f t="shared" si="5"/>
        <v>00:00</v>
      </c>
      <c r="AM49" s="29"/>
      <c r="AN49" s="27"/>
      <c r="AO49" s="27"/>
      <c r="AP49" s="28" t="str">
        <f>IFERROR(VLOOKUP(AN49,Horarios!$H:$I,2,0),"")</f>
        <v/>
      </c>
      <c r="AQ49" s="28" t="str">
        <f>IFERROR(VLOOKUP(AO49,Horarios!$H:$I,2,0),"")</f>
        <v/>
      </c>
      <c r="AR49" s="28" t="str">
        <f t="shared" si="6"/>
        <v>00:00</v>
      </c>
      <c r="AS49" s="29"/>
      <c r="AT49" s="31" t="str">
        <f t="shared" si="7"/>
        <v/>
      </c>
      <c r="AU49" s="27"/>
      <c r="AV49" s="27"/>
      <c r="AW49" s="28" t="str">
        <f>IFERROR(VLOOKUP(AU49,Horarios!$H:$I,2,0),"")</f>
        <v/>
      </c>
      <c r="AX49" s="28" t="str">
        <f>IFERROR(VLOOKUP(AV49,Horarios!$H:$I,2,0),"")</f>
        <v/>
      </c>
      <c r="AY49" s="28" t="str">
        <f t="shared" si="8"/>
        <v>00:00</v>
      </c>
      <c r="AZ49" s="29"/>
      <c r="BA49" s="27"/>
      <c r="BB49" s="27"/>
      <c r="BC49" s="28" t="str">
        <f>IFERROR(VLOOKUP(BA49,Horarios!$H:$I,2,0),"")</f>
        <v/>
      </c>
      <c r="BD49" s="28" t="str">
        <f>IFERROR(VLOOKUP(BB49,Horarios!$H:$I,2,0),"")</f>
        <v/>
      </c>
      <c r="BE49" s="28" t="str">
        <f t="shared" si="9"/>
        <v>00:00</v>
      </c>
      <c r="BF49" s="29"/>
      <c r="BG49" s="27"/>
      <c r="BH49" s="27"/>
      <c r="BI49" s="28" t="str">
        <f>IFERROR(VLOOKUP(BG49,Horarios!$H:$I,2,0),"")</f>
        <v/>
      </c>
      <c r="BJ49" s="28" t="str">
        <f>IFERROR(VLOOKUP(BH49,Horarios!$H:$I,2,0),"")</f>
        <v/>
      </c>
      <c r="BK49" s="28" t="str">
        <f t="shared" si="10"/>
        <v>00:00</v>
      </c>
      <c r="BL49" s="29"/>
      <c r="BM49" s="27"/>
      <c r="BN49" s="27"/>
      <c r="BO49" s="28" t="str">
        <f>IFERROR(VLOOKUP(BM49,Horarios!$H:$I,2,0),"")</f>
        <v/>
      </c>
      <c r="BP49" s="28" t="str">
        <f>IFERROR(VLOOKUP(BN49,Horarios!$H:$I,2,0),"")</f>
        <v/>
      </c>
      <c r="BQ49" s="28" t="str">
        <f t="shared" si="11"/>
        <v>00:00</v>
      </c>
      <c r="BR49" s="29"/>
      <c r="BS49" s="27"/>
      <c r="BT49" s="27"/>
      <c r="BU49" s="28" t="str">
        <f>IFERROR(VLOOKUP(BS49,Horarios!$H:$I,2,0),"")</f>
        <v/>
      </c>
      <c r="BV49" s="28" t="str">
        <f>IFERROR(VLOOKUP(BT49,Horarios!$H:$I,2,0),"")</f>
        <v/>
      </c>
      <c r="BW49" s="28" t="str">
        <f t="shared" si="12"/>
        <v>00:00</v>
      </c>
      <c r="BX49" s="29"/>
      <c r="BY49" s="27"/>
      <c r="BZ49" s="27"/>
      <c r="CA49" s="28" t="str">
        <f>IFERROR(VLOOKUP(BY49,Horarios!$H:$I,2,0),"")</f>
        <v/>
      </c>
      <c r="CB49" s="28" t="str">
        <f>IFERROR(VLOOKUP(BZ49,Horarios!$H:$I,2,0),"")</f>
        <v/>
      </c>
      <c r="CC49" s="28" t="str">
        <f t="shared" si="13"/>
        <v>00:00</v>
      </c>
      <c r="CD49" s="29"/>
      <c r="CE49" s="27"/>
      <c r="CF49" s="27"/>
      <c r="CG49" s="28" t="str">
        <f>IFERROR(VLOOKUP(CE49,Horarios!$H:$I,2,0),"")</f>
        <v/>
      </c>
      <c r="CH49" s="28" t="str">
        <f>IFERROR(VLOOKUP(CF49,Horarios!$H:$I,2,0),"")</f>
        <v/>
      </c>
      <c r="CI49" s="28" t="str">
        <f t="shared" si="14"/>
        <v>00:00</v>
      </c>
      <c r="CJ49" s="29"/>
      <c r="CK49" s="31" t="str">
        <f t="shared" si="15"/>
        <v/>
      </c>
      <c r="CL49" s="27"/>
      <c r="CM49" s="27"/>
      <c r="CN49" s="28" t="str">
        <f>IFERROR(VLOOKUP(CL49,Horarios!$H:$I,2,0),"")</f>
        <v/>
      </c>
      <c r="CO49" s="28" t="str">
        <f>IFERROR(VLOOKUP(CM49,Horarios!$H:$I,2,0),"")</f>
        <v/>
      </c>
      <c r="CP49" s="28" t="str">
        <f t="shared" si="16"/>
        <v>00:00</v>
      </c>
      <c r="CQ49" s="29"/>
      <c r="CR49" s="27"/>
      <c r="CS49" s="27"/>
      <c r="CT49" s="28" t="str">
        <f>IFERROR(VLOOKUP(CR49,Horarios!$H:$I,2,0),"")</f>
        <v/>
      </c>
      <c r="CU49" s="28" t="str">
        <f>IFERROR(VLOOKUP(CS49,Horarios!$H:$I,2,0),"")</f>
        <v/>
      </c>
      <c r="CV49" s="28" t="str">
        <f t="shared" si="17"/>
        <v>00:00</v>
      </c>
      <c r="CW49" s="29"/>
      <c r="CX49" s="27"/>
      <c r="CY49" s="27"/>
      <c r="CZ49" s="28" t="str">
        <f>IFERROR(VLOOKUP(CX49,Horarios!$H:$I,2,0),"")</f>
        <v/>
      </c>
      <c r="DA49" s="28" t="str">
        <f>IFERROR(VLOOKUP(CY49,Horarios!$H:$I,2,0),"")</f>
        <v/>
      </c>
      <c r="DB49" s="28" t="str">
        <f t="shared" si="18"/>
        <v>00:00</v>
      </c>
      <c r="DC49" s="29"/>
      <c r="DD49" s="27"/>
      <c r="DE49" s="27"/>
      <c r="DF49" s="28" t="str">
        <f>IFERROR(VLOOKUP(DD49,Horarios!$H:$I,2,0),"")</f>
        <v/>
      </c>
      <c r="DG49" s="28" t="str">
        <f>IFERROR(VLOOKUP(DE49,Horarios!$H:$I,2,0),"")</f>
        <v/>
      </c>
      <c r="DH49" s="28" t="str">
        <f t="shared" si="19"/>
        <v>00:00</v>
      </c>
      <c r="DI49" s="29"/>
      <c r="DJ49" s="27"/>
      <c r="DK49" s="27"/>
      <c r="DL49" s="28" t="str">
        <f>IFERROR(VLOOKUP(DJ49,Horarios!$H:$I,2,0),"")</f>
        <v/>
      </c>
      <c r="DM49" s="28" t="str">
        <f>IFERROR(VLOOKUP(DK49,Horarios!$H:$I,2,0),"")</f>
        <v/>
      </c>
      <c r="DN49" s="28" t="str">
        <f t="shared" si="20"/>
        <v>00:00</v>
      </c>
      <c r="DO49" s="29"/>
      <c r="DP49" s="27"/>
      <c r="DQ49" s="27"/>
      <c r="DR49" s="28" t="str">
        <f>IFERROR(VLOOKUP(DP49,Horarios!$H:$I,2,0),"")</f>
        <v/>
      </c>
      <c r="DS49" s="28" t="str">
        <f>IFERROR(VLOOKUP(DQ49,Horarios!$H:$I,2,0),"")</f>
        <v/>
      </c>
      <c r="DT49" s="28" t="str">
        <f t="shared" si="21"/>
        <v>00:00</v>
      </c>
      <c r="DU49" s="29"/>
      <c r="DV49" s="27"/>
      <c r="DW49" s="27"/>
      <c r="DX49" s="28" t="str">
        <f>IFERROR(VLOOKUP(DV49,Horarios!$H:$I,2,0),"")</f>
        <v/>
      </c>
      <c r="DY49" s="28" t="str">
        <f>IFERROR(VLOOKUP(DW49,Horarios!$H:$I,2,0),"")</f>
        <v/>
      </c>
      <c r="DZ49" s="28" t="str">
        <f t="shared" si="22"/>
        <v>00:00</v>
      </c>
      <c r="EA49" s="29"/>
      <c r="EB49" s="31" t="str">
        <f t="shared" si="23"/>
        <v/>
      </c>
      <c r="EC49" s="27"/>
      <c r="ED49" s="27"/>
      <c r="EE49" s="28" t="str">
        <f>IFERROR(VLOOKUP(EC49,Horarios!$H:$I,2,0),"")</f>
        <v/>
      </c>
      <c r="EF49" s="28" t="str">
        <f>IFERROR(VLOOKUP(ED49,Horarios!$H:$I,2,0),"")</f>
        <v/>
      </c>
      <c r="EG49" s="28" t="str">
        <f t="shared" si="24"/>
        <v>00:00</v>
      </c>
      <c r="EH49" s="29"/>
      <c r="EI49" s="27"/>
      <c r="EJ49" s="27"/>
      <c r="EK49" s="28" t="str">
        <f>IFERROR(VLOOKUP(EI49,Horarios!$H:$I,2,0),"")</f>
        <v/>
      </c>
      <c r="EL49" s="28" t="str">
        <f>IFERROR(VLOOKUP(EJ49,Horarios!$H:$I,2,0),"")</f>
        <v/>
      </c>
      <c r="EM49" s="28" t="str">
        <f t="shared" si="25"/>
        <v>00:00</v>
      </c>
      <c r="EN49" s="29"/>
      <c r="EO49" s="27"/>
      <c r="EP49" s="27"/>
      <c r="EQ49" s="28" t="str">
        <f>IFERROR(VLOOKUP(EO49,Horarios!$H:$I,2,0),"")</f>
        <v/>
      </c>
      <c r="ER49" s="28" t="str">
        <f>IFERROR(VLOOKUP(EP49,Horarios!$H:$I,2,0),"")</f>
        <v/>
      </c>
      <c r="ES49" s="28" t="str">
        <f t="shared" si="26"/>
        <v>00:00</v>
      </c>
      <c r="ET49" s="29"/>
      <c r="EU49" s="27"/>
      <c r="EV49" s="27"/>
      <c r="EW49" s="28" t="str">
        <f>IFERROR(VLOOKUP(EU49,Horarios!$H:$I,2,0),"")</f>
        <v/>
      </c>
      <c r="EX49" s="28" t="str">
        <f>IFERROR(VLOOKUP(EV49,Horarios!$H:$I,2,0),"")</f>
        <v/>
      </c>
      <c r="EY49" s="28" t="str">
        <f t="shared" si="27"/>
        <v>00:00</v>
      </c>
      <c r="EZ49" s="29"/>
      <c r="FA49" s="27"/>
      <c r="FB49" s="27"/>
      <c r="FC49" s="28" t="str">
        <f>IFERROR(VLOOKUP(FA49,Horarios!$H:$I,2,0),"")</f>
        <v/>
      </c>
      <c r="FD49" s="28" t="str">
        <f>IFERROR(VLOOKUP(FB49,Horarios!$H:$I,2,0),"")</f>
        <v/>
      </c>
      <c r="FE49" s="28" t="str">
        <f t="shared" si="28"/>
        <v>00:00</v>
      </c>
      <c r="FF49" s="29"/>
      <c r="FG49" s="27"/>
      <c r="FH49" s="27"/>
      <c r="FI49" s="28" t="str">
        <f>IFERROR(VLOOKUP(FG49,Horarios!$H:$I,2,0),"")</f>
        <v/>
      </c>
      <c r="FJ49" s="28" t="str">
        <f>IFERROR(VLOOKUP(FH49,Horarios!$H:$I,2,0),"")</f>
        <v/>
      </c>
      <c r="FK49" s="28" t="str">
        <f t="shared" si="29"/>
        <v>00:00</v>
      </c>
      <c r="FL49" s="29"/>
      <c r="FM49" s="27"/>
      <c r="FN49" s="27"/>
      <c r="FO49" s="28" t="str">
        <f>IFERROR(VLOOKUP(FM49,Horarios!$H:$I,2,0),"")</f>
        <v/>
      </c>
      <c r="FP49" s="28" t="str">
        <f>IFERROR(VLOOKUP(FN49,Horarios!$H:$I,2,0),"")</f>
        <v/>
      </c>
      <c r="FQ49" s="28" t="str">
        <f t="shared" si="30"/>
        <v>00:00</v>
      </c>
      <c r="FR49" s="29"/>
      <c r="FS49" s="31" t="str">
        <f t="shared" si="31"/>
        <v/>
      </c>
      <c r="FT49" s="27"/>
      <c r="FU49" s="27"/>
      <c r="FV49" s="28" t="str">
        <f>IFERROR(VLOOKUP(FT49,Horarios!$H:$I,2,0),"")</f>
        <v/>
      </c>
      <c r="FW49" s="28" t="str">
        <f>IFERROR(VLOOKUP(FU49,Horarios!$H:$I,2,0),"")</f>
        <v/>
      </c>
      <c r="FX49" s="28" t="str">
        <f t="shared" si="32"/>
        <v>00:00</v>
      </c>
      <c r="FY49" s="29"/>
      <c r="FZ49" s="27"/>
      <c r="GA49" s="27"/>
      <c r="GB49" s="28" t="str">
        <f>IFERROR(VLOOKUP(FZ49,Horarios!$H:$I,2,0),"")</f>
        <v/>
      </c>
      <c r="GC49" s="28" t="str">
        <f>IFERROR(VLOOKUP(GA49,Horarios!$H:$I,2,0),"")</f>
        <v/>
      </c>
      <c r="GD49" s="28" t="str">
        <f t="shared" si="33"/>
        <v>00:00</v>
      </c>
      <c r="GE49" s="29"/>
      <c r="GF49" s="27"/>
      <c r="GG49" s="27"/>
      <c r="GH49" s="28" t="str">
        <f>IFERROR(VLOOKUP(GF49,Horarios!$H:$I,2,0),"")</f>
        <v/>
      </c>
      <c r="GI49" s="28" t="str">
        <f>IFERROR(VLOOKUP(GG49,Horarios!$H:$I,2,0),"")</f>
        <v/>
      </c>
      <c r="GJ49" s="28" t="str">
        <f t="shared" si="34"/>
        <v>00:00</v>
      </c>
      <c r="GK49" s="29"/>
      <c r="GL49" s="27"/>
      <c r="GM49" s="27"/>
      <c r="GN49" s="28" t="str">
        <f>IFERROR(VLOOKUP(GL49,Horarios!$H:$I,2,0),"")</f>
        <v/>
      </c>
      <c r="GO49" s="28" t="str">
        <f>IFERROR(VLOOKUP(GM49,Horarios!$H:$I,2,0),"")</f>
        <v/>
      </c>
      <c r="GP49" s="28" t="str">
        <f t="shared" si="35"/>
        <v>00:00</v>
      </c>
      <c r="GQ49" s="29"/>
      <c r="GR49" s="27"/>
      <c r="GS49" s="27"/>
      <c r="GT49" s="28" t="str">
        <f>IFERROR(VLOOKUP(GR49,Horarios!$H:$I,2,0),"")</f>
        <v/>
      </c>
      <c r="GU49" s="28" t="str">
        <f>IFERROR(VLOOKUP(GS49,Horarios!$H:$I,2,0),"")</f>
        <v/>
      </c>
      <c r="GV49" s="28" t="str">
        <f t="shared" si="36"/>
        <v>00:00</v>
      </c>
      <c r="GW49" s="29"/>
      <c r="GX49" s="27"/>
      <c r="GY49" s="27"/>
      <c r="GZ49" s="28" t="str">
        <f>IFERROR(VLOOKUP(GX49,Horarios!$H:$I,2,0),"")</f>
        <v/>
      </c>
      <c r="HA49" s="28" t="str">
        <f>IFERROR(VLOOKUP(GY49,Horarios!$H:$I,2,0),"")</f>
        <v/>
      </c>
      <c r="HB49" s="28" t="str">
        <f t="shared" si="37"/>
        <v>00:00</v>
      </c>
      <c r="HC49" s="29"/>
      <c r="HD49" s="27"/>
      <c r="HE49" s="27"/>
      <c r="HF49" s="28" t="str">
        <f>IFERROR(VLOOKUP(HD49,Horarios!$H:$I,2,0),"")</f>
        <v/>
      </c>
      <c r="HG49" s="28" t="str">
        <f>IFERROR(VLOOKUP(HE49,Horarios!$H:$I,2,0),"")</f>
        <v/>
      </c>
      <c r="HH49" s="28" t="str">
        <f t="shared" si="38"/>
        <v>00:00</v>
      </c>
      <c r="HI49" s="29"/>
      <c r="HJ49" s="31" t="str">
        <f t="shared" si="39"/>
        <v/>
      </c>
      <c r="HK49" s="27"/>
      <c r="HL49" s="27"/>
      <c r="HM49" s="28" t="str">
        <f>IFERROR(VLOOKUP(HK49,Horarios!$H:$I,2,0),"")</f>
        <v/>
      </c>
      <c r="HN49" s="28" t="str">
        <f>IFERROR(VLOOKUP(HL49,Horarios!$H:$I,2,0),"")</f>
        <v/>
      </c>
      <c r="HO49" s="28" t="str">
        <f t="shared" si="40"/>
        <v>00:00</v>
      </c>
      <c r="HP49" s="29"/>
      <c r="HQ49" s="27"/>
      <c r="HR49" s="27"/>
      <c r="HS49" s="28" t="str">
        <f>IFERROR(VLOOKUP(HQ49,Horarios!$H:$I,2,0),"")</f>
        <v/>
      </c>
      <c r="HT49" s="28" t="str">
        <f>IFERROR(VLOOKUP(HR49,Horarios!$H:$I,2,0),"")</f>
        <v/>
      </c>
      <c r="HU49" s="28" t="str">
        <f t="shared" si="41"/>
        <v>00:00</v>
      </c>
      <c r="HV49" s="29"/>
      <c r="HW49" s="27"/>
      <c r="HX49" s="27"/>
      <c r="HY49" s="28" t="str">
        <f>IFERROR(VLOOKUP(HW49,Horarios!$H:$I,2,0),"")</f>
        <v/>
      </c>
      <c r="HZ49" s="28" t="str">
        <f>IFERROR(VLOOKUP(HX49,Horarios!$H:$I,2,0),"")</f>
        <v/>
      </c>
      <c r="IA49" s="28" t="str">
        <f t="shared" si="42"/>
        <v>00:00</v>
      </c>
      <c r="IB49" s="29"/>
      <c r="IC49" s="27"/>
      <c r="ID49" s="27"/>
      <c r="IE49" s="28" t="str">
        <f>IFERROR(VLOOKUP(IC49,Horarios!$H:$I,2,0),"")</f>
        <v/>
      </c>
      <c r="IF49" s="28" t="str">
        <f>IFERROR(VLOOKUP(ID49,Horarios!$H:$I,2,0),"")</f>
        <v/>
      </c>
      <c r="IG49" s="28" t="str">
        <f t="shared" si="43"/>
        <v>00:00</v>
      </c>
      <c r="IH49" s="29"/>
      <c r="II49" s="27"/>
      <c r="IJ49" s="27"/>
      <c r="IK49" s="28" t="str">
        <f>IFERROR(VLOOKUP(II49,Horarios!$H:$I,2,0),"")</f>
        <v/>
      </c>
      <c r="IL49" s="28" t="str">
        <f>IFERROR(VLOOKUP(IJ49,Horarios!$H:$I,2,0),"")</f>
        <v/>
      </c>
      <c r="IM49" s="28" t="str">
        <f t="shared" si="44"/>
        <v>00:00</v>
      </c>
      <c r="IN49" s="29"/>
      <c r="IO49" s="27"/>
      <c r="IP49" s="27"/>
      <c r="IQ49" s="28" t="str">
        <f>IFERROR(VLOOKUP(IO49,Horarios!$H:$I,2,0),"")</f>
        <v/>
      </c>
      <c r="IR49" s="28" t="str">
        <f>IFERROR(VLOOKUP(IP49,Horarios!$H:$I,2,0),"")</f>
        <v/>
      </c>
      <c r="IS49" s="28" t="str">
        <f t="shared" si="45"/>
        <v>00:00</v>
      </c>
      <c r="IT49" s="29"/>
      <c r="IU49" s="27"/>
      <c r="IV49" s="27"/>
      <c r="IW49" s="28" t="str">
        <f>IFERROR(VLOOKUP(IU49,Horarios!$H:$I,2,0),"")</f>
        <v/>
      </c>
      <c r="IX49" s="28" t="str">
        <f>IFERROR(VLOOKUP(IV49,Horarios!$H:$I,2,0),"")</f>
        <v/>
      </c>
      <c r="IY49" s="28" t="str">
        <f t="shared" si="46"/>
        <v>00:00</v>
      </c>
      <c r="IZ49" s="29"/>
      <c r="JA49" s="31" t="str">
        <f t="shared" si="47"/>
        <v/>
      </c>
    </row>
    <row r="50" spans="1:261" s="24" customFormat="1" ht="17.399999999999999" x14ac:dyDescent="0.25">
      <c r="A50" s="25"/>
      <c r="B50" s="26" t="str">
        <f>IFERROR(VLOOKUP(A50,BaseNombres!A:B,2,0),"")</f>
        <v/>
      </c>
      <c r="C50" s="26" t="str">
        <f>IFERROR(VLOOKUP(A50,BaseNombres!A:C,3,0),"")</f>
        <v/>
      </c>
      <c r="D50" s="27"/>
      <c r="E50" s="27"/>
      <c r="F50" s="28" t="str">
        <f>IFERROR(VLOOKUP(D50,Horarios!$H:$I,2,0),"")</f>
        <v/>
      </c>
      <c r="G50" s="28" t="str">
        <f>IFERROR(VLOOKUP(E50,Horarios!$H:$I,2,0),"")</f>
        <v/>
      </c>
      <c r="H50" s="28" t="str">
        <f t="shared" si="0"/>
        <v>00:00</v>
      </c>
      <c r="I50" s="29"/>
      <c r="J50" s="27"/>
      <c r="K50" s="27"/>
      <c r="L50" s="28" t="str">
        <f>IFERROR(VLOOKUP(J50,Horarios!$H:$I,2,0),"")</f>
        <v/>
      </c>
      <c r="M50" s="28" t="str">
        <f>IFERROR(VLOOKUP(K50,Horarios!$H:$I,2,0),"")</f>
        <v/>
      </c>
      <c r="N50" s="28" t="str">
        <f t="shared" si="1"/>
        <v>00:00</v>
      </c>
      <c r="O50" s="29"/>
      <c r="P50" s="27"/>
      <c r="Q50" s="27"/>
      <c r="R50" s="28" t="str">
        <f>IFERROR(VLOOKUP(P50,Horarios!$H:$I,2,0),"")</f>
        <v/>
      </c>
      <c r="S50" s="28" t="str">
        <f>IFERROR(VLOOKUP(Q50,Horarios!$H:$I,2,0),"")</f>
        <v/>
      </c>
      <c r="T50" s="28" t="str">
        <f t="shared" si="2"/>
        <v>00:00</v>
      </c>
      <c r="U50" s="29"/>
      <c r="V50" s="27"/>
      <c r="W50" s="27"/>
      <c r="X50" s="28" t="str">
        <f>IFERROR(VLOOKUP(V50,Horarios!$H:$I,2,0),"")</f>
        <v/>
      </c>
      <c r="Y50" s="28" t="str">
        <f>IFERROR(VLOOKUP(W50,Horarios!$H:$I,2,0),"")</f>
        <v/>
      </c>
      <c r="Z50" s="28" t="str">
        <f t="shared" si="3"/>
        <v>00:00</v>
      </c>
      <c r="AA50" s="29"/>
      <c r="AB50" s="27"/>
      <c r="AC50" s="27"/>
      <c r="AD50" s="28" t="str">
        <f>IFERROR(VLOOKUP(AB50,Horarios!$H:$I,2,0),"")</f>
        <v/>
      </c>
      <c r="AE50" s="28" t="str">
        <f>IFERROR(VLOOKUP(AC50,Horarios!$H:$I,2,0),"")</f>
        <v/>
      </c>
      <c r="AF50" s="28" t="str">
        <f t="shared" si="4"/>
        <v>00:00</v>
      </c>
      <c r="AG50" s="29"/>
      <c r="AH50" s="27"/>
      <c r="AI50" s="27"/>
      <c r="AJ50" s="28" t="str">
        <f>IFERROR(VLOOKUP(AH50,Horarios!$H:$I,2,0),"")</f>
        <v/>
      </c>
      <c r="AK50" s="28" t="str">
        <f>IFERROR(VLOOKUP(AI50,Horarios!$H:$I,2,0),"")</f>
        <v/>
      </c>
      <c r="AL50" s="28" t="str">
        <f t="shared" si="5"/>
        <v>00:00</v>
      </c>
      <c r="AM50" s="29"/>
      <c r="AN50" s="27"/>
      <c r="AO50" s="27"/>
      <c r="AP50" s="28" t="str">
        <f>IFERROR(VLOOKUP(AN50,Horarios!$H:$I,2,0),"")</f>
        <v/>
      </c>
      <c r="AQ50" s="28" t="str">
        <f>IFERROR(VLOOKUP(AO50,Horarios!$H:$I,2,0),"")</f>
        <v/>
      </c>
      <c r="AR50" s="28" t="str">
        <f t="shared" si="6"/>
        <v>00:00</v>
      </c>
      <c r="AS50" s="29"/>
      <c r="AT50" s="31" t="str">
        <f t="shared" si="7"/>
        <v/>
      </c>
      <c r="AU50" s="27"/>
      <c r="AV50" s="27"/>
      <c r="AW50" s="28" t="str">
        <f>IFERROR(VLOOKUP(AU50,Horarios!$H:$I,2,0),"")</f>
        <v/>
      </c>
      <c r="AX50" s="28" t="str">
        <f>IFERROR(VLOOKUP(AV50,Horarios!$H:$I,2,0),"")</f>
        <v/>
      </c>
      <c r="AY50" s="28" t="str">
        <f t="shared" si="8"/>
        <v>00:00</v>
      </c>
      <c r="AZ50" s="29"/>
      <c r="BA50" s="27"/>
      <c r="BB50" s="27"/>
      <c r="BC50" s="28" t="str">
        <f>IFERROR(VLOOKUP(BA50,Horarios!$H:$I,2,0),"")</f>
        <v/>
      </c>
      <c r="BD50" s="28" t="str">
        <f>IFERROR(VLOOKUP(BB50,Horarios!$H:$I,2,0),"")</f>
        <v/>
      </c>
      <c r="BE50" s="28" t="str">
        <f t="shared" si="9"/>
        <v>00:00</v>
      </c>
      <c r="BF50" s="29"/>
      <c r="BG50" s="27"/>
      <c r="BH50" s="27"/>
      <c r="BI50" s="28" t="str">
        <f>IFERROR(VLOOKUP(BG50,Horarios!$H:$I,2,0),"")</f>
        <v/>
      </c>
      <c r="BJ50" s="28" t="str">
        <f>IFERROR(VLOOKUP(BH50,Horarios!$H:$I,2,0),"")</f>
        <v/>
      </c>
      <c r="BK50" s="28" t="str">
        <f t="shared" si="10"/>
        <v>00:00</v>
      </c>
      <c r="BL50" s="29"/>
      <c r="BM50" s="27"/>
      <c r="BN50" s="27"/>
      <c r="BO50" s="28" t="str">
        <f>IFERROR(VLOOKUP(BM50,Horarios!$H:$I,2,0),"")</f>
        <v/>
      </c>
      <c r="BP50" s="28" t="str">
        <f>IFERROR(VLOOKUP(BN50,Horarios!$H:$I,2,0),"")</f>
        <v/>
      </c>
      <c r="BQ50" s="28" t="str">
        <f t="shared" si="11"/>
        <v>00:00</v>
      </c>
      <c r="BR50" s="29"/>
      <c r="BS50" s="27"/>
      <c r="BT50" s="27"/>
      <c r="BU50" s="28" t="str">
        <f>IFERROR(VLOOKUP(BS50,Horarios!$H:$I,2,0),"")</f>
        <v/>
      </c>
      <c r="BV50" s="28" t="str">
        <f>IFERROR(VLOOKUP(BT50,Horarios!$H:$I,2,0),"")</f>
        <v/>
      </c>
      <c r="BW50" s="28" t="str">
        <f t="shared" si="12"/>
        <v>00:00</v>
      </c>
      <c r="BX50" s="29"/>
      <c r="BY50" s="27"/>
      <c r="BZ50" s="27"/>
      <c r="CA50" s="28" t="str">
        <f>IFERROR(VLOOKUP(BY50,Horarios!$H:$I,2,0),"")</f>
        <v/>
      </c>
      <c r="CB50" s="28" t="str">
        <f>IFERROR(VLOOKUP(BZ50,Horarios!$H:$I,2,0),"")</f>
        <v/>
      </c>
      <c r="CC50" s="28" t="str">
        <f t="shared" si="13"/>
        <v>00:00</v>
      </c>
      <c r="CD50" s="29"/>
      <c r="CE50" s="27"/>
      <c r="CF50" s="27"/>
      <c r="CG50" s="28" t="str">
        <f>IFERROR(VLOOKUP(CE50,Horarios!$H:$I,2,0),"")</f>
        <v/>
      </c>
      <c r="CH50" s="28" t="str">
        <f>IFERROR(VLOOKUP(CF50,Horarios!$H:$I,2,0),"")</f>
        <v/>
      </c>
      <c r="CI50" s="28" t="str">
        <f t="shared" si="14"/>
        <v>00:00</v>
      </c>
      <c r="CJ50" s="29"/>
      <c r="CK50" s="31" t="str">
        <f t="shared" si="15"/>
        <v/>
      </c>
      <c r="CL50" s="27"/>
      <c r="CM50" s="27"/>
      <c r="CN50" s="28" t="str">
        <f>IFERROR(VLOOKUP(CL50,Horarios!$H:$I,2,0),"")</f>
        <v/>
      </c>
      <c r="CO50" s="28" t="str">
        <f>IFERROR(VLOOKUP(CM50,Horarios!$H:$I,2,0),"")</f>
        <v/>
      </c>
      <c r="CP50" s="28" t="str">
        <f t="shared" si="16"/>
        <v>00:00</v>
      </c>
      <c r="CQ50" s="29"/>
      <c r="CR50" s="27"/>
      <c r="CS50" s="27"/>
      <c r="CT50" s="28" t="str">
        <f>IFERROR(VLOOKUP(CR50,Horarios!$H:$I,2,0),"")</f>
        <v/>
      </c>
      <c r="CU50" s="28" t="str">
        <f>IFERROR(VLOOKUP(CS50,Horarios!$H:$I,2,0),"")</f>
        <v/>
      </c>
      <c r="CV50" s="28" t="str">
        <f t="shared" si="17"/>
        <v>00:00</v>
      </c>
      <c r="CW50" s="29"/>
      <c r="CX50" s="27"/>
      <c r="CY50" s="27"/>
      <c r="CZ50" s="28" t="str">
        <f>IFERROR(VLOOKUP(CX50,Horarios!$H:$I,2,0),"")</f>
        <v/>
      </c>
      <c r="DA50" s="28" t="str">
        <f>IFERROR(VLOOKUP(CY50,Horarios!$H:$I,2,0),"")</f>
        <v/>
      </c>
      <c r="DB50" s="28" t="str">
        <f t="shared" si="18"/>
        <v>00:00</v>
      </c>
      <c r="DC50" s="29"/>
      <c r="DD50" s="27"/>
      <c r="DE50" s="27"/>
      <c r="DF50" s="28" t="str">
        <f>IFERROR(VLOOKUP(DD50,Horarios!$H:$I,2,0),"")</f>
        <v/>
      </c>
      <c r="DG50" s="28" t="str">
        <f>IFERROR(VLOOKUP(DE50,Horarios!$H:$I,2,0),"")</f>
        <v/>
      </c>
      <c r="DH50" s="28" t="str">
        <f t="shared" si="19"/>
        <v>00:00</v>
      </c>
      <c r="DI50" s="29"/>
      <c r="DJ50" s="27"/>
      <c r="DK50" s="27"/>
      <c r="DL50" s="28" t="str">
        <f>IFERROR(VLOOKUP(DJ50,Horarios!$H:$I,2,0),"")</f>
        <v/>
      </c>
      <c r="DM50" s="28" t="str">
        <f>IFERROR(VLOOKUP(DK50,Horarios!$H:$I,2,0),"")</f>
        <v/>
      </c>
      <c r="DN50" s="28" t="str">
        <f t="shared" si="20"/>
        <v>00:00</v>
      </c>
      <c r="DO50" s="29"/>
      <c r="DP50" s="27"/>
      <c r="DQ50" s="27"/>
      <c r="DR50" s="28" t="str">
        <f>IFERROR(VLOOKUP(DP50,Horarios!$H:$I,2,0),"")</f>
        <v/>
      </c>
      <c r="DS50" s="28" t="str">
        <f>IFERROR(VLOOKUP(DQ50,Horarios!$H:$I,2,0),"")</f>
        <v/>
      </c>
      <c r="DT50" s="28" t="str">
        <f t="shared" si="21"/>
        <v>00:00</v>
      </c>
      <c r="DU50" s="29"/>
      <c r="DV50" s="27"/>
      <c r="DW50" s="27"/>
      <c r="DX50" s="28" t="str">
        <f>IFERROR(VLOOKUP(DV50,Horarios!$H:$I,2,0),"")</f>
        <v/>
      </c>
      <c r="DY50" s="28" t="str">
        <f>IFERROR(VLOOKUP(DW50,Horarios!$H:$I,2,0),"")</f>
        <v/>
      </c>
      <c r="DZ50" s="28" t="str">
        <f t="shared" si="22"/>
        <v>00:00</v>
      </c>
      <c r="EA50" s="29"/>
      <c r="EB50" s="31" t="str">
        <f t="shared" si="23"/>
        <v/>
      </c>
      <c r="EC50" s="27"/>
      <c r="ED50" s="27"/>
      <c r="EE50" s="28" t="str">
        <f>IFERROR(VLOOKUP(EC50,Horarios!$H:$I,2,0),"")</f>
        <v/>
      </c>
      <c r="EF50" s="28" t="str">
        <f>IFERROR(VLOOKUP(ED50,Horarios!$H:$I,2,0),"")</f>
        <v/>
      </c>
      <c r="EG50" s="28" t="str">
        <f t="shared" si="24"/>
        <v>00:00</v>
      </c>
      <c r="EH50" s="29"/>
      <c r="EI50" s="27"/>
      <c r="EJ50" s="27"/>
      <c r="EK50" s="28" t="str">
        <f>IFERROR(VLOOKUP(EI50,Horarios!$H:$I,2,0),"")</f>
        <v/>
      </c>
      <c r="EL50" s="28" t="str">
        <f>IFERROR(VLOOKUP(EJ50,Horarios!$H:$I,2,0),"")</f>
        <v/>
      </c>
      <c r="EM50" s="28" t="str">
        <f t="shared" si="25"/>
        <v>00:00</v>
      </c>
      <c r="EN50" s="29"/>
      <c r="EO50" s="27"/>
      <c r="EP50" s="27"/>
      <c r="EQ50" s="28" t="str">
        <f>IFERROR(VLOOKUP(EO50,Horarios!$H:$I,2,0),"")</f>
        <v/>
      </c>
      <c r="ER50" s="28" t="str">
        <f>IFERROR(VLOOKUP(EP50,Horarios!$H:$I,2,0),"")</f>
        <v/>
      </c>
      <c r="ES50" s="28" t="str">
        <f t="shared" si="26"/>
        <v>00:00</v>
      </c>
      <c r="ET50" s="29"/>
      <c r="EU50" s="27"/>
      <c r="EV50" s="27"/>
      <c r="EW50" s="28" t="str">
        <f>IFERROR(VLOOKUP(EU50,Horarios!$H:$I,2,0),"")</f>
        <v/>
      </c>
      <c r="EX50" s="28" t="str">
        <f>IFERROR(VLOOKUP(EV50,Horarios!$H:$I,2,0),"")</f>
        <v/>
      </c>
      <c r="EY50" s="28" t="str">
        <f t="shared" si="27"/>
        <v>00:00</v>
      </c>
      <c r="EZ50" s="29"/>
      <c r="FA50" s="27"/>
      <c r="FB50" s="27"/>
      <c r="FC50" s="28" t="str">
        <f>IFERROR(VLOOKUP(FA50,Horarios!$H:$I,2,0),"")</f>
        <v/>
      </c>
      <c r="FD50" s="28" t="str">
        <f>IFERROR(VLOOKUP(FB50,Horarios!$H:$I,2,0),"")</f>
        <v/>
      </c>
      <c r="FE50" s="28" t="str">
        <f t="shared" si="28"/>
        <v>00:00</v>
      </c>
      <c r="FF50" s="29"/>
      <c r="FG50" s="27"/>
      <c r="FH50" s="27"/>
      <c r="FI50" s="28" t="str">
        <f>IFERROR(VLOOKUP(FG50,Horarios!$H:$I,2,0),"")</f>
        <v/>
      </c>
      <c r="FJ50" s="28" t="str">
        <f>IFERROR(VLOOKUP(FH50,Horarios!$H:$I,2,0),"")</f>
        <v/>
      </c>
      <c r="FK50" s="28" t="str">
        <f t="shared" si="29"/>
        <v>00:00</v>
      </c>
      <c r="FL50" s="29"/>
      <c r="FM50" s="27"/>
      <c r="FN50" s="27"/>
      <c r="FO50" s="28" t="str">
        <f>IFERROR(VLOOKUP(FM50,Horarios!$H:$I,2,0),"")</f>
        <v/>
      </c>
      <c r="FP50" s="28" t="str">
        <f>IFERROR(VLOOKUP(FN50,Horarios!$H:$I,2,0),"")</f>
        <v/>
      </c>
      <c r="FQ50" s="28" t="str">
        <f t="shared" si="30"/>
        <v>00:00</v>
      </c>
      <c r="FR50" s="29"/>
      <c r="FS50" s="31" t="str">
        <f t="shared" si="31"/>
        <v/>
      </c>
      <c r="FT50" s="27"/>
      <c r="FU50" s="27"/>
      <c r="FV50" s="28" t="str">
        <f>IFERROR(VLOOKUP(FT50,Horarios!$H:$I,2,0),"")</f>
        <v/>
      </c>
      <c r="FW50" s="28" t="str">
        <f>IFERROR(VLOOKUP(FU50,Horarios!$H:$I,2,0),"")</f>
        <v/>
      </c>
      <c r="FX50" s="28" t="str">
        <f t="shared" si="32"/>
        <v>00:00</v>
      </c>
      <c r="FY50" s="29"/>
      <c r="FZ50" s="27"/>
      <c r="GA50" s="27"/>
      <c r="GB50" s="28" t="str">
        <f>IFERROR(VLOOKUP(FZ50,Horarios!$H:$I,2,0),"")</f>
        <v/>
      </c>
      <c r="GC50" s="28" t="str">
        <f>IFERROR(VLOOKUP(GA50,Horarios!$H:$I,2,0),"")</f>
        <v/>
      </c>
      <c r="GD50" s="28" t="str">
        <f t="shared" si="33"/>
        <v>00:00</v>
      </c>
      <c r="GE50" s="29"/>
      <c r="GF50" s="27"/>
      <c r="GG50" s="27"/>
      <c r="GH50" s="28" t="str">
        <f>IFERROR(VLOOKUP(GF50,Horarios!$H:$I,2,0),"")</f>
        <v/>
      </c>
      <c r="GI50" s="28" t="str">
        <f>IFERROR(VLOOKUP(GG50,Horarios!$H:$I,2,0),"")</f>
        <v/>
      </c>
      <c r="GJ50" s="28" t="str">
        <f t="shared" si="34"/>
        <v>00:00</v>
      </c>
      <c r="GK50" s="29"/>
      <c r="GL50" s="27"/>
      <c r="GM50" s="27"/>
      <c r="GN50" s="28" t="str">
        <f>IFERROR(VLOOKUP(GL50,Horarios!$H:$I,2,0),"")</f>
        <v/>
      </c>
      <c r="GO50" s="28" t="str">
        <f>IFERROR(VLOOKUP(GM50,Horarios!$H:$I,2,0),"")</f>
        <v/>
      </c>
      <c r="GP50" s="28" t="str">
        <f t="shared" si="35"/>
        <v>00:00</v>
      </c>
      <c r="GQ50" s="29"/>
      <c r="GR50" s="27"/>
      <c r="GS50" s="27"/>
      <c r="GT50" s="28" t="str">
        <f>IFERROR(VLOOKUP(GR50,Horarios!$H:$I,2,0),"")</f>
        <v/>
      </c>
      <c r="GU50" s="28" t="str">
        <f>IFERROR(VLOOKUP(GS50,Horarios!$H:$I,2,0),"")</f>
        <v/>
      </c>
      <c r="GV50" s="28" t="str">
        <f t="shared" si="36"/>
        <v>00:00</v>
      </c>
      <c r="GW50" s="29"/>
      <c r="GX50" s="27"/>
      <c r="GY50" s="27"/>
      <c r="GZ50" s="28" t="str">
        <f>IFERROR(VLOOKUP(GX50,Horarios!$H:$I,2,0),"")</f>
        <v/>
      </c>
      <c r="HA50" s="28" t="str">
        <f>IFERROR(VLOOKUP(GY50,Horarios!$H:$I,2,0),"")</f>
        <v/>
      </c>
      <c r="HB50" s="28" t="str">
        <f t="shared" si="37"/>
        <v>00:00</v>
      </c>
      <c r="HC50" s="29"/>
      <c r="HD50" s="27"/>
      <c r="HE50" s="27"/>
      <c r="HF50" s="28" t="str">
        <f>IFERROR(VLOOKUP(HD50,Horarios!$H:$I,2,0),"")</f>
        <v/>
      </c>
      <c r="HG50" s="28" t="str">
        <f>IFERROR(VLOOKUP(HE50,Horarios!$H:$I,2,0),"")</f>
        <v/>
      </c>
      <c r="HH50" s="28" t="str">
        <f t="shared" si="38"/>
        <v>00:00</v>
      </c>
      <c r="HI50" s="29"/>
      <c r="HJ50" s="31" t="str">
        <f t="shared" si="39"/>
        <v/>
      </c>
      <c r="HK50" s="27"/>
      <c r="HL50" s="27"/>
      <c r="HM50" s="28" t="str">
        <f>IFERROR(VLOOKUP(HK50,Horarios!$H:$I,2,0),"")</f>
        <v/>
      </c>
      <c r="HN50" s="28" t="str">
        <f>IFERROR(VLOOKUP(HL50,Horarios!$H:$I,2,0),"")</f>
        <v/>
      </c>
      <c r="HO50" s="28" t="str">
        <f t="shared" si="40"/>
        <v>00:00</v>
      </c>
      <c r="HP50" s="29"/>
      <c r="HQ50" s="27"/>
      <c r="HR50" s="27"/>
      <c r="HS50" s="28" t="str">
        <f>IFERROR(VLOOKUP(HQ50,Horarios!$H:$I,2,0),"")</f>
        <v/>
      </c>
      <c r="HT50" s="28" t="str">
        <f>IFERROR(VLOOKUP(HR50,Horarios!$H:$I,2,0),"")</f>
        <v/>
      </c>
      <c r="HU50" s="28" t="str">
        <f t="shared" si="41"/>
        <v>00:00</v>
      </c>
      <c r="HV50" s="29"/>
      <c r="HW50" s="27"/>
      <c r="HX50" s="27"/>
      <c r="HY50" s="28" t="str">
        <f>IFERROR(VLOOKUP(HW50,Horarios!$H:$I,2,0),"")</f>
        <v/>
      </c>
      <c r="HZ50" s="28" t="str">
        <f>IFERROR(VLOOKUP(HX50,Horarios!$H:$I,2,0),"")</f>
        <v/>
      </c>
      <c r="IA50" s="28" t="str">
        <f t="shared" si="42"/>
        <v>00:00</v>
      </c>
      <c r="IB50" s="29"/>
      <c r="IC50" s="27"/>
      <c r="ID50" s="27"/>
      <c r="IE50" s="28" t="str">
        <f>IFERROR(VLOOKUP(IC50,Horarios!$H:$I,2,0),"")</f>
        <v/>
      </c>
      <c r="IF50" s="28" t="str">
        <f>IFERROR(VLOOKUP(ID50,Horarios!$H:$I,2,0),"")</f>
        <v/>
      </c>
      <c r="IG50" s="28" t="str">
        <f t="shared" si="43"/>
        <v>00:00</v>
      </c>
      <c r="IH50" s="29"/>
      <c r="II50" s="27"/>
      <c r="IJ50" s="27"/>
      <c r="IK50" s="28" t="str">
        <f>IFERROR(VLOOKUP(II50,Horarios!$H:$I,2,0),"")</f>
        <v/>
      </c>
      <c r="IL50" s="28" t="str">
        <f>IFERROR(VLOOKUP(IJ50,Horarios!$H:$I,2,0),"")</f>
        <v/>
      </c>
      <c r="IM50" s="28" t="str">
        <f t="shared" si="44"/>
        <v>00:00</v>
      </c>
      <c r="IN50" s="29"/>
      <c r="IO50" s="27"/>
      <c r="IP50" s="27"/>
      <c r="IQ50" s="28" t="str">
        <f>IFERROR(VLOOKUP(IO50,Horarios!$H:$I,2,0),"")</f>
        <v/>
      </c>
      <c r="IR50" s="28" t="str">
        <f>IFERROR(VLOOKUP(IP50,Horarios!$H:$I,2,0),"")</f>
        <v/>
      </c>
      <c r="IS50" s="28" t="str">
        <f t="shared" si="45"/>
        <v>00:00</v>
      </c>
      <c r="IT50" s="29"/>
      <c r="IU50" s="27"/>
      <c r="IV50" s="27"/>
      <c r="IW50" s="28" t="str">
        <f>IFERROR(VLOOKUP(IU50,Horarios!$H:$I,2,0),"")</f>
        <v/>
      </c>
      <c r="IX50" s="28" t="str">
        <f>IFERROR(VLOOKUP(IV50,Horarios!$H:$I,2,0),"")</f>
        <v/>
      </c>
      <c r="IY50" s="28" t="str">
        <f t="shared" si="46"/>
        <v>00:00</v>
      </c>
      <c r="IZ50" s="29"/>
      <c r="JA50" s="31" t="str">
        <f t="shared" si="47"/>
        <v/>
      </c>
    </row>
    <row r="51" spans="1:261" s="24" customFormat="1" ht="17.399999999999999" x14ac:dyDescent="0.25">
      <c r="A51" s="25"/>
      <c r="B51" s="26" t="str">
        <f>IFERROR(VLOOKUP(A51,BaseNombres!A:B,2,0),"")</f>
        <v/>
      </c>
      <c r="C51" s="26" t="str">
        <f>IFERROR(VLOOKUP(A51,BaseNombres!A:C,3,0),"")</f>
        <v/>
      </c>
      <c r="D51" s="27"/>
      <c r="E51" s="27"/>
      <c r="F51" s="28" t="str">
        <f>IFERROR(VLOOKUP(D51,Horarios!$H:$I,2,0),"")</f>
        <v/>
      </c>
      <c r="G51" s="28" t="str">
        <f>IFERROR(VLOOKUP(E51,Horarios!$H:$I,2,0),"")</f>
        <v/>
      </c>
      <c r="H51" s="28" t="str">
        <f t="shared" si="0"/>
        <v>00:00</v>
      </c>
      <c r="I51" s="29"/>
      <c r="J51" s="27"/>
      <c r="K51" s="27"/>
      <c r="L51" s="28" t="str">
        <f>IFERROR(VLOOKUP(J51,Horarios!$H:$I,2,0),"")</f>
        <v/>
      </c>
      <c r="M51" s="28" t="str">
        <f>IFERROR(VLOOKUP(K51,Horarios!$H:$I,2,0),"")</f>
        <v/>
      </c>
      <c r="N51" s="28" t="str">
        <f t="shared" si="1"/>
        <v>00:00</v>
      </c>
      <c r="O51" s="29"/>
      <c r="P51" s="27"/>
      <c r="Q51" s="27"/>
      <c r="R51" s="28" t="str">
        <f>IFERROR(VLOOKUP(P51,Horarios!$H:$I,2,0),"")</f>
        <v/>
      </c>
      <c r="S51" s="28" t="str">
        <f>IFERROR(VLOOKUP(Q51,Horarios!$H:$I,2,0),"")</f>
        <v/>
      </c>
      <c r="T51" s="28" t="str">
        <f t="shared" si="2"/>
        <v>00:00</v>
      </c>
      <c r="U51" s="29"/>
      <c r="V51" s="27"/>
      <c r="W51" s="27"/>
      <c r="X51" s="28" t="str">
        <f>IFERROR(VLOOKUP(V51,Horarios!$H:$I,2,0),"")</f>
        <v/>
      </c>
      <c r="Y51" s="28" t="str">
        <f>IFERROR(VLOOKUP(W51,Horarios!$H:$I,2,0),"")</f>
        <v/>
      </c>
      <c r="Z51" s="28" t="str">
        <f t="shared" si="3"/>
        <v>00:00</v>
      </c>
      <c r="AA51" s="29"/>
      <c r="AB51" s="27"/>
      <c r="AC51" s="27"/>
      <c r="AD51" s="28" t="str">
        <f>IFERROR(VLOOKUP(AB51,Horarios!$H:$I,2,0),"")</f>
        <v/>
      </c>
      <c r="AE51" s="28" t="str">
        <f>IFERROR(VLOOKUP(AC51,Horarios!$H:$I,2,0),"")</f>
        <v/>
      </c>
      <c r="AF51" s="28" t="str">
        <f t="shared" si="4"/>
        <v>00:00</v>
      </c>
      <c r="AG51" s="29"/>
      <c r="AH51" s="27"/>
      <c r="AI51" s="27"/>
      <c r="AJ51" s="28" t="str">
        <f>IFERROR(VLOOKUP(AH51,Horarios!$H:$I,2,0),"")</f>
        <v/>
      </c>
      <c r="AK51" s="28" t="str">
        <f>IFERROR(VLOOKUP(AI51,Horarios!$H:$I,2,0),"")</f>
        <v/>
      </c>
      <c r="AL51" s="28" t="str">
        <f t="shared" si="5"/>
        <v>00:00</v>
      </c>
      <c r="AM51" s="29"/>
      <c r="AN51" s="27"/>
      <c r="AO51" s="27"/>
      <c r="AP51" s="28" t="str">
        <f>IFERROR(VLOOKUP(AN51,Horarios!$H:$I,2,0),"")</f>
        <v/>
      </c>
      <c r="AQ51" s="28" t="str">
        <f>IFERROR(VLOOKUP(AO51,Horarios!$H:$I,2,0),"")</f>
        <v/>
      </c>
      <c r="AR51" s="28" t="str">
        <f t="shared" si="6"/>
        <v>00:00</v>
      </c>
      <c r="AS51" s="29"/>
      <c r="AT51" s="31" t="str">
        <f t="shared" si="7"/>
        <v/>
      </c>
      <c r="AU51" s="27"/>
      <c r="AV51" s="27"/>
      <c r="AW51" s="28" t="str">
        <f>IFERROR(VLOOKUP(AU51,Horarios!$H:$I,2,0),"")</f>
        <v/>
      </c>
      <c r="AX51" s="28" t="str">
        <f>IFERROR(VLOOKUP(AV51,Horarios!$H:$I,2,0),"")</f>
        <v/>
      </c>
      <c r="AY51" s="28" t="str">
        <f t="shared" si="8"/>
        <v>00:00</v>
      </c>
      <c r="AZ51" s="29"/>
      <c r="BA51" s="27"/>
      <c r="BB51" s="27"/>
      <c r="BC51" s="28" t="str">
        <f>IFERROR(VLOOKUP(BA51,Horarios!$H:$I,2,0),"")</f>
        <v/>
      </c>
      <c r="BD51" s="28" t="str">
        <f>IFERROR(VLOOKUP(BB51,Horarios!$H:$I,2,0),"")</f>
        <v/>
      </c>
      <c r="BE51" s="28" t="str">
        <f t="shared" si="9"/>
        <v>00:00</v>
      </c>
      <c r="BF51" s="29"/>
      <c r="BG51" s="27"/>
      <c r="BH51" s="27"/>
      <c r="BI51" s="28" t="str">
        <f>IFERROR(VLOOKUP(BG51,Horarios!$H:$I,2,0),"")</f>
        <v/>
      </c>
      <c r="BJ51" s="28" t="str">
        <f>IFERROR(VLOOKUP(BH51,Horarios!$H:$I,2,0),"")</f>
        <v/>
      </c>
      <c r="BK51" s="28" t="str">
        <f t="shared" si="10"/>
        <v>00:00</v>
      </c>
      <c r="BL51" s="29"/>
      <c r="BM51" s="27"/>
      <c r="BN51" s="27"/>
      <c r="BO51" s="28" t="str">
        <f>IFERROR(VLOOKUP(BM51,Horarios!$H:$I,2,0),"")</f>
        <v/>
      </c>
      <c r="BP51" s="28" t="str">
        <f>IFERROR(VLOOKUP(BN51,Horarios!$H:$I,2,0),"")</f>
        <v/>
      </c>
      <c r="BQ51" s="28" t="str">
        <f t="shared" si="11"/>
        <v>00:00</v>
      </c>
      <c r="BR51" s="29"/>
      <c r="BS51" s="27"/>
      <c r="BT51" s="27"/>
      <c r="BU51" s="28" t="str">
        <f>IFERROR(VLOOKUP(BS51,Horarios!$H:$I,2,0),"")</f>
        <v/>
      </c>
      <c r="BV51" s="28" t="str">
        <f>IFERROR(VLOOKUP(BT51,Horarios!$H:$I,2,0),"")</f>
        <v/>
      </c>
      <c r="BW51" s="28" t="str">
        <f t="shared" si="12"/>
        <v>00:00</v>
      </c>
      <c r="BX51" s="29"/>
      <c r="BY51" s="27"/>
      <c r="BZ51" s="27"/>
      <c r="CA51" s="28" t="str">
        <f>IFERROR(VLOOKUP(BY51,Horarios!$H:$I,2,0),"")</f>
        <v/>
      </c>
      <c r="CB51" s="28" t="str">
        <f>IFERROR(VLOOKUP(BZ51,Horarios!$H:$I,2,0),"")</f>
        <v/>
      </c>
      <c r="CC51" s="28" t="str">
        <f t="shared" si="13"/>
        <v>00:00</v>
      </c>
      <c r="CD51" s="29"/>
      <c r="CE51" s="27"/>
      <c r="CF51" s="27"/>
      <c r="CG51" s="28" t="str">
        <f>IFERROR(VLOOKUP(CE51,Horarios!$H:$I,2,0),"")</f>
        <v/>
      </c>
      <c r="CH51" s="28" t="str">
        <f>IFERROR(VLOOKUP(CF51,Horarios!$H:$I,2,0),"")</f>
        <v/>
      </c>
      <c r="CI51" s="28" t="str">
        <f t="shared" si="14"/>
        <v>00:00</v>
      </c>
      <c r="CJ51" s="29"/>
      <c r="CK51" s="31" t="str">
        <f t="shared" si="15"/>
        <v/>
      </c>
      <c r="CL51" s="27"/>
      <c r="CM51" s="27"/>
      <c r="CN51" s="28" t="str">
        <f>IFERROR(VLOOKUP(CL51,Horarios!$H:$I,2,0),"")</f>
        <v/>
      </c>
      <c r="CO51" s="28" t="str">
        <f>IFERROR(VLOOKUP(CM51,Horarios!$H:$I,2,0),"")</f>
        <v/>
      </c>
      <c r="CP51" s="28" t="str">
        <f t="shared" si="16"/>
        <v>00:00</v>
      </c>
      <c r="CQ51" s="29"/>
      <c r="CR51" s="27"/>
      <c r="CS51" s="27"/>
      <c r="CT51" s="28" t="str">
        <f>IFERROR(VLOOKUP(CR51,Horarios!$H:$I,2,0),"")</f>
        <v/>
      </c>
      <c r="CU51" s="28" t="str">
        <f>IFERROR(VLOOKUP(CS51,Horarios!$H:$I,2,0),"")</f>
        <v/>
      </c>
      <c r="CV51" s="28" t="str">
        <f t="shared" si="17"/>
        <v>00:00</v>
      </c>
      <c r="CW51" s="29"/>
      <c r="CX51" s="27"/>
      <c r="CY51" s="27"/>
      <c r="CZ51" s="28" t="str">
        <f>IFERROR(VLOOKUP(CX51,Horarios!$H:$I,2,0),"")</f>
        <v/>
      </c>
      <c r="DA51" s="28" t="str">
        <f>IFERROR(VLOOKUP(CY51,Horarios!$H:$I,2,0),"")</f>
        <v/>
      </c>
      <c r="DB51" s="28" t="str">
        <f t="shared" si="18"/>
        <v>00:00</v>
      </c>
      <c r="DC51" s="29"/>
      <c r="DD51" s="27"/>
      <c r="DE51" s="27"/>
      <c r="DF51" s="28" t="str">
        <f>IFERROR(VLOOKUP(DD51,Horarios!$H:$I,2,0),"")</f>
        <v/>
      </c>
      <c r="DG51" s="28" t="str">
        <f>IFERROR(VLOOKUP(DE51,Horarios!$H:$I,2,0),"")</f>
        <v/>
      </c>
      <c r="DH51" s="28" t="str">
        <f t="shared" si="19"/>
        <v>00:00</v>
      </c>
      <c r="DI51" s="29"/>
      <c r="DJ51" s="27"/>
      <c r="DK51" s="27"/>
      <c r="DL51" s="28" t="str">
        <f>IFERROR(VLOOKUP(DJ51,Horarios!$H:$I,2,0),"")</f>
        <v/>
      </c>
      <c r="DM51" s="28" t="str">
        <f>IFERROR(VLOOKUP(DK51,Horarios!$H:$I,2,0),"")</f>
        <v/>
      </c>
      <c r="DN51" s="28" t="str">
        <f t="shared" si="20"/>
        <v>00:00</v>
      </c>
      <c r="DO51" s="29"/>
      <c r="DP51" s="27"/>
      <c r="DQ51" s="27"/>
      <c r="DR51" s="28" t="str">
        <f>IFERROR(VLOOKUP(DP51,Horarios!$H:$I,2,0),"")</f>
        <v/>
      </c>
      <c r="DS51" s="28" t="str">
        <f>IFERROR(VLOOKUP(DQ51,Horarios!$H:$I,2,0),"")</f>
        <v/>
      </c>
      <c r="DT51" s="28" t="str">
        <f t="shared" si="21"/>
        <v>00:00</v>
      </c>
      <c r="DU51" s="29"/>
      <c r="DV51" s="27"/>
      <c r="DW51" s="27"/>
      <c r="DX51" s="28" t="str">
        <f>IFERROR(VLOOKUP(DV51,Horarios!$H:$I,2,0),"")</f>
        <v/>
      </c>
      <c r="DY51" s="28" t="str">
        <f>IFERROR(VLOOKUP(DW51,Horarios!$H:$I,2,0),"")</f>
        <v/>
      </c>
      <c r="DZ51" s="28" t="str">
        <f t="shared" si="22"/>
        <v>00:00</v>
      </c>
      <c r="EA51" s="29"/>
      <c r="EB51" s="31" t="str">
        <f t="shared" si="23"/>
        <v/>
      </c>
      <c r="EC51" s="27"/>
      <c r="ED51" s="27"/>
      <c r="EE51" s="28" t="str">
        <f>IFERROR(VLOOKUP(EC51,Horarios!$H:$I,2,0),"")</f>
        <v/>
      </c>
      <c r="EF51" s="28" t="str">
        <f>IFERROR(VLOOKUP(ED51,Horarios!$H:$I,2,0),"")</f>
        <v/>
      </c>
      <c r="EG51" s="28" t="str">
        <f t="shared" si="24"/>
        <v>00:00</v>
      </c>
      <c r="EH51" s="29"/>
      <c r="EI51" s="27"/>
      <c r="EJ51" s="27"/>
      <c r="EK51" s="28" t="str">
        <f>IFERROR(VLOOKUP(EI51,Horarios!$H:$I,2,0),"")</f>
        <v/>
      </c>
      <c r="EL51" s="28" t="str">
        <f>IFERROR(VLOOKUP(EJ51,Horarios!$H:$I,2,0),"")</f>
        <v/>
      </c>
      <c r="EM51" s="28" t="str">
        <f t="shared" si="25"/>
        <v>00:00</v>
      </c>
      <c r="EN51" s="29"/>
      <c r="EO51" s="27"/>
      <c r="EP51" s="27"/>
      <c r="EQ51" s="28" t="str">
        <f>IFERROR(VLOOKUP(EO51,Horarios!$H:$I,2,0),"")</f>
        <v/>
      </c>
      <c r="ER51" s="28" t="str">
        <f>IFERROR(VLOOKUP(EP51,Horarios!$H:$I,2,0),"")</f>
        <v/>
      </c>
      <c r="ES51" s="28" t="str">
        <f t="shared" si="26"/>
        <v>00:00</v>
      </c>
      <c r="ET51" s="29"/>
      <c r="EU51" s="27"/>
      <c r="EV51" s="27"/>
      <c r="EW51" s="28" t="str">
        <f>IFERROR(VLOOKUP(EU51,Horarios!$H:$I,2,0),"")</f>
        <v/>
      </c>
      <c r="EX51" s="28" t="str">
        <f>IFERROR(VLOOKUP(EV51,Horarios!$H:$I,2,0),"")</f>
        <v/>
      </c>
      <c r="EY51" s="28" t="str">
        <f t="shared" si="27"/>
        <v>00:00</v>
      </c>
      <c r="EZ51" s="29"/>
      <c r="FA51" s="27"/>
      <c r="FB51" s="27"/>
      <c r="FC51" s="28" t="str">
        <f>IFERROR(VLOOKUP(FA51,Horarios!$H:$I,2,0),"")</f>
        <v/>
      </c>
      <c r="FD51" s="28" t="str">
        <f>IFERROR(VLOOKUP(FB51,Horarios!$H:$I,2,0),"")</f>
        <v/>
      </c>
      <c r="FE51" s="28" t="str">
        <f t="shared" si="28"/>
        <v>00:00</v>
      </c>
      <c r="FF51" s="29"/>
      <c r="FG51" s="27"/>
      <c r="FH51" s="27"/>
      <c r="FI51" s="28" t="str">
        <f>IFERROR(VLOOKUP(FG51,Horarios!$H:$I,2,0),"")</f>
        <v/>
      </c>
      <c r="FJ51" s="28" t="str">
        <f>IFERROR(VLOOKUP(FH51,Horarios!$H:$I,2,0),"")</f>
        <v/>
      </c>
      <c r="FK51" s="28" t="str">
        <f t="shared" si="29"/>
        <v>00:00</v>
      </c>
      <c r="FL51" s="29"/>
      <c r="FM51" s="27"/>
      <c r="FN51" s="27"/>
      <c r="FO51" s="28" t="str">
        <f>IFERROR(VLOOKUP(FM51,Horarios!$H:$I,2,0),"")</f>
        <v/>
      </c>
      <c r="FP51" s="28" t="str">
        <f>IFERROR(VLOOKUP(FN51,Horarios!$H:$I,2,0),"")</f>
        <v/>
      </c>
      <c r="FQ51" s="28" t="str">
        <f t="shared" si="30"/>
        <v>00:00</v>
      </c>
      <c r="FR51" s="29"/>
      <c r="FS51" s="31" t="str">
        <f t="shared" si="31"/>
        <v/>
      </c>
      <c r="FT51" s="27"/>
      <c r="FU51" s="27"/>
      <c r="FV51" s="28" t="str">
        <f>IFERROR(VLOOKUP(FT51,Horarios!$H:$I,2,0),"")</f>
        <v/>
      </c>
      <c r="FW51" s="28" t="str">
        <f>IFERROR(VLOOKUP(FU51,Horarios!$H:$I,2,0),"")</f>
        <v/>
      </c>
      <c r="FX51" s="28" t="str">
        <f t="shared" si="32"/>
        <v>00:00</v>
      </c>
      <c r="FY51" s="29"/>
      <c r="FZ51" s="27"/>
      <c r="GA51" s="27"/>
      <c r="GB51" s="28" t="str">
        <f>IFERROR(VLOOKUP(FZ51,Horarios!$H:$I,2,0),"")</f>
        <v/>
      </c>
      <c r="GC51" s="28" t="str">
        <f>IFERROR(VLOOKUP(GA51,Horarios!$H:$I,2,0),"")</f>
        <v/>
      </c>
      <c r="GD51" s="28" t="str">
        <f t="shared" si="33"/>
        <v>00:00</v>
      </c>
      <c r="GE51" s="29"/>
      <c r="GF51" s="27"/>
      <c r="GG51" s="27"/>
      <c r="GH51" s="28" t="str">
        <f>IFERROR(VLOOKUP(GF51,Horarios!$H:$I,2,0),"")</f>
        <v/>
      </c>
      <c r="GI51" s="28" t="str">
        <f>IFERROR(VLOOKUP(GG51,Horarios!$H:$I,2,0),"")</f>
        <v/>
      </c>
      <c r="GJ51" s="28" t="str">
        <f t="shared" si="34"/>
        <v>00:00</v>
      </c>
      <c r="GK51" s="29"/>
      <c r="GL51" s="27"/>
      <c r="GM51" s="27"/>
      <c r="GN51" s="28" t="str">
        <f>IFERROR(VLOOKUP(GL51,Horarios!$H:$I,2,0),"")</f>
        <v/>
      </c>
      <c r="GO51" s="28" t="str">
        <f>IFERROR(VLOOKUP(GM51,Horarios!$H:$I,2,0),"")</f>
        <v/>
      </c>
      <c r="GP51" s="28" t="str">
        <f t="shared" si="35"/>
        <v>00:00</v>
      </c>
      <c r="GQ51" s="29"/>
      <c r="GR51" s="27"/>
      <c r="GS51" s="27"/>
      <c r="GT51" s="28" t="str">
        <f>IFERROR(VLOOKUP(GR51,Horarios!$H:$I,2,0),"")</f>
        <v/>
      </c>
      <c r="GU51" s="28" t="str">
        <f>IFERROR(VLOOKUP(GS51,Horarios!$H:$I,2,0),"")</f>
        <v/>
      </c>
      <c r="GV51" s="28" t="str">
        <f t="shared" si="36"/>
        <v>00:00</v>
      </c>
      <c r="GW51" s="29"/>
      <c r="GX51" s="27"/>
      <c r="GY51" s="27"/>
      <c r="GZ51" s="28" t="str">
        <f>IFERROR(VLOOKUP(GX51,Horarios!$H:$I,2,0),"")</f>
        <v/>
      </c>
      <c r="HA51" s="28" t="str">
        <f>IFERROR(VLOOKUP(GY51,Horarios!$H:$I,2,0),"")</f>
        <v/>
      </c>
      <c r="HB51" s="28" t="str">
        <f t="shared" si="37"/>
        <v>00:00</v>
      </c>
      <c r="HC51" s="29"/>
      <c r="HD51" s="27"/>
      <c r="HE51" s="27"/>
      <c r="HF51" s="28" t="str">
        <f>IFERROR(VLOOKUP(HD51,Horarios!$H:$I,2,0),"")</f>
        <v/>
      </c>
      <c r="HG51" s="28" t="str">
        <f>IFERROR(VLOOKUP(HE51,Horarios!$H:$I,2,0),"")</f>
        <v/>
      </c>
      <c r="HH51" s="28" t="str">
        <f t="shared" si="38"/>
        <v>00:00</v>
      </c>
      <c r="HI51" s="29"/>
      <c r="HJ51" s="31" t="str">
        <f t="shared" si="39"/>
        <v/>
      </c>
      <c r="HK51" s="27"/>
      <c r="HL51" s="27"/>
      <c r="HM51" s="28" t="str">
        <f>IFERROR(VLOOKUP(HK51,Horarios!$H:$I,2,0),"")</f>
        <v/>
      </c>
      <c r="HN51" s="28" t="str">
        <f>IFERROR(VLOOKUP(HL51,Horarios!$H:$I,2,0),"")</f>
        <v/>
      </c>
      <c r="HO51" s="28" t="str">
        <f t="shared" si="40"/>
        <v>00:00</v>
      </c>
      <c r="HP51" s="29"/>
      <c r="HQ51" s="27"/>
      <c r="HR51" s="27"/>
      <c r="HS51" s="28" t="str">
        <f>IFERROR(VLOOKUP(HQ51,Horarios!$H:$I,2,0),"")</f>
        <v/>
      </c>
      <c r="HT51" s="28" t="str">
        <f>IFERROR(VLOOKUP(HR51,Horarios!$H:$I,2,0),"")</f>
        <v/>
      </c>
      <c r="HU51" s="28" t="str">
        <f t="shared" si="41"/>
        <v>00:00</v>
      </c>
      <c r="HV51" s="29"/>
      <c r="HW51" s="27"/>
      <c r="HX51" s="27"/>
      <c r="HY51" s="28" t="str">
        <f>IFERROR(VLOOKUP(HW51,Horarios!$H:$I,2,0),"")</f>
        <v/>
      </c>
      <c r="HZ51" s="28" t="str">
        <f>IFERROR(VLOOKUP(HX51,Horarios!$H:$I,2,0),"")</f>
        <v/>
      </c>
      <c r="IA51" s="28" t="str">
        <f t="shared" si="42"/>
        <v>00:00</v>
      </c>
      <c r="IB51" s="29"/>
      <c r="IC51" s="27"/>
      <c r="ID51" s="27"/>
      <c r="IE51" s="28" t="str">
        <f>IFERROR(VLOOKUP(IC51,Horarios!$H:$I,2,0),"")</f>
        <v/>
      </c>
      <c r="IF51" s="28" t="str">
        <f>IFERROR(VLOOKUP(ID51,Horarios!$H:$I,2,0),"")</f>
        <v/>
      </c>
      <c r="IG51" s="28" t="str">
        <f t="shared" si="43"/>
        <v>00:00</v>
      </c>
      <c r="IH51" s="29"/>
      <c r="II51" s="27"/>
      <c r="IJ51" s="27"/>
      <c r="IK51" s="28" t="str">
        <f>IFERROR(VLOOKUP(II51,Horarios!$H:$I,2,0),"")</f>
        <v/>
      </c>
      <c r="IL51" s="28" t="str">
        <f>IFERROR(VLOOKUP(IJ51,Horarios!$H:$I,2,0),"")</f>
        <v/>
      </c>
      <c r="IM51" s="28" t="str">
        <f t="shared" si="44"/>
        <v>00:00</v>
      </c>
      <c r="IN51" s="29"/>
      <c r="IO51" s="27"/>
      <c r="IP51" s="27"/>
      <c r="IQ51" s="28" t="str">
        <f>IFERROR(VLOOKUP(IO51,Horarios!$H:$I,2,0),"")</f>
        <v/>
      </c>
      <c r="IR51" s="28" t="str">
        <f>IFERROR(VLOOKUP(IP51,Horarios!$H:$I,2,0),"")</f>
        <v/>
      </c>
      <c r="IS51" s="28" t="str">
        <f t="shared" si="45"/>
        <v>00:00</v>
      </c>
      <c r="IT51" s="29"/>
      <c r="IU51" s="27"/>
      <c r="IV51" s="27"/>
      <c r="IW51" s="28" t="str">
        <f>IFERROR(VLOOKUP(IU51,Horarios!$H:$I,2,0),"")</f>
        <v/>
      </c>
      <c r="IX51" s="28" t="str">
        <f>IFERROR(VLOOKUP(IV51,Horarios!$H:$I,2,0),"")</f>
        <v/>
      </c>
      <c r="IY51" s="28" t="str">
        <f t="shared" si="46"/>
        <v>00:00</v>
      </c>
      <c r="IZ51" s="29"/>
      <c r="JA51" s="31" t="str">
        <f t="shared" si="47"/>
        <v/>
      </c>
    </row>
    <row r="52" spans="1:261" s="24" customFormat="1" ht="17.399999999999999" x14ac:dyDescent="0.25">
      <c r="A52" s="25"/>
      <c r="B52" s="26" t="str">
        <f>IFERROR(VLOOKUP(A52,BaseNombres!A:B,2,0),"")</f>
        <v/>
      </c>
      <c r="C52" s="26" t="str">
        <f>IFERROR(VLOOKUP(A52,BaseNombres!A:C,3,0),"")</f>
        <v/>
      </c>
      <c r="D52" s="27"/>
      <c r="E52" s="27"/>
      <c r="F52" s="28" t="str">
        <f>IFERROR(VLOOKUP(D52,Horarios!$H:$I,2,0),"")</f>
        <v/>
      </c>
      <c r="G52" s="28" t="str">
        <f>IFERROR(VLOOKUP(E52,Horarios!$H:$I,2,0),"")</f>
        <v/>
      </c>
      <c r="H52" s="28" t="str">
        <f t="shared" si="0"/>
        <v>00:00</v>
      </c>
      <c r="I52" s="29"/>
      <c r="J52" s="27"/>
      <c r="K52" s="27"/>
      <c r="L52" s="28" t="str">
        <f>IFERROR(VLOOKUP(J52,Horarios!$H:$I,2,0),"")</f>
        <v/>
      </c>
      <c r="M52" s="28" t="str">
        <f>IFERROR(VLOOKUP(K52,Horarios!$H:$I,2,0),"")</f>
        <v/>
      </c>
      <c r="N52" s="28" t="str">
        <f t="shared" si="1"/>
        <v>00:00</v>
      </c>
      <c r="O52" s="29"/>
      <c r="P52" s="27"/>
      <c r="Q52" s="27"/>
      <c r="R52" s="28" t="str">
        <f>IFERROR(VLOOKUP(P52,Horarios!$H:$I,2,0),"")</f>
        <v/>
      </c>
      <c r="S52" s="28" t="str">
        <f>IFERROR(VLOOKUP(Q52,Horarios!$H:$I,2,0),"")</f>
        <v/>
      </c>
      <c r="T52" s="28" t="str">
        <f t="shared" si="2"/>
        <v>00:00</v>
      </c>
      <c r="U52" s="29"/>
      <c r="V52" s="27"/>
      <c r="W52" s="27"/>
      <c r="X52" s="28" t="str">
        <f>IFERROR(VLOOKUP(V52,Horarios!$H:$I,2,0),"")</f>
        <v/>
      </c>
      <c r="Y52" s="28" t="str">
        <f>IFERROR(VLOOKUP(W52,Horarios!$H:$I,2,0),"")</f>
        <v/>
      </c>
      <c r="Z52" s="28" t="str">
        <f t="shared" si="3"/>
        <v>00:00</v>
      </c>
      <c r="AA52" s="29"/>
      <c r="AB52" s="27"/>
      <c r="AC52" s="27"/>
      <c r="AD52" s="28" t="str">
        <f>IFERROR(VLOOKUP(AB52,Horarios!$H:$I,2,0),"")</f>
        <v/>
      </c>
      <c r="AE52" s="28" t="str">
        <f>IFERROR(VLOOKUP(AC52,Horarios!$H:$I,2,0),"")</f>
        <v/>
      </c>
      <c r="AF52" s="28" t="str">
        <f t="shared" si="4"/>
        <v>00:00</v>
      </c>
      <c r="AG52" s="29"/>
      <c r="AH52" s="27"/>
      <c r="AI52" s="27"/>
      <c r="AJ52" s="28" t="str">
        <f>IFERROR(VLOOKUP(AH52,Horarios!$H:$I,2,0),"")</f>
        <v/>
      </c>
      <c r="AK52" s="28" t="str">
        <f>IFERROR(VLOOKUP(AI52,Horarios!$H:$I,2,0),"")</f>
        <v/>
      </c>
      <c r="AL52" s="28" t="str">
        <f t="shared" si="5"/>
        <v>00:00</v>
      </c>
      <c r="AM52" s="29"/>
      <c r="AN52" s="27"/>
      <c r="AO52" s="27"/>
      <c r="AP52" s="28" t="str">
        <f>IFERROR(VLOOKUP(AN52,Horarios!$H:$I,2,0),"")</f>
        <v/>
      </c>
      <c r="AQ52" s="28" t="str">
        <f>IFERROR(VLOOKUP(AO52,Horarios!$H:$I,2,0),"")</f>
        <v/>
      </c>
      <c r="AR52" s="28" t="str">
        <f t="shared" si="6"/>
        <v>00:00</v>
      </c>
      <c r="AS52" s="29"/>
      <c r="AT52" s="31" t="str">
        <f t="shared" si="7"/>
        <v/>
      </c>
      <c r="AU52" s="27"/>
      <c r="AV52" s="27"/>
      <c r="AW52" s="28" t="str">
        <f>IFERROR(VLOOKUP(AU52,Horarios!$H:$I,2,0),"")</f>
        <v/>
      </c>
      <c r="AX52" s="28" t="str">
        <f>IFERROR(VLOOKUP(AV52,Horarios!$H:$I,2,0),"")</f>
        <v/>
      </c>
      <c r="AY52" s="28" t="str">
        <f t="shared" si="8"/>
        <v>00:00</v>
      </c>
      <c r="AZ52" s="29"/>
      <c r="BA52" s="27"/>
      <c r="BB52" s="27"/>
      <c r="BC52" s="28" t="str">
        <f>IFERROR(VLOOKUP(BA52,Horarios!$H:$I,2,0),"")</f>
        <v/>
      </c>
      <c r="BD52" s="28" t="str">
        <f>IFERROR(VLOOKUP(BB52,Horarios!$H:$I,2,0),"")</f>
        <v/>
      </c>
      <c r="BE52" s="28" t="str">
        <f t="shared" si="9"/>
        <v>00:00</v>
      </c>
      <c r="BF52" s="29"/>
      <c r="BG52" s="27"/>
      <c r="BH52" s="27"/>
      <c r="BI52" s="28" t="str">
        <f>IFERROR(VLOOKUP(BG52,Horarios!$H:$I,2,0),"")</f>
        <v/>
      </c>
      <c r="BJ52" s="28" t="str">
        <f>IFERROR(VLOOKUP(BH52,Horarios!$H:$I,2,0),"")</f>
        <v/>
      </c>
      <c r="BK52" s="28" t="str">
        <f t="shared" si="10"/>
        <v>00:00</v>
      </c>
      <c r="BL52" s="29"/>
      <c r="BM52" s="27"/>
      <c r="BN52" s="27"/>
      <c r="BO52" s="28" t="str">
        <f>IFERROR(VLOOKUP(BM52,Horarios!$H:$I,2,0),"")</f>
        <v/>
      </c>
      <c r="BP52" s="28" t="str">
        <f>IFERROR(VLOOKUP(BN52,Horarios!$H:$I,2,0),"")</f>
        <v/>
      </c>
      <c r="BQ52" s="28" t="str">
        <f t="shared" si="11"/>
        <v>00:00</v>
      </c>
      <c r="BR52" s="29"/>
      <c r="BS52" s="27"/>
      <c r="BT52" s="27"/>
      <c r="BU52" s="28" t="str">
        <f>IFERROR(VLOOKUP(BS52,Horarios!$H:$I,2,0),"")</f>
        <v/>
      </c>
      <c r="BV52" s="28" t="str">
        <f>IFERROR(VLOOKUP(BT52,Horarios!$H:$I,2,0),"")</f>
        <v/>
      </c>
      <c r="BW52" s="28" t="str">
        <f t="shared" si="12"/>
        <v>00:00</v>
      </c>
      <c r="BX52" s="29"/>
      <c r="BY52" s="27"/>
      <c r="BZ52" s="27"/>
      <c r="CA52" s="28" t="str">
        <f>IFERROR(VLOOKUP(BY52,Horarios!$H:$I,2,0),"")</f>
        <v/>
      </c>
      <c r="CB52" s="28" t="str">
        <f>IFERROR(VLOOKUP(BZ52,Horarios!$H:$I,2,0),"")</f>
        <v/>
      </c>
      <c r="CC52" s="28" t="str">
        <f t="shared" si="13"/>
        <v>00:00</v>
      </c>
      <c r="CD52" s="29"/>
      <c r="CE52" s="27"/>
      <c r="CF52" s="27"/>
      <c r="CG52" s="28" t="str">
        <f>IFERROR(VLOOKUP(CE52,Horarios!$H:$I,2,0),"")</f>
        <v/>
      </c>
      <c r="CH52" s="28" t="str">
        <f>IFERROR(VLOOKUP(CF52,Horarios!$H:$I,2,0),"")</f>
        <v/>
      </c>
      <c r="CI52" s="28" t="str">
        <f t="shared" si="14"/>
        <v>00:00</v>
      </c>
      <c r="CJ52" s="29"/>
      <c r="CK52" s="31" t="str">
        <f t="shared" si="15"/>
        <v/>
      </c>
      <c r="CL52" s="27"/>
      <c r="CM52" s="27"/>
      <c r="CN52" s="28" t="str">
        <f>IFERROR(VLOOKUP(CL52,Horarios!$H:$I,2,0),"")</f>
        <v/>
      </c>
      <c r="CO52" s="28" t="str">
        <f>IFERROR(VLOOKUP(CM52,Horarios!$H:$I,2,0),"")</f>
        <v/>
      </c>
      <c r="CP52" s="28" t="str">
        <f t="shared" si="16"/>
        <v>00:00</v>
      </c>
      <c r="CQ52" s="29"/>
      <c r="CR52" s="27"/>
      <c r="CS52" s="27"/>
      <c r="CT52" s="28" t="str">
        <f>IFERROR(VLOOKUP(CR52,Horarios!$H:$I,2,0),"")</f>
        <v/>
      </c>
      <c r="CU52" s="28" t="str">
        <f>IFERROR(VLOOKUP(CS52,Horarios!$H:$I,2,0),"")</f>
        <v/>
      </c>
      <c r="CV52" s="28" t="str">
        <f t="shared" si="17"/>
        <v>00:00</v>
      </c>
      <c r="CW52" s="29"/>
      <c r="CX52" s="27"/>
      <c r="CY52" s="27"/>
      <c r="CZ52" s="28" t="str">
        <f>IFERROR(VLOOKUP(CX52,Horarios!$H:$I,2,0),"")</f>
        <v/>
      </c>
      <c r="DA52" s="28" t="str">
        <f>IFERROR(VLOOKUP(CY52,Horarios!$H:$I,2,0),"")</f>
        <v/>
      </c>
      <c r="DB52" s="28" t="str">
        <f t="shared" si="18"/>
        <v>00:00</v>
      </c>
      <c r="DC52" s="29"/>
      <c r="DD52" s="27"/>
      <c r="DE52" s="27"/>
      <c r="DF52" s="28" t="str">
        <f>IFERROR(VLOOKUP(DD52,Horarios!$H:$I,2,0),"")</f>
        <v/>
      </c>
      <c r="DG52" s="28" t="str">
        <f>IFERROR(VLOOKUP(DE52,Horarios!$H:$I,2,0),"")</f>
        <v/>
      </c>
      <c r="DH52" s="28" t="str">
        <f t="shared" si="19"/>
        <v>00:00</v>
      </c>
      <c r="DI52" s="29"/>
      <c r="DJ52" s="27"/>
      <c r="DK52" s="27"/>
      <c r="DL52" s="28" t="str">
        <f>IFERROR(VLOOKUP(DJ52,Horarios!$H:$I,2,0),"")</f>
        <v/>
      </c>
      <c r="DM52" s="28" t="str">
        <f>IFERROR(VLOOKUP(DK52,Horarios!$H:$I,2,0),"")</f>
        <v/>
      </c>
      <c r="DN52" s="28" t="str">
        <f t="shared" si="20"/>
        <v>00:00</v>
      </c>
      <c r="DO52" s="29"/>
      <c r="DP52" s="27"/>
      <c r="DQ52" s="27"/>
      <c r="DR52" s="28" t="str">
        <f>IFERROR(VLOOKUP(DP52,Horarios!$H:$I,2,0),"")</f>
        <v/>
      </c>
      <c r="DS52" s="28" t="str">
        <f>IFERROR(VLOOKUP(DQ52,Horarios!$H:$I,2,0),"")</f>
        <v/>
      </c>
      <c r="DT52" s="28" t="str">
        <f t="shared" si="21"/>
        <v>00:00</v>
      </c>
      <c r="DU52" s="29"/>
      <c r="DV52" s="27"/>
      <c r="DW52" s="27"/>
      <c r="DX52" s="28" t="str">
        <f>IFERROR(VLOOKUP(DV52,Horarios!$H:$I,2,0),"")</f>
        <v/>
      </c>
      <c r="DY52" s="28" t="str">
        <f>IFERROR(VLOOKUP(DW52,Horarios!$H:$I,2,0),"")</f>
        <v/>
      </c>
      <c r="DZ52" s="28" t="str">
        <f t="shared" si="22"/>
        <v>00:00</v>
      </c>
      <c r="EA52" s="29"/>
      <c r="EB52" s="31" t="str">
        <f t="shared" si="23"/>
        <v/>
      </c>
      <c r="EC52" s="27"/>
      <c r="ED52" s="27"/>
      <c r="EE52" s="28" t="str">
        <f>IFERROR(VLOOKUP(EC52,Horarios!$H:$I,2,0),"")</f>
        <v/>
      </c>
      <c r="EF52" s="28" t="str">
        <f>IFERROR(VLOOKUP(ED52,Horarios!$H:$I,2,0),"")</f>
        <v/>
      </c>
      <c r="EG52" s="28" t="str">
        <f t="shared" si="24"/>
        <v>00:00</v>
      </c>
      <c r="EH52" s="29"/>
      <c r="EI52" s="27"/>
      <c r="EJ52" s="27"/>
      <c r="EK52" s="28" t="str">
        <f>IFERROR(VLOOKUP(EI52,Horarios!$H:$I,2,0),"")</f>
        <v/>
      </c>
      <c r="EL52" s="28" t="str">
        <f>IFERROR(VLOOKUP(EJ52,Horarios!$H:$I,2,0),"")</f>
        <v/>
      </c>
      <c r="EM52" s="28" t="str">
        <f t="shared" si="25"/>
        <v>00:00</v>
      </c>
      <c r="EN52" s="29"/>
      <c r="EO52" s="27"/>
      <c r="EP52" s="27"/>
      <c r="EQ52" s="28" t="str">
        <f>IFERROR(VLOOKUP(EO52,Horarios!$H:$I,2,0),"")</f>
        <v/>
      </c>
      <c r="ER52" s="28" t="str">
        <f>IFERROR(VLOOKUP(EP52,Horarios!$H:$I,2,0),"")</f>
        <v/>
      </c>
      <c r="ES52" s="28" t="str">
        <f t="shared" si="26"/>
        <v>00:00</v>
      </c>
      <c r="ET52" s="29"/>
      <c r="EU52" s="27"/>
      <c r="EV52" s="27"/>
      <c r="EW52" s="28" t="str">
        <f>IFERROR(VLOOKUP(EU52,Horarios!$H:$I,2,0),"")</f>
        <v/>
      </c>
      <c r="EX52" s="28" t="str">
        <f>IFERROR(VLOOKUP(EV52,Horarios!$H:$I,2,0),"")</f>
        <v/>
      </c>
      <c r="EY52" s="28" t="str">
        <f t="shared" si="27"/>
        <v>00:00</v>
      </c>
      <c r="EZ52" s="29"/>
      <c r="FA52" s="27"/>
      <c r="FB52" s="27"/>
      <c r="FC52" s="28" t="str">
        <f>IFERROR(VLOOKUP(FA52,Horarios!$H:$I,2,0),"")</f>
        <v/>
      </c>
      <c r="FD52" s="28" t="str">
        <f>IFERROR(VLOOKUP(FB52,Horarios!$H:$I,2,0),"")</f>
        <v/>
      </c>
      <c r="FE52" s="28" t="str">
        <f t="shared" si="28"/>
        <v>00:00</v>
      </c>
      <c r="FF52" s="29"/>
      <c r="FG52" s="27"/>
      <c r="FH52" s="27"/>
      <c r="FI52" s="28" t="str">
        <f>IFERROR(VLOOKUP(FG52,Horarios!$H:$I,2,0),"")</f>
        <v/>
      </c>
      <c r="FJ52" s="28" t="str">
        <f>IFERROR(VLOOKUP(FH52,Horarios!$H:$I,2,0),"")</f>
        <v/>
      </c>
      <c r="FK52" s="28" t="str">
        <f t="shared" si="29"/>
        <v>00:00</v>
      </c>
      <c r="FL52" s="29"/>
      <c r="FM52" s="27"/>
      <c r="FN52" s="27"/>
      <c r="FO52" s="28" t="str">
        <f>IFERROR(VLOOKUP(FM52,Horarios!$H:$I,2,0),"")</f>
        <v/>
      </c>
      <c r="FP52" s="28" t="str">
        <f>IFERROR(VLOOKUP(FN52,Horarios!$H:$I,2,0),"")</f>
        <v/>
      </c>
      <c r="FQ52" s="28" t="str">
        <f t="shared" si="30"/>
        <v>00:00</v>
      </c>
      <c r="FR52" s="29"/>
      <c r="FS52" s="31" t="str">
        <f t="shared" si="31"/>
        <v/>
      </c>
      <c r="FT52" s="27"/>
      <c r="FU52" s="27"/>
      <c r="FV52" s="28" t="str">
        <f>IFERROR(VLOOKUP(FT52,Horarios!$H:$I,2,0),"")</f>
        <v/>
      </c>
      <c r="FW52" s="28" t="str">
        <f>IFERROR(VLOOKUP(FU52,Horarios!$H:$I,2,0),"")</f>
        <v/>
      </c>
      <c r="FX52" s="28" t="str">
        <f t="shared" si="32"/>
        <v>00:00</v>
      </c>
      <c r="FY52" s="29"/>
      <c r="FZ52" s="27"/>
      <c r="GA52" s="27"/>
      <c r="GB52" s="28" t="str">
        <f>IFERROR(VLOOKUP(FZ52,Horarios!$H:$I,2,0),"")</f>
        <v/>
      </c>
      <c r="GC52" s="28" t="str">
        <f>IFERROR(VLOOKUP(GA52,Horarios!$H:$I,2,0),"")</f>
        <v/>
      </c>
      <c r="GD52" s="28" t="str">
        <f t="shared" si="33"/>
        <v>00:00</v>
      </c>
      <c r="GE52" s="29"/>
      <c r="GF52" s="27"/>
      <c r="GG52" s="27"/>
      <c r="GH52" s="28" t="str">
        <f>IFERROR(VLOOKUP(GF52,Horarios!$H:$I,2,0),"")</f>
        <v/>
      </c>
      <c r="GI52" s="28" t="str">
        <f>IFERROR(VLOOKUP(GG52,Horarios!$H:$I,2,0),"")</f>
        <v/>
      </c>
      <c r="GJ52" s="28" t="str">
        <f t="shared" si="34"/>
        <v>00:00</v>
      </c>
      <c r="GK52" s="29"/>
      <c r="GL52" s="27"/>
      <c r="GM52" s="27"/>
      <c r="GN52" s="28" t="str">
        <f>IFERROR(VLOOKUP(GL52,Horarios!$H:$I,2,0),"")</f>
        <v/>
      </c>
      <c r="GO52" s="28" t="str">
        <f>IFERROR(VLOOKUP(GM52,Horarios!$H:$I,2,0),"")</f>
        <v/>
      </c>
      <c r="GP52" s="28" t="str">
        <f t="shared" si="35"/>
        <v>00:00</v>
      </c>
      <c r="GQ52" s="29"/>
      <c r="GR52" s="27"/>
      <c r="GS52" s="27"/>
      <c r="GT52" s="28" t="str">
        <f>IFERROR(VLOOKUP(GR52,Horarios!$H:$I,2,0),"")</f>
        <v/>
      </c>
      <c r="GU52" s="28" t="str">
        <f>IFERROR(VLOOKUP(GS52,Horarios!$H:$I,2,0),"")</f>
        <v/>
      </c>
      <c r="GV52" s="28" t="str">
        <f t="shared" si="36"/>
        <v>00:00</v>
      </c>
      <c r="GW52" s="29"/>
      <c r="GX52" s="27"/>
      <c r="GY52" s="27"/>
      <c r="GZ52" s="28" t="str">
        <f>IFERROR(VLOOKUP(GX52,Horarios!$H:$I,2,0),"")</f>
        <v/>
      </c>
      <c r="HA52" s="28" t="str">
        <f>IFERROR(VLOOKUP(GY52,Horarios!$H:$I,2,0),"")</f>
        <v/>
      </c>
      <c r="HB52" s="28" t="str">
        <f t="shared" si="37"/>
        <v>00:00</v>
      </c>
      <c r="HC52" s="29"/>
      <c r="HD52" s="27"/>
      <c r="HE52" s="27"/>
      <c r="HF52" s="28" t="str">
        <f>IFERROR(VLOOKUP(HD52,Horarios!$H:$I,2,0),"")</f>
        <v/>
      </c>
      <c r="HG52" s="28" t="str">
        <f>IFERROR(VLOOKUP(HE52,Horarios!$H:$I,2,0),"")</f>
        <v/>
      </c>
      <c r="HH52" s="28" t="str">
        <f t="shared" si="38"/>
        <v>00:00</v>
      </c>
      <c r="HI52" s="29"/>
      <c r="HJ52" s="31" t="str">
        <f t="shared" si="39"/>
        <v/>
      </c>
      <c r="HK52" s="27"/>
      <c r="HL52" s="27"/>
      <c r="HM52" s="28" t="str">
        <f>IFERROR(VLOOKUP(HK52,Horarios!$H:$I,2,0),"")</f>
        <v/>
      </c>
      <c r="HN52" s="28" t="str">
        <f>IFERROR(VLOOKUP(HL52,Horarios!$H:$I,2,0),"")</f>
        <v/>
      </c>
      <c r="HO52" s="28" t="str">
        <f t="shared" si="40"/>
        <v>00:00</v>
      </c>
      <c r="HP52" s="29"/>
      <c r="HQ52" s="27"/>
      <c r="HR52" s="27"/>
      <c r="HS52" s="28" t="str">
        <f>IFERROR(VLOOKUP(HQ52,Horarios!$H:$I,2,0),"")</f>
        <v/>
      </c>
      <c r="HT52" s="28" t="str">
        <f>IFERROR(VLOOKUP(HR52,Horarios!$H:$I,2,0),"")</f>
        <v/>
      </c>
      <c r="HU52" s="28" t="str">
        <f t="shared" si="41"/>
        <v>00:00</v>
      </c>
      <c r="HV52" s="29"/>
      <c r="HW52" s="27"/>
      <c r="HX52" s="27"/>
      <c r="HY52" s="28" t="str">
        <f>IFERROR(VLOOKUP(HW52,Horarios!$H:$I,2,0),"")</f>
        <v/>
      </c>
      <c r="HZ52" s="28" t="str">
        <f>IFERROR(VLOOKUP(HX52,Horarios!$H:$I,2,0),"")</f>
        <v/>
      </c>
      <c r="IA52" s="28" t="str">
        <f t="shared" si="42"/>
        <v>00:00</v>
      </c>
      <c r="IB52" s="29"/>
      <c r="IC52" s="27"/>
      <c r="ID52" s="27"/>
      <c r="IE52" s="28" t="str">
        <f>IFERROR(VLOOKUP(IC52,Horarios!$H:$I,2,0),"")</f>
        <v/>
      </c>
      <c r="IF52" s="28" t="str">
        <f>IFERROR(VLOOKUP(ID52,Horarios!$H:$I,2,0),"")</f>
        <v/>
      </c>
      <c r="IG52" s="28" t="str">
        <f t="shared" si="43"/>
        <v>00:00</v>
      </c>
      <c r="IH52" s="29"/>
      <c r="II52" s="27"/>
      <c r="IJ52" s="27"/>
      <c r="IK52" s="28" t="str">
        <f>IFERROR(VLOOKUP(II52,Horarios!$H:$I,2,0),"")</f>
        <v/>
      </c>
      <c r="IL52" s="28" t="str">
        <f>IFERROR(VLOOKUP(IJ52,Horarios!$H:$I,2,0),"")</f>
        <v/>
      </c>
      <c r="IM52" s="28" t="str">
        <f t="shared" si="44"/>
        <v>00:00</v>
      </c>
      <c r="IN52" s="29"/>
      <c r="IO52" s="27"/>
      <c r="IP52" s="27"/>
      <c r="IQ52" s="28" t="str">
        <f>IFERROR(VLOOKUP(IO52,Horarios!$H:$I,2,0),"")</f>
        <v/>
      </c>
      <c r="IR52" s="28" t="str">
        <f>IFERROR(VLOOKUP(IP52,Horarios!$H:$I,2,0),"")</f>
        <v/>
      </c>
      <c r="IS52" s="28" t="str">
        <f t="shared" si="45"/>
        <v>00:00</v>
      </c>
      <c r="IT52" s="29"/>
      <c r="IU52" s="27"/>
      <c r="IV52" s="27"/>
      <c r="IW52" s="28" t="str">
        <f>IFERROR(VLOOKUP(IU52,Horarios!$H:$I,2,0),"")</f>
        <v/>
      </c>
      <c r="IX52" s="28" t="str">
        <f>IFERROR(VLOOKUP(IV52,Horarios!$H:$I,2,0),"")</f>
        <v/>
      </c>
      <c r="IY52" s="28" t="str">
        <f t="shared" si="46"/>
        <v>00:00</v>
      </c>
      <c r="IZ52" s="29"/>
      <c r="JA52" s="31" t="str">
        <f t="shared" si="47"/>
        <v/>
      </c>
    </row>
    <row r="53" spans="1:261" s="24" customFormat="1" ht="17.399999999999999" x14ac:dyDescent="0.25">
      <c r="A53" s="25"/>
      <c r="B53" s="26" t="str">
        <f>IFERROR(VLOOKUP(A53,BaseNombres!A:B,2,0),"")</f>
        <v/>
      </c>
      <c r="C53" s="26" t="str">
        <f>IFERROR(VLOOKUP(A53,BaseNombres!A:C,3,0),"")</f>
        <v/>
      </c>
      <c r="D53" s="27"/>
      <c r="E53" s="27"/>
      <c r="F53" s="28" t="str">
        <f>IFERROR(VLOOKUP(D53,Horarios!$H:$I,2,0),"")</f>
        <v/>
      </c>
      <c r="G53" s="28" t="str">
        <f>IFERROR(VLOOKUP(E53,Horarios!$H:$I,2,0),"")</f>
        <v/>
      </c>
      <c r="H53" s="28" t="str">
        <f t="shared" si="0"/>
        <v>00:00</v>
      </c>
      <c r="I53" s="29"/>
      <c r="J53" s="27"/>
      <c r="K53" s="27"/>
      <c r="L53" s="28" t="str">
        <f>IFERROR(VLOOKUP(J53,Horarios!$H:$I,2,0),"")</f>
        <v/>
      </c>
      <c r="M53" s="28" t="str">
        <f>IFERROR(VLOOKUP(K53,Horarios!$H:$I,2,0),"")</f>
        <v/>
      </c>
      <c r="N53" s="28" t="str">
        <f t="shared" si="1"/>
        <v>00:00</v>
      </c>
      <c r="O53" s="29"/>
      <c r="P53" s="27"/>
      <c r="Q53" s="27"/>
      <c r="R53" s="28" t="str">
        <f>IFERROR(VLOOKUP(P53,Horarios!$H:$I,2,0),"")</f>
        <v/>
      </c>
      <c r="S53" s="28" t="str">
        <f>IFERROR(VLOOKUP(Q53,Horarios!$H:$I,2,0),"")</f>
        <v/>
      </c>
      <c r="T53" s="28" t="str">
        <f t="shared" si="2"/>
        <v>00:00</v>
      </c>
      <c r="U53" s="29"/>
      <c r="V53" s="27"/>
      <c r="W53" s="27"/>
      <c r="X53" s="28" t="str">
        <f>IFERROR(VLOOKUP(V53,Horarios!$H:$I,2,0),"")</f>
        <v/>
      </c>
      <c r="Y53" s="28" t="str">
        <f>IFERROR(VLOOKUP(W53,Horarios!$H:$I,2,0),"")</f>
        <v/>
      </c>
      <c r="Z53" s="28" t="str">
        <f t="shared" si="3"/>
        <v>00:00</v>
      </c>
      <c r="AA53" s="29"/>
      <c r="AB53" s="27"/>
      <c r="AC53" s="27"/>
      <c r="AD53" s="28" t="str">
        <f>IFERROR(VLOOKUP(AB53,Horarios!$H:$I,2,0),"")</f>
        <v/>
      </c>
      <c r="AE53" s="28" t="str">
        <f>IFERROR(VLOOKUP(AC53,Horarios!$H:$I,2,0),"")</f>
        <v/>
      </c>
      <c r="AF53" s="28" t="str">
        <f t="shared" si="4"/>
        <v>00:00</v>
      </c>
      <c r="AG53" s="29"/>
      <c r="AH53" s="27"/>
      <c r="AI53" s="27"/>
      <c r="AJ53" s="28" t="str">
        <f>IFERROR(VLOOKUP(AH53,Horarios!$H:$I,2,0),"")</f>
        <v/>
      </c>
      <c r="AK53" s="28" t="str">
        <f>IFERROR(VLOOKUP(AI53,Horarios!$H:$I,2,0),"")</f>
        <v/>
      </c>
      <c r="AL53" s="28" t="str">
        <f t="shared" si="5"/>
        <v>00:00</v>
      </c>
      <c r="AM53" s="29"/>
      <c r="AN53" s="27"/>
      <c r="AO53" s="27"/>
      <c r="AP53" s="28" t="str">
        <f>IFERROR(VLOOKUP(AN53,Horarios!$H:$I,2,0),"")</f>
        <v/>
      </c>
      <c r="AQ53" s="28" t="str">
        <f>IFERROR(VLOOKUP(AO53,Horarios!$H:$I,2,0),"")</f>
        <v/>
      </c>
      <c r="AR53" s="28" t="str">
        <f t="shared" si="6"/>
        <v>00:00</v>
      </c>
      <c r="AS53" s="29"/>
      <c r="AT53" s="31" t="str">
        <f t="shared" si="7"/>
        <v/>
      </c>
      <c r="AU53" s="27"/>
      <c r="AV53" s="27"/>
      <c r="AW53" s="28" t="str">
        <f>IFERROR(VLOOKUP(AU53,Horarios!$H:$I,2,0),"")</f>
        <v/>
      </c>
      <c r="AX53" s="28" t="str">
        <f>IFERROR(VLOOKUP(AV53,Horarios!$H:$I,2,0),"")</f>
        <v/>
      </c>
      <c r="AY53" s="28" t="str">
        <f t="shared" si="8"/>
        <v>00:00</v>
      </c>
      <c r="AZ53" s="29"/>
      <c r="BA53" s="27"/>
      <c r="BB53" s="27"/>
      <c r="BC53" s="28" t="str">
        <f>IFERROR(VLOOKUP(BA53,Horarios!$H:$I,2,0),"")</f>
        <v/>
      </c>
      <c r="BD53" s="28" t="str">
        <f>IFERROR(VLOOKUP(BB53,Horarios!$H:$I,2,0),"")</f>
        <v/>
      </c>
      <c r="BE53" s="28" t="str">
        <f t="shared" si="9"/>
        <v>00:00</v>
      </c>
      <c r="BF53" s="29"/>
      <c r="BG53" s="27"/>
      <c r="BH53" s="27"/>
      <c r="BI53" s="28" t="str">
        <f>IFERROR(VLOOKUP(BG53,Horarios!$H:$I,2,0),"")</f>
        <v/>
      </c>
      <c r="BJ53" s="28" t="str">
        <f>IFERROR(VLOOKUP(BH53,Horarios!$H:$I,2,0),"")</f>
        <v/>
      </c>
      <c r="BK53" s="28" t="str">
        <f t="shared" si="10"/>
        <v>00:00</v>
      </c>
      <c r="BL53" s="29"/>
      <c r="BM53" s="27"/>
      <c r="BN53" s="27"/>
      <c r="BO53" s="28" t="str">
        <f>IFERROR(VLOOKUP(BM53,Horarios!$H:$I,2,0),"")</f>
        <v/>
      </c>
      <c r="BP53" s="28" t="str">
        <f>IFERROR(VLOOKUP(BN53,Horarios!$H:$I,2,0),"")</f>
        <v/>
      </c>
      <c r="BQ53" s="28" t="str">
        <f t="shared" si="11"/>
        <v>00:00</v>
      </c>
      <c r="BR53" s="29"/>
      <c r="BS53" s="27"/>
      <c r="BT53" s="27"/>
      <c r="BU53" s="28" t="str">
        <f>IFERROR(VLOOKUP(BS53,Horarios!$H:$I,2,0),"")</f>
        <v/>
      </c>
      <c r="BV53" s="28" t="str">
        <f>IFERROR(VLOOKUP(BT53,Horarios!$H:$I,2,0),"")</f>
        <v/>
      </c>
      <c r="BW53" s="28" t="str">
        <f t="shared" si="12"/>
        <v>00:00</v>
      </c>
      <c r="BX53" s="29"/>
      <c r="BY53" s="27"/>
      <c r="BZ53" s="27"/>
      <c r="CA53" s="28" t="str">
        <f>IFERROR(VLOOKUP(BY53,Horarios!$H:$I,2,0),"")</f>
        <v/>
      </c>
      <c r="CB53" s="28" t="str">
        <f>IFERROR(VLOOKUP(BZ53,Horarios!$H:$I,2,0),"")</f>
        <v/>
      </c>
      <c r="CC53" s="28" t="str">
        <f t="shared" si="13"/>
        <v>00:00</v>
      </c>
      <c r="CD53" s="29"/>
      <c r="CE53" s="27"/>
      <c r="CF53" s="27"/>
      <c r="CG53" s="28" t="str">
        <f>IFERROR(VLOOKUP(CE53,Horarios!$H:$I,2,0),"")</f>
        <v/>
      </c>
      <c r="CH53" s="28" t="str">
        <f>IFERROR(VLOOKUP(CF53,Horarios!$H:$I,2,0),"")</f>
        <v/>
      </c>
      <c r="CI53" s="28" t="str">
        <f t="shared" si="14"/>
        <v>00:00</v>
      </c>
      <c r="CJ53" s="29"/>
      <c r="CK53" s="31" t="str">
        <f t="shared" si="15"/>
        <v/>
      </c>
      <c r="CL53" s="27"/>
      <c r="CM53" s="27"/>
      <c r="CN53" s="28" t="str">
        <f>IFERROR(VLOOKUP(CL53,Horarios!$H:$I,2,0),"")</f>
        <v/>
      </c>
      <c r="CO53" s="28" t="str">
        <f>IFERROR(VLOOKUP(CM53,Horarios!$H:$I,2,0),"")</f>
        <v/>
      </c>
      <c r="CP53" s="28" t="str">
        <f t="shared" si="16"/>
        <v>00:00</v>
      </c>
      <c r="CQ53" s="29"/>
      <c r="CR53" s="27"/>
      <c r="CS53" s="27"/>
      <c r="CT53" s="28" t="str">
        <f>IFERROR(VLOOKUP(CR53,Horarios!$H:$I,2,0),"")</f>
        <v/>
      </c>
      <c r="CU53" s="28" t="str">
        <f>IFERROR(VLOOKUP(CS53,Horarios!$H:$I,2,0),"")</f>
        <v/>
      </c>
      <c r="CV53" s="28" t="str">
        <f t="shared" si="17"/>
        <v>00:00</v>
      </c>
      <c r="CW53" s="29"/>
      <c r="CX53" s="27"/>
      <c r="CY53" s="27"/>
      <c r="CZ53" s="28" t="str">
        <f>IFERROR(VLOOKUP(CX53,Horarios!$H:$I,2,0),"")</f>
        <v/>
      </c>
      <c r="DA53" s="28" t="str">
        <f>IFERROR(VLOOKUP(CY53,Horarios!$H:$I,2,0),"")</f>
        <v/>
      </c>
      <c r="DB53" s="28" t="str">
        <f t="shared" si="18"/>
        <v>00:00</v>
      </c>
      <c r="DC53" s="29"/>
      <c r="DD53" s="27"/>
      <c r="DE53" s="27"/>
      <c r="DF53" s="28" t="str">
        <f>IFERROR(VLOOKUP(DD53,Horarios!$H:$I,2,0),"")</f>
        <v/>
      </c>
      <c r="DG53" s="28" t="str">
        <f>IFERROR(VLOOKUP(DE53,Horarios!$H:$I,2,0),"")</f>
        <v/>
      </c>
      <c r="DH53" s="28" t="str">
        <f t="shared" si="19"/>
        <v>00:00</v>
      </c>
      <c r="DI53" s="29"/>
      <c r="DJ53" s="27"/>
      <c r="DK53" s="27"/>
      <c r="DL53" s="28" t="str">
        <f>IFERROR(VLOOKUP(DJ53,Horarios!$H:$I,2,0),"")</f>
        <v/>
      </c>
      <c r="DM53" s="28" t="str">
        <f>IFERROR(VLOOKUP(DK53,Horarios!$H:$I,2,0),"")</f>
        <v/>
      </c>
      <c r="DN53" s="28" t="str">
        <f t="shared" si="20"/>
        <v>00:00</v>
      </c>
      <c r="DO53" s="29"/>
      <c r="DP53" s="27"/>
      <c r="DQ53" s="27"/>
      <c r="DR53" s="28" t="str">
        <f>IFERROR(VLOOKUP(DP53,Horarios!$H:$I,2,0),"")</f>
        <v/>
      </c>
      <c r="DS53" s="28" t="str">
        <f>IFERROR(VLOOKUP(DQ53,Horarios!$H:$I,2,0),"")</f>
        <v/>
      </c>
      <c r="DT53" s="28" t="str">
        <f t="shared" si="21"/>
        <v>00:00</v>
      </c>
      <c r="DU53" s="29"/>
      <c r="DV53" s="27"/>
      <c r="DW53" s="27"/>
      <c r="DX53" s="28" t="str">
        <f>IFERROR(VLOOKUP(DV53,Horarios!$H:$I,2,0),"")</f>
        <v/>
      </c>
      <c r="DY53" s="28" t="str">
        <f>IFERROR(VLOOKUP(DW53,Horarios!$H:$I,2,0),"")</f>
        <v/>
      </c>
      <c r="DZ53" s="28" t="str">
        <f t="shared" si="22"/>
        <v>00:00</v>
      </c>
      <c r="EA53" s="29"/>
      <c r="EB53" s="31" t="str">
        <f t="shared" si="23"/>
        <v/>
      </c>
      <c r="EC53" s="27"/>
      <c r="ED53" s="27"/>
      <c r="EE53" s="28" t="str">
        <f>IFERROR(VLOOKUP(EC53,Horarios!$H:$I,2,0),"")</f>
        <v/>
      </c>
      <c r="EF53" s="28" t="str">
        <f>IFERROR(VLOOKUP(ED53,Horarios!$H:$I,2,0),"")</f>
        <v/>
      </c>
      <c r="EG53" s="28" t="str">
        <f t="shared" si="24"/>
        <v>00:00</v>
      </c>
      <c r="EH53" s="29"/>
      <c r="EI53" s="27"/>
      <c r="EJ53" s="27"/>
      <c r="EK53" s="28" t="str">
        <f>IFERROR(VLOOKUP(EI53,Horarios!$H:$I,2,0),"")</f>
        <v/>
      </c>
      <c r="EL53" s="28" t="str">
        <f>IFERROR(VLOOKUP(EJ53,Horarios!$H:$I,2,0),"")</f>
        <v/>
      </c>
      <c r="EM53" s="28" t="str">
        <f t="shared" si="25"/>
        <v>00:00</v>
      </c>
      <c r="EN53" s="29"/>
      <c r="EO53" s="27"/>
      <c r="EP53" s="27"/>
      <c r="EQ53" s="28" t="str">
        <f>IFERROR(VLOOKUP(EO53,Horarios!$H:$I,2,0),"")</f>
        <v/>
      </c>
      <c r="ER53" s="28" t="str">
        <f>IFERROR(VLOOKUP(EP53,Horarios!$H:$I,2,0),"")</f>
        <v/>
      </c>
      <c r="ES53" s="28" t="str">
        <f t="shared" si="26"/>
        <v>00:00</v>
      </c>
      <c r="ET53" s="29"/>
      <c r="EU53" s="27"/>
      <c r="EV53" s="27"/>
      <c r="EW53" s="28" t="str">
        <f>IFERROR(VLOOKUP(EU53,Horarios!$H:$I,2,0),"")</f>
        <v/>
      </c>
      <c r="EX53" s="28" t="str">
        <f>IFERROR(VLOOKUP(EV53,Horarios!$H:$I,2,0),"")</f>
        <v/>
      </c>
      <c r="EY53" s="28" t="str">
        <f t="shared" si="27"/>
        <v>00:00</v>
      </c>
      <c r="EZ53" s="29"/>
      <c r="FA53" s="27"/>
      <c r="FB53" s="27"/>
      <c r="FC53" s="28" t="str">
        <f>IFERROR(VLOOKUP(FA53,Horarios!$H:$I,2,0),"")</f>
        <v/>
      </c>
      <c r="FD53" s="28" t="str">
        <f>IFERROR(VLOOKUP(FB53,Horarios!$H:$I,2,0),"")</f>
        <v/>
      </c>
      <c r="FE53" s="28" t="str">
        <f t="shared" si="28"/>
        <v>00:00</v>
      </c>
      <c r="FF53" s="29"/>
      <c r="FG53" s="27"/>
      <c r="FH53" s="27"/>
      <c r="FI53" s="28" t="str">
        <f>IFERROR(VLOOKUP(FG53,Horarios!$H:$I,2,0),"")</f>
        <v/>
      </c>
      <c r="FJ53" s="28" t="str">
        <f>IFERROR(VLOOKUP(FH53,Horarios!$H:$I,2,0),"")</f>
        <v/>
      </c>
      <c r="FK53" s="28" t="str">
        <f t="shared" si="29"/>
        <v>00:00</v>
      </c>
      <c r="FL53" s="29"/>
      <c r="FM53" s="27"/>
      <c r="FN53" s="27"/>
      <c r="FO53" s="28" t="str">
        <f>IFERROR(VLOOKUP(FM53,Horarios!$H:$I,2,0),"")</f>
        <v/>
      </c>
      <c r="FP53" s="28" t="str">
        <f>IFERROR(VLOOKUP(FN53,Horarios!$H:$I,2,0),"")</f>
        <v/>
      </c>
      <c r="FQ53" s="28" t="str">
        <f t="shared" si="30"/>
        <v>00:00</v>
      </c>
      <c r="FR53" s="29"/>
      <c r="FS53" s="31" t="str">
        <f t="shared" si="31"/>
        <v/>
      </c>
      <c r="FT53" s="27"/>
      <c r="FU53" s="27"/>
      <c r="FV53" s="28" t="str">
        <f>IFERROR(VLOOKUP(FT53,Horarios!$H:$I,2,0),"")</f>
        <v/>
      </c>
      <c r="FW53" s="28" t="str">
        <f>IFERROR(VLOOKUP(FU53,Horarios!$H:$I,2,0),"")</f>
        <v/>
      </c>
      <c r="FX53" s="28" t="str">
        <f t="shared" si="32"/>
        <v>00:00</v>
      </c>
      <c r="FY53" s="29"/>
      <c r="FZ53" s="27"/>
      <c r="GA53" s="27"/>
      <c r="GB53" s="28" t="str">
        <f>IFERROR(VLOOKUP(FZ53,Horarios!$H:$I,2,0),"")</f>
        <v/>
      </c>
      <c r="GC53" s="28" t="str">
        <f>IFERROR(VLOOKUP(GA53,Horarios!$H:$I,2,0),"")</f>
        <v/>
      </c>
      <c r="GD53" s="28" t="str">
        <f t="shared" si="33"/>
        <v>00:00</v>
      </c>
      <c r="GE53" s="29"/>
      <c r="GF53" s="27"/>
      <c r="GG53" s="27"/>
      <c r="GH53" s="28" t="str">
        <f>IFERROR(VLOOKUP(GF53,Horarios!$H:$I,2,0),"")</f>
        <v/>
      </c>
      <c r="GI53" s="28" t="str">
        <f>IFERROR(VLOOKUP(GG53,Horarios!$H:$I,2,0),"")</f>
        <v/>
      </c>
      <c r="GJ53" s="28" t="str">
        <f t="shared" si="34"/>
        <v>00:00</v>
      </c>
      <c r="GK53" s="29"/>
      <c r="GL53" s="27"/>
      <c r="GM53" s="27"/>
      <c r="GN53" s="28" t="str">
        <f>IFERROR(VLOOKUP(GL53,Horarios!$H:$I,2,0),"")</f>
        <v/>
      </c>
      <c r="GO53" s="28" t="str">
        <f>IFERROR(VLOOKUP(GM53,Horarios!$H:$I,2,0),"")</f>
        <v/>
      </c>
      <c r="GP53" s="28" t="str">
        <f t="shared" si="35"/>
        <v>00:00</v>
      </c>
      <c r="GQ53" s="29"/>
      <c r="GR53" s="27"/>
      <c r="GS53" s="27"/>
      <c r="GT53" s="28" t="str">
        <f>IFERROR(VLOOKUP(GR53,Horarios!$H:$I,2,0),"")</f>
        <v/>
      </c>
      <c r="GU53" s="28" t="str">
        <f>IFERROR(VLOOKUP(GS53,Horarios!$H:$I,2,0),"")</f>
        <v/>
      </c>
      <c r="GV53" s="28" t="str">
        <f t="shared" si="36"/>
        <v>00:00</v>
      </c>
      <c r="GW53" s="29"/>
      <c r="GX53" s="27"/>
      <c r="GY53" s="27"/>
      <c r="GZ53" s="28" t="str">
        <f>IFERROR(VLOOKUP(GX53,Horarios!$H:$I,2,0),"")</f>
        <v/>
      </c>
      <c r="HA53" s="28" t="str">
        <f>IFERROR(VLOOKUP(GY53,Horarios!$H:$I,2,0),"")</f>
        <v/>
      </c>
      <c r="HB53" s="28" t="str">
        <f t="shared" si="37"/>
        <v>00:00</v>
      </c>
      <c r="HC53" s="29"/>
      <c r="HD53" s="27"/>
      <c r="HE53" s="27"/>
      <c r="HF53" s="28" t="str">
        <f>IFERROR(VLOOKUP(HD53,Horarios!$H:$I,2,0),"")</f>
        <v/>
      </c>
      <c r="HG53" s="28" t="str">
        <f>IFERROR(VLOOKUP(HE53,Horarios!$H:$I,2,0),"")</f>
        <v/>
      </c>
      <c r="HH53" s="28" t="str">
        <f t="shared" si="38"/>
        <v>00:00</v>
      </c>
      <c r="HI53" s="29"/>
      <c r="HJ53" s="31" t="str">
        <f t="shared" si="39"/>
        <v/>
      </c>
      <c r="HK53" s="27"/>
      <c r="HL53" s="27"/>
      <c r="HM53" s="28" t="str">
        <f>IFERROR(VLOOKUP(HK53,Horarios!$H:$I,2,0),"")</f>
        <v/>
      </c>
      <c r="HN53" s="28" t="str">
        <f>IFERROR(VLOOKUP(HL53,Horarios!$H:$I,2,0),"")</f>
        <v/>
      </c>
      <c r="HO53" s="28" t="str">
        <f t="shared" si="40"/>
        <v>00:00</v>
      </c>
      <c r="HP53" s="29"/>
      <c r="HQ53" s="27"/>
      <c r="HR53" s="27"/>
      <c r="HS53" s="28" t="str">
        <f>IFERROR(VLOOKUP(HQ53,Horarios!$H:$I,2,0),"")</f>
        <v/>
      </c>
      <c r="HT53" s="28" t="str">
        <f>IFERROR(VLOOKUP(HR53,Horarios!$H:$I,2,0),"")</f>
        <v/>
      </c>
      <c r="HU53" s="28" t="str">
        <f t="shared" si="41"/>
        <v>00:00</v>
      </c>
      <c r="HV53" s="29"/>
      <c r="HW53" s="27"/>
      <c r="HX53" s="27"/>
      <c r="HY53" s="28" t="str">
        <f>IFERROR(VLOOKUP(HW53,Horarios!$H:$I,2,0),"")</f>
        <v/>
      </c>
      <c r="HZ53" s="28" t="str">
        <f>IFERROR(VLOOKUP(HX53,Horarios!$H:$I,2,0),"")</f>
        <v/>
      </c>
      <c r="IA53" s="28" t="str">
        <f t="shared" si="42"/>
        <v>00:00</v>
      </c>
      <c r="IB53" s="29"/>
      <c r="IC53" s="27"/>
      <c r="ID53" s="27"/>
      <c r="IE53" s="28" t="str">
        <f>IFERROR(VLOOKUP(IC53,Horarios!$H:$I,2,0),"")</f>
        <v/>
      </c>
      <c r="IF53" s="28" t="str">
        <f>IFERROR(VLOOKUP(ID53,Horarios!$H:$I,2,0),"")</f>
        <v/>
      </c>
      <c r="IG53" s="28" t="str">
        <f t="shared" si="43"/>
        <v>00:00</v>
      </c>
      <c r="IH53" s="29"/>
      <c r="II53" s="27"/>
      <c r="IJ53" s="27"/>
      <c r="IK53" s="28" t="str">
        <f>IFERROR(VLOOKUP(II53,Horarios!$H:$I,2,0),"")</f>
        <v/>
      </c>
      <c r="IL53" s="28" t="str">
        <f>IFERROR(VLOOKUP(IJ53,Horarios!$H:$I,2,0),"")</f>
        <v/>
      </c>
      <c r="IM53" s="28" t="str">
        <f t="shared" si="44"/>
        <v>00:00</v>
      </c>
      <c r="IN53" s="29"/>
      <c r="IO53" s="27"/>
      <c r="IP53" s="27"/>
      <c r="IQ53" s="28" t="str">
        <f>IFERROR(VLOOKUP(IO53,Horarios!$H:$I,2,0),"")</f>
        <v/>
      </c>
      <c r="IR53" s="28" t="str">
        <f>IFERROR(VLOOKUP(IP53,Horarios!$H:$I,2,0),"")</f>
        <v/>
      </c>
      <c r="IS53" s="28" t="str">
        <f t="shared" si="45"/>
        <v>00:00</v>
      </c>
      <c r="IT53" s="29"/>
      <c r="IU53" s="27"/>
      <c r="IV53" s="27"/>
      <c r="IW53" s="28" t="str">
        <f>IFERROR(VLOOKUP(IU53,Horarios!$H:$I,2,0),"")</f>
        <v/>
      </c>
      <c r="IX53" s="28" t="str">
        <f>IFERROR(VLOOKUP(IV53,Horarios!$H:$I,2,0),"")</f>
        <v/>
      </c>
      <c r="IY53" s="28" t="str">
        <f t="shared" si="46"/>
        <v>00:00</v>
      </c>
      <c r="IZ53" s="29"/>
      <c r="JA53" s="31" t="str">
        <f t="shared" si="47"/>
        <v/>
      </c>
    </row>
    <row r="54" spans="1:261" s="24" customFormat="1" ht="17.399999999999999" x14ac:dyDescent="0.25">
      <c r="A54" s="25"/>
      <c r="B54" s="26" t="str">
        <f>IFERROR(VLOOKUP(A54,BaseNombres!A:B,2,0),"")</f>
        <v/>
      </c>
      <c r="C54" s="26" t="str">
        <f>IFERROR(VLOOKUP(A54,BaseNombres!A:C,3,0),"")</f>
        <v/>
      </c>
      <c r="D54" s="27"/>
      <c r="E54" s="27"/>
      <c r="F54" s="28" t="str">
        <f>IFERROR(VLOOKUP(D54,Horarios!$H:$I,2,0),"")</f>
        <v/>
      </c>
      <c r="G54" s="28" t="str">
        <f>IFERROR(VLOOKUP(E54,Horarios!$H:$I,2,0),"")</f>
        <v/>
      </c>
      <c r="H54" s="28" t="str">
        <f t="shared" si="0"/>
        <v>00:00</v>
      </c>
      <c r="I54" s="29"/>
      <c r="J54" s="27"/>
      <c r="K54" s="27"/>
      <c r="L54" s="28" t="str">
        <f>IFERROR(VLOOKUP(J54,Horarios!$H:$I,2,0),"")</f>
        <v/>
      </c>
      <c r="M54" s="28" t="str">
        <f>IFERROR(VLOOKUP(K54,Horarios!$H:$I,2,0),"")</f>
        <v/>
      </c>
      <c r="N54" s="28" t="str">
        <f t="shared" si="1"/>
        <v>00:00</v>
      </c>
      <c r="O54" s="29"/>
      <c r="P54" s="27"/>
      <c r="Q54" s="27"/>
      <c r="R54" s="28" t="str">
        <f>IFERROR(VLOOKUP(P54,Horarios!$H:$I,2,0),"")</f>
        <v/>
      </c>
      <c r="S54" s="28" t="str">
        <f>IFERROR(VLOOKUP(Q54,Horarios!$H:$I,2,0),"")</f>
        <v/>
      </c>
      <c r="T54" s="28" t="str">
        <f t="shared" si="2"/>
        <v>00:00</v>
      </c>
      <c r="U54" s="29"/>
      <c r="V54" s="27"/>
      <c r="W54" s="27"/>
      <c r="X54" s="28" t="str">
        <f>IFERROR(VLOOKUP(V54,Horarios!$H:$I,2,0),"")</f>
        <v/>
      </c>
      <c r="Y54" s="28" t="str">
        <f>IFERROR(VLOOKUP(W54,Horarios!$H:$I,2,0),"")</f>
        <v/>
      </c>
      <c r="Z54" s="28" t="str">
        <f t="shared" si="3"/>
        <v>00:00</v>
      </c>
      <c r="AA54" s="29"/>
      <c r="AB54" s="27"/>
      <c r="AC54" s="27"/>
      <c r="AD54" s="28" t="str">
        <f>IFERROR(VLOOKUP(AB54,Horarios!$H:$I,2,0),"")</f>
        <v/>
      </c>
      <c r="AE54" s="28" t="str">
        <f>IFERROR(VLOOKUP(AC54,Horarios!$H:$I,2,0),"")</f>
        <v/>
      </c>
      <c r="AF54" s="28" t="str">
        <f t="shared" si="4"/>
        <v>00:00</v>
      </c>
      <c r="AG54" s="29"/>
      <c r="AH54" s="27"/>
      <c r="AI54" s="27"/>
      <c r="AJ54" s="28" t="str">
        <f>IFERROR(VLOOKUP(AH54,Horarios!$H:$I,2,0),"")</f>
        <v/>
      </c>
      <c r="AK54" s="28" t="str">
        <f>IFERROR(VLOOKUP(AI54,Horarios!$H:$I,2,0),"")</f>
        <v/>
      </c>
      <c r="AL54" s="28" t="str">
        <f t="shared" si="5"/>
        <v>00:00</v>
      </c>
      <c r="AM54" s="29"/>
      <c r="AN54" s="27"/>
      <c r="AO54" s="27"/>
      <c r="AP54" s="28" t="str">
        <f>IFERROR(VLOOKUP(AN54,Horarios!$H:$I,2,0),"")</f>
        <v/>
      </c>
      <c r="AQ54" s="28" t="str">
        <f>IFERROR(VLOOKUP(AO54,Horarios!$H:$I,2,0),"")</f>
        <v/>
      </c>
      <c r="AR54" s="28" t="str">
        <f t="shared" si="6"/>
        <v>00:00</v>
      </c>
      <c r="AS54" s="29"/>
      <c r="AT54" s="31" t="str">
        <f t="shared" si="7"/>
        <v/>
      </c>
      <c r="AU54" s="27"/>
      <c r="AV54" s="27"/>
      <c r="AW54" s="28" t="str">
        <f>IFERROR(VLOOKUP(AU54,Horarios!$H:$I,2,0),"")</f>
        <v/>
      </c>
      <c r="AX54" s="28" t="str">
        <f>IFERROR(VLOOKUP(AV54,Horarios!$H:$I,2,0),"")</f>
        <v/>
      </c>
      <c r="AY54" s="28" t="str">
        <f t="shared" si="8"/>
        <v>00:00</v>
      </c>
      <c r="AZ54" s="29"/>
      <c r="BA54" s="27"/>
      <c r="BB54" s="27"/>
      <c r="BC54" s="28" t="str">
        <f>IFERROR(VLOOKUP(BA54,Horarios!$H:$I,2,0),"")</f>
        <v/>
      </c>
      <c r="BD54" s="28" t="str">
        <f>IFERROR(VLOOKUP(BB54,Horarios!$H:$I,2,0),"")</f>
        <v/>
      </c>
      <c r="BE54" s="28" t="str">
        <f t="shared" si="9"/>
        <v>00:00</v>
      </c>
      <c r="BF54" s="29"/>
      <c r="BG54" s="27"/>
      <c r="BH54" s="27"/>
      <c r="BI54" s="28" t="str">
        <f>IFERROR(VLOOKUP(BG54,Horarios!$H:$I,2,0),"")</f>
        <v/>
      </c>
      <c r="BJ54" s="28" t="str">
        <f>IFERROR(VLOOKUP(BH54,Horarios!$H:$I,2,0),"")</f>
        <v/>
      </c>
      <c r="BK54" s="28" t="str">
        <f t="shared" si="10"/>
        <v>00:00</v>
      </c>
      <c r="BL54" s="29"/>
      <c r="BM54" s="27"/>
      <c r="BN54" s="27"/>
      <c r="BO54" s="28" t="str">
        <f>IFERROR(VLOOKUP(BM54,Horarios!$H:$I,2,0),"")</f>
        <v/>
      </c>
      <c r="BP54" s="28" t="str">
        <f>IFERROR(VLOOKUP(BN54,Horarios!$H:$I,2,0),"")</f>
        <v/>
      </c>
      <c r="BQ54" s="28" t="str">
        <f t="shared" si="11"/>
        <v>00:00</v>
      </c>
      <c r="BR54" s="29"/>
      <c r="BS54" s="27"/>
      <c r="BT54" s="27"/>
      <c r="BU54" s="28" t="str">
        <f>IFERROR(VLOOKUP(BS54,Horarios!$H:$I,2,0),"")</f>
        <v/>
      </c>
      <c r="BV54" s="28" t="str">
        <f>IFERROR(VLOOKUP(BT54,Horarios!$H:$I,2,0),"")</f>
        <v/>
      </c>
      <c r="BW54" s="28" t="str">
        <f t="shared" si="12"/>
        <v>00:00</v>
      </c>
      <c r="BX54" s="29"/>
      <c r="BY54" s="27"/>
      <c r="BZ54" s="27"/>
      <c r="CA54" s="28" t="str">
        <f>IFERROR(VLOOKUP(BY54,Horarios!$H:$I,2,0),"")</f>
        <v/>
      </c>
      <c r="CB54" s="28" t="str">
        <f>IFERROR(VLOOKUP(BZ54,Horarios!$H:$I,2,0),"")</f>
        <v/>
      </c>
      <c r="CC54" s="28" t="str">
        <f t="shared" si="13"/>
        <v>00:00</v>
      </c>
      <c r="CD54" s="29"/>
      <c r="CE54" s="27"/>
      <c r="CF54" s="27"/>
      <c r="CG54" s="28" t="str">
        <f>IFERROR(VLOOKUP(CE54,Horarios!$H:$I,2,0),"")</f>
        <v/>
      </c>
      <c r="CH54" s="28" t="str">
        <f>IFERROR(VLOOKUP(CF54,Horarios!$H:$I,2,0),"")</f>
        <v/>
      </c>
      <c r="CI54" s="28" t="str">
        <f t="shared" si="14"/>
        <v>00:00</v>
      </c>
      <c r="CJ54" s="29"/>
      <c r="CK54" s="31" t="str">
        <f t="shared" si="15"/>
        <v/>
      </c>
      <c r="CL54" s="27"/>
      <c r="CM54" s="27"/>
      <c r="CN54" s="28" t="str">
        <f>IFERROR(VLOOKUP(CL54,Horarios!$H:$I,2,0),"")</f>
        <v/>
      </c>
      <c r="CO54" s="28" t="str">
        <f>IFERROR(VLOOKUP(CM54,Horarios!$H:$I,2,0),"")</f>
        <v/>
      </c>
      <c r="CP54" s="28" t="str">
        <f t="shared" si="16"/>
        <v>00:00</v>
      </c>
      <c r="CQ54" s="29"/>
      <c r="CR54" s="27"/>
      <c r="CS54" s="27"/>
      <c r="CT54" s="28" t="str">
        <f>IFERROR(VLOOKUP(CR54,Horarios!$H:$I,2,0),"")</f>
        <v/>
      </c>
      <c r="CU54" s="28" t="str">
        <f>IFERROR(VLOOKUP(CS54,Horarios!$H:$I,2,0),"")</f>
        <v/>
      </c>
      <c r="CV54" s="28" t="str">
        <f t="shared" si="17"/>
        <v>00:00</v>
      </c>
      <c r="CW54" s="29"/>
      <c r="CX54" s="27"/>
      <c r="CY54" s="27"/>
      <c r="CZ54" s="28" t="str">
        <f>IFERROR(VLOOKUP(CX54,Horarios!$H:$I,2,0),"")</f>
        <v/>
      </c>
      <c r="DA54" s="28" t="str">
        <f>IFERROR(VLOOKUP(CY54,Horarios!$H:$I,2,0),"")</f>
        <v/>
      </c>
      <c r="DB54" s="28" t="str">
        <f t="shared" si="18"/>
        <v>00:00</v>
      </c>
      <c r="DC54" s="29"/>
      <c r="DD54" s="27"/>
      <c r="DE54" s="27"/>
      <c r="DF54" s="28" t="str">
        <f>IFERROR(VLOOKUP(DD54,Horarios!$H:$I,2,0),"")</f>
        <v/>
      </c>
      <c r="DG54" s="28" t="str">
        <f>IFERROR(VLOOKUP(DE54,Horarios!$H:$I,2,0),"")</f>
        <v/>
      </c>
      <c r="DH54" s="28" t="str">
        <f t="shared" si="19"/>
        <v>00:00</v>
      </c>
      <c r="DI54" s="29"/>
      <c r="DJ54" s="27"/>
      <c r="DK54" s="27"/>
      <c r="DL54" s="28" t="str">
        <f>IFERROR(VLOOKUP(DJ54,Horarios!$H:$I,2,0),"")</f>
        <v/>
      </c>
      <c r="DM54" s="28" t="str">
        <f>IFERROR(VLOOKUP(DK54,Horarios!$H:$I,2,0),"")</f>
        <v/>
      </c>
      <c r="DN54" s="28" t="str">
        <f t="shared" si="20"/>
        <v>00:00</v>
      </c>
      <c r="DO54" s="29"/>
      <c r="DP54" s="27"/>
      <c r="DQ54" s="27"/>
      <c r="DR54" s="28" t="str">
        <f>IFERROR(VLOOKUP(DP54,Horarios!$H:$I,2,0),"")</f>
        <v/>
      </c>
      <c r="DS54" s="28" t="str">
        <f>IFERROR(VLOOKUP(DQ54,Horarios!$H:$I,2,0),"")</f>
        <v/>
      </c>
      <c r="DT54" s="28" t="str">
        <f t="shared" si="21"/>
        <v>00:00</v>
      </c>
      <c r="DU54" s="29"/>
      <c r="DV54" s="27"/>
      <c r="DW54" s="27"/>
      <c r="DX54" s="28" t="str">
        <f>IFERROR(VLOOKUP(DV54,Horarios!$H:$I,2,0),"")</f>
        <v/>
      </c>
      <c r="DY54" s="28" t="str">
        <f>IFERROR(VLOOKUP(DW54,Horarios!$H:$I,2,0),"")</f>
        <v/>
      </c>
      <c r="DZ54" s="28" t="str">
        <f t="shared" si="22"/>
        <v>00:00</v>
      </c>
      <c r="EA54" s="29"/>
      <c r="EB54" s="31" t="str">
        <f t="shared" si="23"/>
        <v/>
      </c>
      <c r="EC54" s="27"/>
      <c r="ED54" s="27"/>
      <c r="EE54" s="28" t="str">
        <f>IFERROR(VLOOKUP(EC54,Horarios!$H:$I,2,0),"")</f>
        <v/>
      </c>
      <c r="EF54" s="28" t="str">
        <f>IFERROR(VLOOKUP(ED54,Horarios!$H:$I,2,0),"")</f>
        <v/>
      </c>
      <c r="EG54" s="28" t="str">
        <f t="shared" si="24"/>
        <v>00:00</v>
      </c>
      <c r="EH54" s="29"/>
      <c r="EI54" s="27"/>
      <c r="EJ54" s="27"/>
      <c r="EK54" s="28" t="str">
        <f>IFERROR(VLOOKUP(EI54,Horarios!$H:$I,2,0),"")</f>
        <v/>
      </c>
      <c r="EL54" s="28" t="str">
        <f>IFERROR(VLOOKUP(EJ54,Horarios!$H:$I,2,0),"")</f>
        <v/>
      </c>
      <c r="EM54" s="28" t="str">
        <f t="shared" si="25"/>
        <v>00:00</v>
      </c>
      <c r="EN54" s="29"/>
      <c r="EO54" s="27"/>
      <c r="EP54" s="27"/>
      <c r="EQ54" s="28" t="str">
        <f>IFERROR(VLOOKUP(EO54,Horarios!$H:$I,2,0),"")</f>
        <v/>
      </c>
      <c r="ER54" s="28" t="str">
        <f>IFERROR(VLOOKUP(EP54,Horarios!$H:$I,2,0),"")</f>
        <v/>
      </c>
      <c r="ES54" s="28" t="str">
        <f t="shared" si="26"/>
        <v>00:00</v>
      </c>
      <c r="ET54" s="29"/>
      <c r="EU54" s="27"/>
      <c r="EV54" s="27"/>
      <c r="EW54" s="28" t="str">
        <f>IFERROR(VLOOKUP(EU54,Horarios!$H:$I,2,0),"")</f>
        <v/>
      </c>
      <c r="EX54" s="28" t="str">
        <f>IFERROR(VLOOKUP(EV54,Horarios!$H:$I,2,0),"")</f>
        <v/>
      </c>
      <c r="EY54" s="28" t="str">
        <f t="shared" si="27"/>
        <v>00:00</v>
      </c>
      <c r="EZ54" s="29"/>
      <c r="FA54" s="27"/>
      <c r="FB54" s="27"/>
      <c r="FC54" s="28" t="str">
        <f>IFERROR(VLOOKUP(FA54,Horarios!$H:$I,2,0),"")</f>
        <v/>
      </c>
      <c r="FD54" s="28" t="str">
        <f>IFERROR(VLOOKUP(FB54,Horarios!$H:$I,2,0),"")</f>
        <v/>
      </c>
      <c r="FE54" s="28" t="str">
        <f t="shared" si="28"/>
        <v>00:00</v>
      </c>
      <c r="FF54" s="29"/>
      <c r="FG54" s="27"/>
      <c r="FH54" s="27"/>
      <c r="FI54" s="28" t="str">
        <f>IFERROR(VLOOKUP(FG54,Horarios!$H:$I,2,0),"")</f>
        <v/>
      </c>
      <c r="FJ54" s="28" t="str">
        <f>IFERROR(VLOOKUP(FH54,Horarios!$H:$I,2,0),"")</f>
        <v/>
      </c>
      <c r="FK54" s="28" t="str">
        <f t="shared" si="29"/>
        <v>00:00</v>
      </c>
      <c r="FL54" s="29"/>
      <c r="FM54" s="27"/>
      <c r="FN54" s="27"/>
      <c r="FO54" s="28" t="str">
        <f>IFERROR(VLOOKUP(FM54,Horarios!$H:$I,2,0),"")</f>
        <v/>
      </c>
      <c r="FP54" s="28" t="str">
        <f>IFERROR(VLOOKUP(FN54,Horarios!$H:$I,2,0),"")</f>
        <v/>
      </c>
      <c r="FQ54" s="28" t="str">
        <f t="shared" si="30"/>
        <v>00:00</v>
      </c>
      <c r="FR54" s="29"/>
      <c r="FS54" s="31" t="str">
        <f t="shared" si="31"/>
        <v/>
      </c>
      <c r="FT54" s="27"/>
      <c r="FU54" s="27"/>
      <c r="FV54" s="28" t="str">
        <f>IFERROR(VLOOKUP(FT54,Horarios!$H:$I,2,0),"")</f>
        <v/>
      </c>
      <c r="FW54" s="28" t="str">
        <f>IFERROR(VLOOKUP(FU54,Horarios!$H:$I,2,0),"")</f>
        <v/>
      </c>
      <c r="FX54" s="28" t="str">
        <f t="shared" si="32"/>
        <v>00:00</v>
      </c>
      <c r="FY54" s="29"/>
      <c r="FZ54" s="27"/>
      <c r="GA54" s="27"/>
      <c r="GB54" s="28" t="str">
        <f>IFERROR(VLOOKUP(FZ54,Horarios!$H:$I,2,0),"")</f>
        <v/>
      </c>
      <c r="GC54" s="28" t="str">
        <f>IFERROR(VLOOKUP(GA54,Horarios!$H:$I,2,0),"")</f>
        <v/>
      </c>
      <c r="GD54" s="28" t="str">
        <f t="shared" si="33"/>
        <v>00:00</v>
      </c>
      <c r="GE54" s="29"/>
      <c r="GF54" s="27"/>
      <c r="GG54" s="27"/>
      <c r="GH54" s="28" t="str">
        <f>IFERROR(VLOOKUP(GF54,Horarios!$H:$I,2,0),"")</f>
        <v/>
      </c>
      <c r="GI54" s="28" t="str">
        <f>IFERROR(VLOOKUP(GG54,Horarios!$H:$I,2,0),"")</f>
        <v/>
      </c>
      <c r="GJ54" s="28" t="str">
        <f t="shared" si="34"/>
        <v>00:00</v>
      </c>
      <c r="GK54" s="29"/>
      <c r="GL54" s="27"/>
      <c r="GM54" s="27"/>
      <c r="GN54" s="28" t="str">
        <f>IFERROR(VLOOKUP(GL54,Horarios!$H:$I,2,0),"")</f>
        <v/>
      </c>
      <c r="GO54" s="28" t="str">
        <f>IFERROR(VLOOKUP(GM54,Horarios!$H:$I,2,0),"")</f>
        <v/>
      </c>
      <c r="GP54" s="28" t="str">
        <f t="shared" si="35"/>
        <v>00:00</v>
      </c>
      <c r="GQ54" s="29"/>
      <c r="GR54" s="27"/>
      <c r="GS54" s="27"/>
      <c r="GT54" s="28" t="str">
        <f>IFERROR(VLOOKUP(GR54,Horarios!$H:$I,2,0),"")</f>
        <v/>
      </c>
      <c r="GU54" s="28" t="str">
        <f>IFERROR(VLOOKUP(GS54,Horarios!$H:$I,2,0),"")</f>
        <v/>
      </c>
      <c r="GV54" s="28" t="str">
        <f t="shared" si="36"/>
        <v>00:00</v>
      </c>
      <c r="GW54" s="29"/>
      <c r="GX54" s="27"/>
      <c r="GY54" s="27"/>
      <c r="GZ54" s="28" t="str">
        <f>IFERROR(VLOOKUP(GX54,Horarios!$H:$I,2,0),"")</f>
        <v/>
      </c>
      <c r="HA54" s="28" t="str">
        <f>IFERROR(VLOOKUP(GY54,Horarios!$H:$I,2,0),"")</f>
        <v/>
      </c>
      <c r="HB54" s="28" t="str">
        <f t="shared" si="37"/>
        <v>00:00</v>
      </c>
      <c r="HC54" s="29"/>
      <c r="HD54" s="27"/>
      <c r="HE54" s="27"/>
      <c r="HF54" s="28" t="str">
        <f>IFERROR(VLOOKUP(HD54,Horarios!$H:$I,2,0),"")</f>
        <v/>
      </c>
      <c r="HG54" s="28" t="str">
        <f>IFERROR(VLOOKUP(HE54,Horarios!$H:$I,2,0),"")</f>
        <v/>
      </c>
      <c r="HH54" s="28" t="str">
        <f t="shared" si="38"/>
        <v>00:00</v>
      </c>
      <c r="HI54" s="29"/>
      <c r="HJ54" s="31" t="str">
        <f t="shared" si="39"/>
        <v/>
      </c>
      <c r="HK54" s="27"/>
      <c r="HL54" s="27"/>
      <c r="HM54" s="28" t="str">
        <f>IFERROR(VLOOKUP(HK54,Horarios!$H:$I,2,0),"")</f>
        <v/>
      </c>
      <c r="HN54" s="28" t="str">
        <f>IFERROR(VLOOKUP(HL54,Horarios!$H:$I,2,0),"")</f>
        <v/>
      </c>
      <c r="HO54" s="28" t="str">
        <f t="shared" si="40"/>
        <v>00:00</v>
      </c>
      <c r="HP54" s="29"/>
      <c r="HQ54" s="27"/>
      <c r="HR54" s="27"/>
      <c r="HS54" s="28" t="str">
        <f>IFERROR(VLOOKUP(HQ54,Horarios!$H:$I,2,0),"")</f>
        <v/>
      </c>
      <c r="HT54" s="28" t="str">
        <f>IFERROR(VLOOKUP(HR54,Horarios!$H:$I,2,0),"")</f>
        <v/>
      </c>
      <c r="HU54" s="28" t="str">
        <f t="shared" si="41"/>
        <v>00:00</v>
      </c>
      <c r="HV54" s="29"/>
      <c r="HW54" s="27"/>
      <c r="HX54" s="27"/>
      <c r="HY54" s="28" t="str">
        <f>IFERROR(VLOOKUP(HW54,Horarios!$H:$I,2,0),"")</f>
        <v/>
      </c>
      <c r="HZ54" s="28" t="str">
        <f>IFERROR(VLOOKUP(HX54,Horarios!$H:$I,2,0),"")</f>
        <v/>
      </c>
      <c r="IA54" s="28" t="str">
        <f t="shared" si="42"/>
        <v>00:00</v>
      </c>
      <c r="IB54" s="29"/>
      <c r="IC54" s="27"/>
      <c r="ID54" s="27"/>
      <c r="IE54" s="28" t="str">
        <f>IFERROR(VLOOKUP(IC54,Horarios!$H:$I,2,0),"")</f>
        <v/>
      </c>
      <c r="IF54" s="28" t="str">
        <f>IFERROR(VLOOKUP(ID54,Horarios!$H:$I,2,0),"")</f>
        <v/>
      </c>
      <c r="IG54" s="28" t="str">
        <f t="shared" si="43"/>
        <v>00:00</v>
      </c>
      <c r="IH54" s="29"/>
      <c r="II54" s="27"/>
      <c r="IJ54" s="27"/>
      <c r="IK54" s="28" t="str">
        <f>IFERROR(VLOOKUP(II54,Horarios!$H:$I,2,0),"")</f>
        <v/>
      </c>
      <c r="IL54" s="28" t="str">
        <f>IFERROR(VLOOKUP(IJ54,Horarios!$H:$I,2,0),"")</f>
        <v/>
      </c>
      <c r="IM54" s="28" t="str">
        <f t="shared" si="44"/>
        <v>00:00</v>
      </c>
      <c r="IN54" s="29"/>
      <c r="IO54" s="27"/>
      <c r="IP54" s="27"/>
      <c r="IQ54" s="28" t="str">
        <f>IFERROR(VLOOKUP(IO54,Horarios!$H:$I,2,0),"")</f>
        <v/>
      </c>
      <c r="IR54" s="28" t="str">
        <f>IFERROR(VLOOKUP(IP54,Horarios!$H:$I,2,0),"")</f>
        <v/>
      </c>
      <c r="IS54" s="28" t="str">
        <f t="shared" si="45"/>
        <v>00:00</v>
      </c>
      <c r="IT54" s="29"/>
      <c r="IU54" s="27"/>
      <c r="IV54" s="27"/>
      <c r="IW54" s="28" t="str">
        <f>IFERROR(VLOOKUP(IU54,Horarios!$H:$I,2,0),"")</f>
        <v/>
      </c>
      <c r="IX54" s="28" t="str">
        <f>IFERROR(VLOOKUP(IV54,Horarios!$H:$I,2,0),"")</f>
        <v/>
      </c>
      <c r="IY54" s="28" t="str">
        <f t="shared" si="46"/>
        <v>00:00</v>
      </c>
      <c r="IZ54" s="29"/>
      <c r="JA54" s="31" t="str">
        <f t="shared" si="47"/>
        <v/>
      </c>
    </row>
    <row r="55" spans="1:261" s="24" customFormat="1" ht="17.399999999999999" x14ac:dyDescent="0.25">
      <c r="A55" s="25"/>
      <c r="B55" s="26" t="str">
        <f>IFERROR(VLOOKUP(A55,BaseNombres!A:B,2,0),"")</f>
        <v/>
      </c>
      <c r="C55" s="26" t="str">
        <f>IFERROR(VLOOKUP(A55,BaseNombres!A:C,3,0),"")</f>
        <v/>
      </c>
      <c r="D55" s="27"/>
      <c r="E55" s="27"/>
      <c r="F55" s="28" t="str">
        <f>IFERROR(VLOOKUP(D55,Horarios!$H:$I,2,0),"")</f>
        <v/>
      </c>
      <c r="G55" s="28" t="str">
        <f>IFERROR(VLOOKUP(E55,Horarios!$H:$I,2,0),"")</f>
        <v/>
      </c>
      <c r="H55" s="28" t="str">
        <f t="shared" si="0"/>
        <v>00:00</v>
      </c>
      <c r="I55" s="29"/>
      <c r="J55" s="27"/>
      <c r="K55" s="27"/>
      <c r="L55" s="28" t="str">
        <f>IFERROR(VLOOKUP(J55,Horarios!$H:$I,2,0),"")</f>
        <v/>
      </c>
      <c r="M55" s="28" t="str">
        <f>IFERROR(VLOOKUP(K55,Horarios!$H:$I,2,0),"")</f>
        <v/>
      </c>
      <c r="N55" s="28" t="str">
        <f t="shared" si="1"/>
        <v>00:00</v>
      </c>
      <c r="O55" s="29"/>
      <c r="P55" s="27"/>
      <c r="Q55" s="27"/>
      <c r="R55" s="28" t="str">
        <f>IFERROR(VLOOKUP(P55,Horarios!$H:$I,2,0),"")</f>
        <v/>
      </c>
      <c r="S55" s="28" t="str">
        <f>IFERROR(VLOOKUP(Q55,Horarios!$H:$I,2,0),"")</f>
        <v/>
      </c>
      <c r="T55" s="28" t="str">
        <f t="shared" si="2"/>
        <v>00:00</v>
      </c>
      <c r="U55" s="29"/>
      <c r="V55" s="27"/>
      <c r="W55" s="27"/>
      <c r="X55" s="28" t="str">
        <f>IFERROR(VLOOKUP(V55,Horarios!$H:$I,2,0),"")</f>
        <v/>
      </c>
      <c r="Y55" s="28" t="str">
        <f>IFERROR(VLOOKUP(W55,Horarios!$H:$I,2,0),"")</f>
        <v/>
      </c>
      <c r="Z55" s="28" t="str">
        <f t="shared" si="3"/>
        <v>00:00</v>
      </c>
      <c r="AA55" s="29"/>
      <c r="AB55" s="27"/>
      <c r="AC55" s="27"/>
      <c r="AD55" s="28" t="str">
        <f>IFERROR(VLOOKUP(AB55,Horarios!$H:$I,2,0),"")</f>
        <v/>
      </c>
      <c r="AE55" s="28" t="str">
        <f>IFERROR(VLOOKUP(AC55,Horarios!$H:$I,2,0),"")</f>
        <v/>
      </c>
      <c r="AF55" s="28" t="str">
        <f t="shared" si="4"/>
        <v>00:00</v>
      </c>
      <c r="AG55" s="29"/>
      <c r="AH55" s="27"/>
      <c r="AI55" s="27"/>
      <c r="AJ55" s="28" t="str">
        <f>IFERROR(VLOOKUP(AH55,Horarios!$H:$I,2,0),"")</f>
        <v/>
      </c>
      <c r="AK55" s="28" t="str">
        <f>IFERROR(VLOOKUP(AI55,Horarios!$H:$I,2,0),"")</f>
        <v/>
      </c>
      <c r="AL55" s="28" t="str">
        <f t="shared" si="5"/>
        <v>00:00</v>
      </c>
      <c r="AM55" s="29"/>
      <c r="AN55" s="27"/>
      <c r="AO55" s="27"/>
      <c r="AP55" s="28" t="str">
        <f>IFERROR(VLOOKUP(AN55,Horarios!$H:$I,2,0),"")</f>
        <v/>
      </c>
      <c r="AQ55" s="28" t="str">
        <f>IFERROR(VLOOKUP(AO55,Horarios!$H:$I,2,0),"")</f>
        <v/>
      </c>
      <c r="AR55" s="28" t="str">
        <f t="shared" si="6"/>
        <v>00:00</v>
      </c>
      <c r="AS55" s="29"/>
      <c r="AT55" s="31" t="str">
        <f t="shared" si="7"/>
        <v/>
      </c>
      <c r="AU55" s="27"/>
      <c r="AV55" s="27"/>
      <c r="AW55" s="28" t="str">
        <f>IFERROR(VLOOKUP(AU55,Horarios!$H:$I,2,0),"")</f>
        <v/>
      </c>
      <c r="AX55" s="28" t="str">
        <f>IFERROR(VLOOKUP(AV55,Horarios!$H:$I,2,0),"")</f>
        <v/>
      </c>
      <c r="AY55" s="28" t="str">
        <f t="shared" si="8"/>
        <v>00:00</v>
      </c>
      <c r="AZ55" s="29"/>
      <c r="BA55" s="27"/>
      <c r="BB55" s="27"/>
      <c r="BC55" s="28" t="str">
        <f>IFERROR(VLOOKUP(BA55,Horarios!$H:$I,2,0),"")</f>
        <v/>
      </c>
      <c r="BD55" s="28" t="str">
        <f>IFERROR(VLOOKUP(BB55,Horarios!$H:$I,2,0),"")</f>
        <v/>
      </c>
      <c r="BE55" s="28" t="str">
        <f t="shared" si="9"/>
        <v>00:00</v>
      </c>
      <c r="BF55" s="29"/>
      <c r="BG55" s="27"/>
      <c r="BH55" s="27"/>
      <c r="BI55" s="28" t="str">
        <f>IFERROR(VLOOKUP(BG55,Horarios!$H:$I,2,0),"")</f>
        <v/>
      </c>
      <c r="BJ55" s="28" t="str">
        <f>IFERROR(VLOOKUP(BH55,Horarios!$H:$I,2,0),"")</f>
        <v/>
      </c>
      <c r="BK55" s="28" t="str">
        <f t="shared" si="10"/>
        <v>00:00</v>
      </c>
      <c r="BL55" s="29"/>
      <c r="BM55" s="27"/>
      <c r="BN55" s="27"/>
      <c r="BO55" s="28" t="str">
        <f>IFERROR(VLOOKUP(BM55,Horarios!$H:$I,2,0),"")</f>
        <v/>
      </c>
      <c r="BP55" s="28" t="str">
        <f>IFERROR(VLOOKUP(BN55,Horarios!$H:$I,2,0),"")</f>
        <v/>
      </c>
      <c r="BQ55" s="28" t="str">
        <f t="shared" si="11"/>
        <v>00:00</v>
      </c>
      <c r="BR55" s="29"/>
      <c r="BS55" s="27"/>
      <c r="BT55" s="27"/>
      <c r="BU55" s="28" t="str">
        <f>IFERROR(VLOOKUP(BS55,Horarios!$H:$I,2,0),"")</f>
        <v/>
      </c>
      <c r="BV55" s="28" t="str">
        <f>IFERROR(VLOOKUP(BT55,Horarios!$H:$I,2,0),"")</f>
        <v/>
      </c>
      <c r="BW55" s="28" t="str">
        <f t="shared" si="12"/>
        <v>00:00</v>
      </c>
      <c r="BX55" s="29"/>
      <c r="BY55" s="27"/>
      <c r="BZ55" s="27"/>
      <c r="CA55" s="28" t="str">
        <f>IFERROR(VLOOKUP(BY55,Horarios!$H:$I,2,0),"")</f>
        <v/>
      </c>
      <c r="CB55" s="28" t="str">
        <f>IFERROR(VLOOKUP(BZ55,Horarios!$H:$I,2,0),"")</f>
        <v/>
      </c>
      <c r="CC55" s="28" t="str">
        <f t="shared" si="13"/>
        <v>00:00</v>
      </c>
      <c r="CD55" s="29"/>
      <c r="CE55" s="27"/>
      <c r="CF55" s="27"/>
      <c r="CG55" s="28" t="str">
        <f>IFERROR(VLOOKUP(CE55,Horarios!$H:$I,2,0),"")</f>
        <v/>
      </c>
      <c r="CH55" s="28" t="str">
        <f>IFERROR(VLOOKUP(CF55,Horarios!$H:$I,2,0),"")</f>
        <v/>
      </c>
      <c r="CI55" s="28" t="str">
        <f t="shared" si="14"/>
        <v>00:00</v>
      </c>
      <c r="CJ55" s="29"/>
      <c r="CK55" s="31" t="str">
        <f t="shared" si="15"/>
        <v/>
      </c>
      <c r="CL55" s="27"/>
      <c r="CM55" s="27"/>
      <c r="CN55" s="28" t="str">
        <f>IFERROR(VLOOKUP(CL55,Horarios!$H:$I,2,0),"")</f>
        <v/>
      </c>
      <c r="CO55" s="28" t="str">
        <f>IFERROR(VLOOKUP(CM55,Horarios!$H:$I,2,0),"")</f>
        <v/>
      </c>
      <c r="CP55" s="28" t="str">
        <f t="shared" si="16"/>
        <v>00:00</v>
      </c>
      <c r="CQ55" s="29"/>
      <c r="CR55" s="27"/>
      <c r="CS55" s="27"/>
      <c r="CT55" s="28" t="str">
        <f>IFERROR(VLOOKUP(CR55,Horarios!$H:$I,2,0),"")</f>
        <v/>
      </c>
      <c r="CU55" s="28" t="str">
        <f>IFERROR(VLOOKUP(CS55,Horarios!$H:$I,2,0),"")</f>
        <v/>
      </c>
      <c r="CV55" s="28" t="str">
        <f t="shared" si="17"/>
        <v>00:00</v>
      </c>
      <c r="CW55" s="29"/>
      <c r="CX55" s="27"/>
      <c r="CY55" s="27"/>
      <c r="CZ55" s="28" t="str">
        <f>IFERROR(VLOOKUP(CX55,Horarios!$H:$I,2,0),"")</f>
        <v/>
      </c>
      <c r="DA55" s="28" t="str">
        <f>IFERROR(VLOOKUP(CY55,Horarios!$H:$I,2,0),"")</f>
        <v/>
      </c>
      <c r="DB55" s="28" t="str">
        <f t="shared" si="18"/>
        <v>00:00</v>
      </c>
      <c r="DC55" s="29"/>
      <c r="DD55" s="27"/>
      <c r="DE55" s="27"/>
      <c r="DF55" s="28" t="str">
        <f>IFERROR(VLOOKUP(DD55,Horarios!$H:$I,2,0),"")</f>
        <v/>
      </c>
      <c r="DG55" s="28" t="str">
        <f>IFERROR(VLOOKUP(DE55,Horarios!$H:$I,2,0),"")</f>
        <v/>
      </c>
      <c r="DH55" s="28" t="str">
        <f t="shared" si="19"/>
        <v>00:00</v>
      </c>
      <c r="DI55" s="29"/>
      <c r="DJ55" s="27"/>
      <c r="DK55" s="27"/>
      <c r="DL55" s="28" t="str">
        <f>IFERROR(VLOOKUP(DJ55,Horarios!$H:$I,2,0),"")</f>
        <v/>
      </c>
      <c r="DM55" s="28" t="str">
        <f>IFERROR(VLOOKUP(DK55,Horarios!$H:$I,2,0),"")</f>
        <v/>
      </c>
      <c r="DN55" s="28" t="str">
        <f t="shared" si="20"/>
        <v>00:00</v>
      </c>
      <c r="DO55" s="29"/>
      <c r="DP55" s="27"/>
      <c r="DQ55" s="27"/>
      <c r="DR55" s="28" t="str">
        <f>IFERROR(VLOOKUP(DP55,Horarios!$H:$I,2,0),"")</f>
        <v/>
      </c>
      <c r="DS55" s="28" t="str">
        <f>IFERROR(VLOOKUP(DQ55,Horarios!$H:$I,2,0),"")</f>
        <v/>
      </c>
      <c r="DT55" s="28" t="str">
        <f t="shared" si="21"/>
        <v>00:00</v>
      </c>
      <c r="DU55" s="29"/>
      <c r="DV55" s="27"/>
      <c r="DW55" s="27"/>
      <c r="DX55" s="28" t="str">
        <f>IFERROR(VLOOKUP(DV55,Horarios!$H:$I,2,0),"")</f>
        <v/>
      </c>
      <c r="DY55" s="28" t="str">
        <f>IFERROR(VLOOKUP(DW55,Horarios!$H:$I,2,0),"")</f>
        <v/>
      </c>
      <c r="DZ55" s="28" t="str">
        <f t="shared" si="22"/>
        <v>00:00</v>
      </c>
      <c r="EA55" s="29"/>
      <c r="EB55" s="31" t="str">
        <f t="shared" si="23"/>
        <v/>
      </c>
      <c r="EC55" s="27"/>
      <c r="ED55" s="27"/>
      <c r="EE55" s="28" t="str">
        <f>IFERROR(VLOOKUP(EC55,Horarios!$H:$I,2,0),"")</f>
        <v/>
      </c>
      <c r="EF55" s="28" t="str">
        <f>IFERROR(VLOOKUP(ED55,Horarios!$H:$I,2,0),"")</f>
        <v/>
      </c>
      <c r="EG55" s="28" t="str">
        <f t="shared" si="24"/>
        <v>00:00</v>
      </c>
      <c r="EH55" s="29"/>
      <c r="EI55" s="27"/>
      <c r="EJ55" s="27"/>
      <c r="EK55" s="28" t="str">
        <f>IFERROR(VLOOKUP(EI55,Horarios!$H:$I,2,0),"")</f>
        <v/>
      </c>
      <c r="EL55" s="28" t="str">
        <f>IFERROR(VLOOKUP(EJ55,Horarios!$H:$I,2,0),"")</f>
        <v/>
      </c>
      <c r="EM55" s="28" t="str">
        <f t="shared" si="25"/>
        <v>00:00</v>
      </c>
      <c r="EN55" s="29"/>
      <c r="EO55" s="27"/>
      <c r="EP55" s="27"/>
      <c r="EQ55" s="28" t="str">
        <f>IFERROR(VLOOKUP(EO55,Horarios!$H:$I,2,0),"")</f>
        <v/>
      </c>
      <c r="ER55" s="28" t="str">
        <f>IFERROR(VLOOKUP(EP55,Horarios!$H:$I,2,0),"")</f>
        <v/>
      </c>
      <c r="ES55" s="28" t="str">
        <f t="shared" si="26"/>
        <v>00:00</v>
      </c>
      <c r="ET55" s="29"/>
      <c r="EU55" s="27"/>
      <c r="EV55" s="27"/>
      <c r="EW55" s="28" t="str">
        <f>IFERROR(VLOOKUP(EU55,Horarios!$H:$I,2,0),"")</f>
        <v/>
      </c>
      <c r="EX55" s="28" t="str">
        <f>IFERROR(VLOOKUP(EV55,Horarios!$H:$I,2,0),"")</f>
        <v/>
      </c>
      <c r="EY55" s="28" t="str">
        <f t="shared" si="27"/>
        <v>00:00</v>
      </c>
      <c r="EZ55" s="29"/>
      <c r="FA55" s="27"/>
      <c r="FB55" s="27"/>
      <c r="FC55" s="28" t="str">
        <f>IFERROR(VLOOKUP(FA55,Horarios!$H:$I,2,0),"")</f>
        <v/>
      </c>
      <c r="FD55" s="28" t="str">
        <f>IFERROR(VLOOKUP(FB55,Horarios!$H:$I,2,0),"")</f>
        <v/>
      </c>
      <c r="FE55" s="28" t="str">
        <f t="shared" si="28"/>
        <v>00:00</v>
      </c>
      <c r="FF55" s="29"/>
      <c r="FG55" s="27"/>
      <c r="FH55" s="27"/>
      <c r="FI55" s="28" t="str">
        <f>IFERROR(VLOOKUP(FG55,Horarios!$H:$I,2,0),"")</f>
        <v/>
      </c>
      <c r="FJ55" s="28" t="str">
        <f>IFERROR(VLOOKUP(FH55,Horarios!$H:$I,2,0),"")</f>
        <v/>
      </c>
      <c r="FK55" s="28" t="str">
        <f t="shared" si="29"/>
        <v>00:00</v>
      </c>
      <c r="FL55" s="29"/>
      <c r="FM55" s="27"/>
      <c r="FN55" s="27"/>
      <c r="FO55" s="28" t="str">
        <f>IFERROR(VLOOKUP(FM55,Horarios!$H:$I,2,0),"")</f>
        <v/>
      </c>
      <c r="FP55" s="28" t="str">
        <f>IFERROR(VLOOKUP(FN55,Horarios!$H:$I,2,0),"")</f>
        <v/>
      </c>
      <c r="FQ55" s="28" t="str">
        <f t="shared" si="30"/>
        <v>00:00</v>
      </c>
      <c r="FR55" s="29"/>
      <c r="FS55" s="31" t="str">
        <f t="shared" si="31"/>
        <v/>
      </c>
      <c r="FT55" s="27"/>
      <c r="FU55" s="27"/>
      <c r="FV55" s="28" t="str">
        <f>IFERROR(VLOOKUP(FT55,Horarios!$H:$I,2,0),"")</f>
        <v/>
      </c>
      <c r="FW55" s="28" t="str">
        <f>IFERROR(VLOOKUP(FU55,Horarios!$H:$I,2,0),"")</f>
        <v/>
      </c>
      <c r="FX55" s="28" t="str">
        <f t="shared" si="32"/>
        <v>00:00</v>
      </c>
      <c r="FY55" s="29"/>
      <c r="FZ55" s="27"/>
      <c r="GA55" s="27"/>
      <c r="GB55" s="28" t="str">
        <f>IFERROR(VLOOKUP(FZ55,Horarios!$H:$I,2,0),"")</f>
        <v/>
      </c>
      <c r="GC55" s="28" t="str">
        <f>IFERROR(VLOOKUP(GA55,Horarios!$H:$I,2,0),"")</f>
        <v/>
      </c>
      <c r="GD55" s="28" t="str">
        <f t="shared" si="33"/>
        <v>00:00</v>
      </c>
      <c r="GE55" s="29"/>
      <c r="GF55" s="27"/>
      <c r="GG55" s="27"/>
      <c r="GH55" s="28" t="str">
        <f>IFERROR(VLOOKUP(GF55,Horarios!$H:$I,2,0),"")</f>
        <v/>
      </c>
      <c r="GI55" s="28" t="str">
        <f>IFERROR(VLOOKUP(GG55,Horarios!$H:$I,2,0),"")</f>
        <v/>
      </c>
      <c r="GJ55" s="28" t="str">
        <f t="shared" si="34"/>
        <v>00:00</v>
      </c>
      <c r="GK55" s="29"/>
      <c r="GL55" s="27"/>
      <c r="GM55" s="27"/>
      <c r="GN55" s="28" t="str">
        <f>IFERROR(VLOOKUP(GL55,Horarios!$H:$I,2,0),"")</f>
        <v/>
      </c>
      <c r="GO55" s="28" t="str">
        <f>IFERROR(VLOOKUP(GM55,Horarios!$H:$I,2,0),"")</f>
        <v/>
      </c>
      <c r="GP55" s="28" t="str">
        <f t="shared" si="35"/>
        <v>00:00</v>
      </c>
      <c r="GQ55" s="29"/>
      <c r="GR55" s="27"/>
      <c r="GS55" s="27"/>
      <c r="GT55" s="28" t="str">
        <f>IFERROR(VLOOKUP(GR55,Horarios!$H:$I,2,0),"")</f>
        <v/>
      </c>
      <c r="GU55" s="28" t="str">
        <f>IFERROR(VLOOKUP(GS55,Horarios!$H:$I,2,0),"")</f>
        <v/>
      </c>
      <c r="GV55" s="28" t="str">
        <f t="shared" si="36"/>
        <v>00:00</v>
      </c>
      <c r="GW55" s="29"/>
      <c r="GX55" s="27"/>
      <c r="GY55" s="27"/>
      <c r="GZ55" s="28" t="str">
        <f>IFERROR(VLOOKUP(GX55,Horarios!$H:$I,2,0),"")</f>
        <v/>
      </c>
      <c r="HA55" s="28" t="str">
        <f>IFERROR(VLOOKUP(GY55,Horarios!$H:$I,2,0),"")</f>
        <v/>
      </c>
      <c r="HB55" s="28" t="str">
        <f t="shared" si="37"/>
        <v>00:00</v>
      </c>
      <c r="HC55" s="29"/>
      <c r="HD55" s="27"/>
      <c r="HE55" s="27"/>
      <c r="HF55" s="28" t="str">
        <f>IFERROR(VLOOKUP(HD55,Horarios!$H:$I,2,0),"")</f>
        <v/>
      </c>
      <c r="HG55" s="28" t="str">
        <f>IFERROR(VLOOKUP(HE55,Horarios!$H:$I,2,0),"")</f>
        <v/>
      </c>
      <c r="HH55" s="28" t="str">
        <f t="shared" si="38"/>
        <v>00:00</v>
      </c>
      <c r="HI55" s="29"/>
      <c r="HJ55" s="31" t="str">
        <f t="shared" si="39"/>
        <v/>
      </c>
      <c r="HK55" s="27"/>
      <c r="HL55" s="27"/>
      <c r="HM55" s="28" t="str">
        <f>IFERROR(VLOOKUP(HK55,Horarios!$H:$I,2,0),"")</f>
        <v/>
      </c>
      <c r="HN55" s="28" t="str">
        <f>IFERROR(VLOOKUP(HL55,Horarios!$H:$I,2,0),"")</f>
        <v/>
      </c>
      <c r="HO55" s="28" t="str">
        <f t="shared" si="40"/>
        <v>00:00</v>
      </c>
      <c r="HP55" s="29"/>
      <c r="HQ55" s="27"/>
      <c r="HR55" s="27"/>
      <c r="HS55" s="28" t="str">
        <f>IFERROR(VLOOKUP(HQ55,Horarios!$H:$I,2,0),"")</f>
        <v/>
      </c>
      <c r="HT55" s="28" t="str">
        <f>IFERROR(VLOOKUP(HR55,Horarios!$H:$I,2,0),"")</f>
        <v/>
      </c>
      <c r="HU55" s="28" t="str">
        <f t="shared" si="41"/>
        <v>00:00</v>
      </c>
      <c r="HV55" s="29"/>
      <c r="HW55" s="27"/>
      <c r="HX55" s="27"/>
      <c r="HY55" s="28" t="str">
        <f>IFERROR(VLOOKUP(HW55,Horarios!$H:$I,2,0),"")</f>
        <v/>
      </c>
      <c r="HZ55" s="28" t="str">
        <f>IFERROR(VLOOKUP(HX55,Horarios!$H:$I,2,0),"")</f>
        <v/>
      </c>
      <c r="IA55" s="28" t="str">
        <f t="shared" si="42"/>
        <v>00:00</v>
      </c>
      <c r="IB55" s="29"/>
      <c r="IC55" s="27"/>
      <c r="ID55" s="27"/>
      <c r="IE55" s="28" t="str">
        <f>IFERROR(VLOOKUP(IC55,Horarios!$H:$I,2,0),"")</f>
        <v/>
      </c>
      <c r="IF55" s="28" t="str">
        <f>IFERROR(VLOOKUP(ID55,Horarios!$H:$I,2,0),"")</f>
        <v/>
      </c>
      <c r="IG55" s="28" t="str">
        <f t="shared" si="43"/>
        <v>00:00</v>
      </c>
      <c r="IH55" s="29"/>
      <c r="II55" s="27"/>
      <c r="IJ55" s="27"/>
      <c r="IK55" s="28" t="str">
        <f>IFERROR(VLOOKUP(II55,Horarios!$H:$I,2,0),"")</f>
        <v/>
      </c>
      <c r="IL55" s="28" t="str">
        <f>IFERROR(VLOOKUP(IJ55,Horarios!$H:$I,2,0),"")</f>
        <v/>
      </c>
      <c r="IM55" s="28" t="str">
        <f t="shared" si="44"/>
        <v>00:00</v>
      </c>
      <c r="IN55" s="29"/>
      <c r="IO55" s="27"/>
      <c r="IP55" s="27"/>
      <c r="IQ55" s="28" t="str">
        <f>IFERROR(VLOOKUP(IO55,Horarios!$H:$I,2,0),"")</f>
        <v/>
      </c>
      <c r="IR55" s="28" t="str">
        <f>IFERROR(VLOOKUP(IP55,Horarios!$H:$I,2,0),"")</f>
        <v/>
      </c>
      <c r="IS55" s="28" t="str">
        <f t="shared" si="45"/>
        <v>00:00</v>
      </c>
      <c r="IT55" s="29"/>
      <c r="IU55" s="27"/>
      <c r="IV55" s="27"/>
      <c r="IW55" s="28" t="str">
        <f>IFERROR(VLOOKUP(IU55,Horarios!$H:$I,2,0),"")</f>
        <v/>
      </c>
      <c r="IX55" s="28" t="str">
        <f>IFERROR(VLOOKUP(IV55,Horarios!$H:$I,2,0),"")</f>
        <v/>
      </c>
      <c r="IY55" s="28" t="str">
        <f t="shared" si="46"/>
        <v>00:00</v>
      </c>
      <c r="IZ55" s="29"/>
      <c r="JA55" s="31" t="str">
        <f t="shared" si="47"/>
        <v/>
      </c>
    </row>
    <row r="56" spans="1:261" s="24" customFormat="1" ht="17.399999999999999" x14ac:dyDescent="0.25">
      <c r="A56" s="25"/>
      <c r="B56" s="26" t="str">
        <f>IFERROR(VLOOKUP(A56,BaseNombres!A:B,2,0),"")</f>
        <v/>
      </c>
      <c r="C56" s="26" t="str">
        <f>IFERROR(VLOOKUP(A56,BaseNombres!A:C,3,0),"")</f>
        <v/>
      </c>
      <c r="D56" s="27"/>
      <c r="E56" s="27"/>
      <c r="F56" s="28" t="str">
        <f>IFERROR(VLOOKUP(D56,Horarios!$H:$I,2,0),"")</f>
        <v/>
      </c>
      <c r="G56" s="28" t="str">
        <f>IFERROR(VLOOKUP(E56,Horarios!$H:$I,2,0),"")</f>
        <v/>
      </c>
      <c r="H56" s="28" t="str">
        <f t="shared" si="0"/>
        <v>00:00</v>
      </c>
      <c r="I56" s="29"/>
      <c r="J56" s="27"/>
      <c r="K56" s="27"/>
      <c r="L56" s="28" t="str">
        <f>IFERROR(VLOOKUP(J56,Horarios!$H:$I,2,0),"")</f>
        <v/>
      </c>
      <c r="M56" s="28" t="str">
        <f>IFERROR(VLOOKUP(K56,Horarios!$H:$I,2,0),"")</f>
        <v/>
      </c>
      <c r="N56" s="28" t="str">
        <f t="shared" si="1"/>
        <v>00:00</v>
      </c>
      <c r="O56" s="29"/>
      <c r="P56" s="27"/>
      <c r="Q56" s="27"/>
      <c r="R56" s="28" t="str">
        <f>IFERROR(VLOOKUP(P56,Horarios!$H:$I,2,0),"")</f>
        <v/>
      </c>
      <c r="S56" s="28" t="str">
        <f>IFERROR(VLOOKUP(Q56,Horarios!$H:$I,2,0),"")</f>
        <v/>
      </c>
      <c r="T56" s="28" t="str">
        <f t="shared" si="2"/>
        <v>00:00</v>
      </c>
      <c r="U56" s="29"/>
      <c r="V56" s="27"/>
      <c r="W56" s="27"/>
      <c r="X56" s="28" t="str">
        <f>IFERROR(VLOOKUP(V56,Horarios!$H:$I,2,0),"")</f>
        <v/>
      </c>
      <c r="Y56" s="28" t="str">
        <f>IFERROR(VLOOKUP(W56,Horarios!$H:$I,2,0),"")</f>
        <v/>
      </c>
      <c r="Z56" s="28" t="str">
        <f t="shared" si="3"/>
        <v>00:00</v>
      </c>
      <c r="AA56" s="29"/>
      <c r="AB56" s="27"/>
      <c r="AC56" s="27"/>
      <c r="AD56" s="28" t="str">
        <f>IFERROR(VLOOKUP(AB56,Horarios!$H:$I,2,0),"")</f>
        <v/>
      </c>
      <c r="AE56" s="28" t="str">
        <f>IFERROR(VLOOKUP(AC56,Horarios!$H:$I,2,0),"")</f>
        <v/>
      </c>
      <c r="AF56" s="28" t="str">
        <f t="shared" si="4"/>
        <v>00:00</v>
      </c>
      <c r="AG56" s="29"/>
      <c r="AH56" s="27"/>
      <c r="AI56" s="27"/>
      <c r="AJ56" s="28" t="str">
        <f>IFERROR(VLOOKUP(AH56,Horarios!$H:$I,2,0),"")</f>
        <v/>
      </c>
      <c r="AK56" s="28" t="str">
        <f>IFERROR(VLOOKUP(AI56,Horarios!$H:$I,2,0),"")</f>
        <v/>
      </c>
      <c r="AL56" s="28" t="str">
        <f t="shared" si="5"/>
        <v>00:00</v>
      </c>
      <c r="AM56" s="29"/>
      <c r="AN56" s="27"/>
      <c r="AO56" s="27"/>
      <c r="AP56" s="28" t="str">
        <f>IFERROR(VLOOKUP(AN56,Horarios!$H:$I,2,0),"")</f>
        <v/>
      </c>
      <c r="AQ56" s="28" t="str">
        <f>IFERROR(VLOOKUP(AO56,Horarios!$H:$I,2,0),"")</f>
        <v/>
      </c>
      <c r="AR56" s="28" t="str">
        <f t="shared" si="6"/>
        <v>00:00</v>
      </c>
      <c r="AS56" s="29"/>
      <c r="AT56" s="31" t="str">
        <f t="shared" si="7"/>
        <v/>
      </c>
      <c r="AU56" s="27"/>
      <c r="AV56" s="27"/>
      <c r="AW56" s="28" t="str">
        <f>IFERROR(VLOOKUP(AU56,Horarios!$H:$I,2,0),"")</f>
        <v/>
      </c>
      <c r="AX56" s="28" t="str">
        <f>IFERROR(VLOOKUP(AV56,Horarios!$H:$I,2,0),"")</f>
        <v/>
      </c>
      <c r="AY56" s="28" t="str">
        <f t="shared" si="8"/>
        <v>00:00</v>
      </c>
      <c r="AZ56" s="29"/>
      <c r="BA56" s="27"/>
      <c r="BB56" s="27"/>
      <c r="BC56" s="28" t="str">
        <f>IFERROR(VLOOKUP(BA56,Horarios!$H:$I,2,0),"")</f>
        <v/>
      </c>
      <c r="BD56" s="28" t="str">
        <f>IFERROR(VLOOKUP(BB56,Horarios!$H:$I,2,0),"")</f>
        <v/>
      </c>
      <c r="BE56" s="28" t="str">
        <f t="shared" si="9"/>
        <v>00:00</v>
      </c>
      <c r="BF56" s="29"/>
      <c r="BG56" s="27"/>
      <c r="BH56" s="27"/>
      <c r="BI56" s="28" t="str">
        <f>IFERROR(VLOOKUP(BG56,Horarios!$H:$I,2,0),"")</f>
        <v/>
      </c>
      <c r="BJ56" s="28" t="str">
        <f>IFERROR(VLOOKUP(BH56,Horarios!$H:$I,2,0),"")</f>
        <v/>
      </c>
      <c r="BK56" s="28" t="str">
        <f t="shared" si="10"/>
        <v>00:00</v>
      </c>
      <c r="BL56" s="29"/>
      <c r="BM56" s="27"/>
      <c r="BN56" s="27"/>
      <c r="BO56" s="28" t="str">
        <f>IFERROR(VLOOKUP(BM56,Horarios!$H:$I,2,0),"")</f>
        <v/>
      </c>
      <c r="BP56" s="28" t="str">
        <f>IFERROR(VLOOKUP(BN56,Horarios!$H:$I,2,0),"")</f>
        <v/>
      </c>
      <c r="BQ56" s="28" t="str">
        <f t="shared" si="11"/>
        <v>00:00</v>
      </c>
      <c r="BR56" s="29"/>
      <c r="BS56" s="27"/>
      <c r="BT56" s="27"/>
      <c r="BU56" s="28" t="str">
        <f>IFERROR(VLOOKUP(BS56,Horarios!$H:$I,2,0),"")</f>
        <v/>
      </c>
      <c r="BV56" s="28" t="str">
        <f>IFERROR(VLOOKUP(BT56,Horarios!$H:$I,2,0),"")</f>
        <v/>
      </c>
      <c r="BW56" s="28" t="str">
        <f t="shared" si="12"/>
        <v>00:00</v>
      </c>
      <c r="BX56" s="29"/>
      <c r="BY56" s="27"/>
      <c r="BZ56" s="27"/>
      <c r="CA56" s="28" t="str">
        <f>IFERROR(VLOOKUP(BY56,Horarios!$H:$I,2,0),"")</f>
        <v/>
      </c>
      <c r="CB56" s="28" t="str">
        <f>IFERROR(VLOOKUP(BZ56,Horarios!$H:$I,2,0),"")</f>
        <v/>
      </c>
      <c r="CC56" s="28" t="str">
        <f t="shared" si="13"/>
        <v>00:00</v>
      </c>
      <c r="CD56" s="29"/>
      <c r="CE56" s="27"/>
      <c r="CF56" s="27"/>
      <c r="CG56" s="28" t="str">
        <f>IFERROR(VLOOKUP(CE56,Horarios!$H:$I,2,0),"")</f>
        <v/>
      </c>
      <c r="CH56" s="28" t="str">
        <f>IFERROR(VLOOKUP(CF56,Horarios!$H:$I,2,0),"")</f>
        <v/>
      </c>
      <c r="CI56" s="28" t="str">
        <f t="shared" si="14"/>
        <v>00:00</v>
      </c>
      <c r="CJ56" s="29"/>
      <c r="CK56" s="31" t="str">
        <f t="shared" si="15"/>
        <v/>
      </c>
      <c r="CL56" s="27"/>
      <c r="CM56" s="27"/>
      <c r="CN56" s="28" t="str">
        <f>IFERROR(VLOOKUP(CL56,Horarios!$H:$I,2,0),"")</f>
        <v/>
      </c>
      <c r="CO56" s="28" t="str">
        <f>IFERROR(VLOOKUP(CM56,Horarios!$H:$I,2,0),"")</f>
        <v/>
      </c>
      <c r="CP56" s="28" t="str">
        <f t="shared" si="16"/>
        <v>00:00</v>
      </c>
      <c r="CQ56" s="29"/>
      <c r="CR56" s="27"/>
      <c r="CS56" s="27"/>
      <c r="CT56" s="28" t="str">
        <f>IFERROR(VLOOKUP(CR56,Horarios!$H:$I,2,0),"")</f>
        <v/>
      </c>
      <c r="CU56" s="28" t="str">
        <f>IFERROR(VLOOKUP(CS56,Horarios!$H:$I,2,0),"")</f>
        <v/>
      </c>
      <c r="CV56" s="28" t="str">
        <f t="shared" si="17"/>
        <v>00:00</v>
      </c>
      <c r="CW56" s="29"/>
      <c r="CX56" s="27"/>
      <c r="CY56" s="27"/>
      <c r="CZ56" s="28" t="str">
        <f>IFERROR(VLOOKUP(CX56,Horarios!$H:$I,2,0),"")</f>
        <v/>
      </c>
      <c r="DA56" s="28" t="str">
        <f>IFERROR(VLOOKUP(CY56,Horarios!$H:$I,2,0),"")</f>
        <v/>
      </c>
      <c r="DB56" s="28" t="str">
        <f t="shared" si="18"/>
        <v>00:00</v>
      </c>
      <c r="DC56" s="29"/>
      <c r="DD56" s="27"/>
      <c r="DE56" s="27"/>
      <c r="DF56" s="28" t="str">
        <f>IFERROR(VLOOKUP(DD56,Horarios!$H:$I,2,0),"")</f>
        <v/>
      </c>
      <c r="DG56" s="28" t="str">
        <f>IFERROR(VLOOKUP(DE56,Horarios!$H:$I,2,0),"")</f>
        <v/>
      </c>
      <c r="DH56" s="28" t="str">
        <f t="shared" si="19"/>
        <v>00:00</v>
      </c>
      <c r="DI56" s="29"/>
      <c r="DJ56" s="27"/>
      <c r="DK56" s="27"/>
      <c r="DL56" s="28" t="str">
        <f>IFERROR(VLOOKUP(DJ56,Horarios!$H:$I,2,0),"")</f>
        <v/>
      </c>
      <c r="DM56" s="28" t="str">
        <f>IFERROR(VLOOKUP(DK56,Horarios!$H:$I,2,0),"")</f>
        <v/>
      </c>
      <c r="DN56" s="28" t="str">
        <f t="shared" si="20"/>
        <v>00:00</v>
      </c>
      <c r="DO56" s="29"/>
      <c r="DP56" s="27"/>
      <c r="DQ56" s="27"/>
      <c r="DR56" s="28" t="str">
        <f>IFERROR(VLOOKUP(DP56,Horarios!$H:$I,2,0),"")</f>
        <v/>
      </c>
      <c r="DS56" s="28" t="str">
        <f>IFERROR(VLOOKUP(DQ56,Horarios!$H:$I,2,0),"")</f>
        <v/>
      </c>
      <c r="DT56" s="28" t="str">
        <f t="shared" si="21"/>
        <v>00:00</v>
      </c>
      <c r="DU56" s="29"/>
      <c r="DV56" s="27"/>
      <c r="DW56" s="27"/>
      <c r="DX56" s="28" t="str">
        <f>IFERROR(VLOOKUP(DV56,Horarios!$H:$I,2,0),"")</f>
        <v/>
      </c>
      <c r="DY56" s="28" t="str">
        <f>IFERROR(VLOOKUP(DW56,Horarios!$H:$I,2,0),"")</f>
        <v/>
      </c>
      <c r="DZ56" s="28" t="str">
        <f t="shared" si="22"/>
        <v>00:00</v>
      </c>
      <c r="EA56" s="29"/>
      <c r="EB56" s="31" t="str">
        <f t="shared" si="23"/>
        <v/>
      </c>
      <c r="EC56" s="27"/>
      <c r="ED56" s="27"/>
      <c r="EE56" s="28" t="str">
        <f>IFERROR(VLOOKUP(EC56,Horarios!$H:$I,2,0),"")</f>
        <v/>
      </c>
      <c r="EF56" s="28" t="str">
        <f>IFERROR(VLOOKUP(ED56,Horarios!$H:$I,2,0),"")</f>
        <v/>
      </c>
      <c r="EG56" s="28" t="str">
        <f t="shared" si="24"/>
        <v>00:00</v>
      </c>
      <c r="EH56" s="29"/>
      <c r="EI56" s="27"/>
      <c r="EJ56" s="27"/>
      <c r="EK56" s="28" t="str">
        <f>IFERROR(VLOOKUP(EI56,Horarios!$H:$I,2,0),"")</f>
        <v/>
      </c>
      <c r="EL56" s="28" t="str">
        <f>IFERROR(VLOOKUP(EJ56,Horarios!$H:$I,2,0),"")</f>
        <v/>
      </c>
      <c r="EM56" s="28" t="str">
        <f t="shared" si="25"/>
        <v>00:00</v>
      </c>
      <c r="EN56" s="29"/>
      <c r="EO56" s="27"/>
      <c r="EP56" s="27"/>
      <c r="EQ56" s="28" t="str">
        <f>IFERROR(VLOOKUP(EO56,Horarios!$H:$I,2,0),"")</f>
        <v/>
      </c>
      <c r="ER56" s="28" t="str">
        <f>IFERROR(VLOOKUP(EP56,Horarios!$H:$I,2,0),"")</f>
        <v/>
      </c>
      <c r="ES56" s="28" t="str">
        <f t="shared" si="26"/>
        <v>00:00</v>
      </c>
      <c r="ET56" s="29"/>
      <c r="EU56" s="27"/>
      <c r="EV56" s="27"/>
      <c r="EW56" s="28" t="str">
        <f>IFERROR(VLOOKUP(EU56,Horarios!$H:$I,2,0),"")</f>
        <v/>
      </c>
      <c r="EX56" s="28" t="str">
        <f>IFERROR(VLOOKUP(EV56,Horarios!$H:$I,2,0),"")</f>
        <v/>
      </c>
      <c r="EY56" s="28" t="str">
        <f t="shared" si="27"/>
        <v>00:00</v>
      </c>
      <c r="EZ56" s="29"/>
      <c r="FA56" s="27"/>
      <c r="FB56" s="27"/>
      <c r="FC56" s="28" t="str">
        <f>IFERROR(VLOOKUP(FA56,Horarios!$H:$I,2,0),"")</f>
        <v/>
      </c>
      <c r="FD56" s="28" t="str">
        <f>IFERROR(VLOOKUP(FB56,Horarios!$H:$I,2,0),"")</f>
        <v/>
      </c>
      <c r="FE56" s="28" t="str">
        <f t="shared" si="28"/>
        <v>00:00</v>
      </c>
      <c r="FF56" s="29"/>
      <c r="FG56" s="27"/>
      <c r="FH56" s="27"/>
      <c r="FI56" s="28" t="str">
        <f>IFERROR(VLOOKUP(FG56,Horarios!$H:$I,2,0),"")</f>
        <v/>
      </c>
      <c r="FJ56" s="28" t="str">
        <f>IFERROR(VLOOKUP(FH56,Horarios!$H:$I,2,0),"")</f>
        <v/>
      </c>
      <c r="FK56" s="28" t="str">
        <f t="shared" si="29"/>
        <v>00:00</v>
      </c>
      <c r="FL56" s="29"/>
      <c r="FM56" s="27"/>
      <c r="FN56" s="27"/>
      <c r="FO56" s="28" t="str">
        <f>IFERROR(VLOOKUP(FM56,Horarios!$H:$I,2,0),"")</f>
        <v/>
      </c>
      <c r="FP56" s="28" t="str">
        <f>IFERROR(VLOOKUP(FN56,Horarios!$H:$I,2,0),"")</f>
        <v/>
      </c>
      <c r="FQ56" s="28" t="str">
        <f t="shared" si="30"/>
        <v>00:00</v>
      </c>
      <c r="FR56" s="29"/>
      <c r="FS56" s="31" t="str">
        <f t="shared" si="31"/>
        <v/>
      </c>
      <c r="FT56" s="27"/>
      <c r="FU56" s="27"/>
      <c r="FV56" s="28" t="str">
        <f>IFERROR(VLOOKUP(FT56,Horarios!$H:$I,2,0),"")</f>
        <v/>
      </c>
      <c r="FW56" s="28" t="str">
        <f>IFERROR(VLOOKUP(FU56,Horarios!$H:$I,2,0),"")</f>
        <v/>
      </c>
      <c r="FX56" s="28" t="str">
        <f t="shared" si="32"/>
        <v>00:00</v>
      </c>
      <c r="FY56" s="29"/>
      <c r="FZ56" s="27"/>
      <c r="GA56" s="27"/>
      <c r="GB56" s="28" t="str">
        <f>IFERROR(VLOOKUP(FZ56,Horarios!$H:$I,2,0),"")</f>
        <v/>
      </c>
      <c r="GC56" s="28" t="str">
        <f>IFERROR(VLOOKUP(GA56,Horarios!$H:$I,2,0),"")</f>
        <v/>
      </c>
      <c r="GD56" s="28" t="str">
        <f t="shared" si="33"/>
        <v>00:00</v>
      </c>
      <c r="GE56" s="29"/>
      <c r="GF56" s="27"/>
      <c r="GG56" s="27"/>
      <c r="GH56" s="28" t="str">
        <f>IFERROR(VLOOKUP(GF56,Horarios!$H:$I,2,0),"")</f>
        <v/>
      </c>
      <c r="GI56" s="28" t="str">
        <f>IFERROR(VLOOKUP(GG56,Horarios!$H:$I,2,0),"")</f>
        <v/>
      </c>
      <c r="GJ56" s="28" t="str">
        <f t="shared" si="34"/>
        <v>00:00</v>
      </c>
      <c r="GK56" s="29"/>
      <c r="GL56" s="27"/>
      <c r="GM56" s="27"/>
      <c r="GN56" s="28" t="str">
        <f>IFERROR(VLOOKUP(GL56,Horarios!$H:$I,2,0),"")</f>
        <v/>
      </c>
      <c r="GO56" s="28" t="str">
        <f>IFERROR(VLOOKUP(GM56,Horarios!$H:$I,2,0),"")</f>
        <v/>
      </c>
      <c r="GP56" s="28" t="str">
        <f t="shared" si="35"/>
        <v>00:00</v>
      </c>
      <c r="GQ56" s="29"/>
      <c r="GR56" s="27"/>
      <c r="GS56" s="27"/>
      <c r="GT56" s="28" t="str">
        <f>IFERROR(VLOOKUP(GR56,Horarios!$H:$I,2,0),"")</f>
        <v/>
      </c>
      <c r="GU56" s="28" t="str">
        <f>IFERROR(VLOOKUP(GS56,Horarios!$H:$I,2,0),"")</f>
        <v/>
      </c>
      <c r="GV56" s="28" t="str">
        <f t="shared" si="36"/>
        <v>00:00</v>
      </c>
      <c r="GW56" s="29"/>
      <c r="GX56" s="27"/>
      <c r="GY56" s="27"/>
      <c r="GZ56" s="28" t="str">
        <f>IFERROR(VLOOKUP(GX56,Horarios!$H:$I,2,0),"")</f>
        <v/>
      </c>
      <c r="HA56" s="28" t="str">
        <f>IFERROR(VLOOKUP(GY56,Horarios!$H:$I,2,0),"")</f>
        <v/>
      </c>
      <c r="HB56" s="28" t="str">
        <f t="shared" si="37"/>
        <v>00:00</v>
      </c>
      <c r="HC56" s="29"/>
      <c r="HD56" s="27"/>
      <c r="HE56" s="27"/>
      <c r="HF56" s="28" t="str">
        <f>IFERROR(VLOOKUP(HD56,Horarios!$H:$I,2,0),"")</f>
        <v/>
      </c>
      <c r="HG56" s="28" t="str">
        <f>IFERROR(VLOOKUP(HE56,Horarios!$H:$I,2,0),"")</f>
        <v/>
      </c>
      <c r="HH56" s="28" t="str">
        <f t="shared" si="38"/>
        <v>00:00</v>
      </c>
      <c r="HI56" s="29"/>
      <c r="HJ56" s="31" t="str">
        <f t="shared" si="39"/>
        <v/>
      </c>
      <c r="HK56" s="27"/>
      <c r="HL56" s="27"/>
      <c r="HM56" s="28" t="str">
        <f>IFERROR(VLOOKUP(HK56,Horarios!$H:$I,2,0),"")</f>
        <v/>
      </c>
      <c r="HN56" s="28" t="str">
        <f>IFERROR(VLOOKUP(HL56,Horarios!$H:$I,2,0),"")</f>
        <v/>
      </c>
      <c r="HO56" s="28" t="str">
        <f t="shared" si="40"/>
        <v>00:00</v>
      </c>
      <c r="HP56" s="29"/>
      <c r="HQ56" s="27"/>
      <c r="HR56" s="27"/>
      <c r="HS56" s="28" t="str">
        <f>IFERROR(VLOOKUP(HQ56,Horarios!$H:$I,2,0),"")</f>
        <v/>
      </c>
      <c r="HT56" s="28" t="str">
        <f>IFERROR(VLOOKUP(HR56,Horarios!$H:$I,2,0),"")</f>
        <v/>
      </c>
      <c r="HU56" s="28" t="str">
        <f t="shared" si="41"/>
        <v>00:00</v>
      </c>
      <c r="HV56" s="29"/>
      <c r="HW56" s="27"/>
      <c r="HX56" s="27"/>
      <c r="HY56" s="28" t="str">
        <f>IFERROR(VLOOKUP(HW56,Horarios!$H:$I,2,0),"")</f>
        <v/>
      </c>
      <c r="HZ56" s="28" t="str">
        <f>IFERROR(VLOOKUP(HX56,Horarios!$H:$I,2,0),"")</f>
        <v/>
      </c>
      <c r="IA56" s="28" t="str">
        <f t="shared" si="42"/>
        <v>00:00</v>
      </c>
      <c r="IB56" s="29"/>
      <c r="IC56" s="27"/>
      <c r="ID56" s="27"/>
      <c r="IE56" s="28" t="str">
        <f>IFERROR(VLOOKUP(IC56,Horarios!$H:$I,2,0),"")</f>
        <v/>
      </c>
      <c r="IF56" s="28" t="str">
        <f>IFERROR(VLOOKUP(ID56,Horarios!$H:$I,2,0),"")</f>
        <v/>
      </c>
      <c r="IG56" s="28" t="str">
        <f t="shared" si="43"/>
        <v>00:00</v>
      </c>
      <c r="IH56" s="29"/>
      <c r="II56" s="27"/>
      <c r="IJ56" s="27"/>
      <c r="IK56" s="28" t="str">
        <f>IFERROR(VLOOKUP(II56,Horarios!$H:$I,2,0),"")</f>
        <v/>
      </c>
      <c r="IL56" s="28" t="str">
        <f>IFERROR(VLOOKUP(IJ56,Horarios!$H:$I,2,0),"")</f>
        <v/>
      </c>
      <c r="IM56" s="28" t="str">
        <f t="shared" si="44"/>
        <v>00:00</v>
      </c>
      <c r="IN56" s="29"/>
      <c r="IO56" s="27"/>
      <c r="IP56" s="27"/>
      <c r="IQ56" s="28" t="str">
        <f>IFERROR(VLOOKUP(IO56,Horarios!$H:$I,2,0),"")</f>
        <v/>
      </c>
      <c r="IR56" s="28" t="str">
        <f>IFERROR(VLOOKUP(IP56,Horarios!$H:$I,2,0),"")</f>
        <v/>
      </c>
      <c r="IS56" s="28" t="str">
        <f t="shared" si="45"/>
        <v>00:00</v>
      </c>
      <c r="IT56" s="29"/>
      <c r="IU56" s="27"/>
      <c r="IV56" s="27"/>
      <c r="IW56" s="28" t="str">
        <f>IFERROR(VLOOKUP(IU56,Horarios!$H:$I,2,0),"")</f>
        <v/>
      </c>
      <c r="IX56" s="28" t="str">
        <f>IFERROR(VLOOKUP(IV56,Horarios!$H:$I,2,0),"")</f>
        <v/>
      </c>
      <c r="IY56" s="28" t="str">
        <f t="shared" si="46"/>
        <v>00:00</v>
      </c>
      <c r="IZ56" s="29"/>
      <c r="JA56" s="31" t="str">
        <f t="shared" si="47"/>
        <v/>
      </c>
    </row>
    <row r="57" spans="1:261" s="24" customFormat="1" ht="17.399999999999999" x14ac:dyDescent="0.25">
      <c r="A57" s="25"/>
      <c r="B57" s="26" t="str">
        <f>IFERROR(VLOOKUP(A57,BaseNombres!A:B,2,0),"")</f>
        <v/>
      </c>
      <c r="C57" s="26" t="str">
        <f>IFERROR(VLOOKUP(A57,BaseNombres!A:C,3,0),"")</f>
        <v/>
      </c>
      <c r="D57" s="27"/>
      <c r="E57" s="27"/>
      <c r="F57" s="28" t="str">
        <f>IFERROR(VLOOKUP(D57,Horarios!$H:$I,2,0),"")</f>
        <v/>
      </c>
      <c r="G57" s="28" t="str">
        <f>IFERROR(VLOOKUP(E57,Horarios!$H:$I,2,0),"")</f>
        <v/>
      </c>
      <c r="H57" s="28" t="str">
        <f t="shared" si="0"/>
        <v>00:00</v>
      </c>
      <c r="I57" s="29"/>
      <c r="J57" s="27"/>
      <c r="K57" s="27"/>
      <c r="L57" s="28" t="str">
        <f>IFERROR(VLOOKUP(J57,Horarios!$H:$I,2,0),"")</f>
        <v/>
      </c>
      <c r="M57" s="28" t="str">
        <f>IFERROR(VLOOKUP(K57,Horarios!$H:$I,2,0),"")</f>
        <v/>
      </c>
      <c r="N57" s="28" t="str">
        <f t="shared" si="1"/>
        <v>00:00</v>
      </c>
      <c r="O57" s="29"/>
      <c r="P57" s="27"/>
      <c r="Q57" s="27"/>
      <c r="R57" s="28" t="str">
        <f>IFERROR(VLOOKUP(P57,Horarios!$H:$I,2,0),"")</f>
        <v/>
      </c>
      <c r="S57" s="28" t="str">
        <f>IFERROR(VLOOKUP(Q57,Horarios!$H:$I,2,0),"")</f>
        <v/>
      </c>
      <c r="T57" s="28" t="str">
        <f t="shared" si="2"/>
        <v>00:00</v>
      </c>
      <c r="U57" s="29"/>
      <c r="V57" s="27"/>
      <c r="W57" s="27"/>
      <c r="X57" s="28" t="str">
        <f>IFERROR(VLOOKUP(V57,Horarios!$H:$I,2,0),"")</f>
        <v/>
      </c>
      <c r="Y57" s="28" t="str">
        <f>IFERROR(VLOOKUP(W57,Horarios!$H:$I,2,0),"")</f>
        <v/>
      </c>
      <c r="Z57" s="28" t="str">
        <f t="shared" si="3"/>
        <v>00:00</v>
      </c>
      <c r="AA57" s="29"/>
      <c r="AB57" s="27"/>
      <c r="AC57" s="27"/>
      <c r="AD57" s="28" t="str">
        <f>IFERROR(VLOOKUP(AB57,Horarios!$H:$I,2,0),"")</f>
        <v/>
      </c>
      <c r="AE57" s="28" t="str">
        <f>IFERROR(VLOOKUP(AC57,Horarios!$H:$I,2,0),"")</f>
        <v/>
      </c>
      <c r="AF57" s="28" t="str">
        <f t="shared" si="4"/>
        <v>00:00</v>
      </c>
      <c r="AG57" s="29"/>
      <c r="AH57" s="27"/>
      <c r="AI57" s="27"/>
      <c r="AJ57" s="28" t="str">
        <f>IFERROR(VLOOKUP(AH57,Horarios!$H:$I,2,0),"")</f>
        <v/>
      </c>
      <c r="AK57" s="28" t="str">
        <f>IFERROR(VLOOKUP(AI57,Horarios!$H:$I,2,0),"")</f>
        <v/>
      </c>
      <c r="AL57" s="28" t="str">
        <f t="shared" si="5"/>
        <v>00:00</v>
      </c>
      <c r="AM57" s="29"/>
      <c r="AN57" s="27"/>
      <c r="AO57" s="27"/>
      <c r="AP57" s="28" t="str">
        <f>IFERROR(VLOOKUP(AN57,Horarios!$H:$I,2,0),"")</f>
        <v/>
      </c>
      <c r="AQ57" s="28" t="str">
        <f>IFERROR(VLOOKUP(AO57,Horarios!$H:$I,2,0),"")</f>
        <v/>
      </c>
      <c r="AR57" s="28" t="str">
        <f t="shared" si="6"/>
        <v>00:00</v>
      </c>
      <c r="AS57" s="29"/>
      <c r="AT57" s="31" t="str">
        <f t="shared" si="7"/>
        <v/>
      </c>
      <c r="AU57" s="27"/>
      <c r="AV57" s="27"/>
      <c r="AW57" s="28" t="str">
        <f>IFERROR(VLOOKUP(AU57,Horarios!$H:$I,2,0),"")</f>
        <v/>
      </c>
      <c r="AX57" s="28" t="str">
        <f>IFERROR(VLOOKUP(AV57,Horarios!$H:$I,2,0),"")</f>
        <v/>
      </c>
      <c r="AY57" s="28" t="str">
        <f t="shared" si="8"/>
        <v>00:00</v>
      </c>
      <c r="AZ57" s="29"/>
      <c r="BA57" s="27"/>
      <c r="BB57" s="27"/>
      <c r="BC57" s="28" t="str">
        <f>IFERROR(VLOOKUP(BA57,Horarios!$H:$I,2,0),"")</f>
        <v/>
      </c>
      <c r="BD57" s="28" t="str">
        <f>IFERROR(VLOOKUP(BB57,Horarios!$H:$I,2,0),"")</f>
        <v/>
      </c>
      <c r="BE57" s="28" t="str">
        <f t="shared" si="9"/>
        <v>00:00</v>
      </c>
      <c r="BF57" s="29"/>
      <c r="BG57" s="27"/>
      <c r="BH57" s="27"/>
      <c r="BI57" s="28" t="str">
        <f>IFERROR(VLOOKUP(BG57,Horarios!$H:$I,2,0),"")</f>
        <v/>
      </c>
      <c r="BJ57" s="28" t="str">
        <f>IFERROR(VLOOKUP(BH57,Horarios!$H:$I,2,0),"")</f>
        <v/>
      </c>
      <c r="BK57" s="28" t="str">
        <f t="shared" si="10"/>
        <v>00:00</v>
      </c>
      <c r="BL57" s="29"/>
      <c r="BM57" s="27"/>
      <c r="BN57" s="27"/>
      <c r="BO57" s="28" t="str">
        <f>IFERROR(VLOOKUP(BM57,Horarios!$H:$I,2,0),"")</f>
        <v/>
      </c>
      <c r="BP57" s="28" t="str">
        <f>IFERROR(VLOOKUP(BN57,Horarios!$H:$I,2,0),"")</f>
        <v/>
      </c>
      <c r="BQ57" s="28" t="str">
        <f t="shared" si="11"/>
        <v>00:00</v>
      </c>
      <c r="BR57" s="29"/>
      <c r="BS57" s="27"/>
      <c r="BT57" s="27"/>
      <c r="BU57" s="28" t="str">
        <f>IFERROR(VLOOKUP(BS57,Horarios!$H:$I,2,0),"")</f>
        <v/>
      </c>
      <c r="BV57" s="28" t="str">
        <f>IFERROR(VLOOKUP(BT57,Horarios!$H:$I,2,0),"")</f>
        <v/>
      </c>
      <c r="BW57" s="28" t="str">
        <f t="shared" si="12"/>
        <v>00:00</v>
      </c>
      <c r="BX57" s="29"/>
      <c r="BY57" s="27"/>
      <c r="BZ57" s="27"/>
      <c r="CA57" s="28" t="str">
        <f>IFERROR(VLOOKUP(BY57,Horarios!$H:$I,2,0),"")</f>
        <v/>
      </c>
      <c r="CB57" s="28" t="str">
        <f>IFERROR(VLOOKUP(BZ57,Horarios!$H:$I,2,0),"")</f>
        <v/>
      </c>
      <c r="CC57" s="28" t="str">
        <f t="shared" si="13"/>
        <v>00:00</v>
      </c>
      <c r="CD57" s="29"/>
      <c r="CE57" s="27"/>
      <c r="CF57" s="27"/>
      <c r="CG57" s="28" t="str">
        <f>IFERROR(VLOOKUP(CE57,Horarios!$H:$I,2,0),"")</f>
        <v/>
      </c>
      <c r="CH57" s="28" t="str">
        <f>IFERROR(VLOOKUP(CF57,Horarios!$H:$I,2,0),"")</f>
        <v/>
      </c>
      <c r="CI57" s="28" t="str">
        <f t="shared" si="14"/>
        <v>00:00</v>
      </c>
      <c r="CJ57" s="29"/>
      <c r="CK57" s="31" t="str">
        <f t="shared" si="15"/>
        <v/>
      </c>
      <c r="CL57" s="27"/>
      <c r="CM57" s="27"/>
      <c r="CN57" s="28" t="str">
        <f>IFERROR(VLOOKUP(CL57,Horarios!$H:$I,2,0),"")</f>
        <v/>
      </c>
      <c r="CO57" s="28" t="str">
        <f>IFERROR(VLOOKUP(CM57,Horarios!$H:$I,2,0),"")</f>
        <v/>
      </c>
      <c r="CP57" s="28" t="str">
        <f t="shared" si="16"/>
        <v>00:00</v>
      </c>
      <c r="CQ57" s="29"/>
      <c r="CR57" s="27"/>
      <c r="CS57" s="27"/>
      <c r="CT57" s="28" t="str">
        <f>IFERROR(VLOOKUP(CR57,Horarios!$H:$I,2,0),"")</f>
        <v/>
      </c>
      <c r="CU57" s="28" t="str">
        <f>IFERROR(VLOOKUP(CS57,Horarios!$H:$I,2,0),"")</f>
        <v/>
      </c>
      <c r="CV57" s="28" t="str">
        <f t="shared" si="17"/>
        <v>00:00</v>
      </c>
      <c r="CW57" s="29"/>
      <c r="CX57" s="27"/>
      <c r="CY57" s="27"/>
      <c r="CZ57" s="28" t="str">
        <f>IFERROR(VLOOKUP(CX57,Horarios!$H:$I,2,0),"")</f>
        <v/>
      </c>
      <c r="DA57" s="28" t="str">
        <f>IFERROR(VLOOKUP(CY57,Horarios!$H:$I,2,0),"")</f>
        <v/>
      </c>
      <c r="DB57" s="28" t="str">
        <f t="shared" si="18"/>
        <v>00:00</v>
      </c>
      <c r="DC57" s="29"/>
      <c r="DD57" s="27"/>
      <c r="DE57" s="27"/>
      <c r="DF57" s="28" t="str">
        <f>IFERROR(VLOOKUP(DD57,Horarios!$H:$I,2,0),"")</f>
        <v/>
      </c>
      <c r="DG57" s="28" t="str">
        <f>IFERROR(VLOOKUP(DE57,Horarios!$H:$I,2,0),"")</f>
        <v/>
      </c>
      <c r="DH57" s="28" t="str">
        <f t="shared" si="19"/>
        <v>00:00</v>
      </c>
      <c r="DI57" s="29"/>
      <c r="DJ57" s="27"/>
      <c r="DK57" s="27"/>
      <c r="DL57" s="28" t="str">
        <f>IFERROR(VLOOKUP(DJ57,Horarios!$H:$I,2,0),"")</f>
        <v/>
      </c>
      <c r="DM57" s="28" t="str">
        <f>IFERROR(VLOOKUP(DK57,Horarios!$H:$I,2,0),"")</f>
        <v/>
      </c>
      <c r="DN57" s="28" t="str">
        <f t="shared" si="20"/>
        <v>00:00</v>
      </c>
      <c r="DO57" s="29"/>
      <c r="DP57" s="27"/>
      <c r="DQ57" s="27"/>
      <c r="DR57" s="28" t="str">
        <f>IFERROR(VLOOKUP(DP57,Horarios!$H:$I,2,0),"")</f>
        <v/>
      </c>
      <c r="DS57" s="28" t="str">
        <f>IFERROR(VLOOKUP(DQ57,Horarios!$H:$I,2,0),"")</f>
        <v/>
      </c>
      <c r="DT57" s="28" t="str">
        <f t="shared" si="21"/>
        <v>00:00</v>
      </c>
      <c r="DU57" s="29"/>
      <c r="DV57" s="27"/>
      <c r="DW57" s="27"/>
      <c r="DX57" s="28" t="str">
        <f>IFERROR(VLOOKUP(DV57,Horarios!$H:$I,2,0),"")</f>
        <v/>
      </c>
      <c r="DY57" s="28" t="str">
        <f>IFERROR(VLOOKUP(DW57,Horarios!$H:$I,2,0),"")</f>
        <v/>
      </c>
      <c r="DZ57" s="28" t="str">
        <f t="shared" si="22"/>
        <v>00:00</v>
      </c>
      <c r="EA57" s="29"/>
      <c r="EB57" s="31" t="str">
        <f t="shared" si="23"/>
        <v/>
      </c>
      <c r="EC57" s="27"/>
      <c r="ED57" s="27"/>
      <c r="EE57" s="28" t="str">
        <f>IFERROR(VLOOKUP(EC57,Horarios!$H:$I,2,0),"")</f>
        <v/>
      </c>
      <c r="EF57" s="28" t="str">
        <f>IFERROR(VLOOKUP(ED57,Horarios!$H:$I,2,0),"")</f>
        <v/>
      </c>
      <c r="EG57" s="28" t="str">
        <f t="shared" si="24"/>
        <v>00:00</v>
      </c>
      <c r="EH57" s="29"/>
      <c r="EI57" s="27"/>
      <c r="EJ57" s="27"/>
      <c r="EK57" s="28" t="str">
        <f>IFERROR(VLOOKUP(EI57,Horarios!$H:$I,2,0),"")</f>
        <v/>
      </c>
      <c r="EL57" s="28" t="str">
        <f>IFERROR(VLOOKUP(EJ57,Horarios!$H:$I,2,0),"")</f>
        <v/>
      </c>
      <c r="EM57" s="28" t="str">
        <f t="shared" si="25"/>
        <v>00:00</v>
      </c>
      <c r="EN57" s="29"/>
      <c r="EO57" s="27"/>
      <c r="EP57" s="27"/>
      <c r="EQ57" s="28" t="str">
        <f>IFERROR(VLOOKUP(EO57,Horarios!$H:$I,2,0),"")</f>
        <v/>
      </c>
      <c r="ER57" s="28" t="str">
        <f>IFERROR(VLOOKUP(EP57,Horarios!$H:$I,2,0),"")</f>
        <v/>
      </c>
      <c r="ES57" s="28" t="str">
        <f t="shared" si="26"/>
        <v>00:00</v>
      </c>
      <c r="ET57" s="29"/>
      <c r="EU57" s="27"/>
      <c r="EV57" s="27"/>
      <c r="EW57" s="28" t="str">
        <f>IFERROR(VLOOKUP(EU57,Horarios!$H:$I,2,0),"")</f>
        <v/>
      </c>
      <c r="EX57" s="28" t="str">
        <f>IFERROR(VLOOKUP(EV57,Horarios!$H:$I,2,0),"")</f>
        <v/>
      </c>
      <c r="EY57" s="28" t="str">
        <f t="shared" si="27"/>
        <v>00:00</v>
      </c>
      <c r="EZ57" s="29"/>
      <c r="FA57" s="27"/>
      <c r="FB57" s="27"/>
      <c r="FC57" s="28" t="str">
        <f>IFERROR(VLOOKUP(FA57,Horarios!$H:$I,2,0),"")</f>
        <v/>
      </c>
      <c r="FD57" s="28" t="str">
        <f>IFERROR(VLOOKUP(FB57,Horarios!$H:$I,2,0),"")</f>
        <v/>
      </c>
      <c r="FE57" s="28" t="str">
        <f t="shared" si="28"/>
        <v>00:00</v>
      </c>
      <c r="FF57" s="29"/>
      <c r="FG57" s="27"/>
      <c r="FH57" s="27"/>
      <c r="FI57" s="28" t="str">
        <f>IFERROR(VLOOKUP(FG57,Horarios!$H:$I,2,0),"")</f>
        <v/>
      </c>
      <c r="FJ57" s="28" t="str">
        <f>IFERROR(VLOOKUP(FH57,Horarios!$H:$I,2,0),"")</f>
        <v/>
      </c>
      <c r="FK57" s="28" t="str">
        <f t="shared" si="29"/>
        <v>00:00</v>
      </c>
      <c r="FL57" s="29"/>
      <c r="FM57" s="27"/>
      <c r="FN57" s="27"/>
      <c r="FO57" s="28" t="str">
        <f>IFERROR(VLOOKUP(FM57,Horarios!$H:$I,2,0),"")</f>
        <v/>
      </c>
      <c r="FP57" s="28" t="str">
        <f>IFERROR(VLOOKUP(FN57,Horarios!$H:$I,2,0),"")</f>
        <v/>
      </c>
      <c r="FQ57" s="28" t="str">
        <f t="shared" si="30"/>
        <v>00:00</v>
      </c>
      <c r="FR57" s="29"/>
      <c r="FS57" s="31" t="str">
        <f t="shared" si="31"/>
        <v/>
      </c>
      <c r="FT57" s="27"/>
      <c r="FU57" s="27"/>
      <c r="FV57" s="28" t="str">
        <f>IFERROR(VLOOKUP(FT57,Horarios!$H:$I,2,0),"")</f>
        <v/>
      </c>
      <c r="FW57" s="28" t="str">
        <f>IFERROR(VLOOKUP(FU57,Horarios!$H:$I,2,0),"")</f>
        <v/>
      </c>
      <c r="FX57" s="28" t="str">
        <f t="shared" si="32"/>
        <v>00:00</v>
      </c>
      <c r="FY57" s="29"/>
      <c r="FZ57" s="27"/>
      <c r="GA57" s="27"/>
      <c r="GB57" s="28" t="str">
        <f>IFERROR(VLOOKUP(FZ57,Horarios!$H:$I,2,0),"")</f>
        <v/>
      </c>
      <c r="GC57" s="28" t="str">
        <f>IFERROR(VLOOKUP(GA57,Horarios!$H:$I,2,0),"")</f>
        <v/>
      </c>
      <c r="GD57" s="28" t="str">
        <f t="shared" si="33"/>
        <v>00:00</v>
      </c>
      <c r="GE57" s="29"/>
      <c r="GF57" s="27"/>
      <c r="GG57" s="27"/>
      <c r="GH57" s="28" t="str">
        <f>IFERROR(VLOOKUP(GF57,Horarios!$H:$I,2,0),"")</f>
        <v/>
      </c>
      <c r="GI57" s="28" t="str">
        <f>IFERROR(VLOOKUP(GG57,Horarios!$H:$I,2,0),"")</f>
        <v/>
      </c>
      <c r="GJ57" s="28" t="str">
        <f t="shared" si="34"/>
        <v>00:00</v>
      </c>
      <c r="GK57" s="29"/>
      <c r="GL57" s="27"/>
      <c r="GM57" s="27"/>
      <c r="GN57" s="28" t="str">
        <f>IFERROR(VLOOKUP(GL57,Horarios!$H:$I,2,0),"")</f>
        <v/>
      </c>
      <c r="GO57" s="28" t="str">
        <f>IFERROR(VLOOKUP(GM57,Horarios!$H:$I,2,0),"")</f>
        <v/>
      </c>
      <c r="GP57" s="28" t="str">
        <f t="shared" si="35"/>
        <v>00:00</v>
      </c>
      <c r="GQ57" s="29"/>
      <c r="GR57" s="27"/>
      <c r="GS57" s="27"/>
      <c r="GT57" s="28" t="str">
        <f>IFERROR(VLOOKUP(GR57,Horarios!$H:$I,2,0),"")</f>
        <v/>
      </c>
      <c r="GU57" s="28" t="str">
        <f>IFERROR(VLOOKUP(GS57,Horarios!$H:$I,2,0),"")</f>
        <v/>
      </c>
      <c r="GV57" s="28" t="str">
        <f t="shared" si="36"/>
        <v>00:00</v>
      </c>
      <c r="GW57" s="29"/>
      <c r="GX57" s="27"/>
      <c r="GY57" s="27"/>
      <c r="GZ57" s="28" t="str">
        <f>IFERROR(VLOOKUP(GX57,Horarios!$H:$I,2,0),"")</f>
        <v/>
      </c>
      <c r="HA57" s="28" t="str">
        <f>IFERROR(VLOOKUP(GY57,Horarios!$H:$I,2,0),"")</f>
        <v/>
      </c>
      <c r="HB57" s="28" t="str">
        <f t="shared" si="37"/>
        <v>00:00</v>
      </c>
      <c r="HC57" s="29"/>
      <c r="HD57" s="27"/>
      <c r="HE57" s="27"/>
      <c r="HF57" s="28" t="str">
        <f>IFERROR(VLOOKUP(HD57,Horarios!$H:$I,2,0),"")</f>
        <v/>
      </c>
      <c r="HG57" s="28" t="str">
        <f>IFERROR(VLOOKUP(HE57,Horarios!$H:$I,2,0),"")</f>
        <v/>
      </c>
      <c r="HH57" s="28" t="str">
        <f t="shared" si="38"/>
        <v>00:00</v>
      </c>
      <c r="HI57" s="29"/>
      <c r="HJ57" s="31" t="str">
        <f t="shared" si="39"/>
        <v/>
      </c>
      <c r="HK57" s="27"/>
      <c r="HL57" s="27"/>
      <c r="HM57" s="28" t="str">
        <f>IFERROR(VLOOKUP(HK57,Horarios!$H:$I,2,0),"")</f>
        <v/>
      </c>
      <c r="HN57" s="28" t="str">
        <f>IFERROR(VLOOKUP(HL57,Horarios!$H:$I,2,0),"")</f>
        <v/>
      </c>
      <c r="HO57" s="28" t="str">
        <f t="shared" si="40"/>
        <v>00:00</v>
      </c>
      <c r="HP57" s="29"/>
      <c r="HQ57" s="27"/>
      <c r="HR57" s="27"/>
      <c r="HS57" s="28" t="str">
        <f>IFERROR(VLOOKUP(HQ57,Horarios!$H:$I,2,0),"")</f>
        <v/>
      </c>
      <c r="HT57" s="28" t="str">
        <f>IFERROR(VLOOKUP(HR57,Horarios!$H:$I,2,0),"")</f>
        <v/>
      </c>
      <c r="HU57" s="28" t="str">
        <f t="shared" si="41"/>
        <v>00:00</v>
      </c>
      <c r="HV57" s="29"/>
      <c r="HW57" s="27"/>
      <c r="HX57" s="27"/>
      <c r="HY57" s="28" t="str">
        <f>IFERROR(VLOOKUP(HW57,Horarios!$H:$I,2,0),"")</f>
        <v/>
      </c>
      <c r="HZ57" s="28" t="str">
        <f>IFERROR(VLOOKUP(HX57,Horarios!$H:$I,2,0),"")</f>
        <v/>
      </c>
      <c r="IA57" s="28" t="str">
        <f t="shared" si="42"/>
        <v>00:00</v>
      </c>
      <c r="IB57" s="29"/>
      <c r="IC57" s="27"/>
      <c r="ID57" s="27"/>
      <c r="IE57" s="28" t="str">
        <f>IFERROR(VLOOKUP(IC57,Horarios!$H:$I,2,0),"")</f>
        <v/>
      </c>
      <c r="IF57" s="28" t="str">
        <f>IFERROR(VLOOKUP(ID57,Horarios!$H:$I,2,0),"")</f>
        <v/>
      </c>
      <c r="IG57" s="28" t="str">
        <f t="shared" si="43"/>
        <v>00:00</v>
      </c>
      <c r="IH57" s="29"/>
      <c r="II57" s="27"/>
      <c r="IJ57" s="27"/>
      <c r="IK57" s="28" t="str">
        <f>IFERROR(VLOOKUP(II57,Horarios!$H:$I,2,0),"")</f>
        <v/>
      </c>
      <c r="IL57" s="28" t="str">
        <f>IFERROR(VLOOKUP(IJ57,Horarios!$H:$I,2,0),"")</f>
        <v/>
      </c>
      <c r="IM57" s="28" t="str">
        <f t="shared" si="44"/>
        <v>00:00</v>
      </c>
      <c r="IN57" s="29"/>
      <c r="IO57" s="27"/>
      <c r="IP57" s="27"/>
      <c r="IQ57" s="28" t="str">
        <f>IFERROR(VLOOKUP(IO57,Horarios!$H:$I,2,0),"")</f>
        <v/>
      </c>
      <c r="IR57" s="28" t="str">
        <f>IFERROR(VLOOKUP(IP57,Horarios!$H:$I,2,0),"")</f>
        <v/>
      </c>
      <c r="IS57" s="28" t="str">
        <f t="shared" si="45"/>
        <v>00:00</v>
      </c>
      <c r="IT57" s="29"/>
      <c r="IU57" s="27"/>
      <c r="IV57" s="27"/>
      <c r="IW57" s="28" t="str">
        <f>IFERROR(VLOOKUP(IU57,Horarios!$H:$I,2,0),"")</f>
        <v/>
      </c>
      <c r="IX57" s="28" t="str">
        <f>IFERROR(VLOOKUP(IV57,Horarios!$H:$I,2,0),"")</f>
        <v/>
      </c>
      <c r="IY57" s="28" t="str">
        <f t="shared" si="46"/>
        <v>00:00</v>
      </c>
      <c r="IZ57" s="29"/>
      <c r="JA57" s="31" t="str">
        <f t="shared" si="47"/>
        <v/>
      </c>
    </row>
    <row r="58" spans="1:261" s="24" customFormat="1" ht="17.399999999999999" x14ac:dyDescent="0.25">
      <c r="A58" s="25"/>
      <c r="B58" s="26" t="str">
        <f>IFERROR(VLOOKUP(A58,BaseNombres!A:B,2,0),"")</f>
        <v/>
      </c>
      <c r="C58" s="26" t="str">
        <f>IFERROR(VLOOKUP(A58,BaseNombres!A:C,3,0),"")</f>
        <v/>
      </c>
      <c r="D58" s="27"/>
      <c r="E58" s="27"/>
      <c r="F58" s="28" t="str">
        <f>IFERROR(VLOOKUP(D58,Horarios!$H:$I,2,0),"")</f>
        <v/>
      </c>
      <c r="G58" s="28" t="str">
        <f>IFERROR(VLOOKUP(E58,Horarios!$H:$I,2,0),"")</f>
        <v/>
      </c>
      <c r="H58" s="28" t="str">
        <f t="shared" si="0"/>
        <v>00:00</v>
      </c>
      <c r="I58" s="29"/>
      <c r="J58" s="27"/>
      <c r="K58" s="27"/>
      <c r="L58" s="28" t="str">
        <f>IFERROR(VLOOKUP(J58,Horarios!$H:$I,2,0),"")</f>
        <v/>
      </c>
      <c r="M58" s="28" t="str">
        <f>IFERROR(VLOOKUP(K58,Horarios!$H:$I,2,0),"")</f>
        <v/>
      </c>
      <c r="N58" s="28" t="str">
        <f t="shared" si="1"/>
        <v>00:00</v>
      </c>
      <c r="O58" s="29"/>
      <c r="P58" s="27"/>
      <c r="Q58" s="27"/>
      <c r="R58" s="28" t="str">
        <f>IFERROR(VLOOKUP(P58,Horarios!$H:$I,2,0),"")</f>
        <v/>
      </c>
      <c r="S58" s="28" t="str">
        <f>IFERROR(VLOOKUP(Q58,Horarios!$H:$I,2,0),"")</f>
        <v/>
      </c>
      <c r="T58" s="28" t="str">
        <f t="shared" si="2"/>
        <v>00:00</v>
      </c>
      <c r="U58" s="29"/>
      <c r="V58" s="27"/>
      <c r="W58" s="27"/>
      <c r="X58" s="28" t="str">
        <f>IFERROR(VLOOKUP(V58,Horarios!$H:$I,2,0),"")</f>
        <v/>
      </c>
      <c r="Y58" s="28" t="str">
        <f>IFERROR(VLOOKUP(W58,Horarios!$H:$I,2,0),"")</f>
        <v/>
      </c>
      <c r="Z58" s="28" t="str">
        <f t="shared" si="3"/>
        <v>00:00</v>
      </c>
      <c r="AA58" s="29"/>
      <c r="AB58" s="27"/>
      <c r="AC58" s="27"/>
      <c r="AD58" s="28" t="str">
        <f>IFERROR(VLOOKUP(AB58,Horarios!$H:$I,2,0),"")</f>
        <v/>
      </c>
      <c r="AE58" s="28" t="str">
        <f>IFERROR(VLOOKUP(AC58,Horarios!$H:$I,2,0),"")</f>
        <v/>
      </c>
      <c r="AF58" s="28" t="str">
        <f t="shared" si="4"/>
        <v>00:00</v>
      </c>
      <c r="AG58" s="29"/>
      <c r="AH58" s="27"/>
      <c r="AI58" s="27"/>
      <c r="AJ58" s="28" t="str">
        <f>IFERROR(VLOOKUP(AH58,Horarios!$H:$I,2,0),"")</f>
        <v/>
      </c>
      <c r="AK58" s="28" t="str">
        <f>IFERROR(VLOOKUP(AI58,Horarios!$H:$I,2,0),"")</f>
        <v/>
      </c>
      <c r="AL58" s="28" t="str">
        <f t="shared" si="5"/>
        <v>00:00</v>
      </c>
      <c r="AM58" s="29"/>
      <c r="AN58" s="27"/>
      <c r="AO58" s="27"/>
      <c r="AP58" s="28" t="str">
        <f>IFERROR(VLOOKUP(AN58,Horarios!$H:$I,2,0),"")</f>
        <v/>
      </c>
      <c r="AQ58" s="28" t="str">
        <f>IFERROR(VLOOKUP(AO58,Horarios!$H:$I,2,0),"")</f>
        <v/>
      </c>
      <c r="AR58" s="28" t="str">
        <f t="shared" si="6"/>
        <v>00:00</v>
      </c>
      <c r="AS58" s="29"/>
      <c r="AT58" s="31" t="str">
        <f t="shared" si="7"/>
        <v/>
      </c>
      <c r="AU58" s="27"/>
      <c r="AV58" s="27"/>
      <c r="AW58" s="28" t="str">
        <f>IFERROR(VLOOKUP(AU58,Horarios!$H:$I,2,0),"")</f>
        <v/>
      </c>
      <c r="AX58" s="28" t="str">
        <f>IFERROR(VLOOKUP(AV58,Horarios!$H:$I,2,0),"")</f>
        <v/>
      </c>
      <c r="AY58" s="28" t="str">
        <f t="shared" si="8"/>
        <v>00:00</v>
      </c>
      <c r="AZ58" s="29"/>
      <c r="BA58" s="27"/>
      <c r="BB58" s="27"/>
      <c r="BC58" s="28" t="str">
        <f>IFERROR(VLOOKUP(BA58,Horarios!$H:$I,2,0),"")</f>
        <v/>
      </c>
      <c r="BD58" s="28" t="str">
        <f>IFERROR(VLOOKUP(BB58,Horarios!$H:$I,2,0),"")</f>
        <v/>
      </c>
      <c r="BE58" s="28" t="str">
        <f t="shared" si="9"/>
        <v>00:00</v>
      </c>
      <c r="BF58" s="29"/>
      <c r="BG58" s="27"/>
      <c r="BH58" s="27"/>
      <c r="BI58" s="28" t="str">
        <f>IFERROR(VLOOKUP(BG58,Horarios!$H:$I,2,0),"")</f>
        <v/>
      </c>
      <c r="BJ58" s="28" t="str">
        <f>IFERROR(VLOOKUP(BH58,Horarios!$H:$I,2,0),"")</f>
        <v/>
      </c>
      <c r="BK58" s="28" t="str">
        <f t="shared" si="10"/>
        <v>00:00</v>
      </c>
      <c r="BL58" s="29"/>
      <c r="BM58" s="27"/>
      <c r="BN58" s="27"/>
      <c r="BO58" s="28" t="str">
        <f>IFERROR(VLOOKUP(BM58,Horarios!$H:$I,2,0),"")</f>
        <v/>
      </c>
      <c r="BP58" s="28" t="str">
        <f>IFERROR(VLOOKUP(BN58,Horarios!$H:$I,2,0),"")</f>
        <v/>
      </c>
      <c r="BQ58" s="28" t="str">
        <f t="shared" si="11"/>
        <v>00:00</v>
      </c>
      <c r="BR58" s="29"/>
      <c r="BS58" s="27"/>
      <c r="BT58" s="27"/>
      <c r="BU58" s="28" t="str">
        <f>IFERROR(VLOOKUP(BS58,Horarios!$H:$I,2,0),"")</f>
        <v/>
      </c>
      <c r="BV58" s="28" t="str">
        <f>IFERROR(VLOOKUP(BT58,Horarios!$H:$I,2,0),"")</f>
        <v/>
      </c>
      <c r="BW58" s="28" t="str">
        <f t="shared" si="12"/>
        <v>00:00</v>
      </c>
      <c r="BX58" s="29"/>
      <c r="BY58" s="27"/>
      <c r="BZ58" s="27"/>
      <c r="CA58" s="28" t="str">
        <f>IFERROR(VLOOKUP(BY58,Horarios!$H:$I,2,0),"")</f>
        <v/>
      </c>
      <c r="CB58" s="28" t="str">
        <f>IFERROR(VLOOKUP(BZ58,Horarios!$H:$I,2,0),"")</f>
        <v/>
      </c>
      <c r="CC58" s="28" t="str">
        <f t="shared" si="13"/>
        <v>00:00</v>
      </c>
      <c r="CD58" s="29"/>
      <c r="CE58" s="27"/>
      <c r="CF58" s="27"/>
      <c r="CG58" s="28" t="str">
        <f>IFERROR(VLOOKUP(CE58,Horarios!$H:$I,2,0),"")</f>
        <v/>
      </c>
      <c r="CH58" s="28" t="str">
        <f>IFERROR(VLOOKUP(CF58,Horarios!$H:$I,2,0),"")</f>
        <v/>
      </c>
      <c r="CI58" s="28" t="str">
        <f t="shared" si="14"/>
        <v>00:00</v>
      </c>
      <c r="CJ58" s="29"/>
      <c r="CK58" s="31" t="str">
        <f t="shared" si="15"/>
        <v/>
      </c>
      <c r="CL58" s="27"/>
      <c r="CM58" s="27"/>
      <c r="CN58" s="28" t="str">
        <f>IFERROR(VLOOKUP(CL58,Horarios!$H:$I,2,0),"")</f>
        <v/>
      </c>
      <c r="CO58" s="28" t="str">
        <f>IFERROR(VLOOKUP(CM58,Horarios!$H:$I,2,0),"")</f>
        <v/>
      </c>
      <c r="CP58" s="28" t="str">
        <f t="shared" si="16"/>
        <v>00:00</v>
      </c>
      <c r="CQ58" s="29"/>
      <c r="CR58" s="27"/>
      <c r="CS58" s="27"/>
      <c r="CT58" s="28" t="str">
        <f>IFERROR(VLOOKUP(CR58,Horarios!$H:$I,2,0),"")</f>
        <v/>
      </c>
      <c r="CU58" s="28" t="str">
        <f>IFERROR(VLOOKUP(CS58,Horarios!$H:$I,2,0),"")</f>
        <v/>
      </c>
      <c r="CV58" s="28" t="str">
        <f t="shared" si="17"/>
        <v>00:00</v>
      </c>
      <c r="CW58" s="29"/>
      <c r="CX58" s="27"/>
      <c r="CY58" s="27"/>
      <c r="CZ58" s="28" t="str">
        <f>IFERROR(VLOOKUP(CX58,Horarios!$H:$I,2,0),"")</f>
        <v/>
      </c>
      <c r="DA58" s="28" t="str">
        <f>IFERROR(VLOOKUP(CY58,Horarios!$H:$I,2,0),"")</f>
        <v/>
      </c>
      <c r="DB58" s="28" t="str">
        <f t="shared" si="18"/>
        <v>00:00</v>
      </c>
      <c r="DC58" s="29"/>
      <c r="DD58" s="27"/>
      <c r="DE58" s="27"/>
      <c r="DF58" s="28" t="str">
        <f>IFERROR(VLOOKUP(DD58,Horarios!$H:$I,2,0),"")</f>
        <v/>
      </c>
      <c r="DG58" s="28" t="str">
        <f>IFERROR(VLOOKUP(DE58,Horarios!$H:$I,2,0),"")</f>
        <v/>
      </c>
      <c r="DH58" s="28" t="str">
        <f t="shared" si="19"/>
        <v>00:00</v>
      </c>
      <c r="DI58" s="29"/>
      <c r="DJ58" s="27"/>
      <c r="DK58" s="27"/>
      <c r="DL58" s="28" t="str">
        <f>IFERROR(VLOOKUP(DJ58,Horarios!$H:$I,2,0),"")</f>
        <v/>
      </c>
      <c r="DM58" s="28" t="str">
        <f>IFERROR(VLOOKUP(DK58,Horarios!$H:$I,2,0),"")</f>
        <v/>
      </c>
      <c r="DN58" s="28" t="str">
        <f t="shared" si="20"/>
        <v>00:00</v>
      </c>
      <c r="DO58" s="29"/>
      <c r="DP58" s="27"/>
      <c r="DQ58" s="27"/>
      <c r="DR58" s="28" t="str">
        <f>IFERROR(VLOOKUP(DP58,Horarios!$H:$I,2,0),"")</f>
        <v/>
      </c>
      <c r="DS58" s="28" t="str">
        <f>IFERROR(VLOOKUP(DQ58,Horarios!$H:$I,2,0),"")</f>
        <v/>
      </c>
      <c r="DT58" s="28" t="str">
        <f t="shared" si="21"/>
        <v>00:00</v>
      </c>
      <c r="DU58" s="29"/>
      <c r="DV58" s="27"/>
      <c r="DW58" s="27"/>
      <c r="DX58" s="28" t="str">
        <f>IFERROR(VLOOKUP(DV58,Horarios!$H:$I,2,0),"")</f>
        <v/>
      </c>
      <c r="DY58" s="28" t="str">
        <f>IFERROR(VLOOKUP(DW58,Horarios!$H:$I,2,0),"")</f>
        <v/>
      </c>
      <c r="DZ58" s="28" t="str">
        <f t="shared" si="22"/>
        <v>00:00</v>
      </c>
      <c r="EA58" s="29"/>
      <c r="EB58" s="31" t="str">
        <f t="shared" si="23"/>
        <v/>
      </c>
      <c r="EC58" s="27"/>
      <c r="ED58" s="27"/>
      <c r="EE58" s="28" t="str">
        <f>IFERROR(VLOOKUP(EC58,Horarios!$H:$I,2,0),"")</f>
        <v/>
      </c>
      <c r="EF58" s="28" t="str">
        <f>IFERROR(VLOOKUP(ED58,Horarios!$H:$I,2,0),"")</f>
        <v/>
      </c>
      <c r="EG58" s="28" t="str">
        <f t="shared" si="24"/>
        <v>00:00</v>
      </c>
      <c r="EH58" s="29"/>
      <c r="EI58" s="27"/>
      <c r="EJ58" s="27"/>
      <c r="EK58" s="28" t="str">
        <f>IFERROR(VLOOKUP(EI58,Horarios!$H:$I,2,0),"")</f>
        <v/>
      </c>
      <c r="EL58" s="28" t="str">
        <f>IFERROR(VLOOKUP(EJ58,Horarios!$H:$I,2,0),"")</f>
        <v/>
      </c>
      <c r="EM58" s="28" t="str">
        <f t="shared" si="25"/>
        <v>00:00</v>
      </c>
      <c r="EN58" s="29"/>
      <c r="EO58" s="27"/>
      <c r="EP58" s="27"/>
      <c r="EQ58" s="28" t="str">
        <f>IFERROR(VLOOKUP(EO58,Horarios!$H:$I,2,0),"")</f>
        <v/>
      </c>
      <c r="ER58" s="28" t="str">
        <f>IFERROR(VLOOKUP(EP58,Horarios!$H:$I,2,0),"")</f>
        <v/>
      </c>
      <c r="ES58" s="28" t="str">
        <f t="shared" si="26"/>
        <v>00:00</v>
      </c>
      <c r="ET58" s="29"/>
      <c r="EU58" s="27"/>
      <c r="EV58" s="27"/>
      <c r="EW58" s="28" t="str">
        <f>IFERROR(VLOOKUP(EU58,Horarios!$H:$I,2,0),"")</f>
        <v/>
      </c>
      <c r="EX58" s="28" t="str">
        <f>IFERROR(VLOOKUP(EV58,Horarios!$H:$I,2,0),"")</f>
        <v/>
      </c>
      <c r="EY58" s="28" t="str">
        <f t="shared" si="27"/>
        <v>00:00</v>
      </c>
      <c r="EZ58" s="29"/>
      <c r="FA58" s="27"/>
      <c r="FB58" s="27"/>
      <c r="FC58" s="28" t="str">
        <f>IFERROR(VLOOKUP(FA58,Horarios!$H:$I,2,0),"")</f>
        <v/>
      </c>
      <c r="FD58" s="28" t="str">
        <f>IFERROR(VLOOKUP(FB58,Horarios!$H:$I,2,0),"")</f>
        <v/>
      </c>
      <c r="FE58" s="28" t="str">
        <f t="shared" si="28"/>
        <v>00:00</v>
      </c>
      <c r="FF58" s="29"/>
      <c r="FG58" s="27"/>
      <c r="FH58" s="27"/>
      <c r="FI58" s="28" t="str">
        <f>IFERROR(VLOOKUP(FG58,Horarios!$H:$I,2,0),"")</f>
        <v/>
      </c>
      <c r="FJ58" s="28" t="str">
        <f>IFERROR(VLOOKUP(FH58,Horarios!$H:$I,2,0),"")</f>
        <v/>
      </c>
      <c r="FK58" s="28" t="str">
        <f t="shared" si="29"/>
        <v>00:00</v>
      </c>
      <c r="FL58" s="29"/>
      <c r="FM58" s="27"/>
      <c r="FN58" s="27"/>
      <c r="FO58" s="28" t="str">
        <f>IFERROR(VLOOKUP(FM58,Horarios!$H:$I,2,0),"")</f>
        <v/>
      </c>
      <c r="FP58" s="28" t="str">
        <f>IFERROR(VLOOKUP(FN58,Horarios!$H:$I,2,0),"")</f>
        <v/>
      </c>
      <c r="FQ58" s="28" t="str">
        <f t="shared" si="30"/>
        <v>00:00</v>
      </c>
      <c r="FR58" s="29"/>
      <c r="FS58" s="31" t="str">
        <f t="shared" si="31"/>
        <v/>
      </c>
      <c r="FT58" s="27"/>
      <c r="FU58" s="27"/>
      <c r="FV58" s="28" t="str">
        <f>IFERROR(VLOOKUP(FT58,Horarios!$H:$I,2,0),"")</f>
        <v/>
      </c>
      <c r="FW58" s="28" t="str">
        <f>IFERROR(VLOOKUP(FU58,Horarios!$H:$I,2,0),"")</f>
        <v/>
      </c>
      <c r="FX58" s="28" t="str">
        <f t="shared" si="32"/>
        <v>00:00</v>
      </c>
      <c r="FY58" s="29"/>
      <c r="FZ58" s="27"/>
      <c r="GA58" s="27"/>
      <c r="GB58" s="28" t="str">
        <f>IFERROR(VLOOKUP(FZ58,Horarios!$H:$I,2,0),"")</f>
        <v/>
      </c>
      <c r="GC58" s="28" t="str">
        <f>IFERROR(VLOOKUP(GA58,Horarios!$H:$I,2,0),"")</f>
        <v/>
      </c>
      <c r="GD58" s="28" t="str">
        <f t="shared" si="33"/>
        <v>00:00</v>
      </c>
      <c r="GE58" s="29"/>
      <c r="GF58" s="27"/>
      <c r="GG58" s="27"/>
      <c r="GH58" s="28" t="str">
        <f>IFERROR(VLOOKUP(GF58,Horarios!$H:$I,2,0),"")</f>
        <v/>
      </c>
      <c r="GI58" s="28" t="str">
        <f>IFERROR(VLOOKUP(GG58,Horarios!$H:$I,2,0),"")</f>
        <v/>
      </c>
      <c r="GJ58" s="28" t="str">
        <f t="shared" si="34"/>
        <v>00:00</v>
      </c>
      <c r="GK58" s="29"/>
      <c r="GL58" s="27"/>
      <c r="GM58" s="27"/>
      <c r="GN58" s="28" t="str">
        <f>IFERROR(VLOOKUP(GL58,Horarios!$H:$I,2,0),"")</f>
        <v/>
      </c>
      <c r="GO58" s="28" t="str">
        <f>IFERROR(VLOOKUP(GM58,Horarios!$H:$I,2,0),"")</f>
        <v/>
      </c>
      <c r="GP58" s="28" t="str">
        <f t="shared" si="35"/>
        <v>00:00</v>
      </c>
      <c r="GQ58" s="29"/>
      <c r="GR58" s="27"/>
      <c r="GS58" s="27"/>
      <c r="GT58" s="28" t="str">
        <f>IFERROR(VLOOKUP(GR58,Horarios!$H:$I,2,0),"")</f>
        <v/>
      </c>
      <c r="GU58" s="28" t="str">
        <f>IFERROR(VLOOKUP(GS58,Horarios!$H:$I,2,0),"")</f>
        <v/>
      </c>
      <c r="GV58" s="28" t="str">
        <f t="shared" si="36"/>
        <v>00:00</v>
      </c>
      <c r="GW58" s="29"/>
      <c r="GX58" s="27"/>
      <c r="GY58" s="27"/>
      <c r="GZ58" s="28" t="str">
        <f>IFERROR(VLOOKUP(GX58,Horarios!$H:$I,2,0),"")</f>
        <v/>
      </c>
      <c r="HA58" s="28" t="str">
        <f>IFERROR(VLOOKUP(GY58,Horarios!$H:$I,2,0),"")</f>
        <v/>
      </c>
      <c r="HB58" s="28" t="str">
        <f t="shared" si="37"/>
        <v>00:00</v>
      </c>
      <c r="HC58" s="29"/>
      <c r="HD58" s="27"/>
      <c r="HE58" s="27"/>
      <c r="HF58" s="28" t="str">
        <f>IFERROR(VLOOKUP(HD58,Horarios!$H:$I,2,0),"")</f>
        <v/>
      </c>
      <c r="HG58" s="28" t="str">
        <f>IFERROR(VLOOKUP(HE58,Horarios!$H:$I,2,0),"")</f>
        <v/>
      </c>
      <c r="HH58" s="28" t="str">
        <f t="shared" si="38"/>
        <v>00:00</v>
      </c>
      <c r="HI58" s="29"/>
      <c r="HJ58" s="31" t="str">
        <f t="shared" si="39"/>
        <v/>
      </c>
      <c r="HK58" s="27"/>
      <c r="HL58" s="27"/>
      <c r="HM58" s="28" t="str">
        <f>IFERROR(VLOOKUP(HK58,Horarios!$H:$I,2,0),"")</f>
        <v/>
      </c>
      <c r="HN58" s="28" t="str">
        <f>IFERROR(VLOOKUP(HL58,Horarios!$H:$I,2,0),"")</f>
        <v/>
      </c>
      <c r="HO58" s="28" t="str">
        <f t="shared" si="40"/>
        <v>00:00</v>
      </c>
      <c r="HP58" s="29"/>
      <c r="HQ58" s="27"/>
      <c r="HR58" s="27"/>
      <c r="HS58" s="28" t="str">
        <f>IFERROR(VLOOKUP(HQ58,Horarios!$H:$I,2,0),"")</f>
        <v/>
      </c>
      <c r="HT58" s="28" t="str">
        <f>IFERROR(VLOOKUP(HR58,Horarios!$H:$I,2,0),"")</f>
        <v/>
      </c>
      <c r="HU58" s="28" t="str">
        <f t="shared" si="41"/>
        <v>00:00</v>
      </c>
      <c r="HV58" s="29"/>
      <c r="HW58" s="27"/>
      <c r="HX58" s="27"/>
      <c r="HY58" s="28" t="str">
        <f>IFERROR(VLOOKUP(HW58,Horarios!$H:$I,2,0),"")</f>
        <v/>
      </c>
      <c r="HZ58" s="28" t="str">
        <f>IFERROR(VLOOKUP(HX58,Horarios!$H:$I,2,0),"")</f>
        <v/>
      </c>
      <c r="IA58" s="28" t="str">
        <f t="shared" si="42"/>
        <v>00:00</v>
      </c>
      <c r="IB58" s="29"/>
      <c r="IC58" s="27"/>
      <c r="ID58" s="27"/>
      <c r="IE58" s="28" t="str">
        <f>IFERROR(VLOOKUP(IC58,Horarios!$H:$I,2,0),"")</f>
        <v/>
      </c>
      <c r="IF58" s="28" t="str">
        <f>IFERROR(VLOOKUP(ID58,Horarios!$H:$I,2,0),"")</f>
        <v/>
      </c>
      <c r="IG58" s="28" t="str">
        <f t="shared" si="43"/>
        <v>00:00</v>
      </c>
      <c r="IH58" s="29"/>
      <c r="II58" s="27"/>
      <c r="IJ58" s="27"/>
      <c r="IK58" s="28" t="str">
        <f>IFERROR(VLOOKUP(II58,Horarios!$H:$I,2,0),"")</f>
        <v/>
      </c>
      <c r="IL58" s="28" t="str">
        <f>IFERROR(VLOOKUP(IJ58,Horarios!$H:$I,2,0),"")</f>
        <v/>
      </c>
      <c r="IM58" s="28" t="str">
        <f t="shared" si="44"/>
        <v>00:00</v>
      </c>
      <c r="IN58" s="29"/>
      <c r="IO58" s="27"/>
      <c r="IP58" s="27"/>
      <c r="IQ58" s="28" t="str">
        <f>IFERROR(VLOOKUP(IO58,Horarios!$H:$I,2,0),"")</f>
        <v/>
      </c>
      <c r="IR58" s="28" t="str">
        <f>IFERROR(VLOOKUP(IP58,Horarios!$H:$I,2,0),"")</f>
        <v/>
      </c>
      <c r="IS58" s="28" t="str">
        <f t="shared" si="45"/>
        <v>00:00</v>
      </c>
      <c r="IT58" s="29"/>
      <c r="IU58" s="27"/>
      <c r="IV58" s="27"/>
      <c r="IW58" s="28" t="str">
        <f>IFERROR(VLOOKUP(IU58,Horarios!$H:$I,2,0),"")</f>
        <v/>
      </c>
      <c r="IX58" s="28" t="str">
        <f>IFERROR(VLOOKUP(IV58,Horarios!$H:$I,2,0),"")</f>
        <v/>
      </c>
      <c r="IY58" s="28" t="str">
        <f t="shared" si="46"/>
        <v>00:00</v>
      </c>
      <c r="IZ58" s="29"/>
      <c r="JA58" s="31" t="str">
        <f t="shared" si="47"/>
        <v/>
      </c>
    </row>
    <row r="59" spans="1:261" s="24" customFormat="1" ht="17.399999999999999" x14ac:dyDescent="0.25">
      <c r="A59" s="25"/>
      <c r="B59" s="26" t="str">
        <f>IFERROR(VLOOKUP(A59,BaseNombres!A:B,2,0),"")</f>
        <v/>
      </c>
      <c r="C59" s="26" t="str">
        <f>IFERROR(VLOOKUP(A59,BaseNombres!A:C,3,0),"")</f>
        <v/>
      </c>
      <c r="D59" s="27"/>
      <c r="E59" s="27"/>
      <c r="F59" s="28" t="str">
        <f>IFERROR(VLOOKUP(D59,Horarios!$H:$I,2,0),"")</f>
        <v/>
      </c>
      <c r="G59" s="28" t="str">
        <f>IFERROR(VLOOKUP(E59,Horarios!$H:$I,2,0),"")</f>
        <v/>
      </c>
      <c r="H59" s="28" t="str">
        <f t="shared" si="0"/>
        <v>00:00</v>
      </c>
      <c r="I59" s="29"/>
      <c r="J59" s="27"/>
      <c r="K59" s="27"/>
      <c r="L59" s="28" t="str">
        <f>IFERROR(VLOOKUP(J59,Horarios!$H:$I,2,0),"")</f>
        <v/>
      </c>
      <c r="M59" s="28" t="str">
        <f>IFERROR(VLOOKUP(K59,Horarios!$H:$I,2,0),"")</f>
        <v/>
      </c>
      <c r="N59" s="28" t="str">
        <f t="shared" si="1"/>
        <v>00:00</v>
      </c>
      <c r="O59" s="29"/>
      <c r="P59" s="27"/>
      <c r="Q59" s="27"/>
      <c r="R59" s="28" t="str">
        <f>IFERROR(VLOOKUP(P59,Horarios!$H:$I,2,0),"")</f>
        <v/>
      </c>
      <c r="S59" s="28" t="str">
        <f>IFERROR(VLOOKUP(Q59,Horarios!$H:$I,2,0),"")</f>
        <v/>
      </c>
      <c r="T59" s="28" t="str">
        <f t="shared" si="2"/>
        <v>00:00</v>
      </c>
      <c r="U59" s="29"/>
      <c r="V59" s="27"/>
      <c r="W59" s="27"/>
      <c r="X59" s="28" t="str">
        <f>IFERROR(VLOOKUP(V59,Horarios!$H:$I,2,0),"")</f>
        <v/>
      </c>
      <c r="Y59" s="28" t="str">
        <f>IFERROR(VLOOKUP(W59,Horarios!$H:$I,2,0),"")</f>
        <v/>
      </c>
      <c r="Z59" s="28" t="str">
        <f t="shared" si="3"/>
        <v>00:00</v>
      </c>
      <c r="AA59" s="29"/>
      <c r="AB59" s="27"/>
      <c r="AC59" s="27"/>
      <c r="AD59" s="28" t="str">
        <f>IFERROR(VLOOKUP(AB59,Horarios!$H:$I,2,0),"")</f>
        <v/>
      </c>
      <c r="AE59" s="28" t="str">
        <f>IFERROR(VLOOKUP(AC59,Horarios!$H:$I,2,0),"")</f>
        <v/>
      </c>
      <c r="AF59" s="28" t="str">
        <f t="shared" si="4"/>
        <v>00:00</v>
      </c>
      <c r="AG59" s="29"/>
      <c r="AH59" s="27"/>
      <c r="AI59" s="27"/>
      <c r="AJ59" s="28" t="str">
        <f>IFERROR(VLOOKUP(AH59,Horarios!$H:$I,2,0),"")</f>
        <v/>
      </c>
      <c r="AK59" s="28" t="str">
        <f>IFERROR(VLOOKUP(AI59,Horarios!$H:$I,2,0),"")</f>
        <v/>
      </c>
      <c r="AL59" s="28" t="str">
        <f t="shared" si="5"/>
        <v>00:00</v>
      </c>
      <c r="AM59" s="29"/>
      <c r="AN59" s="27"/>
      <c r="AO59" s="27"/>
      <c r="AP59" s="28" t="str">
        <f>IFERROR(VLOOKUP(AN59,Horarios!$H:$I,2,0),"")</f>
        <v/>
      </c>
      <c r="AQ59" s="28" t="str">
        <f>IFERROR(VLOOKUP(AO59,Horarios!$H:$I,2,0),"")</f>
        <v/>
      </c>
      <c r="AR59" s="28" t="str">
        <f t="shared" si="6"/>
        <v>00:00</v>
      </c>
      <c r="AS59" s="29"/>
      <c r="AT59" s="31" t="str">
        <f t="shared" si="7"/>
        <v/>
      </c>
      <c r="AU59" s="27"/>
      <c r="AV59" s="27"/>
      <c r="AW59" s="28" t="str">
        <f>IFERROR(VLOOKUP(AU59,Horarios!$H:$I,2,0),"")</f>
        <v/>
      </c>
      <c r="AX59" s="28" t="str">
        <f>IFERROR(VLOOKUP(AV59,Horarios!$H:$I,2,0),"")</f>
        <v/>
      </c>
      <c r="AY59" s="28" t="str">
        <f t="shared" si="8"/>
        <v>00:00</v>
      </c>
      <c r="AZ59" s="29"/>
      <c r="BA59" s="27"/>
      <c r="BB59" s="27"/>
      <c r="BC59" s="28" t="str">
        <f>IFERROR(VLOOKUP(BA59,Horarios!$H:$I,2,0),"")</f>
        <v/>
      </c>
      <c r="BD59" s="28" t="str">
        <f>IFERROR(VLOOKUP(BB59,Horarios!$H:$I,2,0),"")</f>
        <v/>
      </c>
      <c r="BE59" s="28" t="str">
        <f t="shared" si="9"/>
        <v>00:00</v>
      </c>
      <c r="BF59" s="29"/>
      <c r="BG59" s="27"/>
      <c r="BH59" s="27"/>
      <c r="BI59" s="28" t="str">
        <f>IFERROR(VLOOKUP(BG59,Horarios!$H:$I,2,0),"")</f>
        <v/>
      </c>
      <c r="BJ59" s="28" t="str">
        <f>IFERROR(VLOOKUP(BH59,Horarios!$H:$I,2,0),"")</f>
        <v/>
      </c>
      <c r="BK59" s="28" t="str">
        <f t="shared" si="10"/>
        <v>00:00</v>
      </c>
      <c r="BL59" s="29"/>
      <c r="BM59" s="27"/>
      <c r="BN59" s="27"/>
      <c r="BO59" s="28" t="str">
        <f>IFERROR(VLOOKUP(BM59,Horarios!$H:$I,2,0),"")</f>
        <v/>
      </c>
      <c r="BP59" s="28" t="str">
        <f>IFERROR(VLOOKUP(BN59,Horarios!$H:$I,2,0),"")</f>
        <v/>
      </c>
      <c r="BQ59" s="28" t="str">
        <f t="shared" si="11"/>
        <v>00:00</v>
      </c>
      <c r="BR59" s="29"/>
      <c r="BS59" s="27"/>
      <c r="BT59" s="27"/>
      <c r="BU59" s="28" t="str">
        <f>IFERROR(VLOOKUP(BS59,Horarios!$H:$I,2,0),"")</f>
        <v/>
      </c>
      <c r="BV59" s="28" t="str">
        <f>IFERROR(VLOOKUP(BT59,Horarios!$H:$I,2,0),"")</f>
        <v/>
      </c>
      <c r="BW59" s="28" t="str">
        <f t="shared" si="12"/>
        <v>00:00</v>
      </c>
      <c r="BX59" s="29"/>
      <c r="BY59" s="27"/>
      <c r="BZ59" s="27"/>
      <c r="CA59" s="28" t="str">
        <f>IFERROR(VLOOKUP(BY59,Horarios!$H:$I,2,0),"")</f>
        <v/>
      </c>
      <c r="CB59" s="28" t="str">
        <f>IFERROR(VLOOKUP(BZ59,Horarios!$H:$I,2,0),"")</f>
        <v/>
      </c>
      <c r="CC59" s="28" t="str">
        <f t="shared" si="13"/>
        <v>00:00</v>
      </c>
      <c r="CD59" s="29"/>
      <c r="CE59" s="27"/>
      <c r="CF59" s="27"/>
      <c r="CG59" s="28" t="str">
        <f>IFERROR(VLOOKUP(CE59,Horarios!$H:$I,2,0),"")</f>
        <v/>
      </c>
      <c r="CH59" s="28" t="str">
        <f>IFERROR(VLOOKUP(CF59,Horarios!$H:$I,2,0),"")</f>
        <v/>
      </c>
      <c r="CI59" s="28" t="str">
        <f t="shared" si="14"/>
        <v>00:00</v>
      </c>
      <c r="CJ59" s="29"/>
      <c r="CK59" s="31" t="str">
        <f t="shared" si="15"/>
        <v/>
      </c>
      <c r="CL59" s="27"/>
      <c r="CM59" s="27"/>
      <c r="CN59" s="28" t="str">
        <f>IFERROR(VLOOKUP(CL59,Horarios!$H:$I,2,0),"")</f>
        <v/>
      </c>
      <c r="CO59" s="28" t="str">
        <f>IFERROR(VLOOKUP(CM59,Horarios!$H:$I,2,0),"")</f>
        <v/>
      </c>
      <c r="CP59" s="28" t="str">
        <f t="shared" si="16"/>
        <v>00:00</v>
      </c>
      <c r="CQ59" s="29"/>
      <c r="CR59" s="27"/>
      <c r="CS59" s="27"/>
      <c r="CT59" s="28" t="str">
        <f>IFERROR(VLOOKUP(CR59,Horarios!$H:$I,2,0),"")</f>
        <v/>
      </c>
      <c r="CU59" s="28" t="str">
        <f>IFERROR(VLOOKUP(CS59,Horarios!$H:$I,2,0),"")</f>
        <v/>
      </c>
      <c r="CV59" s="28" t="str">
        <f t="shared" si="17"/>
        <v>00:00</v>
      </c>
      <c r="CW59" s="29"/>
      <c r="CX59" s="27"/>
      <c r="CY59" s="27"/>
      <c r="CZ59" s="28" t="str">
        <f>IFERROR(VLOOKUP(CX59,Horarios!$H:$I,2,0),"")</f>
        <v/>
      </c>
      <c r="DA59" s="28" t="str">
        <f>IFERROR(VLOOKUP(CY59,Horarios!$H:$I,2,0),"")</f>
        <v/>
      </c>
      <c r="DB59" s="28" t="str">
        <f t="shared" si="18"/>
        <v>00:00</v>
      </c>
      <c r="DC59" s="29"/>
      <c r="DD59" s="27"/>
      <c r="DE59" s="27"/>
      <c r="DF59" s="28" t="str">
        <f>IFERROR(VLOOKUP(DD59,Horarios!$H:$I,2,0),"")</f>
        <v/>
      </c>
      <c r="DG59" s="28" t="str">
        <f>IFERROR(VLOOKUP(DE59,Horarios!$H:$I,2,0),"")</f>
        <v/>
      </c>
      <c r="DH59" s="28" t="str">
        <f t="shared" si="19"/>
        <v>00:00</v>
      </c>
      <c r="DI59" s="29"/>
      <c r="DJ59" s="27"/>
      <c r="DK59" s="27"/>
      <c r="DL59" s="28" t="str">
        <f>IFERROR(VLOOKUP(DJ59,Horarios!$H:$I,2,0),"")</f>
        <v/>
      </c>
      <c r="DM59" s="28" t="str">
        <f>IFERROR(VLOOKUP(DK59,Horarios!$H:$I,2,0),"")</f>
        <v/>
      </c>
      <c r="DN59" s="28" t="str">
        <f t="shared" si="20"/>
        <v>00:00</v>
      </c>
      <c r="DO59" s="29"/>
      <c r="DP59" s="27"/>
      <c r="DQ59" s="27"/>
      <c r="DR59" s="28" t="str">
        <f>IFERROR(VLOOKUP(DP59,Horarios!$H:$I,2,0),"")</f>
        <v/>
      </c>
      <c r="DS59" s="28" t="str">
        <f>IFERROR(VLOOKUP(DQ59,Horarios!$H:$I,2,0),"")</f>
        <v/>
      </c>
      <c r="DT59" s="28" t="str">
        <f t="shared" si="21"/>
        <v>00:00</v>
      </c>
      <c r="DU59" s="29"/>
      <c r="DV59" s="27"/>
      <c r="DW59" s="27"/>
      <c r="DX59" s="28" t="str">
        <f>IFERROR(VLOOKUP(DV59,Horarios!$H:$I,2,0),"")</f>
        <v/>
      </c>
      <c r="DY59" s="28" t="str">
        <f>IFERROR(VLOOKUP(DW59,Horarios!$H:$I,2,0),"")</f>
        <v/>
      </c>
      <c r="DZ59" s="28" t="str">
        <f t="shared" si="22"/>
        <v>00:00</v>
      </c>
      <c r="EA59" s="29"/>
      <c r="EB59" s="31" t="str">
        <f t="shared" si="23"/>
        <v/>
      </c>
      <c r="EC59" s="27"/>
      <c r="ED59" s="27"/>
      <c r="EE59" s="28" t="str">
        <f>IFERROR(VLOOKUP(EC59,Horarios!$H:$I,2,0),"")</f>
        <v/>
      </c>
      <c r="EF59" s="28" t="str">
        <f>IFERROR(VLOOKUP(ED59,Horarios!$H:$I,2,0),"")</f>
        <v/>
      </c>
      <c r="EG59" s="28" t="str">
        <f t="shared" si="24"/>
        <v>00:00</v>
      </c>
      <c r="EH59" s="29"/>
      <c r="EI59" s="27"/>
      <c r="EJ59" s="27"/>
      <c r="EK59" s="28" t="str">
        <f>IFERROR(VLOOKUP(EI59,Horarios!$H:$I,2,0),"")</f>
        <v/>
      </c>
      <c r="EL59" s="28" t="str">
        <f>IFERROR(VLOOKUP(EJ59,Horarios!$H:$I,2,0),"")</f>
        <v/>
      </c>
      <c r="EM59" s="28" t="str">
        <f t="shared" si="25"/>
        <v>00:00</v>
      </c>
      <c r="EN59" s="29"/>
      <c r="EO59" s="27"/>
      <c r="EP59" s="27"/>
      <c r="EQ59" s="28" t="str">
        <f>IFERROR(VLOOKUP(EO59,Horarios!$H:$I,2,0),"")</f>
        <v/>
      </c>
      <c r="ER59" s="28" t="str">
        <f>IFERROR(VLOOKUP(EP59,Horarios!$H:$I,2,0),"")</f>
        <v/>
      </c>
      <c r="ES59" s="28" t="str">
        <f t="shared" si="26"/>
        <v>00:00</v>
      </c>
      <c r="ET59" s="29"/>
      <c r="EU59" s="27"/>
      <c r="EV59" s="27"/>
      <c r="EW59" s="28" t="str">
        <f>IFERROR(VLOOKUP(EU59,Horarios!$H:$I,2,0),"")</f>
        <v/>
      </c>
      <c r="EX59" s="28" t="str">
        <f>IFERROR(VLOOKUP(EV59,Horarios!$H:$I,2,0),"")</f>
        <v/>
      </c>
      <c r="EY59" s="28" t="str">
        <f t="shared" si="27"/>
        <v>00:00</v>
      </c>
      <c r="EZ59" s="29"/>
      <c r="FA59" s="27"/>
      <c r="FB59" s="27"/>
      <c r="FC59" s="28" t="str">
        <f>IFERROR(VLOOKUP(FA59,Horarios!$H:$I,2,0),"")</f>
        <v/>
      </c>
      <c r="FD59" s="28" t="str">
        <f>IFERROR(VLOOKUP(FB59,Horarios!$H:$I,2,0),"")</f>
        <v/>
      </c>
      <c r="FE59" s="28" t="str">
        <f t="shared" si="28"/>
        <v>00:00</v>
      </c>
      <c r="FF59" s="29"/>
      <c r="FG59" s="27"/>
      <c r="FH59" s="27"/>
      <c r="FI59" s="28" t="str">
        <f>IFERROR(VLOOKUP(FG59,Horarios!$H:$I,2,0),"")</f>
        <v/>
      </c>
      <c r="FJ59" s="28" t="str">
        <f>IFERROR(VLOOKUP(FH59,Horarios!$H:$I,2,0),"")</f>
        <v/>
      </c>
      <c r="FK59" s="28" t="str">
        <f t="shared" si="29"/>
        <v>00:00</v>
      </c>
      <c r="FL59" s="29"/>
      <c r="FM59" s="27"/>
      <c r="FN59" s="27"/>
      <c r="FO59" s="28" t="str">
        <f>IFERROR(VLOOKUP(FM59,Horarios!$H:$I,2,0),"")</f>
        <v/>
      </c>
      <c r="FP59" s="28" t="str">
        <f>IFERROR(VLOOKUP(FN59,Horarios!$H:$I,2,0),"")</f>
        <v/>
      </c>
      <c r="FQ59" s="28" t="str">
        <f t="shared" si="30"/>
        <v>00:00</v>
      </c>
      <c r="FR59" s="29"/>
      <c r="FS59" s="31" t="str">
        <f t="shared" si="31"/>
        <v/>
      </c>
      <c r="FT59" s="27"/>
      <c r="FU59" s="27"/>
      <c r="FV59" s="28" t="str">
        <f>IFERROR(VLOOKUP(FT59,Horarios!$H:$I,2,0),"")</f>
        <v/>
      </c>
      <c r="FW59" s="28" t="str">
        <f>IFERROR(VLOOKUP(FU59,Horarios!$H:$I,2,0),"")</f>
        <v/>
      </c>
      <c r="FX59" s="28" t="str">
        <f t="shared" si="32"/>
        <v>00:00</v>
      </c>
      <c r="FY59" s="29"/>
      <c r="FZ59" s="27"/>
      <c r="GA59" s="27"/>
      <c r="GB59" s="28" t="str">
        <f>IFERROR(VLOOKUP(FZ59,Horarios!$H:$I,2,0),"")</f>
        <v/>
      </c>
      <c r="GC59" s="28" t="str">
        <f>IFERROR(VLOOKUP(GA59,Horarios!$H:$I,2,0),"")</f>
        <v/>
      </c>
      <c r="GD59" s="28" t="str">
        <f t="shared" si="33"/>
        <v>00:00</v>
      </c>
      <c r="GE59" s="29"/>
      <c r="GF59" s="27"/>
      <c r="GG59" s="27"/>
      <c r="GH59" s="28" t="str">
        <f>IFERROR(VLOOKUP(GF59,Horarios!$H:$I,2,0),"")</f>
        <v/>
      </c>
      <c r="GI59" s="28" t="str">
        <f>IFERROR(VLOOKUP(GG59,Horarios!$H:$I,2,0),"")</f>
        <v/>
      </c>
      <c r="GJ59" s="28" t="str">
        <f t="shared" si="34"/>
        <v>00:00</v>
      </c>
      <c r="GK59" s="29"/>
      <c r="GL59" s="27"/>
      <c r="GM59" s="27"/>
      <c r="GN59" s="28" t="str">
        <f>IFERROR(VLOOKUP(GL59,Horarios!$H:$I,2,0),"")</f>
        <v/>
      </c>
      <c r="GO59" s="28" t="str">
        <f>IFERROR(VLOOKUP(GM59,Horarios!$H:$I,2,0),"")</f>
        <v/>
      </c>
      <c r="GP59" s="28" t="str">
        <f t="shared" si="35"/>
        <v>00:00</v>
      </c>
      <c r="GQ59" s="29"/>
      <c r="GR59" s="27"/>
      <c r="GS59" s="27"/>
      <c r="GT59" s="28" t="str">
        <f>IFERROR(VLOOKUP(GR59,Horarios!$H:$I,2,0),"")</f>
        <v/>
      </c>
      <c r="GU59" s="28" t="str">
        <f>IFERROR(VLOOKUP(GS59,Horarios!$H:$I,2,0),"")</f>
        <v/>
      </c>
      <c r="GV59" s="28" t="str">
        <f t="shared" si="36"/>
        <v>00:00</v>
      </c>
      <c r="GW59" s="29"/>
      <c r="GX59" s="27"/>
      <c r="GY59" s="27"/>
      <c r="GZ59" s="28" t="str">
        <f>IFERROR(VLOOKUP(GX59,Horarios!$H:$I,2,0),"")</f>
        <v/>
      </c>
      <c r="HA59" s="28" t="str">
        <f>IFERROR(VLOOKUP(GY59,Horarios!$H:$I,2,0),"")</f>
        <v/>
      </c>
      <c r="HB59" s="28" t="str">
        <f t="shared" si="37"/>
        <v>00:00</v>
      </c>
      <c r="HC59" s="29"/>
      <c r="HD59" s="27"/>
      <c r="HE59" s="27"/>
      <c r="HF59" s="28" t="str">
        <f>IFERROR(VLOOKUP(HD59,Horarios!$H:$I,2,0),"")</f>
        <v/>
      </c>
      <c r="HG59" s="28" t="str">
        <f>IFERROR(VLOOKUP(HE59,Horarios!$H:$I,2,0),"")</f>
        <v/>
      </c>
      <c r="HH59" s="28" t="str">
        <f t="shared" si="38"/>
        <v>00:00</v>
      </c>
      <c r="HI59" s="29"/>
      <c r="HJ59" s="31" t="str">
        <f t="shared" si="39"/>
        <v/>
      </c>
      <c r="HK59" s="27"/>
      <c r="HL59" s="27"/>
      <c r="HM59" s="28" t="str">
        <f>IFERROR(VLOOKUP(HK59,Horarios!$H:$I,2,0),"")</f>
        <v/>
      </c>
      <c r="HN59" s="28" t="str">
        <f>IFERROR(VLOOKUP(HL59,Horarios!$H:$I,2,0),"")</f>
        <v/>
      </c>
      <c r="HO59" s="28" t="str">
        <f t="shared" si="40"/>
        <v>00:00</v>
      </c>
      <c r="HP59" s="29"/>
      <c r="HQ59" s="27"/>
      <c r="HR59" s="27"/>
      <c r="HS59" s="28" t="str">
        <f>IFERROR(VLOOKUP(HQ59,Horarios!$H:$I,2,0),"")</f>
        <v/>
      </c>
      <c r="HT59" s="28" t="str">
        <f>IFERROR(VLOOKUP(HR59,Horarios!$H:$I,2,0),"")</f>
        <v/>
      </c>
      <c r="HU59" s="28" t="str">
        <f t="shared" si="41"/>
        <v>00:00</v>
      </c>
      <c r="HV59" s="29"/>
      <c r="HW59" s="27"/>
      <c r="HX59" s="27"/>
      <c r="HY59" s="28" t="str">
        <f>IFERROR(VLOOKUP(HW59,Horarios!$H:$I,2,0),"")</f>
        <v/>
      </c>
      <c r="HZ59" s="28" t="str">
        <f>IFERROR(VLOOKUP(HX59,Horarios!$H:$I,2,0),"")</f>
        <v/>
      </c>
      <c r="IA59" s="28" t="str">
        <f t="shared" si="42"/>
        <v>00:00</v>
      </c>
      <c r="IB59" s="29"/>
      <c r="IC59" s="27"/>
      <c r="ID59" s="27"/>
      <c r="IE59" s="28" t="str">
        <f>IFERROR(VLOOKUP(IC59,Horarios!$H:$I,2,0),"")</f>
        <v/>
      </c>
      <c r="IF59" s="28" t="str">
        <f>IFERROR(VLOOKUP(ID59,Horarios!$H:$I,2,0),"")</f>
        <v/>
      </c>
      <c r="IG59" s="28" t="str">
        <f t="shared" si="43"/>
        <v>00:00</v>
      </c>
      <c r="IH59" s="29"/>
      <c r="II59" s="27"/>
      <c r="IJ59" s="27"/>
      <c r="IK59" s="28" t="str">
        <f>IFERROR(VLOOKUP(II59,Horarios!$H:$I,2,0),"")</f>
        <v/>
      </c>
      <c r="IL59" s="28" t="str">
        <f>IFERROR(VLOOKUP(IJ59,Horarios!$H:$I,2,0),"")</f>
        <v/>
      </c>
      <c r="IM59" s="28" t="str">
        <f t="shared" si="44"/>
        <v>00:00</v>
      </c>
      <c r="IN59" s="29"/>
      <c r="IO59" s="27"/>
      <c r="IP59" s="27"/>
      <c r="IQ59" s="28" t="str">
        <f>IFERROR(VLOOKUP(IO59,Horarios!$H:$I,2,0),"")</f>
        <v/>
      </c>
      <c r="IR59" s="28" t="str">
        <f>IFERROR(VLOOKUP(IP59,Horarios!$H:$I,2,0),"")</f>
        <v/>
      </c>
      <c r="IS59" s="28" t="str">
        <f t="shared" si="45"/>
        <v>00:00</v>
      </c>
      <c r="IT59" s="29"/>
      <c r="IU59" s="27"/>
      <c r="IV59" s="27"/>
      <c r="IW59" s="28" t="str">
        <f>IFERROR(VLOOKUP(IU59,Horarios!$H:$I,2,0),"")</f>
        <v/>
      </c>
      <c r="IX59" s="28" t="str">
        <f>IFERROR(VLOOKUP(IV59,Horarios!$H:$I,2,0),"")</f>
        <v/>
      </c>
      <c r="IY59" s="28" t="str">
        <f t="shared" si="46"/>
        <v>00:00</v>
      </c>
      <c r="IZ59" s="29"/>
      <c r="JA59" s="31" t="str">
        <f t="shared" si="47"/>
        <v/>
      </c>
    </row>
    <row r="60" spans="1:261" s="24" customFormat="1" ht="17.399999999999999" x14ac:dyDescent="0.25">
      <c r="A60" s="25"/>
      <c r="B60" s="26" t="str">
        <f>IFERROR(VLOOKUP(A60,BaseNombres!A:B,2,0),"")</f>
        <v/>
      </c>
      <c r="C60" s="26" t="str">
        <f>IFERROR(VLOOKUP(A60,BaseNombres!A:C,3,0),"")</f>
        <v/>
      </c>
      <c r="D60" s="27"/>
      <c r="E60" s="27"/>
      <c r="F60" s="28" t="str">
        <f>IFERROR(VLOOKUP(D60,Horarios!$H:$I,2,0),"")</f>
        <v/>
      </c>
      <c r="G60" s="28" t="str">
        <f>IFERROR(VLOOKUP(E60,Horarios!$H:$I,2,0),"")</f>
        <v/>
      </c>
      <c r="H60" s="28" t="str">
        <f t="shared" si="0"/>
        <v>00:00</v>
      </c>
      <c r="I60" s="29"/>
      <c r="J60" s="27"/>
      <c r="K60" s="27"/>
      <c r="L60" s="28" t="str">
        <f>IFERROR(VLOOKUP(J60,Horarios!$H:$I,2,0),"")</f>
        <v/>
      </c>
      <c r="M60" s="28" t="str">
        <f>IFERROR(VLOOKUP(K60,Horarios!$H:$I,2,0),"")</f>
        <v/>
      </c>
      <c r="N60" s="28" t="str">
        <f t="shared" si="1"/>
        <v>00:00</v>
      </c>
      <c r="O60" s="29"/>
      <c r="P60" s="27"/>
      <c r="Q60" s="27"/>
      <c r="R60" s="28" t="str">
        <f>IFERROR(VLOOKUP(P60,Horarios!$H:$I,2,0),"")</f>
        <v/>
      </c>
      <c r="S60" s="28" t="str">
        <f>IFERROR(VLOOKUP(Q60,Horarios!$H:$I,2,0),"")</f>
        <v/>
      </c>
      <c r="T60" s="28" t="str">
        <f t="shared" si="2"/>
        <v>00:00</v>
      </c>
      <c r="U60" s="29"/>
      <c r="V60" s="27"/>
      <c r="W60" s="27"/>
      <c r="X60" s="28" t="str">
        <f>IFERROR(VLOOKUP(V60,Horarios!$H:$I,2,0),"")</f>
        <v/>
      </c>
      <c r="Y60" s="28" t="str">
        <f>IFERROR(VLOOKUP(W60,Horarios!$H:$I,2,0),"")</f>
        <v/>
      </c>
      <c r="Z60" s="28" t="str">
        <f t="shared" si="3"/>
        <v>00:00</v>
      </c>
      <c r="AA60" s="29"/>
      <c r="AB60" s="27"/>
      <c r="AC60" s="27"/>
      <c r="AD60" s="28" t="str">
        <f>IFERROR(VLOOKUP(AB60,Horarios!$H:$I,2,0),"")</f>
        <v/>
      </c>
      <c r="AE60" s="28" t="str">
        <f>IFERROR(VLOOKUP(AC60,Horarios!$H:$I,2,0),"")</f>
        <v/>
      </c>
      <c r="AF60" s="28" t="str">
        <f t="shared" si="4"/>
        <v>00:00</v>
      </c>
      <c r="AG60" s="29"/>
      <c r="AH60" s="27"/>
      <c r="AI60" s="27"/>
      <c r="AJ60" s="28" t="str">
        <f>IFERROR(VLOOKUP(AH60,Horarios!$H:$I,2,0),"")</f>
        <v/>
      </c>
      <c r="AK60" s="28" t="str">
        <f>IFERROR(VLOOKUP(AI60,Horarios!$H:$I,2,0),"")</f>
        <v/>
      </c>
      <c r="AL60" s="28" t="str">
        <f t="shared" si="5"/>
        <v>00:00</v>
      </c>
      <c r="AM60" s="29"/>
      <c r="AN60" s="27"/>
      <c r="AO60" s="27"/>
      <c r="AP60" s="28" t="str">
        <f>IFERROR(VLOOKUP(AN60,Horarios!$H:$I,2,0),"")</f>
        <v/>
      </c>
      <c r="AQ60" s="28" t="str">
        <f>IFERROR(VLOOKUP(AO60,Horarios!$H:$I,2,0),"")</f>
        <v/>
      </c>
      <c r="AR60" s="28" t="str">
        <f t="shared" si="6"/>
        <v>00:00</v>
      </c>
      <c r="AS60" s="29"/>
      <c r="AT60" s="31" t="str">
        <f t="shared" si="7"/>
        <v/>
      </c>
      <c r="AU60" s="27"/>
      <c r="AV60" s="27"/>
      <c r="AW60" s="28" t="str">
        <f>IFERROR(VLOOKUP(AU60,Horarios!$H:$I,2,0),"")</f>
        <v/>
      </c>
      <c r="AX60" s="28" t="str">
        <f>IFERROR(VLOOKUP(AV60,Horarios!$H:$I,2,0),"")</f>
        <v/>
      </c>
      <c r="AY60" s="28" t="str">
        <f t="shared" si="8"/>
        <v>00:00</v>
      </c>
      <c r="AZ60" s="29"/>
      <c r="BA60" s="27"/>
      <c r="BB60" s="27"/>
      <c r="BC60" s="28" t="str">
        <f>IFERROR(VLOOKUP(BA60,Horarios!$H:$I,2,0),"")</f>
        <v/>
      </c>
      <c r="BD60" s="28" t="str">
        <f>IFERROR(VLOOKUP(BB60,Horarios!$H:$I,2,0),"")</f>
        <v/>
      </c>
      <c r="BE60" s="28" t="str">
        <f t="shared" si="9"/>
        <v>00:00</v>
      </c>
      <c r="BF60" s="29"/>
      <c r="BG60" s="27"/>
      <c r="BH60" s="27"/>
      <c r="BI60" s="28" t="str">
        <f>IFERROR(VLOOKUP(BG60,Horarios!$H:$I,2,0),"")</f>
        <v/>
      </c>
      <c r="BJ60" s="28" t="str">
        <f>IFERROR(VLOOKUP(BH60,Horarios!$H:$I,2,0),"")</f>
        <v/>
      </c>
      <c r="BK60" s="28" t="str">
        <f t="shared" si="10"/>
        <v>00:00</v>
      </c>
      <c r="BL60" s="29"/>
      <c r="BM60" s="27"/>
      <c r="BN60" s="27"/>
      <c r="BO60" s="28" t="str">
        <f>IFERROR(VLOOKUP(BM60,Horarios!$H:$I,2,0),"")</f>
        <v/>
      </c>
      <c r="BP60" s="28" t="str">
        <f>IFERROR(VLOOKUP(BN60,Horarios!$H:$I,2,0),"")</f>
        <v/>
      </c>
      <c r="BQ60" s="28" t="str">
        <f t="shared" si="11"/>
        <v>00:00</v>
      </c>
      <c r="BR60" s="29"/>
      <c r="BS60" s="27"/>
      <c r="BT60" s="27"/>
      <c r="BU60" s="28" t="str">
        <f>IFERROR(VLOOKUP(BS60,Horarios!$H:$I,2,0),"")</f>
        <v/>
      </c>
      <c r="BV60" s="28" t="str">
        <f>IFERROR(VLOOKUP(BT60,Horarios!$H:$I,2,0),"")</f>
        <v/>
      </c>
      <c r="BW60" s="28" t="str">
        <f t="shared" si="12"/>
        <v>00:00</v>
      </c>
      <c r="BX60" s="29"/>
      <c r="BY60" s="27"/>
      <c r="BZ60" s="27"/>
      <c r="CA60" s="28" t="str">
        <f>IFERROR(VLOOKUP(BY60,Horarios!$H:$I,2,0),"")</f>
        <v/>
      </c>
      <c r="CB60" s="28" t="str">
        <f>IFERROR(VLOOKUP(BZ60,Horarios!$H:$I,2,0),"")</f>
        <v/>
      </c>
      <c r="CC60" s="28" t="str">
        <f t="shared" si="13"/>
        <v>00:00</v>
      </c>
      <c r="CD60" s="29"/>
      <c r="CE60" s="27"/>
      <c r="CF60" s="27"/>
      <c r="CG60" s="28" t="str">
        <f>IFERROR(VLOOKUP(CE60,Horarios!$H:$I,2,0),"")</f>
        <v/>
      </c>
      <c r="CH60" s="28" t="str">
        <f>IFERROR(VLOOKUP(CF60,Horarios!$H:$I,2,0),"")</f>
        <v/>
      </c>
      <c r="CI60" s="28" t="str">
        <f t="shared" si="14"/>
        <v>00:00</v>
      </c>
      <c r="CJ60" s="29"/>
      <c r="CK60" s="31" t="str">
        <f t="shared" si="15"/>
        <v/>
      </c>
      <c r="CL60" s="27"/>
      <c r="CM60" s="27"/>
      <c r="CN60" s="28" t="str">
        <f>IFERROR(VLOOKUP(CL60,Horarios!$H:$I,2,0),"")</f>
        <v/>
      </c>
      <c r="CO60" s="28" t="str">
        <f>IFERROR(VLOOKUP(CM60,Horarios!$H:$I,2,0),"")</f>
        <v/>
      </c>
      <c r="CP60" s="28" t="str">
        <f t="shared" si="16"/>
        <v>00:00</v>
      </c>
      <c r="CQ60" s="29"/>
      <c r="CR60" s="27"/>
      <c r="CS60" s="27"/>
      <c r="CT60" s="28" t="str">
        <f>IFERROR(VLOOKUP(CR60,Horarios!$H:$I,2,0),"")</f>
        <v/>
      </c>
      <c r="CU60" s="28" t="str">
        <f>IFERROR(VLOOKUP(CS60,Horarios!$H:$I,2,0),"")</f>
        <v/>
      </c>
      <c r="CV60" s="28" t="str">
        <f t="shared" si="17"/>
        <v>00:00</v>
      </c>
      <c r="CW60" s="29"/>
      <c r="CX60" s="27"/>
      <c r="CY60" s="27"/>
      <c r="CZ60" s="28" t="str">
        <f>IFERROR(VLOOKUP(CX60,Horarios!$H:$I,2,0),"")</f>
        <v/>
      </c>
      <c r="DA60" s="28" t="str">
        <f>IFERROR(VLOOKUP(CY60,Horarios!$H:$I,2,0),"")</f>
        <v/>
      </c>
      <c r="DB60" s="28" t="str">
        <f t="shared" si="18"/>
        <v>00:00</v>
      </c>
      <c r="DC60" s="29"/>
      <c r="DD60" s="27"/>
      <c r="DE60" s="27"/>
      <c r="DF60" s="28" t="str">
        <f>IFERROR(VLOOKUP(DD60,Horarios!$H:$I,2,0),"")</f>
        <v/>
      </c>
      <c r="DG60" s="28" t="str">
        <f>IFERROR(VLOOKUP(DE60,Horarios!$H:$I,2,0),"")</f>
        <v/>
      </c>
      <c r="DH60" s="28" t="str">
        <f t="shared" si="19"/>
        <v>00:00</v>
      </c>
      <c r="DI60" s="29"/>
      <c r="DJ60" s="27"/>
      <c r="DK60" s="27"/>
      <c r="DL60" s="28" t="str">
        <f>IFERROR(VLOOKUP(DJ60,Horarios!$H:$I,2,0),"")</f>
        <v/>
      </c>
      <c r="DM60" s="28" t="str">
        <f>IFERROR(VLOOKUP(DK60,Horarios!$H:$I,2,0),"")</f>
        <v/>
      </c>
      <c r="DN60" s="28" t="str">
        <f t="shared" si="20"/>
        <v>00:00</v>
      </c>
      <c r="DO60" s="29"/>
      <c r="DP60" s="27"/>
      <c r="DQ60" s="27"/>
      <c r="DR60" s="28" t="str">
        <f>IFERROR(VLOOKUP(DP60,Horarios!$H:$I,2,0),"")</f>
        <v/>
      </c>
      <c r="DS60" s="28" t="str">
        <f>IFERROR(VLOOKUP(DQ60,Horarios!$H:$I,2,0),"")</f>
        <v/>
      </c>
      <c r="DT60" s="28" t="str">
        <f t="shared" si="21"/>
        <v>00:00</v>
      </c>
      <c r="DU60" s="29"/>
      <c r="DV60" s="27"/>
      <c r="DW60" s="27"/>
      <c r="DX60" s="28" t="str">
        <f>IFERROR(VLOOKUP(DV60,Horarios!$H:$I,2,0),"")</f>
        <v/>
      </c>
      <c r="DY60" s="28" t="str">
        <f>IFERROR(VLOOKUP(DW60,Horarios!$H:$I,2,0),"")</f>
        <v/>
      </c>
      <c r="DZ60" s="28" t="str">
        <f t="shared" si="22"/>
        <v>00:00</v>
      </c>
      <c r="EA60" s="29"/>
      <c r="EB60" s="31" t="str">
        <f t="shared" si="23"/>
        <v/>
      </c>
      <c r="EC60" s="27"/>
      <c r="ED60" s="27"/>
      <c r="EE60" s="28" t="str">
        <f>IFERROR(VLOOKUP(EC60,Horarios!$H:$I,2,0),"")</f>
        <v/>
      </c>
      <c r="EF60" s="28" t="str">
        <f>IFERROR(VLOOKUP(ED60,Horarios!$H:$I,2,0),"")</f>
        <v/>
      </c>
      <c r="EG60" s="28" t="str">
        <f t="shared" si="24"/>
        <v>00:00</v>
      </c>
      <c r="EH60" s="29"/>
      <c r="EI60" s="27"/>
      <c r="EJ60" s="27"/>
      <c r="EK60" s="28" t="str">
        <f>IFERROR(VLOOKUP(EI60,Horarios!$H:$I,2,0),"")</f>
        <v/>
      </c>
      <c r="EL60" s="28" t="str">
        <f>IFERROR(VLOOKUP(EJ60,Horarios!$H:$I,2,0),"")</f>
        <v/>
      </c>
      <c r="EM60" s="28" t="str">
        <f t="shared" si="25"/>
        <v>00:00</v>
      </c>
      <c r="EN60" s="29"/>
      <c r="EO60" s="27"/>
      <c r="EP60" s="27"/>
      <c r="EQ60" s="28" t="str">
        <f>IFERROR(VLOOKUP(EO60,Horarios!$H:$I,2,0),"")</f>
        <v/>
      </c>
      <c r="ER60" s="28" t="str">
        <f>IFERROR(VLOOKUP(EP60,Horarios!$H:$I,2,0),"")</f>
        <v/>
      </c>
      <c r="ES60" s="28" t="str">
        <f t="shared" si="26"/>
        <v>00:00</v>
      </c>
      <c r="ET60" s="29"/>
      <c r="EU60" s="27"/>
      <c r="EV60" s="27"/>
      <c r="EW60" s="28" t="str">
        <f>IFERROR(VLOOKUP(EU60,Horarios!$H:$I,2,0),"")</f>
        <v/>
      </c>
      <c r="EX60" s="28" t="str">
        <f>IFERROR(VLOOKUP(EV60,Horarios!$H:$I,2,0),"")</f>
        <v/>
      </c>
      <c r="EY60" s="28" t="str">
        <f t="shared" si="27"/>
        <v>00:00</v>
      </c>
      <c r="EZ60" s="29"/>
      <c r="FA60" s="27"/>
      <c r="FB60" s="27"/>
      <c r="FC60" s="28" t="str">
        <f>IFERROR(VLOOKUP(FA60,Horarios!$H:$I,2,0),"")</f>
        <v/>
      </c>
      <c r="FD60" s="28" t="str">
        <f>IFERROR(VLOOKUP(FB60,Horarios!$H:$I,2,0),"")</f>
        <v/>
      </c>
      <c r="FE60" s="28" t="str">
        <f t="shared" si="28"/>
        <v>00:00</v>
      </c>
      <c r="FF60" s="29"/>
      <c r="FG60" s="27"/>
      <c r="FH60" s="27"/>
      <c r="FI60" s="28" t="str">
        <f>IFERROR(VLOOKUP(FG60,Horarios!$H:$I,2,0),"")</f>
        <v/>
      </c>
      <c r="FJ60" s="28" t="str">
        <f>IFERROR(VLOOKUP(FH60,Horarios!$H:$I,2,0),"")</f>
        <v/>
      </c>
      <c r="FK60" s="28" t="str">
        <f t="shared" si="29"/>
        <v>00:00</v>
      </c>
      <c r="FL60" s="29"/>
      <c r="FM60" s="27"/>
      <c r="FN60" s="27"/>
      <c r="FO60" s="28" t="str">
        <f>IFERROR(VLOOKUP(FM60,Horarios!$H:$I,2,0),"")</f>
        <v/>
      </c>
      <c r="FP60" s="28" t="str">
        <f>IFERROR(VLOOKUP(FN60,Horarios!$H:$I,2,0),"")</f>
        <v/>
      </c>
      <c r="FQ60" s="28" t="str">
        <f t="shared" si="30"/>
        <v>00:00</v>
      </c>
      <c r="FR60" s="29"/>
      <c r="FS60" s="31" t="str">
        <f t="shared" si="31"/>
        <v/>
      </c>
      <c r="FT60" s="27"/>
      <c r="FU60" s="27"/>
      <c r="FV60" s="28" t="str">
        <f>IFERROR(VLOOKUP(FT60,Horarios!$H:$I,2,0),"")</f>
        <v/>
      </c>
      <c r="FW60" s="28" t="str">
        <f>IFERROR(VLOOKUP(FU60,Horarios!$H:$I,2,0),"")</f>
        <v/>
      </c>
      <c r="FX60" s="28" t="str">
        <f t="shared" si="32"/>
        <v>00:00</v>
      </c>
      <c r="FY60" s="29"/>
      <c r="FZ60" s="27"/>
      <c r="GA60" s="27"/>
      <c r="GB60" s="28" t="str">
        <f>IFERROR(VLOOKUP(FZ60,Horarios!$H:$I,2,0),"")</f>
        <v/>
      </c>
      <c r="GC60" s="28" t="str">
        <f>IFERROR(VLOOKUP(GA60,Horarios!$H:$I,2,0),"")</f>
        <v/>
      </c>
      <c r="GD60" s="28" t="str">
        <f t="shared" si="33"/>
        <v>00:00</v>
      </c>
      <c r="GE60" s="29"/>
      <c r="GF60" s="27"/>
      <c r="GG60" s="27"/>
      <c r="GH60" s="28" t="str">
        <f>IFERROR(VLOOKUP(GF60,Horarios!$H:$I,2,0),"")</f>
        <v/>
      </c>
      <c r="GI60" s="28" t="str">
        <f>IFERROR(VLOOKUP(GG60,Horarios!$H:$I,2,0),"")</f>
        <v/>
      </c>
      <c r="GJ60" s="28" t="str">
        <f t="shared" si="34"/>
        <v>00:00</v>
      </c>
      <c r="GK60" s="29"/>
      <c r="GL60" s="27"/>
      <c r="GM60" s="27"/>
      <c r="GN60" s="28" t="str">
        <f>IFERROR(VLOOKUP(GL60,Horarios!$H:$I,2,0),"")</f>
        <v/>
      </c>
      <c r="GO60" s="28" t="str">
        <f>IFERROR(VLOOKUP(GM60,Horarios!$H:$I,2,0),"")</f>
        <v/>
      </c>
      <c r="GP60" s="28" t="str">
        <f t="shared" si="35"/>
        <v>00:00</v>
      </c>
      <c r="GQ60" s="29"/>
      <c r="GR60" s="27"/>
      <c r="GS60" s="27"/>
      <c r="GT60" s="28" t="str">
        <f>IFERROR(VLOOKUP(GR60,Horarios!$H:$I,2,0),"")</f>
        <v/>
      </c>
      <c r="GU60" s="28" t="str">
        <f>IFERROR(VLOOKUP(GS60,Horarios!$H:$I,2,0),"")</f>
        <v/>
      </c>
      <c r="GV60" s="28" t="str">
        <f t="shared" si="36"/>
        <v>00:00</v>
      </c>
      <c r="GW60" s="29"/>
      <c r="GX60" s="27"/>
      <c r="GY60" s="27"/>
      <c r="GZ60" s="28" t="str">
        <f>IFERROR(VLOOKUP(GX60,Horarios!$H:$I,2,0),"")</f>
        <v/>
      </c>
      <c r="HA60" s="28" t="str">
        <f>IFERROR(VLOOKUP(GY60,Horarios!$H:$I,2,0),"")</f>
        <v/>
      </c>
      <c r="HB60" s="28" t="str">
        <f t="shared" si="37"/>
        <v>00:00</v>
      </c>
      <c r="HC60" s="29"/>
      <c r="HD60" s="27"/>
      <c r="HE60" s="27"/>
      <c r="HF60" s="28" t="str">
        <f>IFERROR(VLOOKUP(HD60,Horarios!$H:$I,2,0),"")</f>
        <v/>
      </c>
      <c r="HG60" s="28" t="str">
        <f>IFERROR(VLOOKUP(HE60,Horarios!$H:$I,2,0),"")</f>
        <v/>
      </c>
      <c r="HH60" s="28" t="str">
        <f t="shared" si="38"/>
        <v>00:00</v>
      </c>
      <c r="HI60" s="29"/>
      <c r="HJ60" s="31" t="str">
        <f t="shared" si="39"/>
        <v/>
      </c>
      <c r="HK60" s="27"/>
      <c r="HL60" s="27"/>
      <c r="HM60" s="28" t="str">
        <f>IFERROR(VLOOKUP(HK60,Horarios!$H:$I,2,0),"")</f>
        <v/>
      </c>
      <c r="HN60" s="28" t="str">
        <f>IFERROR(VLOOKUP(HL60,Horarios!$H:$I,2,0),"")</f>
        <v/>
      </c>
      <c r="HO60" s="28" t="str">
        <f t="shared" si="40"/>
        <v>00:00</v>
      </c>
      <c r="HP60" s="29"/>
      <c r="HQ60" s="27"/>
      <c r="HR60" s="27"/>
      <c r="HS60" s="28" t="str">
        <f>IFERROR(VLOOKUP(HQ60,Horarios!$H:$I,2,0),"")</f>
        <v/>
      </c>
      <c r="HT60" s="28" t="str">
        <f>IFERROR(VLOOKUP(HR60,Horarios!$H:$I,2,0),"")</f>
        <v/>
      </c>
      <c r="HU60" s="28" t="str">
        <f t="shared" si="41"/>
        <v>00:00</v>
      </c>
      <c r="HV60" s="29"/>
      <c r="HW60" s="27"/>
      <c r="HX60" s="27"/>
      <c r="HY60" s="28" t="str">
        <f>IFERROR(VLOOKUP(HW60,Horarios!$H:$I,2,0),"")</f>
        <v/>
      </c>
      <c r="HZ60" s="28" t="str">
        <f>IFERROR(VLOOKUP(HX60,Horarios!$H:$I,2,0),"")</f>
        <v/>
      </c>
      <c r="IA60" s="28" t="str">
        <f t="shared" si="42"/>
        <v>00:00</v>
      </c>
      <c r="IB60" s="29"/>
      <c r="IC60" s="27"/>
      <c r="ID60" s="27"/>
      <c r="IE60" s="28" t="str">
        <f>IFERROR(VLOOKUP(IC60,Horarios!$H:$I,2,0),"")</f>
        <v/>
      </c>
      <c r="IF60" s="28" t="str">
        <f>IFERROR(VLOOKUP(ID60,Horarios!$H:$I,2,0),"")</f>
        <v/>
      </c>
      <c r="IG60" s="28" t="str">
        <f t="shared" si="43"/>
        <v>00:00</v>
      </c>
      <c r="IH60" s="29"/>
      <c r="II60" s="27"/>
      <c r="IJ60" s="27"/>
      <c r="IK60" s="28" t="str">
        <f>IFERROR(VLOOKUP(II60,Horarios!$H:$I,2,0),"")</f>
        <v/>
      </c>
      <c r="IL60" s="28" t="str">
        <f>IFERROR(VLOOKUP(IJ60,Horarios!$H:$I,2,0),"")</f>
        <v/>
      </c>
      <c r="IM60" s="28" t="str">
        <f t="shared" si="44"/>
        <v>00:00</v>
      </c>
      <c r="IN60" s="29"/>
      <c r="IO60" s="27"/>
      <c r="IP60" s="27"/>
      <c r="IQ60" s="28" t="str">
        <f>IFERROR(VLOOKUP(IO60,Horarios!$H:$I,2,0),"")</f>
        <v/>
      </c>
      <c r="IR60" s="28" t="str">
        <f>IFERROR(VLOOKUP(IP60,Horarios!$H:$I,2,0),"")</f>
        <v/>
      </c>
      <c r="IS60" s="28" t="str">
        <f t="shared" si="45"/>
        <v>00:00</v>
      </c>
      <c r="IT60" s="29"/>
      <c r="IU60" s="27"/>
      <c r="IV60" s="27"/>
      <c r="IW60" s="28" t="str">
        <f>IFERROR(VLOOKUP(IU60,Horarios!$H:$I,2,0),"")</f>
        <v/>
      </c>
      <c r="IX60" s="28" t="str">
        <f>IFERROR(VLOOKUP(IV60,Horarios!$H:$I,2,0),"")</f>
        <v/>
      </c>
      <c r="IY60" s="28" t="str">
        <f t="shared" si="46"/>
        <v>00:00</v>
      </c>
      <c r="IZ60" s="29"/>
      <c r="JA60" s="31" t="str">
        <f t="shared" si="47"/>
        <v/>
      </c>
    </row>
    <row r="61" spans="1:261" s="24" customFormat="1" ht="17.399999999999999" x14ac:dyDescent="0.25">
      <c r="A61" s="25"/>
      <c r="B61" s="26" t="str">
        <f>IFERROR(VLOOKUP(A61,BaseNombres!A:B,2,0),"")</f>
        <v/>
      </c>
      <c r="C61" s="26" t="str">
        <f>IFERROR(VLOOKUP(A61,BaseNombres!A:C,3,0),"")</f>
        <v/>
      </c>
      <c r="D61" s="27"/>
      <c r="E61" s="27"/>
      <c r="F61" s="28" t="str">
        <f>IFERROR(VLOOKUP(D61,Horarios!$H:$I,2,0),"")</f>
        <v/>
      </c>
      <c r="G61" s="28" t="str">
        <f>IFERROR(VLOOKUP(E61,Horarios!$H:$I,2,0),"")</f>
        <v/>
      </c>
      <c r="H61" s="28" t="str">
        <f t="shared" si="0"/>
        <v>00:00</v>
      </c>
      <c r="I61" s="29"/>
      <c r="J61" s="27"/>
      <c r="K61" s="27"/>
      <c r="L61" s="28" t="str">
        <f>IFERROR(VLOOKUP(J61,Horarios!$H:$I,2,0),"")</f>
        <v/>
      </c>
      <c r="M61" s="28" t="str">
        <f>IFERROR(VLOOKUP(K61,Horarios!$H:$I,2,0),"")</f>
        <v/>
      </c>
      <c r="N61" s="28" t="str">
        <f t="shared" si="1"/>
        <v>00:00</v>
      </c>
      <c r="O61" s="29"/>
      <c r="P61" s="27"/>
      <c r="Q61" s="27"/>
      <c r="R61" s="28" t="str">
        <f>IFERROR(VLOOKUP(P61,Horarios!$H:$I,2,0),"")</f>
        <v/>
      </c>
      <c r="S61" s="28" t="str">
        <f>IFERROR(VLOOKUP(Q61,Horarios!$H:$I,2,0),"")</f>
        <v/>
      </c>
      <c r="T61" s="28" t="str">
        <f t="shared" si="2"/>
        <v>00:00</v>
      </c>
      <c r="U61" s="29"/>
      <c r="V61" s="27"/>
      <c r="W61" s="27"/>
      <c r="X61" s="28" t="str">
        <f>IFERROR(VLOOKUP(V61,Horarios!$H:$I,2,0),"")</f>
        <v/>
      </c>
      <c r="Y61" s="28" t="str">
        <f>IFERROR(VLOOKUP(W61,Horarios!$H:$I,2,0),"")</f>
        <v/>
      </c>
      <c r="Z61" s="28" t="str">
        <f t="shared" si="3"/>
        <v>00:00</v>
      </c>
      <c r="AA61" s="29"/>
      <c r="AB61" s="27"/>
      <c r="AC61" s="27"/>
      <c r="AD61" s="28" t="str">
        <f>IFERROR(VLOOKUP(AB61,Horarios!$H:$I,2,0),"")</f>
        <v/>
      </c>
      <c r="AE61" s="28" t="str">
        <f>IFERROR(VLOOKUP(AC61,Horarios!$H:$I,2,0),"")</f>
        <v/>
      </c>
      <c r="AF61" s="28" t="str">
        <f t="shared" si="4"/>
        <v>00:00</v>
      </c>
      <c r="AG61" s="29"/>
      <c r="AH61" s="27"/>
      <c r="AI61" s="27"/>
      <c r="AJ61" s="28" t="str">
        <f>IFERROR(VLOOKUP(AH61,Horarios!$H:$I,2,0),"")</f>
        <v/>
      </c>
      <c r="AK61" s="28" t="str">
        <f>IFERROR(VLOOKUP(AI61,Horarios!$H:$I,2,0),"")</f>
        <v/>
      </c>
      <c r="AL61" s="28" t="str">
        <f t="shared" si="5"/>
        <v>00:00</v>
      </c>
      <c r="AM61" s="29"/>
      <c r="AN61" s="27"/>
      <c r="AO61" s="27"/>
      <c r="AP61" s="28" t="str">
        <f>IFERROR(VLOOKUP(AN61,Horarios!$H:$I,2,0),"")</f>
        <v/>
      </c>
      <c r="AQ61" s="28" t="str">
        <f>IFERROR(VLOOKUP(AO61,Horarios!$H:$I,2,0),"")</f>
        <v/>
      </c>
      <c r="AR61" s="28" t="str">
        <f t="shared" si="6"/>
        <v>00:00</v>
      </c>
      <c r="AS61" s="29"/>
      <c r="AT61" s="31" t="str">
        <f t="shared" si="7"/>
        <v/>
      </c>
      <c r="AU61" s="27"/>
      <c r="AV61" s="27"/>
      <c r="AW61" s="28" t="str">
        <f>IFERROR(VLOOKUP(AU61,Horarios!$H:$I,2,0),"")</f>
        <v/>
      </c>
      <c r="AX61" s="28" t="str">
        <f>IFERROR(VLOOKUP(AV61,Horarios!$H:$I,2,0),"")</f>
        <v/>
      </c>
      <c r="AY61" s="28" t="str">
        <f t="shared" si="8"/>
        <v>00:00</v>
      </c>
      <c r="AZ61" s="29"/>
      <c r="BA61" s="27"/>
      <c r="BB61" s="27"/>
      <c r="BC61" s="28" t="str">
        <f>IFERROR(VLOOKUP(BA61,Horarios!$H:$I,2,0),"")</f>
        <v/>
      </c>
      <c r="BD61" s="28" t="str">
        <f>IFERROR(VLOOKUP(BB61,Horarios!$H:$I,2,0),"")</f>
        <v/>
      </c>
      <c r="BE61" s="28" t="str">
        <f t="shared" si="9"/>
        <v>00:00</v>
      </c>
      <c r="BF61" s="29"/>
      <c r="BG61" s="27"/>
      <c r="BH61" s="27"/>
      <c r="BI61" s="28" t="str">
        <f>IFERROR(VLOOKUP(BG61,Horarios!$H:$I,2,0),"")</f>
        <v/>
      </c>
      <c r="BJ61" s="28" t="str">
        <f>IFERROR(VLOOKUP(BH61,Horarios!$H:$I,2,0),"")</f>
        <v/>
      </c>
      <c r="BK61" s="28" t="str">
        <f t="shared" si="10"/>
        <v>00:00</v>
      </c>
      <c r="BL61" s="29"/>
      <c r="BM61" s="27"/>
      <c r="BN61" s="27"/>
      <c r="BO61" s="28" t="str">
        <f>IFERROR(VLOOKUP(BM61,Horarios!$H:$I,2,0),"")</f>
        <v/>
      </c>
      <c r="BP61" s="28" t="str">
        <f>IFERROR(VLOOKUP(BN61,Horarios!$H:$I,2,0),"")</f>
        <v/>
      </c>
      <c r="BQ61" s="28" t="str">
        <f t="shared" si="11"/>
        <v>00:00</v>
      </c>
      <c r="BR61" s="29"/>
      <c r="BS61" s="27"/>
      <c r="BT61" s="27"/>
      <c r="BU61" s="28" t="str">
        <f>IFERROR(VLOOKUP(BS61,Horarios!$H:$I,2,0),"")</f>
        <v/>
      </c>
      <c r="BV61" s="28" t="str">
        <f>IFERROR(VLOOKUP(BT61,Horarios!$H:$I,2,0),"")</f>
        <v/>
      </c>
      <c r="BW61" s="28" t="str">
        <f t="shared" si="12"/>
        <v>00:00</v>
      </c>
      <c r="BX61" s="29"/>
      <c r="BY61" s="27"/>
      <c r="BZ61" s="27"/>
      <c r="CA61" s="28" t="str">
        <f>IFERROR(VLOOKUP(BY61,Horarios!$H:$I,2,0),"")</f>
        <v/>
      </c>
      <c r="CB61" s="28" t="str">
        <f>IFERROR(VLOOKUP(BZ61,Horarios!$H:$I,2,0),"")</f>
        <v/>
      </c>
      <c r="CC61" s="28" t="str">
        <f t="shared" si="13"/>
        <v>00:00</v>
      </c>
      <c r="CD61" s="29"/>
      <c r="CE61" s="27"/>
      <c r="CF61" s="27"/>
      <c r="CG61" s="28" t="str">
        <f>IFERROR(VLOOKUP(CE61,Horarios!$H:$I,2,0),"")</f>
        <v/>
      </c>
      <c r="CH61" s="28" t="str">
        <f>IFERROR(VLOOKUP(CF61,Horarios!$H:$I,2,0),"")</f>
        <v/>
      </c>
      <c r="CI61" s="28" t="str">
        <f t="shared" si="14"/>
        <v>00:00</v>
      </c>
      <c r="CJ61" s="29"/>
      <c r="CK61" s="31" t="str">
        <f t="shared" si="15"/>
        <v/>
      </c>
      <c r="CL61" s="27"/>
      <c r="CM61" s="27"/>
      <c r="CN61" s="28" t="str">
        <f>IFERROR(VLOOKUP(CL61,Horarios!$H:$I,2,0),"")</f>
        <v/>
      </c>
      <c r="CO61" s="28" t="str">
        <f>IFERROR(VLOOKUP(CM61,Horarios!$H:$I,2,0),"")</f>
        <v/>
      </c>
      <c r="CP61" s="28" t="str">
        <f t="shared" si="16"/>
        <v>00:00</v>
      </c>
      <c r="CQ61" s="29"/>
      <c r="CR61" s="27"/>
      <c r="CS61" s="27"/>
      <c r="CT61" s="28" t="str">
        <f>IFERROR(VLOOKUP(CR61,Horarios!$H:$I,2,0),"")</f>
        <v/>
      </c>
      <c r="CU61" s="28" t="str">
        <f>IFERROR(VLOOKUP(CS61,Horarios!$H:$I,2,0),"")</f>
        <v/>
      </c>
      <c r="CV61" s="28" t="str">
        <f t="shared" si="17"/>
        <v>00:00</v>
      </c>
      <c r="CW61" s="29"/>
      <c r="CX61" s="27"/>
      <c r="CY61" s="27"/>
      <c r="CZ61" s="28" t="str">
        <f>IFERROR(VLOOKUP(CX61,Horarios!$H:$I,2,0),"")</f>
        <v/>
      </c>
      <c r="DA61" s="28" t="str">
        <f>IFERROR(VLOOKUP(CY61,Horarios!$H:$I,2,0),"")</f>
        <v/>
      </c>
      <c r="DB61" s="28" t="str">
        <f t="shared" si="18"/>
        <v>00:00</v>
      </c>
      <c r="DC61" s="29"/>
      <c r="DD61" s="27"/>
      <c r="DE61" s="27"/>
      <c r="DF61" s="28" t="str">
        <f>IFERROR(VLOOKUP(DD61,Horarios!$H:$I,2,0),"")</f>
        <v/>
      </c>
      <c r="DG61" s="28" t="str">
        <f>IFERROR(VLOOKUP(DE61,Horarios!$H:$I,2,0),"")</f>
        <v/>
      </c>
      <c r="DH61" s="28" t="str">
        <f t="shared" si="19"/>
        <v>00:00</v>
      </c>
      <c r="DI61" s="29"/>
      <c r="DJ61" s="27"/>
      <c r="DK61" s="27"/>
      <c r="DL61" s="28" t="str">
        <f>IFERROR(VLOOKUP(DJ61,Horarios!$H:$I,2,0),"")</f>
        <v/>
      </c>
      <c r="DM61" s="28" t="str">
        <f>IFERROR(VLOOKUP(DK61,Horarios!$H:$I,2,0),"")</f>
        <v/>
      </c>
      <c r="DN61" s="28" t="str">
        <f t="shared" si="20"/>
        <v>00:00</v>
      </c>
      <c r="DO61" s="29"/>
      <c r="DP61" s="27"/>
      <c r="DQ61" s="27"/>
      <c r="DR61" s="28" t="str">
        <f>IFERROR(VLOOKUP(DP61,Horarios!$H:$I,2,0),"")</f>
        <v/>
      </c>
      <c r="DS61" s="28" t="str">
        <f>IFERROR(VLOOKUP(DQ61,Horarios!$H:$I,2,0),"")</f>
        <v/>
      </c>
      <c r="DT61" s="28" t="str">
        <f t="shared" si="21"/>
        <v>00:00</v>
      </c>
      <c r="DU61" s="29"/>
      <c r="DV61" s="27"/>
      <c r="DW61" s="27"/>
      <c r="DX61" s="28" t="str">
        <f>IFERROR(VLOOKUP(DV61,Horarios!$H:$I,2,0),"")</f>
        <v/>
      </c>
      <c r="DY61" s="28" t="str">
        <f>IFERROR(VLOOKUP(DW61,Horarios!$H:$I,2,0),"")</f>
        <v/>
      </c>
      <c r="DZ61" s="28" t="str">
        <f t="shared" si="22"/>
        <v>00:00</v>
      </c>
      <c r="EA61" s="29"/>
      <c r="EB61" s="31" t="str">
        <f t="shared" si="23"/>
        <v/>
      </c>
      <c r="EC61" s="27"/>
      <c r="ED61" s="27"/>
      <c r="EE61" s="28" t="str">
        <f>IFERROR(VLOOKUP(EC61,Horarios!$H:$I,2,0),"")</f>
        <v/>
      </c>
      <c r="EF61" s="28" t="str">
        <f>IFERROR(VLOOKUP(ED61,Horarios!$H:$I,2,0),"")</f>
        <v/>
      </c>
      <c r="EG61" s="28" t="str">
        <f t="shared" si="24"/>
        <v>00:00</v>
      </c>
      <c r="EH61" s="29"/>
      <c r="EI61" s="27"/>
      <c r="EJ61" s="27"/>
      <c r="EK61" s="28" t="str">
        <f>IFERROR(VLOOKUP(EI61,Horarios!$H:$I,2,0),"")</f>
        <v/>
      </c>
      <c r="EL61" s="28" t="str">
        <f>IFERROR(VLOOKUP(EJ61,Horarios!$H:$I,2,0),"")</f>
        <v/>
      </c>
      <c r="EM61" s="28" t="str">
        <f t="shared" si="25"/>
        <v>00:00</v>
      </c>
      <c r="EN61" s="29"/>
      <c r="EO61" s="27"/>
      <c r="EP61" s="27"/>
      <c r="EQ61" s="28" t="str">
        <f>IFERROR(VLOOKUP(EO61,Horarios!$H:$I,2,0),"")</f>
        <v/>
      </c>
      <c r="ER61" s="28" t="str">
        <f>IFERROR(VLOOKUP(EP61,Horarios!$H:$I,2,0),"")</f>
        <v/>
      </c>
      <c r="ES61" s="28" t="str">
        <f t="shared" si="26"/>
        <v>00:00</v>
      </c>
      <c r="ET61" s="29"/>
      <c r="EU61" s="27"/>
      <c r="EV61" s="27"/>
      <c r="EW61" s="28" t="str">
        <f>IFERROR(VLOOKUP(EU61,Horarios!$H:$I,2,0),"")</f>
        <v/>
      </c>
      <c r="EX61" s="28" t="str">
        <f>IFERROR(VLOOKUP(EV61,Horarios!$H:$I,2,0),"")</f>
        <v/>
      </c>
      <c r="EY61" s="28" t="str">
        <f t="shared" si="27"/>
        <v>00:00</v>
      </c>
      <c r="EZ61" s="29"/>
      <c r="FA61" s="27"/>
      <c r="FB61" s="27"/>
      <c r="FC61" s="28" t="str">
        <f>IFERROR(VLOOKUP(FA61,Horarios!$H:$I,2,0),"")</f>
        <v/>
      </c>
      <c r="FD61" s="28" t="str">
        <f>IFERROR(VLOOKUP(FB61,Horarios!$H:$I,2,0),"")</f>
        <v/>
      </c>
      <c r="FE61" s="28" t="str">
        <f t="shared" si="28"/>
        <v>00:00</v>
      </c>
      <c r="FF61" s="29"/>
      <c r="FG61" s="27"/>
      <c r="FH61" s="27"/>
      <c r="FI61" s="28" t="str">
        <f>IFERROR(VLOOKUP(FG61,Horarios!$H:$I,2,0),"")</f>
        <v/>
      </c>
      <c r="FJ61" s="28" t="str">
        <f>IFERROR(VLOOKUP(FH61,Horarios!$H:$I,2,0),"")</f>
        <v/>
      </c>
      <c r="FK61" s="28" t="str">
        <f t="shared" si="29"/>
        <v>00:00</v>
      </c>
      <c r="FL61" s="29"/>
      <c r="FM61" s="27"/>
      <c r="FN61" s="27"/>
      <c r="FO61" s="28" t="str">
        <f>IFERROR(VLOOKUP(FM61,Horarios!$H:$I,2,0),"")</f>
        <v/>
      </c>
      <c r="FP61" s="28" t="str">
        <f>IFERROR(VLOOKUP(FN61,Horarios!$H:$I,2,0),"")</f>
        <v/>
      </c>
      <c r="FQ61" s="28" t="str">
        <f t="shared" si="30"/>
        <v>00:00</v>
      </c>
      <c r="FR61" s="29"/>
      <c r="FS61" s="31" t="str">
        <f t="shared" si="31"/>
        <v/>
      </c>
      <c r="FT61" s="27"/>
      <c r="FU61" s="27"/>
      <c r="FV61" s="28" t="str">
        <f>IFERROR(VLOOKUP(FT61,Horarios!$H:$I,2,0),"")</f>
        <v/>
      </c>
      <c r="FW61" s="28" t="str">
        <f>IFERROR(VLOOKUP(FU61,Horarios!$H:$I,2,0),"")</f>
        <v/>
      </c>
      <c r="FX61" s="28" t="str">
        <f t="shared" si="32"/>
        <v>00:00</v>
      </c>
      <c r="FY61" s="29"/>
      <c r="FZ61" s="27"/>
      <c r="GA61" s="27"/>
      <c r="GB61" s="28" t="str">
        <f>IFERROR(VLOOKUP(FZ61,Horarios!$H:$I,2,0),"")</f>
        <v/>
      </c>
      <c r="GC61" s="28" t="str">
        <f>IFERROR(VLOOKUP(GA61,Horarios!$H:$I,2,0),"")</f>
        <v/>
      </c>
      <c r="GD61" s="28" t="str">
        <f t="shared" si="33"/>
        <v>00:00</v>
      </c>
      <c r="GE61" s="29"/>
      <c r="GF61" s="27"/>
      <c r="GG61" s="27"/>
      <c r="GH61" s="28" t="str">
        <f>IFERROR(VLOOKUP(GF61,Horarios!$H:$I,2,0),"")</f>
        <v/>
      </c>
      <c r="GI61" s="28" t="str">
        <f>IFERROR(VLOOKUP(GG61,Horarios!$H:$I,2,0),"")</f>
        <v/>
      </c>
      <c r="GJ61" s="28" t="str">
        <f t="shared" si="34"/>
        <v>00:00</v>
      </c>
      <c r="GK61" s="29"/>
      <c r="GL61" s="27"/>
      <c r="GM61" s="27"/>
      <c r="GN61" s="28" t="str">
        <f>IFERROR(VLOOKUP(GL61,Horarios!$H:$I,2,0),"")</f>
        <v/>
      </c>
      <c r="GO61" s="28" t="str">
        <f>IFERROR(VLOOKUP(GM61,Horarios!$H:$I,2,0),"")</f>
        <v/>
      </c>
      <c r="GP61" s="28" t="str">
        <f t="shared" si="35"/>
        <v>00:00</v>
      </c>
      <c r="GQ61" s="29"/>
      <c r="GR61" s="27"/>
      <c r="GS61" s="27"/>
      <c r="GT61" s="28" t="str">
        <f>IFERROR(VLOOKUP(GR61,Horarios!$H:$I,2,0),"")</f>
        <v/>
      </c>
      <c r="GU61" s="28" t="str">
        <f>IFERROR(VLOOKUP(GS61,Horarios!$H:$I,2,0),"")</f>
        <v/>
      </c>
      <c r="GV61" s="28" t="str">
        <f t="shared" si="36"/>
        <v>00:00</v>
      </c>
      <c r="GW61" s="29"/>
      <c r="GX61" s="27"/>
      <c r="GY61" s="27"/>
      <c r="GZ61" s="28" t="str">
        <f>IFERROR(VLOOKUP(GX61,Horarios!$H:$I,2,0),"")</f>
        <v/>
      </c>
      <c r="HA61" s="28" t="str">
        <f>IFERROR(VLOOKUP(GY61,Horarios!$H:$I,2,0),"")</f>
        <v/>
      </c>
      <c r="HB61" s="28" t="str">
        <f t="shared" si="37"/>
        <v>00:00</v>
      </c>
      <c r="HC61" s="29"/>
      <c r="HD61" s="27"/>
      <c r="HE61" s="27"/>
      <c r="HF61" s="28" t="str">
        <f>IFERROR(VLOOKUP(HD61,Horarios!$H:$I,2,0),"")</f>
        <v/>
      </c>
      <c r="HG61" s="28" t="str">
        <f>IFERROR(VLOOKUP(HE61,Horarios!$H:$I,2,0),"")</f>
        <v/>
      </c>
      <c r="HH61" s="28" t="str">
        <f t="shared" si="38"/>
        <v>00:00</v>
      </c>
      <c r="HI61" s="29"/>
      <c r="HJ61" s="31" t="str">
        <f t="shared" si="39"/>
        <v/>
      </c>
      <c r="HK61" s="27"/>
      <c r="HL61" s="27"/>
      <c r="HM61" s="28" t="str">
        <f>IFERROR(VLOOKUP(HK61,Horarios!$H:$I,2,0),"")</f>
        <v/>
      </c>
      <c r="HN61" s="28" t="str">
        <f>IFERROR(VLOOKUP(HL61,Horarios!$H:$I,2,0),"")</f>
        <v/>
      </c>
      <c r="HO61" s="28" t="str">
        <f t="shared" si="40"/>
        <v>00:00</v>
      </c>
      <c r="HP61" s="29"/>
      <c r="HQ61" s="27"/>
      <c r="HR61" s="27"/>
      <c r="HS61" s="28" t="str">
        <f>IFERROR(VLOOKUP(HQ61,Horarios!$H:$I,2,0),"")</f>
        <v/>
      </c>
      <c r="HT61" s="28" t="str">
        <f>IFERROR(VLOOKUP(HR61,Horarios!$H:$I,2,0),"")</f>
        <v/>
      </c>
      <c r="HU61" s="28" t="str">
        <f t="shared" si="41"/>
        <v>00:00</v>
      </c>
      <c r="HV61" s="29"/>
      <c r="HW61" s="27"/>
      <c r="HX61" s="27"/>
      <c r="HY61" s="28" t="str">
        <f>IFERROR(VLOOKUP(HW61,Horarios!$H:$I,2,0),"")</f>
        <v/>
      </c>
      <c r="HZ61" s="28" t="str">
        <f>IFERROR(VLOOKUP(HX61,Horarios!$H:$I,2,0),"")</f>
        <v/>
      </c>
      <c r="IA61" s="28" t="str">
        <f t="shared" si="42"/>
        <v>00:00</v>
      </c>
      <c r="IB61" s="29"/>
      <c r="IC61" s="27"/>
      <c r="ID61" s="27"/>
      <c r="IE61" s="28" t="str">
        <f>IFERROR(VLOOKUP(IC61,Horarios!$H:$I,2,0),"")</f>
        <v/>
      </c>
      <c r="IF61" s="28" t="str">
        <f>IFERROR(VLOOKUP(ID61,Horarios!$H:$I,2,0),"")</f>
        <v/>
      </c>
      <c r="IG61" s="28" t="str">
        <f t="shared" si="43"/>
        <v>00:00</v>
      </c>
      <c r="IH61" s="29"/>
      <c r="II61" s="27"/>
      <c r="IJ61" s="27"/>
      <c r="IK61" s="28" t="str">
        <f>IFERROR(VLOOKUP(II61,Horarios!$H:$I,2,0),"")</f>
        <v/>
      </c>
      <c r="IL61" s="28" t="str">
        <f>IFERROR(VLOOKUP(IJ61,Horarios!$H:$I,2,0),"")</f>
        <v/>
      </c>
      <c r="IM61" s="28" t="str">
        <f t="shared" si="44"/>
        <v>00:00</v>
      </c>
      <c r="IN61" s="29"/>
      <c r="IO61" s="27"/>
      <c r="IP61" s="27"/>
      <c r="IQ61" s="28" t="str">
        <f>IFERROR(VLOOKUP(IO61,Horarios!$H:$I,2,0),"")</f>
        <v/>
      </c>
      <c r="IR61" s="28" t="str">
        <f>IFERROR(VLOOKUP(IP61,Horarios!$H:$I,2,0),"")</f>
        <v/>
      </c>
      <c r="IS61" s="28" t="str">
        <f t="shared" si="45"/>
        <v>00:00</v>
      </c>
      <c r="IT61" s="29"/>
      <c r="IU61" s="27"/>
      <c r="IV61" s="27"/>
      <c r="IW61" s="28" t="str">
        <f>IFERROR(VLOOKUP(IU61,Horarios!$H:$I,2,0),"")</f>
        <v/>
      </c>
      <c r="IX61" s="28" t="str">
        <f>IFERROR(VLOOKUP(IV61,Horarios!$H:$I,2,0),"")</f>
        <v/>
      </c>
      <c r="IY61" s="28" t="str">
        <f t="shared" si="46"/>
        <v>00:00</v>
      </c>
      <c r="IZ61" s="29"/>
      <c r="JA61" s="31" t="str">
        <f t="shared" si="47"/>
        <v/>
      </c>
    </row>
    <row r="62" spans="1:261" s="24" customFormat="1" ht="17.399999999999999" x14ac:dyDescent="0.25">
      <c r="A62" s="25"/>
      <c r="B62" s="26" t="str">
        <f>IFERROR(VLOOKUP(A62,BaseNombres!A:B,2,0),"")</f>
        <v/>
      </c>
      <c r="C62" s="26" t="str">
        <f>IFERROR(VLOOKUP(A62,BaseNombres!A:C,3,0),"")</f>
        <v/>
      </c>
      <c r="D62" s="27"/>
      <c r="E62" s="27"/>
      <c r="F62" s="28" t="str">
        <f>IFERROR(VLOOKUP(D62,Horarios!$H:$I,2,0),"")</f>
        <v/>
      </c>
      <c r="G62" s="28" t="str">
        <f>IFERROR(VLOOKUP(E62,Horarios!$H:$I,2,0),"")</f>
        <v/>
      </c>
      <c r="H62" s="28" t="str">
        <f t="shared" si="0"/>
        <v>00:00</v>
      </c>
      <c r="I62" s="29"/>
      <c r="J62" s="27"/>
      <c r="K62" s="27"/>
      <c r="L62" s="28" t="str">
        <f>IFERROR(VLOOKUP(J62,Horarios!$H:$I,2,0),"")</f>
        <v/>
      </c>
      <c r="M62" s="28" t="str">
        <f>IFERROR(VLOOKUP(K62,Horarios!$H:$I,2,0),"")</f>
        <v/>
      </c>
      <c r="N62" s="28" t="str">
        <f t="shared" si="1"/>
        <v>00:00</v>
      </c>
      <c r="O62" s="29"/>
      <c r="P62" s="27"/>
      <c r="Q62" s="27"/>
      <c r="R62" s="28" t="str">
        <f>IFERROR(VLOOKUP(P62,Horarios!$H:$I,2,0),"")</f>
        <v/>
      </c>
      <c r="S62" s="28" t="str">
        <f>IFERROR(VLOOKUP(Q62,Horarios!$H:$I,2,0),"")</f>
        <v/>
      </c>
      <c r="T62" s="28" t="str">
        <f t="shared" si="2"/>
        <v>00:00</v>
      </c>
      <c r="U62" s="29"/>
      <c r="V62" s="27"/>
      <c r="W62" s="27"/>
      <c r="X62" s="28" t="str">
        <f>IFERROR(VLOOKUP(V62,Horarios!$H:$I,2,0),"")</f>
        <v/>
      </c>
      <c r="Y62" s="28" t="str">
        <f>IFERROR(VLOOKUP(W62,Horarios!$H:$I,2,0),"")</f>
        <v/>
      </c>
      <c r="Z62" s="28" t="str">
        <f t="shared" si="3"/>
        <v>00:00</v>
      </c>
      <c r="AA62" s="29"/>
      <c r="AB62" s="27"/>
      <c r="AC62" s="27"/>
      <c r="AD62" s="28" t="str">
        <f>IFERROR(VLOOKUP(AB62,Horarios!$H:$I,2,0),"")</f>
        <v/>
      </c>
      <c r="AE62" s="28" t="str">
        <f>IFERROR(VLOOKUP(AC62,Horarios!$H:$I,2,0),"")</f>
        <v/>
      </c>
      <c r="AF62" s="28" t="str">
        <f t="shared" si="4"/>
        <v>00:00</v>
      </c>
      <c r="AG62" s="29"/>
      <c r="AH62" s="27"/>
      <c r="AI62" s="27"/>
      <c r="AJ62" s="28" t="str">
        <f>IFERROR(VLOOKUP(AH62,Horarios!$H:$I,2,0),"")</f>
        <v/>
      </c>
      <c r="AK62" s="28" t="str">
        <f>IFERROR(VLOOKUP(AI62,Horarios!$H:$I,2,0),"")</f>
        <v/>
      </c>
      <c r="AL62" s="28" t="str">
        <f t="shared" si="5"/>
        <v>00:00</v>
      </c>
      <c r="AM62" s="29"/>
      <c r="AN62" s="27"/>
      <c r="AO62" s="27"/>
      <c r="AP62" s="28" t="str">
        <f>IFERROR(VLOOKUP(AN62,Horarios!$H:$I,2,0),"")</f>
        <v/>
      </c>
      <c r="AQ62" s="28" t="str">
        <f>IFERROR(VLOOKUP(AO62,Horarios!$H:$I,2,0),"")</f>
        <v/>
      </c>
      <c r="AR62" s="28" t="str">
        <f t="shared" si="6"/>
        <v>00:00</v>
      </c>
      <c r="AS62" s="29"/>
      <c r="AT62" s="31" t="str">
        <f t="shared" si="7"/>
        <v/>
      </c>
      <c r="AU62" s="27"/>
      <c r="AV62" s="27"/>
      <c r="AW62" s="28" t="str">
        <f>IFERROR(VLOOKUP(AU62,Horarios!$H:$I,2,0),"")</f>
        <v/>
      </c>
      <c r="AX62" s="28" t="str">
        <f>IFERROR(VLOOKUP(AV62,Horarios!$H:$I,2,0),"")</f>
        <v/>
      </c>
      <c r="AY62" s="28" t="str">
        <f t="shared" si="8"/>
        <v>00:00</v>
      </c>
      <c r="AZ62" s="29"/>
      <c r="BA62" s="27"/>
      <c r="BB62" s="27"/>
      <c r="BC62" s="28" t="str">
        <f>IFERROR(VLOOKUP(BA62,Horarios!$H:$I,2,0),"")</f>
        <v/>
      </c>
      <c r="BD62" s="28" t="str">
        <f>IFERROR(VLOOKUP(BB62,Horarios!$H:$I,2,0),"")</f>
        <v/>
      </c>
      <c r="BE62" s="28" t="str">
        <f t="shared" si="9"/>
        <v>00:00</v>
      </c>
      <c r="BF62" s="29"/>
      <c r="BG62" s="27"/>
      <c r="BH62" s="27"/>
      <c r="BI62" s="28" t="str">
        <f>IFERROR(VLOOKUP(BG62,Horarios!$H:$I,2,0),"")</f>
        <v/>
      </c>
      <c r="BJ62" s="28" t="str">
        <f>IFERROR(VLOOKUP(BH62,Horarios!$H:$I,2,0),"")</f>
        <v/>
      </c>
      <c r="BK62" s="28" t="str">
        <f t="shared" si="10"/>
        <v>00:00</v>
      </c>
      <c r="BL62" s="29"/>
      <c r="BM62" s="27"/>
      <c r="BN62" s="27"/>
      <c r="BO62" s="28" t="str">
        <f>IFERROR(VLOOKUP(BM62,Horarios!$H:$I,2,0),"")</f>
        <v/>
      </c>
      <c r="BP62" s="28" t="str">
        <f>IFERROR(VLOOKUP(BN62,Horarios!$H:$I,2,0),"")</f>
        <v/>
      </c>
      <c r="BQ62" s="28" t="str">
        <f t="shared" si="11"/>
        <v>00:00</v>
      </c>
      <c r="BR62" s="29"/>
      <c r="BS62" s="27"/>
      <c r="BT62" s="27"/>
      <c r="BU62" s="28" t="str">
        <f>IFERROR(VLOOKUP(BS62,Horarios!$H:$I,2,0),"")</f>
        <v/>
      </c>
      <c r="BV62" s="28" t="str">
        <f>IFERROR(VLOOKUP(BT62,Horarios!$H:$I,2,0),"")</f>
        <v/>
      </c>
      <c r="BW62" s="28" t="str">
        <f t="shared" si="12"/>
        <v>00:00</v>
      </c>
      <c r="BX62" s="29"/>
      <c r="BY62" s="27"/>
      <c r="BZ62" s="27"/>
      <c r="CA62" s="28" t="str">
        <f>IFERROR(VLOOKUP(BY62,Horarios!$H:$I,2,0),"")</f>
        <v/>
      </c>
      <c r="CB62" s="28" t="str">
        <f>IFERROR(VLOOKUP(BZ62,Horarios!$H:$I,2,0),"")</f>
        <v/>
      </c>
      <c r="CC62" s="28" t="str">
        <f t="shared" si="13"/>
        <v>00:00</v>
      </c>
      <c r="CD62" s="29"/>
      <c r="CE62" s="27"/>
      <c r="CF62" s="27"/>
      <c r="CG62" s="28" t="str">
        <f>IFERROR(VLOOKUP(CE62,Horarios!$H:$I,2,0),"")</f>
        <v/>
      </c>
      <c r="CH62" s="28" t="str">
        <f>IFERROR(VLOOKUP(CF62,Horarios!$H:$I,2,0),"")</f>
        <v/>
      </c>
      <c r="CI62" s="28" t="str">
        <f t="shared" si="14"/>
        <v>00:00</v>
      </c>
      <c r="CJ62" s="29"/>
      <c r="CK62" s="31" t="str">
        <f t="shared" si="15"/>
        <v/>
      </c>
      <c r="CL62" s="27"/>
      <c r="CM62" s="27"/>
      <c r="CN62" s="28" t="str">
        <f>IFERROR(VLOOKUP(CL62,Horarios!$H:$I,2,0),"")</f>
        <v/>
      </c>
      <c r="CO62" s="28" t="str">
        <f>IFERROR(VLOOKUP(CM62,Horarios!$H:$I,2,0),"")</f>
        <v/>
      </c>
      <c r="CP62" s="28" t="str">
        <f t="shared" si="16"/>
        <v>00:00</v>
      </c>
      <c r="CQ62" s="29"/>
      <c r="CR62" s="27"/>
      <c r="CS62" s="27"/>
      <c r="CT62" s="28" t="str">
        <f>IFERROR(VLOOKUP(CR62,Horarios!$H:$I,2,0),"")</f>
        <v/>
      </c>
      <c r="CU62" s="28" t="str">
        <f>IFERROR(VLOOKUP(CS62,Horarios!$H:$I,2,0),"")</f>
        <v/>
      </c>
      <c r="CV62" s="28" t="str">
        <f t="shared" si="17"/>
        <v>00:00</v>
      </c>
      <c r="CW62" s="29"/>
      <c r="CX62" s="27"/>
      <c r="CY62" s="27"/>
      <c r="CZ62" s="28" t="str">
        <f>IFERROR(VLOOKUP(CX62,Horarios!$H:$I,2,0),"")</f>
        <v/>
      </c>
      <c r="DA62" s="28" t="str">
        <f>IFERROR(VLOOKUP(CY62,Horarios!$H:$I,2,0),"")</f>
        <v/>
      </c>
      <c r="DB62" s="28" t="str">
        <f t="shared" si="18"/>
        <v>00:00</v>
      </c>
      <c r="DC62" s="29"/>
      <c r="DD62" s="27"/>
      <c r="DE62" s="27"/>
      <c r="DF62" s="28" t="str">
        <f>IFERROR(VLOOKUP(DD62,Horarios!$H:$I,2,0),"")</f>
        <v/>
      </c>
      <c r="DG62" s="28" t="str">
        <f>IFERROR(VLOOKUP(DE62,Horarios!$H:$I,2,0),"")</f>
        <v/>
      </c>
      <c r="DH62" s="28" t="str">
        <f t="shared" si="19"/>
        <v>00:00</v>
      </c>
      <c r="DI62" s="29"/>
      <c r="DJ62" s="27"/>
      <c r="DK62" s="27"/>
      <c r="DL62" s="28" t="str">
        <f>IFERROR(VLOOKUP(DJ62,Horarios!$H:$I,2,0),"")</f>
        <v/>
      </c>
      <c r="DM62" s="28" t="str">
        <f>IFERROR(VLOOKUP(DK62,Horarios!$H:$I,2,0),"")</f>
        <v/>
      </c>
      <c r="DN62" s="28" t="str">
        <f t="shared" si="20"/>
        <v>00:00</v>
      </c>
      <c r="DO62" s="29"/>
      <c r="DP62" s="27"/>
      <c r="DQ62" s="27"/>
      <c r="DR62" s="28" t="str">
        <f>IFERROR(VLOOKUP(DP62,Horarios!$H:$I,2,0),"")</f>
        <v/>
      </c>
      <c r="DS62" s="28" t="str">
        <f>IFERROR(VLOOKUP(DQ62,Horarios!$H:$I,2,0),"")</f>
        <v/>
      </c>
      <c r="DT62" s="28" t="str">
        <f t="shared" si="21"/>
        <v>00:00</v>
      </c>
      <c r="DU62" s="29"/>
      <c r="DV62" s="27"/>
      <c r="DW62" s="27"/>
      <c r="DX62" s="28" t="str">
        <f>IFERROR(VLOOKUP(DV62,Horarios!$H:$I,2,0),"")</f>
        <v/>
      </c>
      <c r="DY62" s="28" t="str">
        <f>IFERROR(VLOOKUP(DW62,Horarios!$H:$I,2,0),"")</f>
        <v/>
      </c>
      <c r="DZ62" s="28" t="str">
        <f t="shared" si="22"/>
        <v>00:00</v>
      </c>
      <c r="EA62" s="29"/>
      <c r="EB62" s="31" t="str">
        <f t="shared" si="23"/>
        <v/>
      </c>
      <c r="EC62" s="27"/>
      <c r="ED62" s="27"/>
      <c r="EE62" s="28" t="str">
        <f>IFERROR(VLOOKUP(EC62,Horarios!$H:$I,2,0),"")</f>
        <v/>
      </c>
      <c r="EF62" s="28" t="str">
        <f>IFERROR(VLOOKUP(ED62,Horarios!$H:$I,2,0),"")</f>
        <v/>
      </c>
      <c r="EG62" s="28" t="str">
        <f t="shared" si="24"/>
        <v>00:00</v>
      </c>
      <c r="EH62" s="29"/>
      <c r="EI62" s="27"/>
      <c r="EJ62" s="27"/>
      <c r="EK62" s="28" t="str">
        <f>IFERROR(VLOOKUP(EI62,Horarios!$H:$I,2,0),"")</f>
        <v/>
      </c>
      <c r="EL62" s="28" t="str">
        <f>IFERROR(VLOOKUP(EJ62,Horarios!$H:$I,2,0),"")</f>
        <v/>
      </c>
      <c r="EM62" s="28" t="str">
        <f t="shared" si="25"/>
        <v>00:00</v>
      </c>
      <c r="EN62" s="29"/>
      <c r="EO62" s="27"/>
      <c r="EP62" s="27"/>
      <c r="EQ62" s="28" t="str">
        <f>IFERROR(VLOOKUP(EO62,Horarios!$H:$I,2,0),"")</f>
        <v/>
      </c>
      <c r="ER62" s="28" t="str">
        <f>IFERROR(VLOOKUP(EP62,Horarios!$H:$I,2,0),"")</f>
        <v/>
      </c>
      <c r="ES62" s="28" t="str">
        <f t="shared" si="26"/>
        <v>00:00</v>
      </c>
      <c r="ET62" s="29"/>
      <c r="EU62" s="27"/>
      <c r="EV62" s="27"/>
      <c r="EW62" s="28" t="str">
        <f>IFERROR(VLOOKUP(EU62,Horarios!$H:$I,2,0),"")</f>
        <v/>
      </c>
      <c r="EX62" s="28" t="str">
        <f>IFERROR(VLOOKUP(EV62,Horarios!$H:$I,2,0),"")</f>
        <v/>
      </c>
      <c r="EY62" s="28" t="str">
        <f t="shared" si="27"/>
        <v>00:00</v>
      </c>
      <c r="EZ62" s="29"/>
      <c r="FA62" s="27"/>
      <c r="FB62" s="27"/>
      <c r="FC62" s="28" t="str">
        <f>IFERROR(VLOOKUP(FA62,Horarios!$H:$I,2,0),"")</f>
        <v/>
      </c>
      <c r="FD62" s="28" t="str">
        <f>IFERROR(VLOOKUP(FB62,Horarios!$H:$I,2,0),"")</f>
        <v/>
      </c>
      <c r="FE62" s="28" t="str">
        <f t="shared" si="28"/>
        <v>00:00</v>
      </c>
      <c r="FF62" s="29"/>
      <c r="FG62" s="27"/>
      <c r="FH62" s="27"/>
      <c r="FI62" s="28" t="str">
        <f>IFERROR(VLOOKUP(FG62,Horarios!$H:$I,2,0),"")</f>
        <v/>
      </c>
      <c r="FJ62" s="28" t="str">
        <f>IFERROR(VLOOKUP(FH62,Horarios!$H:$I,2,0),"")</f>
        <v/>
      </c>
      <c r="FK62" s="28" t="str">
        <f t="shared" si="29"/>
        <v>00:00</v>
      </c>
      <c r="FL62" s="29"/>
      <c r="FM62" s="27"/>
      <c r="FN62" s="27"/>
      <c r="FO62" s="28" t="str">
        <f>IFERROR(VLOOKUP(FM62,Horarios!$H:$I,2,0),"")</f>
        <v/>
      </c>
      <c r="FP62" s="28" t="str">
        <f>IFERROR(VLOOKUP(FN62,Horarios!$H:$I,2,0),"")</f>
        <v/>
      </c>
      <c r="FQ62" s="28" t="str">
        <f t="shared" si="30"/>
        <v>00:00</v>
      </c>
      <c r="FR62" s="29"/>
      <c r="FS62" s="31" t="str">
        <f t="shared" si="31"/>
        <v/>
      </c>
      <c r="FT62" s="27"/>
      <c r="FU62" s="27"/>
      <c r="FV62" s="28" t="str">
        <f>IFERROR(VLOOKUP(FT62,Horarios!$H:$I,2,0),"")</f>
        <v/>
      </c>
      <c r="FW62" s="28" t="str">
        <f>IFERROR(VLOOKUP(FU62,Horarios!$H:$I,2,0),"")</f>
        <v/>
      </c>
      <c r="FX62" s="28" t="str">
        <f t="shared" si="32"/>
        <v>00:00</v>
      </c>
      <c r="FY62" s="29"/>
      <c r="FZ62" s="27"/>
      <c r="GA62" s="27"/>
      <c r="GB62" s="28" t="str">
        <f>IFERROR(VLOOKUP(FZ62,Horarios!$H:$I,2,0),"")</f>
        <v/>
      </c>
      <c r="GC62" s="28" t="str">
        <f>IFERROR(VLOOKUP(GA62,Horarios!$H:$I,2,0),"")</f>
        <v/>
      </c>
      <c r="GD62" s="28" t="str">
        <f t="shared" si="33"/>
        <v>00:00</v>
      </c>
      <c r="GE62" s="29"/>
      <c r="GF62" s="27"/>
      <c r="GG62" s="27"/>
      <c r="GH62" s="28" t="str">
        <f>IFERROR(VLOOKUP(GF62,Horarios!$H:$I,2,0),"")</f>
        <v/>
      </c>
      <c r="GI62" s="28" t="str">
        <f>IFERROR(VLOOKUP(GG62,Horarios!$H:$I,2,0),"")</f>
        <v/>
      </c>
      <c r="GJ62" s="28" t="str">
        <f t="shared" si="34"/>
        <v>00:00</v>
      </c>
      <c r="GK62" s="29"/>
      <c r="GL62" s="27"/>
      <c r="GM62" s="27"/>
      <c r="GN62" s="28" t="str">
        <f>IFERROR(VLOOKUP(GL62,Horarios!$H:$I,2,0),"")</f>
        <v/>
      </c>
      <c r="GO62" s="28" t="str">
        <f>IFERROR(VLOOKUP(GM62,Horarios!$H:$I,2,0),"")</f>
        <v/>
      </c>
      <c r="GP62" s="28" t="str">
        <f t="shared" si="35"/>
        <v>00:00</v>
      </c>
      <c r="GQ62" s="29"/>
      <c r="GR62" s="27"/>
      <c r="GS62" s="27"/>
      <c r="GT62" s="28" t="str">
        <f>IFERROR(VLOOKUP(GR62,Horarios!$H:$I,2,0),"")</f>
        <v/>
      </c>
      <c r="GU62" s="28" t="str">
        <f>IFERROR(VLOOKUP(GS62,Horarios!$H:$I,2,0),"")</f>
        <v/>
      </c>
      <c r="GV62" s="28" t="str">
        <f t="shared" si="36"/>
        <v>00:00</v>
      </c>
      <c r="GW62" s="29"/>
      <c r="GX62" s="27"/>
      <c r="GY62" s="27"/>
      <c r="GZ62" s="28" t="str">
        <f>IFERROR(VLOOKUP(GX62,Horarios!$H:$I,2,0),"")</f>
        <v/>
      </c>
      <c r="HA62" s="28" t="str">
        <f>IFERROR(VLOOKUP(GY62,Horarios!$H:$I,2,0),"")</f>
        <v/>
      </c>
      <c r="HB62" s="28" t="str">
        <f t="shared" si="37"/>
        <v>00:00</v>
      </c>
      <c r="HC62" s="29"/>
      <c r="HD62" s="27"/>
      <c r="HE62" s="27"/>
      <c r="HF62" s="28" t="str">
        <f>IFERROR(VLOOKUP(HD62,Horarios!$H:$I,2,0),"")</f>
        <v/>
      </c>
      <c r="HG62" s="28" t="str">
        <f>IFERROR(VLOOKUP(HE62,Horarios!$H:$I,2,0),"")</f>
        <v/>
      </c>
      <c r="HH62" s="28" t="str">
        <f t="shared" si="38"/>
        <v>00:00</v>
      </c>
      <c r="HI62" s="29"/>
      <c r="HJ62" s="31" t="str">
        <f t="shared" si="39"/>
        <v/>
      </c>
      <c r="HK62" s="27"/>
      <c r="HL62" s="27"/>
      <c r="HM62" s="28" t="str">
        <f>IFERROR(VLOOKUP(HK62,Horarios!$H:$I,2,0),"")</f>
        <v/>
      </c>
      <c r="HN62" s="28" t="str">
        <f>IFERROR(VLOOKUP(HL62,Horarios!$H:$I,2,0),"")</f>
        <v/>
      </c>
      <c r="HO62" s="28" t="str">
        <f t="shared" si="40"/>
        <v>00:00</v>
      </c>
      <c r="HP62" s="29"/>
      <c r="HQ62" s="27"/>
      <c r="HR62" s="27"/>
      <c r="HS62" s="28" t="str">
        <f>IFERROR(VLOOKUP(HQ62,Horarios!$H:$I,2,0),"")</f>
        <v/>
      </c>
      <c r="HT62" s="28" t="str">
        <f>IFERROR(VLOOKUP(HR62,Horarios!$H:$I,2,0),"")</f>
        <v/>
      </c>
      <c r="HU62" s="28" t="str">
        <f t="shared" si="41"/>
        <v>00:00</v>
      </c>
      <c r="HV62" s="29"/>
      <c r="HW62" s="27"/>
      <c r="HX62" s="27"/>
      <c r="HY62" s="28" t="str">
        <f>IFERROR(VLOOKUP(HW62,Horarios!$H:$I,2,0),"")</f>
        <v/>
      </c>
      <c r="HZ62" s="28" t="str">
        <f>IFERROR(VLOOKUP(HX62,Horarios!$H:$I,2,0),"")</f>
        <v/>
      </c>
      <c r="IA62" s="28" t="str">
        <f t="shared" si="42"/>
        <v>00:00</v>
      </c>
      <c r="IB62" s="29"/>
      <c r="IC62" s="27"/>
      <c r="ID62" s="27"/>
      <c r="IE62" s="28" t="str">
        <f>IFERROR(VLOOKUP(IC62,Horarios!$H:$I,2,0),"")</f>
        <v/>
      </c>
      <c r="IF62" s="28" t="str">
        <f>IFERROR(VLOOKUP(ID62,Horarios!$H:$I,2,0),"")</f>
        <v/>
      </c>
      <c r="IG62" s="28" t="str">
        <f t="shared" si="43"/>
        <v>00:00</v>
      </c>
      <c r="IH62" s="29"/>
      <c r="II62" s="27"/>
      <c r="IJ62" s="27"/>
      <c r="IK62" s="28" t="str">
        <f>IFERROR(VLOOKUP(II62,Horarios!$H:$I,2,0),"")</f>
        <v/>
      </c>
      <c r="IL62" s="28" t="str">
        <f>IFERROR(VLOOKUP(IJ62,Horarios!$H:$I,2,0),"")</f>
        <v/>
      </c>
      <c r="IM62" s="28" t="str">
        <f t="shared" si="44"/>
        <v>00:00</v>
      </c>
      <c r="IN62" s="29"/>
      <c r="IO62" s="27"/>
      <c r="IP62" s="27"/>
      <c r="IQ62" s="28" t="str">
        <f>IFERROR(VLOOKUP(IO62,Horarios!$H:$I,2,0),"")</f>
        <v/>
      </c>
      <c r="IR62" s="28" t="str">
        <f>IFERROR(VLOOKUP(IP62,Horarios!$H:$I,2,0),"")</f>
        <v/>
      </c>
      <c r="IS62" s="28" t="str">
        <f t="shared" si="45"/>
        <v>00:00</v>
      </c>
      <c r="IT62" s="29"/>
      <c r="IU62" s="27"/>
      <c r="IV62" s="27"/>
      <c r="IW62" s="28" t="str">
        <f>IFERROR(VLOOKUP(IU62,Horarios!$H:$I,2,0),"")</f>
        <v/>
      </c>
      <c r="IX62" s="28" t="str">
        <f>IFERROR(VLOOKUP(IV62,Horarios!$H:$I,2,0),"")</f>
        <v/>
      </c>
      <c r="IY62" s="28" t="str">
        <f t="shared" si="46"/>
        <v>00:00</v>
      </c>
      <c r="IZ62" s="29"/>
      <c r="JA62" s="31" t="str">
        <f t="shared" si="47"/>
        <v/>
      </c>
    </row>
    <row r="63" spans="1:261" s="24" customFormat="1" ht="17.399999999999999" x14ac:dyDescent="0.25">
      <c r="A63" s="25"/>
      <c r="B63" s="26" t="str">
        <f>IFERROR(VLOOKUP(A63,BaseNombres!A:B,2,0),"")</f>
        <v/>
      </c>
      <c r="C63" s="26" t="str">
        <f>IFERROR(VLOOKUP(A63,BaseNombres!A:C,3,0),"")</f>
        <v/>
      </c>
      <c r="D63" s="27"/>
      <c r="E63" s="27"/>
      <c r="F63" s="28" t="str">
        <f>IFERROR(VLOOKUP(D63,Horarios!$H:$I,2,0),"")</f>
        <v/>
      </c>
      <c r="G63" s="28" t="str">
        <f>IFERROR(VLOOKUP(E63,Horarios!$H:$I,2,0),"")</f>
        <v/>
      </c>
      <c r="H63" s="28" t="str">
        <f t="shared" si="0"/>
        <v>00:00</v>
      </c>
      <c r="I63" s="29"/>
      <c r="J63" s="27"/>
      <c r="K63" s="27"/>
      <c r="L63" s="28" t="str">
        <f>IFERROR(VLOOKUP(J63,Horarios!$H:$I,2,0),"")</f>
        <v/>
      </c>
      <c r="M63" s="28" t="str">
        <f>IFERROR(VLOOKUP(K63,Horarios!$H:$I,2,0),"")</f>
        <v/>
      </c>
      <c r="N63" s="28" t="str">
        <f t="shared" si="1"/>
        <v>00:00</v>
      </c>
      <c r="O63" s="29"/>
      <c r="P63" s="27"/>
      <c r="Q63" s="27"/>
      <c r="R63" s="28" t="str">
        <f>IFERROR(VLOOKUP(P63,Horarios!$H:$I,2,0),"")</f>
        <v/>
      </c>
      <c r="S63" s="28" t="str">
        <f>IFERROR(VLOOKUP(Q63,Horarios!$H:$I,2,0),"")</f>
        <v/>
      </c>
      <c r="T63" s="28" t="str">
        <f t="shared" si="2"/>
        <v>00:00</v>
      </c>
      <c r="U63" s="29"/>
      <c r="V63" s="27"/>
      <c r="W63" s="27"/>
      <c r="X63" s="28" t="str">
        <f>IFERROR(VLOOKUP(V63,Horarios!$H:$I,2,0),"")</f>
        <v/>
      </c>
      <c r="Y63" s="28" t="str">
        <f>IFERROR(VLOOKUP(W63,Horarios!$H:$I,2,0),"")</f>
        <v/>
      </c>
      <c r="Z63" s="28" t="str">
        <f t="shared" si="3"/>
        <v>00:00</v>
      </c>
      <c r="AA63" s="29"/>
      <c r="AB63" s="27"/>
      <c r="AC63" s="27"/>
      <c r="AD63" s="28" t="str">
        <f>IFERROR(VLOOKUP(AB63,Horarios!$H:$I,2,0),"")</f>
        <v/>
      </c>
      <c r="AE63" s="28" t="str">
        <f>IFERROR(VLOOKUP(AC63,Horarios!$H:$I,2,0),"")</f>
        <v/>
      </c>
      <c r="AF63" s="28" t="str">
        <f t="shared" si="4"/>
        <v>00:00</v>
      </c>
      <c r="AG63" s="29"/>
      <c r="AH63" s="27"/>
      <c r="AI63" s="27"/>
      <c r="AJ63" s="28" t="str">
        <f>IFERROR(VLOOKUP(AH63,Horarios!$H:$I,2,0),"")</f>
        <v/>
      </c>
      <c r="AK63" s="28" t="str">
        <f>IFERROR(VLOOKUP(AI63,Horarios!$H:$I,2,0),"")</f>
        <v/>
      </c>
      <c r="AL63" s="28" t="str">
        <f t="shared" si="5"/>
        <v>00:00</v>
      </c>
      <c r="AM63" s="29"/>
      <c r="AN63" s="27"/>
      <c r="AO63" s="27"/>
      <c r="AP63" s="28" t="str">
        <f>IFERROR(VLOOKUP(AN63,Horarios!$H:$I,2,0),"")</f>
        <v/>
      </c>
      <c r="AQ63" s="28" t="str">
        <f>IFERROR(VLOOKUP(AO63,Horarios!$H:$I,2,0),"")</f>
        <v/>
      </c>
      <c r="AR63" s="28" t="str">
        <f t="shared" si="6"/>
        <v>00:00</v>
      </c>
      <c r="AS63" s="29"/>
      <c r="AT63" s="31" t="str">
        <f t="shared" si="7"/>
        <v/>
      </c>
      <c r="AU63" s="27"/>
      <c r="AV63" s="27"/>
      <c r="AW63" s="28" t="str">
        <f>IFERROR(VLOOKUP(AU63,Horarios!$H:$I,2,0),"")</f>
        <v/>
      </c>
      <c r="AX63" s="28" t="str">
        <f>IFERROR(VLOOKUP(AV63,Horarios!$H:$I,2,0),"")</f>
        <v/>
      </c>
      <c r="AY63" s="28" t="str">
        <f t="shared" si="8"/>
        <v>00:00</v>
      </c>
      <c r="AZ63" s="29"/>
      <c r="BA63" s="27"/>
      <c r="BB63" s="27"/>
      <c r="BC63" s="28" t="str">
        <f>IFERROR(VLOOKUP(BA63,Horarios!$H:$I,2,0),"")</f>
        <v/>
      </c>
      <c r="BD63" s="28" t="str">
        <f>IFERROR(VLOOKUP(BB63,Horarios!$H:$I,2,0),"")</f>
        <v/>
      </c>
      <c r="BE63" s="28" t="str">
        <f t="shared" si="9"/>
        <v>00:00</v>
      </c>
      <c r="BF63" s="29"/>
      <c r="BG63" s="27"/>
      <c r="BH63" s="27"/>
      <c r="BI63" s="28" t="str">
        <f>IFERROR(VLOOKUP(BG63,Horarios!$H:$I,2,0),"")</f>
        <v/>
      </c>
      <c r="BJ63" s="28" t="str">
        <f>IFERROR(VLOOKUP(BH63,Horarios!$H:$I,2,0),"")</f>
        <v/>
      </c>
      <c r="BK63" s="28" t="str">
        <f t="shared" si="10"/>
        <v>00:00</v>
      </c>
      <c r="BL63" s="29"/>
      <c r="BM63" s="27"/>
      <c r="BN63" s="27"/>
      <c r="BO63" s="28" t="str">
        <f>IFERROR(VLOOKUP(BM63,Horarios!$H:$I,2,0),"")</f>
        <v/>
      </c>
      <c r="BP63" s="28" t="str">
        <f>IFERROR(VLOOKUP(BN63,Horarios!$H:$I,2,0),"")</f>
        <v/>
      </c>
      <c r="BQ63" s="28" t="str">
        <f t="shared" si="11"/>
        <v>00:00</v>
      </c>
      <c r="BR63" s="29"/>
      <c r="BS63" s="27"/>
      <c r="BT63" s="27"/>
      <c r="BU63" s="28" t="str">
        <f>IFERROR(VLOOKUP(BS63,Horarios!$H:$I,2,0),"")</f>
        <v/>
      </c>
      <c r="BV63" s="28" t="str">
        <f>IFERROR(VLOOKUP(BT63,Horarios!$H:$I,2,0),"")</f>
        <v/>
      </c>
      <c r="BW63" s="28" t="str">
        <f t="shared" si="12"/>
        <v>00:00</v>
      </c>
      <c r="BX63" s="29"/>
      <c r="BY63" s="27"/>
      <c r="BZ63" s="27"/>
      <c r="CA63" s="28" t="str">
        <f>IFERROR(VLOOKUP(BY63,Horarios!$H:$I,2,0),"")</f>
        <v/>
      </c>
      <c r="CB63" s="28" t="str">
        <f>IFERROR(VLOOKUP(BZ63,Horarios!$H:$I,2,0),"")</f>
        <v/>
      </c>
      <c r="CC63" s="28" t="str">
        <f t="shared" si="13"/>
        <v>00:00</v>
      </c>
      <c r="CD63" s="29"/>
      <c r="CE63" s="27"/>
      <c r="CF63" s="27"/>
      <c r="CG63" s="28" t="str">
        <f>IFERROR(VLOOKUP(CE63,Horarios!$H:$I,2,0),"")</f>
        <v/>
      </c>
      <c r="CH63" s="28" t="str">
        <f>IFERROR(VLOOKUP(CF63,Horarios!$H:$I,2,0),"")</f>
        <v/>
      </c>
      <c r="CI63" s="28" t="str">
        <f t="shared" si="14"/>
        <v>00:00</v>
      </c>
      <c r="CJ63" s="29"/>
      <c r="CK63" s="31" t="str">
        <f t="shared" si="15"/>
        <v/>
      </c>
      <c r="CL63" s="27"/>
      <c r="CM63" s="27"/>
      <c r="CN63" s="28" t="str">
        <f>IFERROR(VLOOKUP(CL63,Horarios!$H:$I,2,0),"")</f>
        <v/>
      </c>
      <c r="CO63" s="28" t="str">
        <f>IFERROR(VLOOKUP(CM63,Horarios!$H:$I,2,0),"")</f>
        <v/>
      </c>
      <c r="CP63" s="28" t="str">
        <f t="shared" si="16"/>
        <v>00:00</v>
      </c>
      <c r="CQ63" s="29"/>
      <c r="CR63" s="27"/>
      <c r="CS63" s="27"/>
      <c r="CT63" s="28" t="str">
        <f>IFERROR(VLOOKUP(CR63,Horarios!$H:$I,2,0),"")</f>
        <v/>
      </c>
      <c r="CU63" s="28" t="str">
        <f>IFERROR(VLOOKUP(CS63,Horarios!$H:$I,2,0),"")</f>
        <v/>
      </c>
      <c r="CV63" s="28" t="str">
        <f t="shared" si="17"/>
        <v>00:00</v>
      </c>
      <c r="CW63" s="29"/>
      <c r="CX63" s="27"/>
      <c r="CY63" s="27"/>
      <c r="CZ63" s="28" t="str">
        <f>IFERROR(VLOOKUP(CX63,Horarios!$H:$I,2,0),"")</f>
        <v/>
      </c>
      <c r="DA63" s="28" t="str">
        <f>IFERROR(VLOOKUP(CY63,Horarios!$H:$I,2,0),"")</f>
        <v/>
      </c>
      <c r="DB63" s="28" t="str">
        <f t="shared" si="18"/>
        <v>00:00</v>
      </c>
      <c r="DC63" s="29"/>
      <c r="DD63" s="27"/>
      <c r="DE63" s="27"/>
      <c r="DF63" s="28" t="str">
        <f>IFERROR(VLOOKUP(DD63,Horarios!$H:$I,2,0),"")</f>
        <v/>
      </c>
      <c r="DG63" s="28" t="str">
        <f>IFERROR(VLOOKUP(DE63,Horarios!$H:$I,2,0),"")</f>
        <v/>
      </c>
      <c r="DH63" s="28" t="str">
        <f t="shared" si="19"/>
        <v>00:00</v>
      </c>
      <c r="DI63" s="29"/>
      <c r="DJ63" s="27"/>
      <c r="DK63" s="27"/>
      <c r="DL63" s="28" t="str">
        <f>IFERROR(VLOOKUP(DJ63,Horarios!$H:$I,2,0),"")</f>
        <v/>
      </c>
      <c r="DM63" s="28" t="str">
        <f>IFERROR(VLOOKUP(DK63,Horarios!$H:$I,2,0),"")</f>
        <v/>
      </c>
      <c r="DN63" s="28" t="str">
        <f t="shared" si="20"/>
        <v>00:00</v>
      </c>
      <c r="DO63" s="29"/>
      <c r="DP63" s="27"/>
      <c r="DQ63" s="27"/>
      <c r="DR63" s="28" t="str">
        <f>IFERROR(VLOOKUP(DP63,Horarios!$H:$I,2,0),"")</f>
        <v/>
      </c>
      <c r="DS63" s="28" t="str">
        <f>IFERROR(VLOOKUP(DQ63,Horarios!$H:$I,2,0),"")</f>
        <v/>
      </c>
      <c r="DT63" s="28" t="str">
        <f t="shared" si="21"/>
        <v>00:00</v>
      </c>
      <c r="DU63" s="29"/>
      <c r="DV63" s="27"/>
      <c r="DW63" s="27"/>
      <c r="DX63" s="28" t="str">
        <f>IFERROR(VLOOKUP(DV63,Horarios!$H:$I,2,0),"")</f>
        <v/>
      </c>
      <c r="DY63" s="28" t="str">
        <f>IFERROR(VLOOKUP(DW63,Horarios!$H:$I,2,0),"")</f>
        <v/>
      </c>
      <c r="DZ63" s="28" t="str">
        <f t="shared" si="22"/>
        <v>00:00</v>
      </c>
      <c r="EA63" s="29"/>
      <c r="EB63" s="31" t="str">
        <f t="shared" si="23"/>
        <v/>
      </c>
      <c r="EC63" s="27"/>
      <c r="ED63" s="27"/>
      <c r="EE63" s="28" t="str">
        <f>IFERROR(VLOOKUP(EC63,Horarios!$H:$I,2,0),"")</f>
        <v/>
      </c>
      <c r="EF63" s="28" t="str">
        <f>IFERROR(VLOOKUP(ED63,Horarios!$H:$I,2,0),"")</f>
        <v/>
      </c>
      <c r="EG63" s="28" t="str">
        <f t="shared" si="24"/>
        <v>00:00</v>
      </c>
      <c r="EH63" s="29"/>
      <c r="EI63" s="27"/>
      <c r="EJ63" s="27"/>
      <c r="EK63" s="28" t="str">
        <f>IFERROR(VLOOKUP(EI63,Horarios!$H:$I,2,0),"")</f>
        <v/>
      </c>
      <c r="EL63" s="28" t="str">
        <f>IFERROR(VLOOKUP(EJ63,Horarios!$H:$I,2,0),"")</f>
        <v/>
      </c>
      <c r="EM63" s="28" t="str">
        <f t="shared" si="25"/>
        <v>00:00</v>
      </c>
      <c r="EN63" s="29"/>
      <c r="EO63" s="27"/>
      <c r="EP63" s="27"/>
      <c r="EQ63" s="28" t="str">
        <f>IFERROR(VLOOKUP(EO63,Horarios!$H:$I,2,0),"")</f>
        <v/>
      </c>
      <c r="ER63" s="28" t="str">
        <f>IFERROR(VLOOKUP(EP63,Horarios!$H:$I,2,0),"")</f>
        <v/>
      </c>
      <c r="ES63" s="28" t="str">
        <f t="shared" si="26"/>
        <v>00:00</v>
      </c>
      <c r="ET63" s="29"/>
      <c r="EU63" s="27"/>
      <c r="EV63" s="27"/>
      <c r="EW63" s="28" t="str">
        <f>IFERROR(VLOOKUP(EU63,Horarios!$H:$I,2,0),"")</f>
        <v/>
      </c>
      <c r="EX63" s="28" t="str">
        <f>IFERROR(VLOOKUP(EV63,Horarios!$H:$I,2,0),"")</f>
        <v/>
      </c>
      <c r="EY63" s="28" t="str">
        <f t="shared" si="27"/>
        <v>00:00</v>
      </c>
      <c r="EZ63" s="29"/>
      <c r="FA63" s="27"/>
      <c r="FB63" s="27"/>
      <c r="FC63" s="28" t="str">
        <f>IFERROR(VLOOKUP(FA63,Horarios!$H:$I,2,0),"")</f>
        <v/>
      </c>
      <c r="FD63" s="28" t="str">
        <f>IFERROR(VLOOKUP(FB63,Horarios!$H:$I,2,0),"")</f>
        <v/>
      </c>
      <c r="FE63" s="28" t="str">
        <f t="shared" si="28"/>
        <v>00:00</v>
      </c>
      <c r="FF63" s="29"/>
      <c r="FG63" s="27"/>
      <c r="FH63" s="27"/>
      <c r="FI63" s="28" t="str">
        <f>IFERROR(VLOOKUP(FG63,Horarios!$H:$I,2,0),"")</f>
        <v/>
      </c>
      <c r="FJ63" s="28" t="str">
        <f>IFERROR(VLOOKUP(FH63,Horarios!$H:$I,2,0),"")</f>
        <v/>
      </c>
      <c r="FK63" s="28" t="str">
        <f t="shared" si="29"/>
        <v>00:00</v>
      </c>
      <c r="FL63" s="29"/>
      <c r="FM63" s="27"/>
      <c r="FN63" s="27"/>
      <c r="FO63" s="28" t="str">
        <f>IFERROR(VLOOKUP(FM63,Horarios!$H:$I,2,0),"")</f>
        <v/>
      </c>
      <c r="FP63" s="28" t="str">
        <f>IFERROR(VLOOKUP(FN63,Horarios!$H:$I,2,0),"")</f>
        <v/>
      </c>
      <c r="FQ63" s="28" t="str">
        <f t="shared" si="30"/>
        <v>00:00</v>
      </c>
      <c r="FR63" s="29"/>
      <c r="FS63" s="31" t="str">
        <f t="shared" si="31"/>
        <v/>
      </c>
      <c r="FT63" s="27"/>
      <c r="FU63" s="27"/>
      <c r="FV63" s="28" t="str">
        <f>IFERROR(VLOOKUP(FT63,Horarios!$H:$I,2,0),"")</f>
        <v/>
      </c>
      <c r="FW63" s="28" t="str">
        <f>IFERROR(VLOOKUP(FU63,Horarios!$H:$I,2,0),"")</f>
        <v/>
      </c>
      <c r="FX63" s="28" t="str">
        <f t="shared" si="32"/>
        <v>00:00</v>
      </c>
      <c r="FY63" s="29"/>
      <c r="FZ63" s="27"/>
      <c r="GA63" s="27"/>
      <c r="GB63" s="28" t="str">
        <f>IFERROR(VLOOKUP(FZ63,Horarios!$H:$I,2,0),"")</f>
        <v/>
      </c>
      <c r="GC63" s="28" t="str">
        <f>IFERROR(VLOOKUP(GA63,Horarios!$H:$I,2,0),"")</f>
        <v/>
      </c>
      <c r="GD63" s="28" t="str">
        <f t="shared" si="33"/>
        <v>00:00</v>
      </c>
      <c r="GE63" s="29"/>
      <c r="GF63" s="27"/>
      <c r="GG63" s="27"/>
      <c r="GH63" s="28" t="str">
        <f>IFERROR(VLOOKUP(GF63,Horarios!$H:$I,2,0),"")</f>
        <v/>
      </c>
      <c r="GI63" s="28" t="str">
        <f>IFERROR(VLOOKUP(GG63,Horarios!$H:$I,2,0),"")</f>
        <v/>
      </c>
      <c r="GJ63" s="28" t="str">
        <f t="shared" si="34"/>
        <v>00:00</v>
      </c>
      <c r="GK63" s="29"/>
      <c r="GL63" s="27"/>
      <c r="GM63" s="27"/>
      <c r="GN63" s="28" t="str">
        <f>IFERROR(VLOOKUP(GL63,Horarios!$H:$I,2,0),"")</f>
        <v/>
      </c>
      <c r="GO63" s="28" t="str">
        <f>IFERROR(VLOOKUP(GM63,Horarios!$H:$I,2,0),"")</f>
        <v/>
      </c>
      <c r="GP63" s="28" t="str">
        <f t="shared" si="35"/>
        <v>00:00</v>
      </c>
      <c r="GQ63" s="29"/>
      <c r="GR63" s="27"/>
      <c r="GS63" s="27"/>
      <c r="GT63" s="28" t="str">
        <f>IFERROR(VLOOKUP(GR63,Horarios!$H:$I,2,0),"")</f>
        <v/>
      </c>
      <c r="GU63" s="28" t="str">
        <f>IFERROR(VLOOKUP(GS63,Horarios!$H:$I,2,0),"")</f>
        <v/>
      </c>
      <c r="GV63" s="28" t="str">
        <f t="shared" si="36"/>
        <v>00:00</v>
      </c>
      <c r="GW63" s="29"/>
      <c r="GX63" s="27"/>
      <c r="GY63" s="27"/>
      <c r="GZ63" s="28" t="str">
        <f>IFERROR(VLOOKUP(GX63,Horarios!$H:$I,2,0),"")</f>
        <v/>
      </c>
      <c r="HA63" s="28" t="str">
        <f>IFERROR(VLOOKUP(GY63,Horarios!$H:$I,2,0),"")</f>
        <v/>
      </c>
      <c r="HB63" s="28" t="str">
        <f t="shared" si="37"/>
        <v>00:00</v>
      </c>
      <c r="HC63" s="29"/>
      <c r="HD63" s="27"/>
      <c r="HE63" s="27"/>
      <c r="HF63" s="28" t="str">
        <f>IFERROR(VLOOKUP(HD63,Horarios!$H:$I,2,0),"")</f>
        <v/>
      </c>
      <c r="HG63" s="28" t="str">
        <f>IFERROR(VLOOKUP(HE63,Horarios!$H:$I,2,0),"")</f>
        <v/>
      </c>
      <c r="HH63" s="28" t="str">
        <f t="shared" si="38"/>
        <v>00:00</v>
      </c>
      <c r="HI63" s="29"/>
      <c r="HJ63" s="31" t="str">
        <f t="shared" si="39"/>
        <v/>
      </c>
      <c r="HK63" s="27"/>
      <c r="HL63" s="27"/>
      <c r="HM63" s="28" t="str">
        <f>IFERROR(VLOOKUP(HK63,Horarios!$H:$I,2,0),"")</f>
        <v/>
      </c>
      <c r="HN63" s="28" t="str">
        <f>IFERROR(VLOOKUP(HL63,Horarios!$H:$I,2,0),"")</f>
        <v/>
      </c>
      <c r="HO63" s="28" t="str">
        <f t="shared" si="40"/>
        <v>00:00</v>
      </c>
      <c r="HP63" s="29"/>
      <c r="HQ63" s="27"/>
      <c r="HR63" s="27"/>
      <c r="HS63" s="28" t="str">
        <f>IFERROR(VLOOKUP(HQ63,Horarios!$H:$I,2,0),"")</f>
        <v/>
      </c>
      <c r="HT63" s="28" t="str">
        <f>IFERROR(VLOOKUP(HR63,Horarios!$H:$I,2,0),"")</f>
        <v/>
      </c>
      <c r="HU63" s="28" t="str">
        <f t="shared" si="41"/>
        <v>00:00</v>
      </c>
      <c r="HV63" s="29"/>
      <c r="HW63" s="27"/>
      <c r="HX63" s="27"/>
      <c r="HY63" s="28" t="str">
        <f>IFERROR(VLOOKUP(HW63,Horarios!$H:$I,2,0),"")</f>
        <v/>
      </c>
      <c r="HZ63" s="28" t="str">
        <f>IFERROR(VLOOKUP(HX63,Horarios!$H:$I,2,0),"")</f>
        <v/>
      </c>
      <c r="IA63" s="28" t="str">
        <f t="shared" si="42"/>
        <v>00:00</v>
      </c>
      <c r="IB63" s="29"/>
      <c r="IC63" s="27"/>
      <c r="ID63" s="27"/>
      <c r="IE63" s="28" t="str">
        <f>IFERROR(VLOOKUP(IC63,Horarios!$H:$I,2,0),"")</f>
        <v/>
      </c>
      <c r="IF63" s="28" t="str">
        <f>IFERROR(VLOOKUP(ID63,Horarios!$H:$I,2,0),"")</f>
        <v/>
      </c>
      <c r="IG63" s="28" t="str">
        <f t="shared" si="43"/>
        <v>00:00</v>
      </c>
      <c r="IH63" s="29"/>
      <c r="II63" s="27"/>
      <c r="IJ63" s="27"/>
      <c r="IK63" s="28" t="str">
        <f>IFERROR(VLOOKUP(II63,Horarios!$H:$I,2,0),"")</f>
        <v/>
      </c>
      <c r="IL63" s="28" t="str">
        <f>IFERROR(VLOOKUP(IJ63,Horarios!$H:$I,2,0),"")</f>
        <v/>
      </c>
      <c r="IM63" s="28" t="str">
        <f t="shared" si="44"/>
        <v>00:00</v>
      </c>
      <c r="IN63" s="29"/>
      <c r="IO63" s="27"/>
      <c r="IP63" s="27"/>
      <c r="IQ63" s="28" t="str">
        <f>IFERROR(VLOOKUP(IO63,Horarios!$H:$I,2,0),"")</f>
        <v/>
      </c>
      <c r="IR63" s="28" t="str">
        <f>IFERROR(VLOOKUP(IP63,Horarios!$H:$I,2,0),"")</f>
        <v/>
      </c>
      <c r="IS63" s="28" t="str">
        <f t="shared" si="45"/>
        <v>00:00</v>
      </c>
      <c r="IT63" s="29"/>
      <c r="IU63" s="27"/>
      <c r="IV63" s="27"/>
      <c r="IW63" s="28" t="str">
        <f>IFERROR(VLOOKUP(IU63,Horarios!$H:$I,2,0),"")</f>
        <v/>
      </c>
      <c r="IX63" s="28" t="str">
        <f>IFERROR(VLOOKUP(IV63,Horarios!$H:$I,2,0),"")</f>
        <v/>
      </c>
      <c r="IY63" s="28" t="str">
        <f t="shared" si="46"/>
        <v>00:00</v>
      </c>
      <c r="IZ63" s="29"/>
      <c r="JA63" s="31" t="str">
        <f t="shared" si="47"/>
        <v/>
      </c>
    </row>
    <row r="64" spans="1:261" s="24" customFormat="1" ht="17.399999999999999" x14ac:dyDescent="0.25">
      <c r="A64" s="25"/>
      <c r="B64" s="26" t="str">
        <f>IFERROR(VLOOKUP(A64,BaseNombres!A:B,2,0),"")</f>
        <v/>
      </c>
      <c r="C64" s="26" t="str">
        <f>IFERROR(VLOOKUP(A64,BaseNombres!A:C,3,0),"")</f>
        <v/>
      </c>
      <c r="D64" s="27"/>
      <c r="E64" s="27"/>
      <c r="F64" s="28" t="str">
        <f>IFERROR(VLOOKUP(D64,Horarios!$H:$I,2,0),"")</f>
        <v/>
      </c>
      <c r="G64" s="28" t="str">
        <f>IFERROR(VLOOKUP(E64,Horarios!$H:$I,2,0),"")</f>
        <v/>
      </c>
      <c r="H64" s="28" t="str">
        <f t="shared" si="0"/>
        <v>00:00</v>
      </c>
      <c r="I64" s="29"/>
      <c r="J64" s="27"/>
      <c r="K64" s="27"/>
      <c r="L64" s="28" t="str">
        <f>IFERROR(VLOOKUP(J64,Horarios!$H:$I,2,0),"")</f>
        <v/>
      </c>
      <c r="M64" s="28" t="str">
        <f>IFERROR(VLOOKUP(K64,Horarios!$H:$I,2,0),"")</f>
        <v/>
      </c>
      <c r="N64" s="28" t="str">
        <f t="shared" si="1"/>
        <v>00:00</v>
      </c>
      <c r="O64" s="29"/>
      <c r="P64" s="27"/>
      <c r="Q64" s="27"/>
      <c r="R64" s="28" t="str">
        <f>IFERROR(VLOOKUP(P64,Horarios!$H:$I,2,0),"")</f>
        <v/>
      </c>
      <c r="S64" s="28" t="str">
        <f>IFERROR(VLOOKUP(Q64,Horarios!$H:$I,2,0),"")</f>
        <v/>
      </c>
      <c r="T64" s="28" t="str">
        <f t="shared" si="2"/>
        <v>00:00</v>
      </c>
      <c r="U64" s="29"/>
      <c r="V64" s="27"/>
      <c r="W64" s="27"/>
      <c r="X64" s="28" t="str">
        <f>IFERROR(VLOOKUP(V64,Horarios!$H:$I,2,0),"")</f>
        <v/>
      </c>
      <c r="Y64" s="28" t="str">
        <f>IFERROR(VLOOKUP(W64,Horarios!$H:$I,2,0),"")</f>
        <v/>
      </c>
      <c r="Z64" s="28" t="str">
        <f t="shared" si="3"/>
        <v>00:00</v>
      </c>
      <c r="AA64" s="29"/>
      <c r="AB64" s="27"/>
      <c r="AC64" s="27"/>
      <c r="AD64" s="28" t="str">
        <f>IFERROR(VLOOKUP(AB64,Horarios!$H:$I,2,0),"")</f>
        <v/>
      </c>
      <c r="AE64" s="28" t="str">
        <f>IFERROR(VLOOKUP(AC64,Horarios!$H:$I,2,0),"")</f>
        <v/>
      </c>
      <c r="AF64" s="28" t="str">
        <f t="shared" si="4"/>
        <v>00:00</v>
      </c>
      <c r="AG64" s="29"/>
      <c r="AH64" s="27"/>
      <c r="AI64" s="27"/>
      <c r="AJ64" s="28" t="str">
        <f>IFERROR(VLOOKUP(AH64,Horarios!$H:$I,2,0),"")</f>
        <v/>
      </c>
      <c r="AK64" s="28" t="str">
        <f>IFERROR(VLOOKUP(AI64,Horarios!$H:$I,2,0),"")</f>
        <v/>
      </c>
      <c r="AL64" s="28" t="str">
        <f t="shared" si="5"/>
        <v>00:00</v>
      </c>
      <c r="AM64" s="29"/>
      <c r="AN64" s="27"/>
      <c r="AO64" s="27"/>
      <c r="AP64" s="28" t="str">
        <f>IFERROR(VLOOKUP(AN64,Horarios!$H:$I,2,0),"")</f>
        <v/>
      </c>
      <c r="AQ64" s="28" t="str">
        <f>IFERROR(VLOOKUP(AO64,Horarios!$H:$I,2,0),"")</f>
        <v/>
      </c>
      <c r="AR64" s="28" t="str">
        <f t="shared" si="6"/>
        <v>00:00</v>
      </c>
      <c r="AS64" s="29"/>
      <c r="AT64" s="31" t="str">
        <f t="shared" si="7"/>
        <v/>
      </c>
      <c r="AU64" s="27"/>
      <c r="AV64" s="27"/>
      <c r="AW64" s="28" t="str">
        <f>IFERROR(VLOOKUP(AU64,Horarios!$H:$I,2,0),"")</f>
        <v/>
      </c>
      <c r="AX64" s="28" t="str">
        <f>IFERROR(VLOOKUP(AV64,Horarios!$H:$I,2,0),"")</f>
        <v/>
      </c>
      <c r="AY64" s="28" t="str">
        <f t="shared" si="8"/>
        <v>00:00</v>
      </c>
      <c r="AZ64" s="29"/>
      <c r="BA64" s="27"/>
      <c r="BB64" s="27"/>
      <c r="BC64" s="28" t="str">
        <f>IFERROR(VLOOKUP(BA64,Horarios!$H:$I,2,0),"")</f>
        <v/>
      </c>
      <c r="BD64" s="28" t="str">
        <f>IFERROR(VLOOKUP(BB64,Horarios!$H:$I,2,0),"")</f>
        <v/>
      </c>
      <c r="BE64" s="28" t="str">
        <f t="shared" si="9"/>
        <v>00:00</v>
      </c>
      <c r="BF64" s="29"/>
      <c r="BG64" s="27"/>
      <c r="BH64" s="27"/>
      <c r="BI64" s="28" t="str">
        <f>IFERROR(VLOOKUP(BG64,Horarios!$H:$I,2,0),"")</f>
        <v/>
      </c>
      <c r="BJ64" s="28" t="str">
        <f>IFERROR(VLOOKUP(BH64,Horarios!$H:$I,2,0),"")</f>
        <v/>
      </c>
      <c r="BK64" s="28" t="str">
        <f t="shared" si="10"/>
        <v>00:00</v>
      </c>
      <c r="BL64" s="29"/>
      <c r="BM64" s="27"/>
      <c r="BN64" s="27"/>
      <c r="BO64" s="28" t="str">
        <f>IFERROR(VLOOKUP(BM64,Horarios!$H:$I,2,0),"")</f>
        <v/>
      </c>
      <c r="BP64" s="28" t="str">
        <f>IFERROR(VLOOKUP(BN64,Horarios!$H:$I,2,0),"")</f>
        <v/>
      </c>
      <c r="BQ64" s="28" t="str">
        <f t="shared" si="11"/>
        <v>00:00</v>
      </c>
      <c r="BR64" s="29"/>
      <c r="BS64" s="27"/>
      <c r="BT64" s="27"/>
      <c r="BU64" s="28" t="str">
        <f>IFERROR(VLOOKUP(BS64,Horarios!$H:$I,2,0),"")</f>
        <v/>
      </c>
      <c r="BV64" s="28" t="str">
        <f>IFERROR(VLOOKUP(BT64,Horarios!$H:$I,2,0),"")</f>
        <v/>
      </c>
      <c r="BW64" s="28" t="str">
        <f t="shared" si="12"/>
        <v>00:00</v>
      </c>
      <c r="BX64" s="29"/>
      <c r="BY64" s="27"/>
      <c r="BZ64" s="27"/>
      <c r="CA64" s="28" t="str">
        <f>IFERROR(VLOOKUP(BY64,Horarios!$H:$I,2,0),"")</f>
        <v/>
      </c>
      <c r="CB64" s="28" t="str">
        <f>IFERROR(VLOOKUP(BZ64,Horarios!$H:$I,2,0),"")</f>
        <v/>
      </c>
      <c r="CC64" s="28" t="str">
        <f t="shared" si="13"/>
        <v>00:00</v>
      </c>
      <c r="CD64" s="29"/>
      <c r="CE64" s="27"/>
      <c r="CF64" s="27"/>
      <c r="CG64" s="28" t="str">
        <f>IFERROR(VLOOKUP(CE64,Horarios!$H:$I,2,0),"")</f>
        <v/>
      </c>
      <c r="CH64" s="28" t="str">
        <f>IFERROR(VLOOKUP(CF64,Horarios!$H:$I,2,0),"")</f>
        <v/>
      </c>
      <c r="CI64" s="28" t="str">
        <f t="shared" si="14"/>
        <v>00:00</v>
      </c>
      <c r="CJ64" s="29"/>
      <c r="CK64" s="31" t="str">
        <f t="shared" si="15"/>
        <v/>
      </c>
      <c r="CL64" s="27"/>
      <c r="CM64" s="27"/>
      <c r="CN64" s="28" t="str">
        <f>IFERROR(VLOOKUP(CL64,Horarios!$H:$I,2,0),"")</f>
        <v/>
      </c>
      <c r="CO64" s="28" t="str">
        <f>IFERROR(VLOOKUP(CM64,Horarios!$H:$I,2,0),"")</f>
        <v/>
      </c>
      <c r="CP64" s="28" t="str">
        <f t="shared" si="16"/>
        <v>00:00</v>
      </c>
      <c r="CQ64" s="29"/>
      <c r="CR64" s="27"/>
      <c r="CS64" s="27"/>
      <c r="CT64" s="28" t="str">
        <f>IFERROR(VLOOKUP(CR64,Horarios!$H:$I,2,0),"")</f>
        <v/>
      </c>
      <c r="CU64" s="28" t="str">
        <f>IFERROR(VLOOKUP(CS64,Horarios!$H:$I,2,0),"")</f>
        <v/>
      </c>
      <c r="CV64" s="28" t="str">
        <f t="shared" si="17"/>
        <v>00:00</v>
      </c>
      <c r="CW64" s="29"/>
      <c r="CX64" s="27"/>
      <c r="CY64" s="27"/>
      <c r="CZ64" s="28" t="str">
        <f>IFERROR(VLOOKUP(CX64,Horarios!$H:$I,2,0),"")</f>
        <v/>
      </c>
      <c r="DA64" s="28" t="str">
        <f>IFERROR(VLOOKUP(CY64,Horarios!$H:$I,2,0),"")</f>
        <v/>
      </c>
      <c r="DB64" s="28" t="str">
        <f t="shared" si="18"/>
        <v>00:00</v>
      </c>
      <c r="DC64" s="29"/>
      <c r="DD64" s="27"/>
      <c r="DE64" s="27"/>
      <c r="DF64" s="28" t="str">
        <f>IFERROR(VLOOKUP(DD64,Horarios!$H:$I,2,0),"")</f>
        <v/>
      </c>
      <c r="DG64" s="28" t="str">
        <f>IFERROR(VLOOKUP(DE64,Horarios!$H:$I,2,0),"")</f>
        <v/>
      </c>
      <c r="DH64" s="28" t="str">
        <f t="shared" si="19"/>
        <v>00:00</v>
      </c>
      <c r="DI64" s="29"/>
      <c r="DJ64" s="27"/>
      <c r="DK64" s="27"/>
      <c r="DL64" s="28" t="str">
        <f>IFERROR(VLOOKUP(DJ64,Horarios!$H:$I,2,0),"")</f>
        <v/>
      </c>
      <c r="DM64" s="28" t="str">
        <f>IFERROR(VLOOKUP(DK64,Horarios!$H:$I,2,0),"")</f>
        <v/>
      </c>
      <c r="DN64" s="28" t="str">
        <f t="shared" si="20"/>
        <v>00:00</v>
      </c>
      <c r="DO64" s="29"/>
      <c r="DP64" s="27"/>
      <c r="DQ64" s="27"/>
      <c r="DR64" s="28" t="str">
        <f>IFERROR(VLOOKUP(DP64,Horarios!$H:$I,2,0),"")</f>
        <v/>
      </c>
      <c r="DS64" s="28" t="str">
        <f>IFERROR(VLOOKUP(DQ64,Horarios!$H:$I,2,0),"")</f>
        <v/>
      </c>
      <c r="DT64" s="28" t="str">
        <f t="shared" si="21"/>
        <v>00:00</v>
      </c>
      <c r="DU64" s="29"/>
      <c r="DV64" s="27"/>
      <c r="DW64" s="27"/>
      <c r="DX64" s="28" t="str">
        <f>IFERROR(VLOOKUP(DV64,Horarios!$H:$I,2,0),"")</f>
        <v/>
      </c>
      <c r="DY64" s="28" t="str">
        <f>IFERROR(VLOOKUP(DW64,Horarios!$H:$I,2,0),"")</f>
        <v/>
      </c>
      <c r="DZ64" s="28" t="str">
        <f t="shared" si="22"/>
        <v>00:00</v>
      </c>
      <c r="EA64" s="29"/>
      <c r="EB64" s="31" t="str">
        <f t="shared" si="23"/>
        <v/>
      </c>
      <c r="EC64" s="27"/>
      <c r="ED64" s="27"/>
      <c r="EE64" s="28" t="str">
        <f>IFERROR(VLOOKUP(EC64,Horarios!$H:$I,2,0),"")</f>
        <v/>
      </c>
      <c r="EF64" s="28" t="str">
        <f>IFERROR(VLOOKUP(ED64,Horarios!$H:$I,2,0),"")</f>
        <v/>
      </c>
      <c r="EG64" s="28" t="str">
        <f t="shared" si="24"/>
        <v>00:00</v>
      </c>
      <c r="EH64" s="29"/>
      <c r="EI64" s="27"/>
      <c r="EJ64" s="27"/>
      <c r="EK64" s="28" t="str">
        <f>IFERROR(VLOOKUP(EI64,Horarios!$H:$I,2,0),"")</f>
        <v/>
      </c>
      <c r="EL64" s="28" t="str">
        <f>IFERROR(VLOOKUP(EJ64,Horarios!$H:$I,2,0),"")</f>
        <v/>
      </c>
      <c r="EM64" s="28" t="str">
        <f t="shared" si="25"/>
        <v>00:00</v>
      </c>
      <c r="EN64" s="29"/>
      <c r="EO64" s="27"/>
      <c r="EP64" s="27"/>
      <c r="EQ64" s="28" t="str">
        <f>IFERROR(VLOOKUP(EO64,Horarios!$H:$I,2,0),"")</f>
        <v/>
      </c>
      <c r="ER64" s="28" t="str">
        <f>IFERROR(VLOOKUP(EP64,Horarios!$H:$I,2,0),"")</f>
        <v/>
      </c>
      <c r="ES64" s="28" t="str">
        <f t="shared" si="26"/>
        <v>00:00</v>
      </c>
      <c r="ET64" s="29"/>
      <c r="EU64" s="27"/>
      <c r="EV64" s="27"/>
      <c r="EW64" s="28" t="str">
        <f>IFERROR(VLOOKUP(EU64,Horarios!$H:$I,2,0),"")</f>
        <v/>
      </c>
      <c r="EX64" s="28" t="str">
        <f>IFERROR(VLOOKUP(EV64,Horarios!$H:$I,2,0),"")</f>
        <v/>
      </c>
      <c r="EY64" s="28" t="str">
        <f t="shared" si="27"/>
        <v>00:00</v>
      </c>
      <c r="EZ64" s="29"/>
      <c r="FA64" s="27"/>
      <c r="FB64" s="27"/>
      <c r="FC64" s="28" t="str">
        <f>IFERROR(VLOOKUP(FA64,Horarios!$H:$I,2,0),"")</f>
        <v/>
      </c>
      <c r="FD64" s="28" t="str">
        <f>IFERROR(VLOOKUP(FB64,Horarios!$H:$I,2,0),"")</f>
        <v/>
      </c>
      <c r="FE64" s="28" t="str">
        <f t="shared" si="28"/>
        <v>00:00</v>
      </c>
      <c r="FF64" s="29"/>
      <c r="FG64" s="27"/>
      <c r="FH64" s="27"/>
      <c r="FI64" s="28" t="str">
        <f>IFERROR(VLOOKUP(FG64,Horarios!$H:$I,2,0),"")</f>
        <v/>
      </c>
      <c r="FJ64" s="28" t="str">
        <f>IFERROR(VLOOKUP(FH64,Horarios!$H:$I,2,0),"")</f>
        <v/>
      </c>
      <c r="FK64" s="28" t="str">
        <f t="shared" si="29"/>
        <v>00:00</v>
      </c>
      <c r="FL64" s="29"/>
      <c r="FM64" s="27"/>
      <c r="FN64" s="27"/>
      <c r="FO64" s="28" t="str">
        <f>IFERROR(VLOOKUP(FM64,Horarios!$H:$I,2,0),"")</f>
        <v/>
      </c>
      <c r="FP64" s="28" t="str">
        <f>IFERROR(VLOOKUP(FN64,Horarios!$H:$I,2,0),"")</f>
        <v/>
      </c>
      <c r="FQ64" s="28" t="str">
        <f t="shared" si="30"/>
        <v>00:00</v>
      </c>
      <c r="FR64" s="29"/>
      <c r="FS64" s="31" t="str">
        <f t="shared" si="31"/>
        <v/>
      </c>
      <c r="FT64" s="27"/>
      <c r="FU64" s="27"/>
      <c r="FV64" s="28" t="str">
        <f>IFERROR(VLOOKUP(FT64,Horarios!$H:$I,2,0),"")</f>
        <v/>
      </c>
      <c r="FW64" s="28" t="str">
        <f>IFERROR(VLOOKUP(FU64,Horarios!$H:$I,2,0),"")</f>
        <v/>
      </c>
      <c r="FX64" s="28" t="str">
        <f t="shared" si="32"/>
        <v>00:00</v>
      </c>
      <c r="FY64" s="29"/>
      <c r="FZ64" s="27"/>
      <c r="GA64" s="27"/>
      <c r="GB64" s="28" t="str">
        <f>IFERROR(VLOOKUP(FZ64,Horarios!$H:$I,2,0),"")</f>
        <v/>
      </c>
      <c r="GC64" s="28" t="str">
        <f>IFERROR(VLOOKUP(GA64,Horarios!$H:$I,2,0),"")</f>
        <v/>
      </c>
      <c r="GD64" s="28" t="str">
        <f t="shared" si="33"/>
        <v>00:00</v>
      </c>
      <c r="GE64" s="29"/>
      <c r="GF64" s="27"/>
      <c r="GG64" s="27"/>
      <c r="GH64" s="28" t="str">
        <f>IFERROR(VLOOKUP(GF64,Horarios!$H:$I,2,0),"")</f>
        <v/>
      </c>
      <c r="GI64" s="28" t="str">
        <f>IFERROR(VLOOKUP(GG64,Horarios!$H:$I,2,0),"")</f>
        <v/>
      </c>
      <c r="GJ64" s="28" t="str">
        <f t="shared" si="34"/>
        <v>00:00</v>
      </c>
      <c r="GK64" s="29"/>
      <c r="GL64" s="27"/>
      <c r="GM64" s="27"/>
      <c r="GN64" s="28" t="str">
        <f>IFERROR(VLOOKUP(GL64,Horarios!$H:$I,2,0),"")</f>
        <v/>
      </c>
      <c r="GO64" s="28" t="str">
        <f>IFERROR(VLOOKUP(GM64,Horarios!$H:$I,2,0),"")</f>
        <v/>
      </c>
      <c r="GP64" s="28" t="str">
        <f t="shared" si="35"/>
        <v>00:00</v>
      </c>
      <c r="GQ64" s="29"/>
      <c r="GR64" s="27"/>
      <c r="GS64" s="27"/>
      <c r="GT64" s="28" t="str">
        <f>IFERROR(VLOOKUP(GR64,Horarios!$H:$I,2,0),"")</f>
        <v/>
      </c>
      <c r="GU64" s="28" t="str">
        <f>IFERROR(VLOOKUP(GS64,Horarios!$H:$I,2,0),"")</f>
        <v/>
      </c>
      <c r="GV64" s="28" t="str">
        <f t="shared" si="36"/>
        <v>00:00</v>
      </c>
      <c r="GW64" s="29"/>
      <c r="GX64" s="27"/>
      <c r="GY64" s="27"/>
      <c r="GZ64" s="28" t="str">
        <f>IFERROR(VLOOKUP(GX64,Horarios!$H:$I,2,0),"")</f>
        <v/>
      </c>
      <c r="HA64" s="28" t="str">
        <f>IFERROR(VLOOKUP(GY64,Horarios!$H:$I,2,0),"")</f>
        <v/>
      </c>
      <c r="HB64" s="28" t="str">
        <f t="shared" si="37"/>
        <v>00:00</v>
      </c>
      <c r="HC64" s="29"/>
      <c r="HD64" s="27"/>
      <c r="HE64" s="27"/>
      <c r="HF64" s="28" t="str">
        <f>IFERROR(VLOOKUP(HD64,Horarios!$H:$I,2,0),"")</f>
        <v/>
      </c>
      <c r="HG64" s="28" t="str">
        <f>IFERROR(VLOOKUP(HE64,Horarios!$H:$I,2,0),"")</f>
        <v/>
      </c>
      <c r="HH64" s="28" t="str">
        <f t="shared" si="38"/>
        <v>00:00</v>
      </c>
      <c r="HI64" s="29"/>
      <c r="HJ64" s="31" t="str">
        <f t="shared" si="39"/>
        <v/>
      </c>
      <c r="HK64" s="27"/>
      <c r="HL64" s="27"/>
      <c r="HM64" s="28" t="str">
        <f>IFERROR(VLOOKUP(HK64,Horarios!$H:$I,2,0),"")</f>
        <v/>
      </c>
      <c r="HN64" s="28" t="str">
        <f>IFERROR(VLOOKUP(HL64,Horarios!$H:$I,2,0),"")</f>
        <v/>
      </c>
      <c r="HO64" s="28" t="str">
        <f t="shared" si="40"/>
        <v>00:00</v>
      </c>
      <c r="HP64" s="29"/>
      <c r="HQ64" s="27"/>
      <c r="HR64" s="27"/>
      <c r="HS64" s="28" t="str">
        <f>IFERROR(VLOOKUP(HQ64,Horarios!$H:$I,2,0),"")</f>
        <v/>
      </c>
      <c r="HT64" s="28" t="str">
        <f>IFERROR(VLOOKUP(HR64,Horarios!$H:$I,2,0),"")</f>
        <v/>
      </c>
      <c r="HU64" s="28" t="str">
        <f t="shared" si="41"/>
        <v>00:00</v>
      </c>
      <c r="HV64" s="29"/>
      <c r="HW64" s="27"/>
      <c r="HX64" s="27"/>
      <c r="HY64" s="28" t="str">
        <f>IFERROR(VLOOKUP(HW64,Horarios!$H:$I,2,0),"")</f>
        <v/>
      </c>
      <c r="HZ64" s="28" t="str">
        <f>IFERROR(VLOOKUP(HX64,Horarios!$H:$I,2,0),"")</f>
        <v/>
      </c>
      <c r="IA64" s="28" t="str">
        <f t="shared" si="42"/>
        <v>00:00</v>
      </c>
      <c r="IB64" s="29"/>
      <c r="IC64" s="27"/>
      <c r="ID64" s="27"/>
      <c r="IE64" s="28" t="str">
        <f>IFERROR(VLOOKUP(IC64,Horarios!$H:$I,2,0),"")</f>
        <v/>
      </c>
      <c r="IF64" s="28" t="str">
        <f>IFERROR(VLOOKUP(ID64,Horarios!$H:$I,2,0),"")</f>
        <v/>
      </c>
      <c r="IG64" s="28" t="str">
        <f t="shared" si="43"/>
        <v>00:00</v>
      </c>
      <c r="IH64" s="29"/>
      <c r="II64" s="27"/>
      <c r="IJ64" s="27"/>
      <c r="IK64" s="28" t="str">
        <f>IFERROR(VLOOKUP(II64,Horarios!$H:$I,2,0),"")</f>
        <v/>
      </c>
      <c r="IL64" s="28" t="str">
        <f>IFERROR(VLOOKUP(IJ64,Horarios!$H:$I,2,0),"")</f>
        <v/>
      </c>
      <c r="IM64" s="28" t="str">
        <f t="shared" si="44"/>
        <v>00:00</v>
      </c>
      <c r="IN64" s="29"/>
      <c r="IO64" s="27"/>
      <c r="IP64" s="27"/>
      <c r="IQ64" s="28" t="str">
        <f>IFERROR(VLOOKUP(IO64,Horarios!$H:$I,2,0),"")</f>
        <v/>
      </c>
      <c r="IR64" s="28" t="str">
        <f>IFERROR(VLOOKUP(IP64,Horarios!$H:$I,2,0),"")</f>
        <v/>
      </c>
      <c r="IS64" s="28" t="str">
        <f t="shared" si="45"/>
        <v>00:00</v>
      </c>
      <c r="IT64" s="29"/>
      <c r="IU64" s="27"/>
      <c r="IV64" s="27"/>
      <c r="IW64" s="28" t="str">
        <f>IFERROR(VLOOKUP(IU64,Horarios!$H:$I,2,0),"")</f>
        <v/>
      </c>
      <c r="IX64" s="28" t="str">
        <f>IFERROR(VLOOKUP(IV64,Horarios!$H:$I,2,0),"")</f>
        <v/>
      </c>
      <c r="IY64" s="28" t="str">
        <f t="shared" si="46"/>
        <v>00:00</v>
      </c>
      <c r="IZ64" s="29"/>
      <c r="JA64" s="31" t="str">
        <f t="shared" si="47"/>
        <v/>
      </c>
    </row>
    <row r="65" spans="1:261" s="24" customFormat="1" ht="17.399999999999999" x14ac:dyDescent="0.25">
      <c r="A65" s="25"/>
      <c r="B65" s="26" t="str">
        <f>IFERROR(VLOOKUP(A65,BaseNombres!A:B,2,0),"")</f>
        <v/>
      </c>
      <c r="C65" s="26" t="str">
        <f>IFERROR(VLOOKUP(A65,BaseNombres!A:C,3,0),"")</f>
        <v/>
      </c>
      <c r="D65" s="27"/>
      <c r="E65" s="27"/>
      <c r="F65" s="28" t="str">
        <f>IFERROR(VLOOKUP(D65,Horarios!$H:$I,2,0),"")</f>
        <v/>
      </c>
      <c r="G65" s="28" t="str">
        <f>IFERROR(VLOOKUP(E65,Horarios!$H:$I,2,0),"")</f>
        <v/>
      </c>
      <c r="H65" s="28" t="str">
        <f t="shared" si="0"/>
        <v>00:00</v>
      </c>
      <c r="I65" s="29"/>
      <c r="J65" s="27"/>
      <c r="K65" s="27"/>
      <c r="L65" s="28" t="str">
        <f>IFERROR(VLOOKUP(J65,Horarios!$H:$I,2,0),"")</f>
        <v/>
      </c>
      <c r="M65" s="28" t="str">
        <f>IFERROR(VLOOKUP(K65,Horarios!$H:$I,2,0),"")</f>
        <v/>
      </c>
      <c r="N65" s="28" t="str">
        <f t="shared" si="1"/>
        <v>00:00</v>
      </c>
      <c r="O65" s="29"/>
      <c r="P65" s="27"/>
      <c r="Q65" s="27"/>
      <c r="R65" s="28" t="str">
        <f>IFERROR(VLOOKUP(P65,Horarios!$H:$I,2,0),"")</f>
        <v/>
      </c>
      <c r="S65" s="28" t="str">
        <f>IFERROR(VLOOKUP(Q65,Horarios!$H:$I,2,0),"")</f>
        <v/>
      </c>
      <c r="T65" s="28" t="str">
        <f t="shared" si="2"/>
        <v>00:00</v>
      </c>
      <c r="U65" s="29"/>
      <c r="V65" s="27"/>
      <c r="W65" s="27"/>
      <c r="X65" s="28" t="str">
        <f>IFERROR(VLOOKUP(V65,Horarios!$H:$I,2,0),"")</f>
        <v/>
      </c>
      <c r="Y65" s="28" t="str">
        <f>IFERROR(VLOOKUP(W65,Horarios!$H:$I,2,0),"")</f>
        <v/>
      </c>
      <c r="Z65" s="28" t="str">
        <f t="shared" si="3"/>
        <v>00:00</v>
      </c>
      <c r="AA65" s="29"/>
      <c r="AB65" s="27"/>
      <c r="AC65" s="27"/>
      <c r="AD65" s="28" t="str">
        <f>IFERROR(VLOOKUP(AB65,Horarios!$H:$I,2,0),"")</f>
        <v/>
      </c>
      <c r="AE65" s="28" t="str">
        <f>IFERROR(VLOOKUP(AC65,Horarios!$H:$I,2,0),"")</f>
        <v/>
      </c>
      <c r="AF65" s="28" t="str">
        <f t="shared" si="4"/>
        <v>00:00</v>
      </c>
      <c r="AG65" s="29"/>
      <c r="AH65" s="27"/>
      <c r="AI65" s="27"/>
      <c r="AJ65" s="28" t="str">
        <f>IFERROR(VLOOKUP(AH65,Horarios!$H:$I,2,0),"")</f>
        <v/>
      </c>
      <c r="AK65" s="28" t="str">
        <f>IFERROR(VLOOKUP(AI65,Horarios!$H:$I,2,0),"")</f>
        <v/>
      </c>
      <c r="AL65" s="28" t="str">
        <f t="shared" si="5"/>
        <v>00:00</v>
      </c>
      <c r="AM65" s="29"/>
      <c r="AN65" s="27"/>
      <c r="AO65" s="27"/>
      <c r="AP65" s="28" t="str">
        <f>IFERROR(VLOOKUP(AN65,Horarios!$H:$I,2,0),"")</f>
        <v/>
      </c>
      <c r="AQ65" s="28" t="str">
        <f>IFERROR(VLOOKUP(AO65,Horarios!$H:$I,2,0),"")</f>
        <v/>
      </c>
      <c r="AR65" s="28" t="str">
        <f t="shared" si="6"/>
        <v>00:00</v>
      </c>
      <c r="AS65" s="29"/>
      <c r="AT65" s="31" t="str">
        <f t="shared" si="7"/>
        <v/>
      </c>
      <c r="AU65" s="27"/>
      <c r="AV65" s="27"/>
      <c r="AW65" s="28" t="str">
        <f>IFERROR(VLOOKUP(AU65,Horarios!$H:$I,2,0),"")</f>
        <v/>
      </c>
      <c r="AX65" s="28" t="str">
        <f>IFERROR(VLOOKUP(AV65,Horarios!$H:$I,2,0),"")</f>
        <v/>
      </c>
      <c r="AY65" s="28" t="str">
        <f t="shared" si="8"/>
        <v>00:00</v>
      </c>
      <c r="AZ65" s="29"/>
      <c r="BA65" s="27"/>
      <c r="BB65" s="27"/>
      <c r="BC65" s="28" t="str">
        <f>IFERROR(VLOOKUP(BA65,Horarios!$H:$I,2,0),"")</f>
        <v/>
      </c>
      <c r="BD65" s="28" t="str">
        <f>IFERROR(VLOOKUP(BB65,Horarios!$H:$I,2,0),"")</f>
        <v/>
      </c>
      <c r="BE65" s="28" t="str">
        <f t="shared" si="9"/>
        <v>00:00</v>
      </c>
      <c r="BF65" s="29"/>
      <c r="BG65" s="27"/>
      <c r="BH65" s="27"/>
      <c r="BI65" s="28" t="str">
        <f>IFERROR(VLOOKUP(BG65,Horarios!$H:$I,2,0),"")</f>
        <v/>
      </c>
      <c r="BJ65" s="28" t="str">
        <f>IFERROR(VLOOKUP(BH65,Horarios!$H:$I,2,0),"")</f>
        <v/>
      </c>
      <c r="BK65" s="28" t="str">
        <f t="shared" si="10"/>
        <v>00:00</v>
      </c>
      <c r="BL65" s="29"/>
      <c r="BM65" s="27"/>
      <c r="BN65" s="27"/>
      <c r="BO65" s="28" t="str">
        <f>IFERROR(VLOOKUP(BM65,Horarios!$H:$I,2,0),"")</f>
        <v/>
      </c>
      <c r="BP65" s="28" t="str">
        <f>IFERROR(VLOOKUP(BN65,Horarios!$H:$I,2,0),"")</f>
        <v/>
      </c>
      <c r="BQ65" s="28" t="str">
        <f t="shared" si="11"/>
        <v>00:00</v>
      </c>
      <c r="BR65" s="29"/>
      <c r="BS65" s="27"/>
      <c r="BT65" s="27"/>
      <c r="BU65" s="28" t="str">
        <f>IFERROR(VLOOKUP(BS65,Horarios!$H:$I,2,0),"")</f>
        <v/>
      </c>
      <c r="BV65" s="28" t="str">
        <f>IFERROR(VLOOKUP(BT65,Horarios!$H:$I,2,0),"")</f>
        <v/>
      </c>
      <c r="BW65" s="28" t="str">
        <f t="shared" si="12"/>
        <v>00:00</v>
      </c>
      <c r="BX65" s="29"/>
      <c r="BY65" s="27"/>
      <c r="BZ65" s="27"/>
      <c r="CA65" s="28" t="str">
        <f>IFERROR(VLOOKUP(BY65,Horarios!$H:$I,2,0),"")</f>
        <v/>
      </c>
      <c r="CB65" s="28" t="str">
        <f>IFERROR(VLOOKUP(BZ65,Horarios!$H:$I,2,0),"")</f>
        <v/>
      </c>
      <c r="CC65" s="28" t="str">
        <f t="shared" si="13"/>
        <v>00:00</v>
      </c>
      <c r="CD65" s="29"/>
      <c r="CE65" s="27"/>
      <c r="CF65" s="27"/>
      <c r="CG65" s="28" t="str">
        <f>IFERROR(VLOOKUP(CE65,Horarios!$H:$I,2,0),"")</f>
        <v/>
      </c>
      <c r="CH65" s="28" t="str">
        <f>IFERROR(VLOOKUP(CF65,Horarios!$H:$I,2,0),"")</f>
        <v/>
      </c>
      <c r="CI65" s="28" t="str">
        <f t="shared" si="14"/>
        <v>00:00</v>
      </c>
      <c r="CJ65" s="29"/>
      <c r="CK65" s="31" t="str">
        <f t="shared" si="15"/>
        <v/>
      </c>
      <c r="CL65" s="27"/>
      <c r="CM65" s="27"/>
      <c r="CN65" s="28" t="str">
        <f>IFERROR(VLOOKUP(CL65,Horarios!$H:$I,2,0),"")</f>
        <v/>
      </c>
      <c r="CO65" s="28" t="str">
        <f>IFERROR(VLOOKUP(CM65,Horarios!$H:$I,2,0),"")</f>
        <v/>
      </c>
      <c r="CP65" s="28" t="str">
        <f t="shared" si="16"/>
        <v>00:00</v>
      </c>
      <c r="CQ65" s="29"/>
      <c r="CR65" s="27"/>
      <c r="CS65" s="27"/>
      <c r="CT65" s="28" t="str">
        <f>IFERROR(VLOOKUP(CR65,Horarios!$H:$I,2,0),"")</f>
        <v/>
      </c>
      <c r="CU65" s="28" t="str">
        <f>IFERROR(VLOOKUP(CS65,Horarios!$H:$I,2,0),"")</f>
        <v/>
      </c>
      <c r="CV65" s="28" t="str">
        <f t="shared" si="17"/>
        <v>00:00</v>
      </c>
      <c r="CW65" s="29"/>
      <c r="CX65" s="27"/>
      <c r="CY65" s="27"/>
      <c r="CZ65" s="28" t="str">
        <f>IFERROR(VLOOKUP(CX65,Horarios!$H:$I,2,0),"")</f>
        <v/>
      </c>
      <c r="DA65" s="28" t="str">
        <f>IFERROR(VLOOKUP(CY65,Horarios!$H:$I,2,0),"")</f>
        <v/>
      </c>
      <c r="DB65" s="28" t="str">
        <f t="shared" si="18"/>
        <v>00:00</v>
      </c>
      <c r="DC65" s="29"/>
      <c r="DD65" s="27"/>
      <c r="DE65" s="27"/>
      <c r="DF65" s="28" t="str">
        <f>IFERROR(VLOOKUP(DD65,Horarios!$H:$I,2,0),"")</f>
        <v/>
      </c>
      <c r="DG65" s="28" t="str">
        <f>IFERROR(VLOOKUP(DE65,Horarios!$H:$I,2,0),"")</f>
        <v/>
      </c>
      <c r="DH65" s="28" t="str">
        <f t="shared" si="19"/>
        <v>00:00</v>
      </c>
      <c r="DI65" s="29"/>
      <c r="DJ65" s="27"/>
      <c r="DK65" s="27"/>
      <c r="DL65" s="28" t="str">
        <f>IFERROR(VLOOKUP(DJ65,Horarios!$H:$I,2,0),"")</f>
        <v/>
      </c>
      <c r="DM65" s="28" t="str">
        <f>IFERROR(VLOOKUP(DK65,Horarios!$H:$I,2,0),"")</f>
        <v/>
      </c>
      <c r="DN65" s="28" t="str">
        <f t="shared" si="20"/>
        <v>00:00</v>
      </c>
      <c r="DO65" s="29"/>
      <c r="DP65" s="27"/>
      <c r="DQ65" s="27"/>
      <c r="DR65" s="28" t="str">
        <f>IFERROR(VLOOKUP(DP65,Horarios!$H:$I,2,0),"")</f>
        <v/>
      </c>
      <c r="DS65" s="28" t="str">
        <f>IFERROR(VLOOKUP(DQ65,Horarios!$H:$I,2,0),"")</f>
        <v/>
      </c>
      <c r="DT65" s="28" t="str">
        <f t="shared" si="21"/>
        <v>00:00</v>
      </c>
      <c r="DU65" s="29"/>
      <c r="DV65" s="27"/>
      <c r="DW65" s="27"/>
      <c r="DX65" s="28" t="str">
        <f>IFERROR(VLOOKUP(DV65,Horarios!$H:$I,2,0),"")</f>
        <v/>
      </c>
      <c r="DY65" s="28" t="str">
        <f>IFERROR(VLOOKUP(DW65,Horarios!$H:$I,2,0),"")</f>
        <v/>
      </c>
      <c r="DZ65" s="28" t="str">
        <f t="shared" si="22"/>
        <v>00:00</v>
      </c>
      <c r="EA65" s="29"/>
      <c r="EB65" s="31" t="str">
        <f t="shared" si="23"/>
        <v/>
      </c>
      <c r="EC65" s="27"/>
      <c r="ED65" s="27"/>
      <c r="EE65" s="28" t="str">
        <f>IFERROR(VLOOKUP(EC65,Horarios!$H:$I,2,0),"")</f>
        <v/>
      </c>
      <c r="EF65" s="28" t="str">
        <f>IFERROR(VLOOKUP(ED65,Horarios!$H:$I,2,0),"")</f>
        <v/>
      </c>
      <c r="EG65" s="28" t="str">
        <f t="shared" si="24"/>
        <v>00:00</v>
      </c>
      <c r="EH65" s="29"/>
      <c r="EI65" s="27"/>
      <c r="EJ65" s="27"/>
      <c r="EK65" s="28" t="str">
        <f>IFERROR(VLOOKUP(EI65,Horarios!$H:$I,2,0),"")</f>
        <v/>
      </c>
      <c r="EL65" s="28" t="str">
        <f>IFERROR(VLOOKUP(EJ65,Horarios!$H:$I,2,0),"")</f>
        <v/>
      </c>
      <c r="EM65" s="28" t="str">
        <f t="shared" si="25"/>
        <v>00:00</v>
      </c>
      <c r="EN65" s="29"/>
      <c r="EO65" s="27"/>
      <c r="EP65" s="27"/>
      <c r="EQ65" s="28" t="str">
        <f>IFERROR(VLOOKUP(EO65,Horarios!$H:$I,2,0),"")</f>
        <v/>
      </c>
      <c r="ER65" s="28" t="str">
        <f>IFERROR(VLOOKUP(EP65,Horarios!$H:$I,2,0),"")</f>
        <v/>
      </c>
      <c r="ES65" s="28" t="str">
        <f t="shared" si="26"/>
        <v>00:00</v>
      </c>
      <c r="ET65" s="29"/>
      <c r="EU65" s="27"/>
      <c r="EV65" s="27"/>
      <c r="EW65" s="28" t="str">
        <f>IFERROR(VLOOKUP(EU65,Horarios!$H:$I,2,0),"")</f>
        <v/>
      </c>
      <c r="EX65" s="28" t="str">
        <f>IFERROR(VLOOKUP(EV65,Horarios!$H:$I,2,0),"")</f>
        <v/>
      </c>
      <c r="EY65" s="28" t="str">
        <f t="shared" si="27"/>
        <v>00:00</v>
      </c>
      <c r="EZ65" s="29"/>
      <c r="FA65" s="27"/>
      <c r="FB65" s="27"/>
      <c r="FC65" s="28" t="str">
        <f>IFERROR(VLOOKUP(FA65,Horarios!$H:$I,2,0),"")</f>
        <v/>
      </c>
      <c r="FD65" s="28" t="str">
        <f>IFERROR(VLOOKUP(FB65,Horarios!$H:$I,2,0),"")</f>
        <v/>
      </c>
      <c r="FE65" s="28" t="str">
        <f t="shared" si="28"/>
        <v>00:00</v>
      </c>
      <c r="FF65" s="29"/>
      <c r="FG65" s="27"/>
      <c r="FH65" s="27"/>
      <c r="FI65" s="28" t="str">
        <f>IFERROR(VLOOKUP(FG65,Horarios!$H:$I,2,0),"")</f>
        <v/>
      </c>
      <c r="FJ65" s="28" t="str">
        <f>IFERROR(VLOOKUP(FH65,Horarios!$H:$I,2,0),"")</f>
        <v/>
      </c>
      <c r="FK65" s="28" t="str">
        <f t="shared" si="29"/>
        <v>00:00</v>
      </c>
      <c r="FL65" s="29"/>
      <c r="FM65" s="27"/>
      <c r="FN65" s="27"/>
      <c r="FO65" s="28" t="str">
        <f>IFERROR(VLOOKUP(FM65,Horarios!$H:$I,2,0),"")</f>
        <v/>
      </c>
      <c r="FP65" s="28" t="str">
        <f>IFERROR(VLOOKUP(FN65,Horarios!$H:$I,2,0),"")</f>
        <v/>
      </c>
      <c r="FQ65" s="28" t="str">
        <f t="shared" si="30"/>
        <v>00:00</v>
      </c>
      <c r="FR65" s="29"/>
      <c r="FS65" s="31" t="str">
        <f t="shared" si="31"/>
        <v/>
      </c>
      <c r="FT65" s="27"/>
      <c r="FU65" s="27"/>
      <c r="FV65" s="28" t="str">
        <f>IFERROR(VLOOKUP(FT65,Horarios!$H:$I,2,0),"")</f>
        <v/>
      </c>
      <c r="FW65" s="28" t="str">
        <f>IFERROR(VLOOKUP(FU65,Horarios!$H:$I,2,0),"")</f>
        <v/>
      </c>
      <c r="FX65" s="28" t="str">
        <f t="shared" si="32"/>
        <v>00:00</v>
      </c>
      <c r="FY65" s="29"/>
      <c r="FZ65" s="27"/>
      <c r="GA65" s="27"/>
      <c r="GB65" s="28" t="str">
        <f>IFERROR(VLOOKUP(FZ65,Horarios!$H:$I,2,0),"")</f>
        <v/>
      </c>
      <c r="GC65" s="28" t="str">
        <f>IFERROR(VLOOKUP(GA65,Horarios!$H:$I,2,0),"")</f>
        <v/>
      </c>
      <c r="GD65" s="28" t="str">
        <f t="shared" si="33"/>
        <v>00:00</v>
      </c>
      <c r="GE65" s="29"/>
      <c r="GF65" s="27"/>
      <c r="GG65" s="27"/>
      <c r="GH65" s="28" t="str">
        <f>IFERROR(VLOOKUP(GF65,Horarios!$H:$I,2,0),"")</f>
        <v/>
      </c>
      <c r="GI65" s="28" t="str">
        <f>IFERROR(VLOOKUP(GG65,Horarios!$H:$I,2,0),"")</f>
        <v/>
      </c>
      <c r="GJ65" s="28" t="str">
        <f t="shared" si="34"/>
        <v>00:00</v>
      </c>
      <c r="GK65" s="29"/>
      <c r="GL65" s="27"/>
      <c r="GM65" s="27"/>
      <c r="GN65" s="28" t="str">
        <f>IFERROR(VLOOKUP(GL65,Horarios!$H:$I,2,0),"")</f>
        <v/>
      </c>
      <c r="GO65" s="28" t="str">
        <f>IFERROR(VLOOKUP(GM65,Horarios!$H:$I,2,0),"")</f>
        <v/>
      </c>
      <c r="GP65" s="28" t="str">
        <f t="shared" si="35"/>
        <v>00:00</v>
      </c>
      <c r="GQ65" s="29"/>
      <c r="GR65" s="27"/>
      <c r="GS65" s="27"/>
      <c r="GT65" s="28" t="str">
        <f>IFERROR(VLOOKUP(GR65,Horarios!$H:$I,2,0),"")</f>
        <v/>
      </c>
      <c r="GU65" s="28" t="str">
        <f>IFERROR(VLOOKUP(GS65,Horarios!$H:$I,2,0),"")</f>
        <v/>
      </c>
      <c r="GV65" s="28" t="str">
        <f t="shared" si="36"/>
        <v>00:00</v>
      </c>
      <c r="GW65" s="29"/>
      <c r="GX65" s="27"/>
      <c r="GY65" s="27"/>
      <c r="GZ65" s="28" t="str">
        <f>IFERROR(VLOOKUP(GX65,Horarios!$H:$I,2,0),"")</f>
        <v/>
      </c>
      <c r="HA65" s="28" t="str">
        <f>IFERROR(VLOOKUP(GY65,Horarios!$H:$I,2,0),"")</f>
        <v/>
      </c>
      <c r="HB65" s="28" t="str">
        <f t="shared" si="37"/>
        <v>00:00</v>
      </c>
      <c r="HC65" s="29"/>
      <c r="HD65" s="27"/>
      <c r="HE65" s="27"/>
      <c r="HF65" s="28" t="str">
        <f>IFERROR(VLOOKUP(HD65,Horarios!$H:$I,2,0),"")</f>
        <v/>
      </c>
      <c r="HG65" s="28" t="str">
        <f>IFERROR(VLOOKUP(HE65,Horarios!$H:$I,2,0),"")</f>
        <v/>
      </c>
      <c r="HH65" s="28" t="str">
        <f t="shared" si="38"/>
        <v>00:00</v>
      </c>
      <c r="HI65" s="29"/>
      <c r="HJ65" s="31" t="str">
        <f t="shared" si="39"/>
        <v/>
      </c>
      <c r="HK65" s="27"/>
      <c r="HL65" s="27"/>
      <c r="HM65" s="28" t="str">
        <f>IFERROR(VLOOKUP(HK65,Horarios!$H:$I,2,0),"")</f>
        <v/>
      </c>
      <c r="HN65" s="28" t="str">
        <f>IFERROR(VLOOKUP(HL65,Horarios!$H:$I,2,0),"")</f>
        <v/>
      </c>
      <c r="HO65" s="28" t="str">
        <f t="shared" si="40"/>
        <v>00:00</v>
      </c>
      <c r="HP65" s="29"/>
      <c r="HQ65" s="27"/>
      <c r="HR65" s="27"/>
      <c r="HS65" s="28" t="str">
        <f>IFERROR(VLOOKUP(HQ65,Horarios!$H:$I,2,0),"")</f>
        <v/>
      </c>
      <c r="HT65" s="28" t="str">
        <f>IFERROR(VLOOKUP(HR65,Horarios!$H:$I,2,0),"")</f>
        <v/>
      </c>
      <c r="HU65" s="28" t="str">
        <f t="shared" si="41"/>
        <v>00:00</v>
      </c>
      <c r="HV65" s="29"/>
      <c r="HW65" s="27"/>
      <c r="HX65" s="27"/>
      <c r="HY65" s="28" t="str">
        <f>IFERROR(VLOOKUP(HW65,Horarios!$H:$I,2,0),"")</f>
        <v/>
      </c>
      <c r="HZ65" s="28" t="str">
        <f>IFERROR(VLOOKUP(HX65,Horarios!$H:$I,2,0),"")</f>
        <v/>
      </c>
      <c r="IA65" s="28" t="str">
        <f t="shared" si="42"/>
        <v>00:00</v>
      </c>
      <c r="IB65" s="29"/>
      <c r="IC65" s="27"/>
      <c r="ID65" s="27"/>
      <c r="IE65" s="28" t="str">
        <f>IFERROR(VLOOKUP(IC65,Horarios!$H:$I,2,0),"")</f>
        <v/>
      </c>
      <c r="IF65" s="28" t="str">
        <f>IFERROR(VLOOKUP(ID65,Horarios!$H:$I,2,0),"")</f>
        <v/>
      </c>
      <c r="IG65" s="28" t="str">
        <f t="shared" si="43"/>
        <v>00:00</v>
      </c>
      <c r="IH65" s="29"/>
      <c r="II65" s="27"/>
      <c r="IJ65" s="27"/>
      <c r="IK65" s="28" t="str">
        <f>IFERROR(VLOOKUP(II65,Horarios!$H:$I,2,0),"")</f>
        <v/>
      </c>
      <c r="IL65" s="28" t="str">
        <f>IFERROR(VLOOKUP(IJ65,Horarios!$H:$I,2,0),"")</f>
        <v/>
      </c>
      <c r="IM65" s="28" t="str">
        <f t="shared" si="44"/>
        <v>00:00</v>
      </c>
      <c r="IN65" s="29"/>
      <c r="IO65" s="27"/>
      <c r="IP65" s="27"/>
      <c r="IQ65" s="28" t="str">
        <f>IFERROR(VLOOKUP(IO65,Horarios!$H:$I,2,0),"")</f>
        <v/>
      </c>
      <c r="IR65" s="28" t="str">
        <f>IFERROR(VLOOKUP(IP65,Horarios!$H:$I,2,0),"")</f>
        <v/>
      </c>
      <c r="IS65" s="28" t="str">
        <f t="shared" si="45"/>
        <v>00:00</v>
      </c>
      <c r="IT65" s="29"/>
      <c r="IU65" s="27"/>
      <c r="IV65" s="27"/>
      <c r="IW65" s="28" t="str">
        <f>IFERROR(VLOOKUP(IU65,Horarios!$H:$I,2,0),"")</f>
        <v/>
      </c>
      <c r="IX65" s="28" t="str">
        <f>IFERROR(VLOOKUP(IV65,Horarios!$H:$I,2,0),"")</f>
        <v/>
      </c>
      <c r="IY65" s="28" t="str">
        <f t="shared" si="46"/>
        <v>00:00</v>
      </c>
      <c r="IZ65" s="29"/>
      <c r="JA65" s="31" t="str">
        <f t="shared" si="47"/>
        <v/>
      </c>
    </row>
    <row r="66" spans="1:261" s="24" customFormat="1" ht="17.399999999999999" x14ac:dyDescent="0.25">
      <c r="A66" s="25"/>
      <c r="B66" s="26" t="str">
        <f>IFERROR(VLOOKUP(A66,BaseNombres!A:B,2,0),"")</f>
        <v/>
      </c>
      <c r="C66" s="26" t="str">
        <f>IFERROR(VLOOKUP(A66,BaseNombres!A:C,3,0),"")</f>
        <v/>
      </c>
      <c r="D66" s="27"/>
      <c r="E66" s="27"/>
      <c r="F66" s="28" t="str">
        <f>IFERROR(VLOOKUP(D66,Horarios!$H:$I,2,0),"")</f>
        <v/>
      </c>
      <c r="G66" s="28" t="str">
        <f>IFERROR(VLOOKUP(E66,Horarios!$H:$I,2,0),"")</f>
        <v/>
      </c>
      <c r="H66" s="28" t="str">
        <f t="shared" si="0"/>
        <v>00:00</v>
      </c>
      <c r="I66" s="29"/>
      <c r="J66" s="27"/>
      <c r="K66" s="27"/>
      <c r="L66" s="28" t="str">
        <f>IFERROR(VLOOKUP(J66,Horarios!$H:$I,2,0),"")</f>
        <v/>
      </c>
      <c r="M66" s="28" t="str">
        <f>IFERROR(VLOOKUP(K66,Horarios!$H:$I,2,0),"")</f>
        <v/>
      </c>
      <c r="N66" s="28" t="str">
        <f t="shared" si="1"/>
        <v>00:00</v>
      </c>
      <c r="O66" s="29"/>
      <c r="P66" s="27"/>
      <c r="Q66" s="27"/>
      <c r="R66" s="28" t="str">
        <f>IFERROR(VLOOKUP(P66,Horarios!$H:$I,2,0),"")</f>
        <v/>
      </c>
      <c r="S66" s="28" t="str">
        <f>IFERROR(VLOOKUP(Q66,Horarios!$H:$I,2,0),"")</f>
        <v/>
      </c>
      <c r="T66" s="28" t="str">
        <f t="shared" si="2"/>
        <v>00:00</v>
      </c>
      <c r="U66" s="29"/>
      <c r="V66" s="27"/>
      <c r="W66" s="27"/>
      <c r="X66" s="28" t="str">
        <f>IFERROR(VLOOKUP(V66,Horarios!$H:$I,2,0),"")</f>
        <v/>
      </c>
      <c r="Y66" s="28" t="str">
        <f>IFERROR(VLOOKUP(W66,Horarios!$H:$I,2,0),"")</f>
        <v/>
      </c>
      <c r="Z66" s="28" t="str">
        <f t="shared" si="3"/>
        <v>00:00</v>
      </c>
      <c r="AA66" s="29"/>
      <c r="AB66" s="27"/>
      <c r="AC66" s="27"/>
      <c r="AD66" s="28" t="str">
        <f>IFERROR(VLOOKUP(AB66,Horarios!$H:$I,2,0),"")</f>
        <v/>
      </c>
      <c r="AE66" s="28" t="str">
        <f>IFERROR(VLOOKUP(AC66,Horarios!$H:$I,2,0),"")</f>
        <v/>
      </c>
      <c r="AF66" s="28" t="str">
        <f t="shared" si="4"/>
        <v>00:00</v>
      </c>
      <c r="AG66" s="29"/>
      <c r="AH66" s="27"/>
      <c r="AI66" s="27"/>
      <c r="AJ66" s="28" t="str">
        <f>IFERROR(VLOOKUP(AH66,Horarios!$H:$I,2,0),"")</f>
        <v/>
      </c>
      <c r="AK66" s="28" t="str">
        <f>IFERROR(VLOOKUP(AI66,Horarios!$H:$I,2,0),"")</f>
        <v/>
      </c>
      <c r="AL66" s="28" t="str">
        <f t="shared" si="5"/>
        <v>00:00</v>
      </c>
      <c r="AM66" s="29"/>
      <c r="AN66" s="27"/>
      <c r="AO66" s="27"/>
      <c r="AP66" s="28" t="str">
        <f>IFERROR(VLOOKUP(AN66,Horarios!$H:$I,2,0),"")</f>
        <v/>
      </c>
      <c r="AQ66" s="28" t="str">
        <f>IFERROR(VLOOKUP(AO66,Horarios!$H:$I,2,0),"")</f>
        <v/>
      </c>
      <c r="AR66" s="28" t="str">
        <f t="shared" si="6"/>
        <v>00:00</v>
      </c>
      <c r="AS66" s="29"/>
      <c r="AT66" s="31" t="str">
        <f t="shared" si="7"/>
        <v/>
      </c>
      <c r="AU66" s="27"/>
      <c r="AV66" s="27"/>
      <c r="AW66" s="28" t="str">
        <f>IFERROR(VLOOKUP(AU66,Horarios!$H:$I,2,0),"")</f>
        <v/>
      </c>
      <c r="AX66" s="28" t="str">
        <f>IFERROR(VLOOKUP(AV66,Horarios!$H:$I,2,0),"")</f>
        <v/>
      </c>
      <c r="AY66" s="28" t="str">
        <f t="shared" si="8"/>
        <v>00:00</v>
      </c>
      <c r="AZ66" s="29"/>
      <c r="BA66" s="27"/>
      <c r="BB66" s="27"/>
      <c r="BC66" s="28" t="str">
        <f>IFERROR(VLOOKUP(BA66,Horarios!$H:$I,2,0),"")</f>
        <v/>
      </c>
      <c r="BD66" s="28" t="str">
        <f>IFERROR(VLOOKUP(BB66,Horarios!$H:$I,2,0),"")</f>
        <v/>
      </c>
      <c r="BE66" s="28" t="str">
        <f t="shared" si="9"/>
        <v>00:00</v>
      </c>
      <c r="BF66" s="29"/>
      <c r="BG66" s="27"/>
      <c r="BH66" s="27"/>
      <c r="BI66" s="28" t="str">
        <f>IFERROR(VLOOKUP(BG66,Horarios!$H:$I,2,0),"")</f>
        <v/>
      </c>
      <c r="BJ66" s="28" t="str">
        <f>IFERROR(VLOOKUP(BH66,Horarios!$H:$I,2,0),"")</f>
        <v/>
      </c>
      <c r="BK66" s="28" t="str">
        <f t="shared" si="10"/>
        <v>00:00</v>
      </c>
      <c r="BL66" s="29"/>
      <c r="BM66" s="27"/>
      <c r="BN66" s="27"/>
      <c r="BO66" s="28" t="str">
        <f>IFERROR(VLOOKUP(BM66,Horarios!$H:$I,2,0),"")</f>
        <v/>
      </c>
      <c r="BP66" s="28" t="str">
        <f>IFERROR(VLOOKUP(BN66,Horarios!$H:$I,2,0),"")</f>
        <v/>
      </c>
      <c r="BQ66" s="28" t="str">
        <f t="shared" si="11"/>
        <v>00:00</v>
      </c>
      <c r="BR66" s="29"/>
      <c r="BS66" s="27"/>
      <c r="BT66" s="27"/>
      <c r="BU66" s="28" t="str">
        <f>IFERROR(VLOOKUP(BS66,Horarios!$H:$I,2,0),"")</f>
        <v/>
      </c>
      <c r="BV66" s="28" t="str">
        <f>IFERROR(VLOOKUP(BT66,Horarios!$H:$I,2,0),"")</f>
        <v/>
      </c>
      <c r="BW66" s="28" t="str">
        <f t="shared" si="12"/>
        <v>00:00</v>
      </c>
      <c r="BX66" s="29"/>
      <c r="BY66" s="27"/>
      <c r="BZ66" s="27"/>
      <c r="CA66" s="28" t="str">
        <f>IFERROR(VLOOKUP(BY66,Horarios!$H:$I,2,0),"")</f>
        <v/>
      </c>
      <c r="CB66" s="28" t="str">
        <f>IFERROR(VLOOKUP(BZ66,Horarios!$H:$I,2,0),"")</f>
        <v/>
      </c>
      <c r="CC66" s="28" t="str">
        <f t="shared" si="13"/>
        <v>00:00</v>
      </c>
      <c r="CD66" s="29"/>
      <c r="CE66" s="27"/>
      <c r="CF66" s="27"/>
      <c r="CG66" s="28" t="str">
        <f>IFERROR(VLOOKUP(CE66,Horarios!$H:$I,2,0),"")</f>
        <v/>
      </c>
      <c r="CH66" s="28" t="str">
        <f>IFERROR(VLOOKUP(CF66,Horarios!$H:$I,2,0),"")</f>
        <v/>
      </c>
      <c r="CI66" s="28" t="str">
        <f t="shared" si="14"/>
        <v>00:00</v>
      </c>
      <c r="CJ66" s="29"/>
      <c r="CK66" s="31" t="str">
        <f t="shared" si="15"/>
        <v/>
      </c>
      <c r="CL66" s="27"/>
      <c r="CM66" s="27"/>
      <c r="CN66" s="28" t="str">
        <f>IFERROR(VLOOKUP(CL66,Horarios!$H:$I,2,0),"")</f>
        <v/>
      </c>
      <c r="CO66" s="28" t="str">
        <f>IFERROR(VLOOKUP(CM66,Horarios!$H:$I,2,0),"")</f>
        <v/>
      </c>
      <c r="CP66" s="28" t="str">
        <f t="shared" si="16"/>
        <v>00:00</v>
      </c>
      <c r="CQ66" s="29"/>
      <c r="CR66" s="27"/>
      <c r="CS66" s="27"/>
      <c r="CT66" s="28" t="str">
        <f>IFERROR(VLOOKUP(CR66,Horarios!$H:$I,2,0),"")</f>
        <v/>
      </c>
      <c r="CU66" s="28" t="str">
        <f>IFERROR(VLOOKUP(CS66,Horarios!$H:$I,2,0),"")</f>
        <v/>
      </c>
      <c r="CV66" s="28" t="str">
        <f t="shared" si="17"/>
        <v>00:00</v>
      </c>
      <c r="CW66" s="29"/>
      <c r="CX66" s="27"/>
      <c r="CY66" s="27"/>
      <c r="CZ66" s="28" t="str">
        <f>IFERROR(VLOOKUP(CX66,Horarios!$H:$I,2,0),"")</f>
        <v/>
      </c>
      <c r="DA66" s="28" t="str">
        <f>IFERROR(VLOOKUP(CY66,Horarios!$H:$I,2,0),"")</f>
        <v/>
      </c>
      <c r="DB66" s="28" t="str">
        <f t="shared" si="18"/>
        <v>00:00</v>
      </c>
      <c r="DC66" s="29"/>
      <c r="DD66" s="27"/>
      <c r="DE66" s="27"/>
      <c r="DF66" s="28" t="str">
        <f>IFERROR(VLOOKUP(DD66,Horarios!$H:$I,2,0),"")</f>
        <v/>
      </c>
      <c r="DG66" s="28" t="str">
        <f>IFERROR(VLOOKUP(DE66,Horarios!$H:$I,2,0),"")</f>
        <v/>
      </c>
      <c r="DH66" s="28" t="str">
        <f t="shared" si="19"/>
        <v>00:00</v>
      </c>
      <c r="DI66" s="29"/>
      <c r="DJ66" s="27"/>
      <c r="DK66" s="27"/>
      <c r="DL66" s="28" t="str">
        <f>IFERROR(VLOOKUP(DJ66,Horarios!$H:$I,2,0),"")</f>
        <v/>
      </c>
      <c r="DM66" s="28" t="str">
        <f>IFERROR(VLOOKUP(DK66,Horarios!$H:$I,2,0),"")</f>
        <v/>
      </c>
      <c r="DN66" s="28" t="str">
        <f t="shared" si="20"/>
        <v>00:00</v>
      </c>
      <c r="DO66" s="29"/>
      <c r="DP66" s="27"/>
      <c r="DQ66" s="27"/>
      <c r="DR66" s="28" t="str">
        <f>IFERROR(VLOOKUP(DP66,Horarios!$H:$I,2,0),"")</f>
        <v/>
      </c>
      <c r="DS66" s="28" t="str">
        <f>IFERROR(VLOOKUP(DQ66,Horarios!$H:$I,2,0),"")</f>
        <v/>
      </c>
      <c r="DT66" s="28" t="str">
        <f t="shared" si="21"/>
        <v>00:00</v>
      </c>
      <c r="DU66" s="29"/>
      <c r="DV66" s="27"/>
      <c r="DW66" s="27"/>
      <c r="DX66" s="28" t="str">
        <f>IFERROR(VLOOKUP(DV66,Horarios!$H:$I,2,0),"")</f>
        <v/>
      </c>
      <c r="DY66" s="28" t="str">
        <f>IFERROR(VLOOKUP(DW66,Horarios!$H:$I,2,0),"")</f>
        <v/>
      </c>
      <c r="DZ66" s="28" t="str">
        <f t="shared" si="22"/>
        <v>00:00</v>
      </c>
      <c r="EA66" s="29"/>
      <c r="EB66" s="31" t="str">
        <f t="shared" si="23"/>
        <v/>
      </c>
      <c r="EC66" s="27"/>
      <c r="ED66" s="27"/>
      <c r="EE66" s="28" t="str">
        <f>IFERROR(VLOOKUP(EC66,Horarios!$H:$I,2,0),"")</f>
        <v/>
      </c>
      <c r="EF66" s="28" t="str">
        <f>IFERROR(VLOOKUP(ED66,Horarios!$H:$I,2,0),"")</f>
        <v/>
      </c>
      <c r="EG66" s="28" t="str">
        <f t="shared" si="24"/>
        <v>00:00</v>
      </c>
      <c r="EH66" s="29"/>
      <c r="EI66" s="27"/>
      <c r="EJ66" s="27"/>
      <c r="EK66" s="28" t="str">
        <f>IFERROR(VLOOKUP(EI66,Horarios!$H:$I,2,0),"")</f>
        <v/>
      </c>
      <c r="EL66" s="28" t="str">
        <f>IFERROR(VLOOKUP(EJ66,Horarios!$H:$I,2,0),"")</f>
        <v/>
      </c>
      <c r="EM66" s="28" t="str">
        <f t="shared" si="25"/>
        <v>00:00</v>
      </c>
      <c r="EN66" s="29"/>
      <c r="EO66" s="27"/>
      <c r="EP66" s="27"/>
      <c r="EQ66" s="28" t="str">
        <f>IFERROR(VLOOKUP(EO66,Horarios!$H:$I,2,0),"")</f>
        <v/>
      </c>
      <c r="ER66" s="28" t="str">
        <f>IFERROR(VLOOKUP(EP66,Horarios!$H:$I,2,0),"")</f>
        <v/>
      </c>
      <c r="ES66" s="28" t="str">
        <f t="shared" si="26"/>
        <v>00:00</v>
      </c>
      <c r="ET66" s="29"/>
      <c r="EU66" s="27"/>
      <c r="EV66" s="27"/>
      <c r="EW66" s="28" t="str">
        <f>IFERROR(VLOOKUP(EU66,Horarios!$H:$I,2,0),"")</f>
        <v/>
      </c>
      <c r="EX66" s="28" t="str">
        <f>IFERROR(VLOOKUP(EV66,Horarios!$H:$I,2,0),"")</f>
        <v/>
      </c>
      <c r="EY66" s="28" t="str">
        <f t="shared" si="27"/>
        <v>00:00</v>
      </c>
      <c r="EZ66" s="29"/>
      <c r="FA66" s="27"/>
      <c r="FB66" s="27"/>
      <c r="FC66" s="28" t="str">
        <f>IFERROR(VLOOKUP(FA66,Horarios!$H:$I,2,0),"")</f>
        <v/>
      </c>
      <c r="FD66" s="28" t="str">
        <f>IFERROR(VLOOKUP(FB66,Horarios!$H:$I,2,0),"")</f>
        <v/>
      </c>
      <c r="FE66" s="28" t="str">
        <f t="shared" si="28"/>
        <v>00:00</v>
      </c>
      <c r="FF66" s="29"/>
      <c r="FG66" s="27"/>
      <c r="FH66" s="27"/>
      <c r="FI66" s="28" t="str">
        <f>IFERROR(VLOOKUP(FG66,Horarios!$H:$I,2,0),"")</f>
        <v/>
      </c>
      <c r="FJ66" s="28" t="str">
        <f>IFERROR(VLOOKUP(FH66,Horarios!$H:$I,2,0),"")</f>
        <v/>
      </c>
      <c r="FK66" s="28" t="str">
        <f t="shared" si="29"/>
        <v>00:00</v>
      </c>
      <c r="FL66" s="29"/>
      <c r="FM66" s="27"/>
      <c r="FN66" s="27"/>
      <c r="FO66" s="28" t="str">
        <f>IFERROR(VLOOKUP(FM66,Horarios!$H:$I,2,0),"")</f>
        <v/>
      </c>
      <c r="FP66" s="28" t="str">
        <f>IFERROR(VLOOKUP(FN66,Horarios!$H:$I,2,0),"")</f>
        <v/>
      </c>
      <c r="FQ66" s="28" t="str">
        <f t="shared" si="30"/>
        <v>00:00</v>
      </c>
      <c r="FR66" s="29"/>
      <c r="FS66" s="31" t="str">
        <f t="shared" si="31"/>
        <v/>
      </c>
      <c r="FT66" s="27"/>
      <c r="FU66" s="27"/>
      <c r="FV66" s="28" t="str">
        <f>IFERROR(VLOOKUP(FT66,Horarios!$H:$I,2,0),"")</f>
        <v/>
      </c>
      <c r="FW66" s="28" t="str">
        <f>IFERROR(VLOOKUP(FU66,Horarios!$H:$I,2,0),"")</f>
        <v/>
      </c>
      <c r="FX66" s="28" t="str">
        <f t="shared" si="32"/>
        <v>00:00</v>
      </c>
      <c r="FY66" s="29"/>
      <c r="FZ66" s="27"/>
      <c r="GA66" s="27"/>
      <c r="GB66" s="28" t="str">
        <f>IFERROR(VLOOKUP(FZ66,Horarios!$H:$I,2,0),"")</f>
        <v/>
      </c>
      <c r="GC66" s="28" t="str">
        <f>IFERROR(VLOOKUP(GA66,Horarios!$H:$I,2,0),"")</f>
        <v/>
      </c>
      <c r="GD66" s="28" t="str">
        <f t="shared" si="33"/>
        <v>00:00</v>
      </c>
      <c r="GE66" s="29"/>
      <c r="GF66" s="27"/>
      <c r="GG66" s="27"/>
      <c r="GH66" s="28" t="str">
        <f>IFERROR(VLOOKUP(GF66,Horarios!$H:$I,2,0),"")</f>
        <v/>
      </c>
      <c r="GI66" s="28" t="str">
        <f>IFERROR(VLOOKUP(GG66,Horarios!$H:$I,2,0),"")</f>
        <v/>
      </c>
      <c r="GJ66" s="28" t="str">
        <f t="shared" si="34"/>
        <v>00:00</v>
      </c>
      <c r="GK66" s="29"/>
      <c r="GL66" s="27"/>
      <c r="GM66" s="27"/>
      <c r="GN66" s="28" t="str">
        <f>IFERROR(VLOOKUP(GL66,Horarios!$H:$I,2,0),"")</f>
        <v/>
      </c>
      <c r="GO66" s="28" t="str">
        <f>IFERROR(VLOOKUP(GM66,Horarios!$H:$I,2,0),"")</f>
        <v/>
      </c>
      <c r="GP66" s="28" t="str">
        <f t="shared" si="35"/>
        <v>00:00</v>
      </c>
      <c r="GQ66" s="29"/>
      <c r="GR66" s="27"/>
      <c r="GS66" s="27"/>
      <c r="GT66" s="28" t="str">
        <f>IFERROR(VLOOKUP(GR66,Horarios!$H:$I,2,0),"")</f>
        <v/>
      </c>
      <c r="GU66" s="28" t="str">
        <f>IFERROR(VLOOKUP(GS66,Horarios!$H:$I,2,0),"")</f>
        <v/>
      </c>
      <c r="GV66" s="28" t="str">
        <f t="shared" si="36"/>
        <v>00:00</v>
      </c>
      <c r="GW66" s="29"/>
      <c r="GX66" s="27"/>
      <c r="GY66" s="27"/>
      <c r="GZ66" s="28" t="str">
        <f>IFERROR(VLOOKUP(GX66,Horarios!$H:$I,2,0),"")</f>
        <v/>
      </c>
      <c r="HA66" s="28" t="str">
        <f>IFERROR(VLOOKUP(GY66,Horarios!$H:$I,2,0),"")</f>
        <v/>
      </c>
      <c r="HB66" s="28" t="str">
        <f t="shared" si="37"/>
        <v>00:00</v>
      </c>
      <c r="HC66" s="29"/>
      <c r="HD66" s="27"/>
      <c r="HE66" s="27"/>
      <c r="HF66" s="28" t="str">
        <f>IFERROR(VLOOKUP(HD66,Horarios!$H:$I,2,0),"")</f>
        <v/>
      </c>
      <c r="HG66" s="28" t="str">
        <f>IFERROR(VLOOKUP(HE66,Horarios!$H:$I,2,0),"")</f>
        <v/>
      </c>
      <c r="HH66" s="28" t="str">
        <f t="shared" si="38"/>
        <v>00:00</v>
      </c>
      <c r="HI66" s="29"/>
      <c r="HJ66" s="31" t="str">
        <f t="shared" si="39"/>
        <v/>
      </c>
      <c r="HK66" s="27"/>
      <c r="HL66" s="27"/>
      <c r="HM66" s="28" t="str">
        <f>IFERROR(VLOOKUP(HK66,Horarios!$H:$I,2,0),"")</f>
        <v/>
      </c>
      <c r="HN66" s="28" t="str">
        <f>IFERROR(VLOOKUP(HL66,Horarios!$H:$I,2,0),"")</f>
        <v/>
      </c>
      <c r="HO66" s="28" t="str">
        <f t="shared" si="40"/>
        <v>00:00</v>
      </c>
      <c r="HP66" s="29"/>
      <c r="HQ66" s="27"/>
      <c r="HR66" s="27"/>
      <c r="HS66" s="28" t="str">
        <f>IFERROR(VLOOKUP(HQ66,Horarios!$H:$I,2,0),"")</f>
        <v/>
      </c>
      <c r="HT66" s="28" t="str">
        <f>IFERROR(VLOOKUP(HR66,Horarios!$H:$I,2,0),"")</f>
        <v/>
      </c>
      <c r="HU66" s="28" t="str">
        <f t="shared" si="41"/>
        <v>00:00</v>
      </c>
      <c r="HV66" s="29"/>
      <c r="HW66" s="27"/>
      <c r="HX66" s="27"/>
      <c r="HY66" s="28" t="str">
        <f>IFERROR(VLOOKUP(HW66,Horarios!$H:$I,2,0),"")</f>
        <v/>
      </c>
      <c r="HZ66" s="28" t="str">
        <f>IFERROR(VLOOKUP(HX66,Horarios!$H:$I,2,0),"")</f>
        <v/>
      </c>
      <c r="IA66" s="28" t="str">
        <f t="shared" si="42"/>
        <v>00:00</v>
      </c>
      <c r="IB66" s="29"/>
      <c r="IC66" s="27"/>
      <c r="ID66" s="27"/>
      <c r="IE66" s="28" t="str">
        <f>IFERROR(VLOOKUP(IC66,Horarios!$H:$I,2,0),"")</f>
        <v/>
      </c>
      <c r="IF66" s="28" t="str">
        <f>IFERROR(VLOOKUP(ID66,Horarios!$H:$I,2,0),"")</f>
        <v/>
      </c>
      <c r="IG66" s="28" t="str">
        <f t="shared" si="43"/>
        <v>00:00</v>
      </c>
      <c r="IH66" s="29"/>
      <c r="II66" s="27"/>
      <c r="IJ66" s="27"/>
      <c r="IK66" s="28" t="str">
        <f>IFERROR(VLOOKUP(II66,Horarios!$H:$I,2,0),"")</f>
        <v/>
      </c>
      <c r="IL66" s="28" t="str">
        <f>IFERROR(VLOOKUP(IJ66,Horarios!$H:$I,2,0),"")</f>
        <v/>
      </c>
      <c r="IM66" s="28" t="str">
        <f t="shared" si="44"/>
        <v>00:00</v>
      </c>
      <c r="IN66" s="29"/>
      <c r="IO66" s="27"/>
      <c r="IP66" s="27"/>
      <c r="IQ66" s="28" t="str">
        <f>IFERROR(VLOOKUP(IO66,Horarios!$H:$I,2,0),"")</f>
        <v/>
      </c>
      <c r="IR66" s="28" t="str">
        <f>IFERROR(VLOOKUP(IP66,Horarios!$H:$I,2,0),"")</f>
        <v/>
      </c>
      <c r="IS66" s="28" t="str">
        <f t="shared" si="45"/>
        <v>00:00</v>
      </c>
      <c r="IT66" s="29"/>
      <c r="IU66" s="27"/>
      <c r="IV66" s="27"/>
      <c r="IW66" s="28" t="str">
        <f>IFERROR(VLOOKUP(IU66,Horarios!$H:$I,2,0),"")</f>
        <v/>
      </c>
      <c r="IX66" s="28" t="str">
        <f>IFERROR(VLOOKUP(IV66,Horarios!$H:$I,2,0),"")</f>
        <v/>
      </c>
      <c r="IY66" s="28" t="str">
        <f t="shared" si="46"/>
        <v>00:00</v>
      </c>
      <c r="IZ66" s="29"/>
      <c r="JA66" s="31" t="str">
        <f t="shared" si="47"/>
        <v/>
      </c>
    </row>
    <row r="67" spans="1:261" s="24" customFormat="1" ht="17.399999999999999" x14ac:dyDescent="0.25">
      <c r="A67" s="25"/>
      <c r="B67" s="26" t="str">
        <f>IFERROR(VLOOKUP(A67,BaseNombres!A:B,2,0),"")</f>
        <v/>
      </c>
      <c r="C67" s="26" t="str">
        <f>IFERROR(VLOOKUP(A67,BaseNombres!A:C,3,0),"")</f>
        <v/>
      </c>
      <c r="D67" s="27"/>
      <c r="E67" s="27"/>
      <c r="F67" s="28" t="str">
        <f>IFERROR(VLOOKUP(D67,Horarios!$H:$I,2,0),"")</f>
        <v/>
      </c>
      <c r="G67" s="28" t="str">
        <f>IFERROR(VLOOKUP(E67,Horarios!$H:$I,2,0),"")</f>
        <v/>
      </c>
      <c r="H67" s="28" t="str">
        <f t="shared" si="0"/>
        <v>00:00</v>
      </c>
      <c r="I67" s="29"/>
      <c r="J67" s="27"/>
      <c r="K67" s="27"/>
      <c r="L67" s="28" t="str">
        <f>IFERROR(VLOOKUP(J67,Horarios!$H:$I,2,0),"")</f>
        <v/>
      </c>
      <c r="M67" s="28" t="str">
        <f>IFERROR(VLOOKUP(K67,Horarios!$H:$I,2,0),"")</f>
        <v/>
      </c>
      <c r="N67" s="28" t="str">
        <f t="shared" si="1"/>
        <v>00:00</v>
      </c>
      <c r="O67" s="29"/>
      <c r="P67" s="27"/>
      <c r="Q67" s="27"/>
      <c r="R67" s="28" t="str">
        <f>IFERROR(VLOOKUP(P67,Horarios!$H:$I,2,0),"")</f>
        <v/>
      </c>
      <c r="S67" s="28" t="str">
        <f>IFERROR(VLOOKUP(Q67,Horarios!$H:$I,2,0),"")</f>
        <v/>
      </c>
      <c r="T67" s="28" t="str">
        <f t="shared" si="2"/>
        <v>00:00</v>
      </c>
      <c r="U67" s="29"/>
      <c r="V67" s="27"/>
      <c r="W67" s="27"/>
      <c r="X67" s="28" t="str">
        <f>IFERROR(VLOOKUP(V67,Horarios!$H:$I,2,0),"")</f>
        <v/>
      </c>
      <c r="Y67" s="28" t="str">
        <f>IFERROR(VLOOKUP(W67,Horarios!$H:$I,2,0),"")</f>
        <v/>
      </c>
      <c r="Z67" s="28" t="str">
        <f t="shared" si="3"/>
        <v>00:00</v>
      </c>
      <c r="AA67" s="29"/>
      <c r="AB67" s="27"/>
      <c r="AC67" s="27"/>
      <c r="AD67" s="28" t="str">
        <f>IFERROR(VLOOKUP(AB67,Horarios!$H:$I,2,0),"")</f>
        <v/>
      </c>
      <c r="AE67" s="28" t="str">
        <f>IFERROR(VLOOKUP(AC67,Horarios!$H:$I,2,0),"")</f>
        <v/>
      </c>
      <c r="AF67" s="28" t="str">
        <f t="shared" si="4"/>
        <v>00:00</v>
      </c>
      <c r="AG67" s="29"/>
      <c r="AH67" s="27"/>
      <c r="AI67" s="27"/>
      <c r="AJ67" s="28" t="str">
        <f>IFERROR(VLOOKUP(AH67,Horarios!$H:$I,2,0),"")</f>
        <v/>
      </c>
      <c r="AK67" s="28" t="str">
        <f>IFERROR(VLOOKUP(AI67,Horarios!$H:$I,2,0),"")</f>
        <v/>
      </c>
      <c r="AL67" s="28" t="str">
        <f t="shared" si="5"/>
        <v>00:00</v>
      </c>
      <c r="AM67" s="29"/>
      <c r="AN67" s="27"/>
      <c r="AO67" s="27"/>
      <c r="AP67" s="28" t="str">
        <f>IFERROR(VLOOKUP(AN67,Horarios!$H:$I,2,0),"")</f>
        <v/>
      </c>
      <c r="AQ67" s="28" t="str">
        <f>IFERROR(VLOOKUP(AO67,Horarios!$H:$I,2,0),"")</f>
        <v/>
      </c>
      <c r="AR67" s="28" t="str">
        <f t="shared" si="6"/>
        <v>00:00</v>
      </c>
      <c r="AS67" s="29"/>
      <c r="AT67" s="31" t="str">
        <f t="shared" si="7"/>
        <v/>
      </c>
      <c r="AU67" s="27"/>
      <c r="AV67" s="27"/>
      <c r="AW67" s="28" t="str">
        <f>IFERROR(VLOOKUP(AU67,Horarios!$H:$I,2,0),"")</f>
        <v/>
      </c>
      <c r="AX67" s="28" t="str">
        <f>IFERROR(VLOOKUP(AV67,Horarios!$H:$I,2,0),"")</f>
        <v/>
      </c>
      <c r="AY67" s="28" t="str">
        <f t="shared" si="8"/>
        <v>00:00</v>
      </c>
      <c r="AZ67" s="29"/>
      <c r="BA67" s="27"/>
      <c r="BB67" s="27"/>
      <c r="BC67" s="28" t="str">
        <f>IFERROR(VLOOKUP(BA67,Horarios!$H:$I,2,0),"")</f>
        <v/>
      </c>
      <c r="BD67" s="28" t="str">
        <f>IFERROR(VLOOKUP(BB67,Horarios!$H:$I,2,0),"")</f>
        <v/>
      </c>
      <c r="BE67" s="28" t="str">
        <f t="shared" si="9"/>
        <v>00:00</v>
      </c>
      <c r="BF67" s="29"/>
      <c r="BG67" s="27"/>
      <c r="BH67" s="27"/>
      <c r="BI67" s="28" t="str">
        <f>IFERROR(VLOOKUP(BG67,Horarios!$H:$I,2,0),"")</f>
        <v/>
      </c>
      <c r="BJ67" s="28" t="str">
        <f>IFERROR(VLOOKUP(BH67,Horarios!$H:$I,2,0),"")</f>
        <v/>
      </c>
      <c r="BK67" s="28" t="str">
        <f t="shared" si="10"/>
        <v>00:00</v>
      </c>
      <c r="BL67" s="29"/>
      <c r="BM67" s="27"/>
      <c r="BN67" s="27"/>
      <c r="BO67" s="28" t="str">
        <f>IFERROR(VLOOKUP(BM67,Horarios!$H:$I,2,0),"")</f>
        <v/>
      </c>
      <c r="BP67" s="28" t="str">
        <f>IFERROR(VLOOKUP(BN67,Horarios!$H:$I,2,0),"")</f>
        <v/>
      </c>
      <c r="BQ67" s="28" t="str">
        <f t="shared" si="11"/>
        <v>00:00</v>
      </c>
      <c r="BR67" s="29"/>
      <c r="BS67" s="27"/>
      <c r="BT67" s="27"/>
      <c r="BU67" s="28" t="str">
        <f>IFERROR(VLOOKUP(BS67,Horarios!$H:$I,2,0),"")</f>
        <v/>
      </c>
      <c r="BV67" s="28" t="str">
        <f>IFERROR(VLOOKUP(BT67,Horarios!$H:$I,2,0),"")</f>
        <v/>
      </c>
      <c r="BW67" s="28" t="str">
        <f t="shared" si="12"/>
        <v>00:00</v>
      </c>
      <c r="BX67" s="29"/>
      <c r="BY67" s="27"/>
      <c r="BZ67" s="27"/>
      <c r="CA67" s="28" t="str">
        <f>IFERROR(VLOOKUP(BY67,Horarios!$H:$I,2,0),"")</f>
        <v/>
      </c>
      <c r="CB67" s="28" t="str">
        <f>IFERROR(VLOOKUP(BZ67,Horarios!$H:$I,2,0),"")</f>
        <v/>
      </c>
      <c r="CC67" s="28" t="str">
        <f t="shared" si="13"/>
        <v>00:00</v>
      </c>
      <c r="CD67" s="29"/>
      <c r="CE67" s="27"/>
      <c r="CF67" s="27"/>
      <c r="CG67" s="28" t="str">
        <f>IFERROR(VLOOKUP(CE67,Horarios!$H:$I,2,0),"")</f>
        <v/>
      </c>
      <c r="CH67" s="28" t="str">
        <f>IFERROR(VLOOKUP(CF67,Horarios!$H:$I,2,0),"")</f>
        <v/>
      </c>
      <c r="CI67" s="28" t="str">
        <f t="shared" si="14"/>
        <v>00:00</v>
      </c>
      <c r="CJ67" s="29"/>
      <c r="CK67" s="31" t="str">
        <f t="shared" si="15"/>
        <v/>
      </c>
      <c r="CL67" s="27"/>
      <c r="CM67" s="27"/>
      <c r="CN67" s="28" t="str">
        <f>IFERROR(VLOOKUP(CL67,Horarios!$H:$I,2,0),"")</f>
        <v/>
      </c>
      <c r="CO67" s="28" t="str">
        <f>IFERROR(VLOOKUP(CM67,Horarios!$H:$I,2,0),"")</f>
        <v/>
      </c>
      <c r="CP67" s="28" t="str">
        <f t="shared" si="16"/>
        <v>00:00</v>
      </c>
      <c r="CQ67" s="29"/>
      <c r="CR67" s="27"/>
      <c r="CS67" s="27"/>
      <c r="CT67" s="28" t="str">
        <f>IFERROR(VLOOKUP(CR67,Horarios!$H:$I,2,0),"")</f>
        <v/>
      </c>
      <c r="CU67" s="28" t="str">
        <f>IFERROR(VLOOKUP(CS67,Horarios!$H:$I,2,0),"")</f>
        <v/>
      </c>
      <c r="CV67" s="28" t="str">
        <f t="shared" si="17"/>
        <v>00:00</v>
      </c>
      <c r="CW67" s="29"/>
      <c r="CX67" s="27"/>
      <c r="CY67" s="27"/>
      <c r="CZ67" s="28" t="str">
        <f>IFERROR(VLOOKUP(CX67,Horarios!$H:$I,2,0),"")</f>
        <v/>
      </c>
      <c r="DA67" s="28" t="str">
        <f>IFERROR(VLOOKUP(CY67,Horarios!$H:$I,2,0),"")</f>
        <v/>
      </c>
      <c r="DB67" s="28" t="str">
        <f t="shared" si="18"/>
        <v>00:00</v>
      </c>
      <c r="DC67" s="29"/>
      <c r="DD67" s="27"/>
      <c r="DE67" s="27"/>
      <c r="DF67" s="28" t="str">
        <f>IFERROR(VLOOKUP(DD67,Horarios!$H:$I,2,0),"")</f>
        <v/>
      </c>
      <c r="DG67" s="28" t="str">
        <f>IFERROR(VLOOKUP(DE67,Horarios!$H:$I,2,0),"")</f>
        <v/>
      </c>
      <c r="DH67" s="28" t="str">
        <f t="shared" si="19"/>
        <v>00:00</v>
      </c>
      <c r="DI67" s="29"/>
      <c r="DJ67" s="27"/>
      <c r="DK67" s="27"/>
      <c r="DL67" s="28" t="str">
        <f>IFERROR(VLOOKUP(DJ67,Horarios!$H:$I,2,0),"")</f>
        <v/>
      </c>
      <c r="DM67" s="28" t="str">
        <f>IFERROR(VLOOKUP(DK67,Horarios!$H:$I,2,0),"")</f>
        <v/>
      </c>
      <c r="DN67" s="28" t="str">
        <f t="shared" si="20"/>
        <v>00:00</v>
      </c>
      <c r="DO67" s="29"/>
      <c r="DP67" s="27"/>
      <c r="DQ67" s="27"/>
      <c r="DR67" s="28" t="str">
        <f>IFERROR(VLOOKUP(DP67,Horarios!$H:$I,2,0),"")</f>
        <v/>
      </c>
      <c r="DS67" s="28" t="str">
        <f>IFERROR(VLOOKUP(DQ67,Horarios!$H:$I,2,0),"")</f>
        <v/>
      </c>
      <c r="DT67" s="28" t="str">
        <f t="shared" si="21"/>
        <v>00:00</v>
      </c>
      <c r="DU67" s="29"/>
      <c r="DV67" s="27"/>
      <c r="DW67" s="27"/>
      <c r="DX67" s="28" t="str">
        <f>IFERROR(VLOOKUP(DV67,Horarios!$H:$I,2,0),"")</f>
        <v/>
      </c>
      <c r="DY67" s="28" t="str">
        <f>IFERROR(VLOOKUP(DW67,Horarios!$H:$I,2,0),"")</f>
        <v/>
      </c>
      <c r="DZ67" s="28" t="str">
        <f t="shared" si="22"/>
        <v>00:00</v>
      </c>
      <c r="EA67" s="29"/>
      <c r="EB67" s="31" t="str">
        <f t="shared" si="23"/>
        <v/>
      </c>
      <c r="EC67" s="27"/>
      <c r="ED67" s="27"/>
      <c r="EE67" s="28" t="str">
        <f>IFERROR(VLOOKUP(EC67,Horarios!$H:$I,2,0),"")</f>
        <v/>
      </c>
      <c r="EF67" s="28" t="str">
        <f>IFERROR(VLOOKUP(ED67,Horarios!$H:$I,2,0),"")</f>
        <v/>
      </c>
      <c r="EG67" s="28" t="str">
        <f t="shared" si="24"/>
        <v>00:00</v>
      </c>
      <c r="EH67" s="29"/>
      <c r="EI67" s="27"/>
      <c r="EJ67" s="27"/>
      <c r="EK67" s="28" t="str">
        <f>IFERROR(VLOOKUP(EI67,Horarios!$H:$I,2,0),"")</f>
        <v/>
      </c>
      <c r="EL67" s="28" t="str">
        <f>IFERROR(VLOOKUP(EJ67,Horarios!$H:$I,2,0),"")</f>
        <v/>
      </c>
      <c r="EM67" s="28" t="str">
        <f t="shared" si="25"/>
        <v>00:00</v>
      </c>
      <c r="EN67" s="29"/>
      <c r="EO67" s="27"/>
      <c r="EP67" s="27"/>
      <c r="EQ67" s="28" t="str">
        <f>IFERROR(VLOOKUP(EO67,Horarios!$H:$I,2,0),"")</f>
        <v/>
      </c>
      <c r="ER67" s="28" t="str">
        <f>IFERROR(VLOOKUP(EP67,Horarios!$H:$I,2,0),"")</f>
        <v/>
      </c>
      <c r="ES67" s="28" t="str">
        <f t="shared" si="26"/>
        <v>00:00</v>
      </c>
      <c r="ET67" s="29"/>
      <c r="EU67" s="27"/>
      <c r="EV67" s="27"/>
      <c r="EW67" s="28" t="str">
        <f>IFERROR(VLOOKUP(EU67,Horarios!$H:$I,2,0),"")</f>
        <v/>
      </c>
      <c r="EX67" s="28" t="str">
        <f>IFERROR(VLOOKUP(EV67,Horarios!$H:$I,2,0),"")</f>
        <v/>
      </c>
      <c r="EY67" s="28" t="str">
        <f t="shared" si="27"/>
        <v>00:00</v>
      </c>
      <c r="EZ67" s="29"/>
      <c r="FA67" s="27"/>
      <c r="FB67" s="27"/>
      <c r="FC67" s="28" t="str">
        <f>IFERROR(VLOOKUP(FA67,Horarios!$H:$I,2,0),"")</f>
        <v/>
      </c>
      <c r="FD67" s="28" t="str">
        <f>IFERROR(VLOOKUP(FB67,Horarios!$H:$I,2,0),"")</f>
        <v/>
      </c>
      <c r="FE67" s="28" t="str">
        <f t="shared" si="28"/>
        <v>00:00</v>
      </c>
      <c r="FF67" s="29"/>
      <c r="FG67" s="27"/>
      <c r="FH67" s="27"/>
      <c r="FI67" s="28" t="str">
        <f>IFERROR(VLOOKUP(FG67,Horarios!$H:$I,2,0),"")</f>
        <v/>
      </c>
      <c r="FJ67" s="28" t="str">
        <f>IFERROR(VLOOKUP(FH67,Horarios!$H:$I,2,0),"")</f>
        <v/>
      </c>
      <c r="FK67" s="28" t="str">
        <f t="shared" si="29"/>
        <v>00:00</v>
      </c>
      <c r="FL67" s="29"/>
      <c r="FM67" s="27"/>
      <c r="FN67" s="27"/>
      <c r="FO67" s="28" t="str">
        <f>IFERROR(VLOOKUP(FM67,Horarios!$H:$I,2,0),"")</f>
        <v/>
      </c>
      <c r="FP67" s="28" t="str">
        <f>IFERROR(VLOOKUP(FN67,Horarios!$H:$I,2,0),"")</f>
        <v/>
      </c>
      <c r="FQ67" s="28" t="str">
        <f t="shared" si="30"/>
        <v>00:00</v>
      </c>
      <c r="FR67" s="29"/>
      <c r="FS67" s="31" t="str">
        <f t="shared" si="31"/>
        <v/>
      </c>
      <c r="FT67" s="27"/>
      <c r="FU67" s="27"/>
      <c r="FV67" s="28" t="str">
        <f>IFERROR(VLOOKUP(FT67,Horarios!$H:$I,2,0),"")</f>
        <v/>
      </c>
      <c r="FW67" s="28" t="str">
        <f>IFERROR(VLOOKUP(FU67,Horarios!$H:$I,2,0),"")</f>
        <v/>
      </c>
      <c r="FX67" s="28" t="str">
        <f t="shared" si="32"/>
        <v>00:00</v>
      </c>
      <c r="FY67" s="29"/>
      <c r="FZ67" s="27"/>
      <c r="GA67" s="27"/>
      <c r="GB67" s="28" t="str">
        <f>IFERROR(VLOOKUP(FZ67,Horarios!$H:$I,2,0),"")</f>
        <v/>
      </c>
      <c r="GC67" s="28" t="str">
        <f>IFERROR(VLOOKUP(GA67,Horarios!$H:$I,2,0),"")</f>
        <v/>
      </c>
      <c r="GD67" s="28" t="str">
        <f t="shared" si="33"/>
        <v>00:00</v>
      </c>
      <c r="GE67" s="29"/>
      <c r="GF67" s="27"/>
      <c r="GG67" s="27"/>
      <c r="GH67" s="28" t="str">
        <f>IFERROR(VLOOKUP(GF67,Horarios!$H:$I,2,0),"")</f>
        <v/>
      </c>
      <c r="GI67" s="28" t="str">
        <f>IFERROR(VLOOKUP(GG67,Horarios!$H:$I,2,0),"")</f>
        <v/>
      </c>
      <c r="GJ67" s="28" t="str">
        <f t="shared" si="34"/>
        <v>00:00</v>
      </c>
      <c r="GK67" s="29"/>
      <c r="GL67" s="27"/>
      <c r="GM67" s="27"/>
      <c r="GN67" s="28" t="str">
        <f>IFERROR(VLOOKUP(GL67,Horarios!$H:$I,2,0),"")</f>
        <v/>
      </c>
      <c r="GO67" s="28" t="str">
        <f>IFERROR(VLOOKUP(GM67,Horarios!$H:$I,2,0),"")</f>
        <v/>
      </c>
      <c r="GP67" s="28" t="str">
        <f t="shared" si="35"/>
        <v>00:00</v>
      </c>
      <c r="GQ67" s="29"/>
      <c r="GR67" s="27"/>
      <c r="GS67" s="27"/>
      <c r="GT67" s="28" t="str">
        <f>IFERROR(VLOOKUP(GR67,Horarios!$H:$I,2,0),"")</f>
        <v/>
      </c>
      <c r="GU67" s="28" t="str">
        <f>IFERROR(VLOOKUP(GS67,Horarios!$H:$I,2,0),"")</f>
        <v/>
      </c>
      <c r="GV67" s="28" t="str">
        <f t="shared" si="36"/>
        <v>00:00</v>
      </c>
      <c r="GW67" s="29"/>
      <c r="GX67" s="27"/>
      <c r="GY67" s="27"/>
      <c r="GZ67" s="28" t="str">
        <f>IFERROR(VLOOKUP(GX67,Horarios!$H:$I,2,0),"")</f>
        <v/>
      </c>
      <c r="HA67" s="28" t="str">
        <f>IFERROR(VLOOKUP(GY67,Horarios!$H:$I,2,0),"")</f>
        <v/>
      </c>
      <c r="HB67" s="28" t="str">
        <f t="shared" si="37"/>
        <v>00:00</v>
      </c>
      <c r="HC67" s="29"/>
      <c r="HD67" s="27"/>
      <c r="HE67" s="27"/>
      <c r="HF67" s="28" t="str">
        <f>IFERROR(VLOOKUP(HD67,Horarios!$H:$I,2,0),"")</f>
        <v/>
      </c>
      <c r="HG67" s="28" t="str">
        <f>IFERROR(VLOOKUP(HE67,Horarios!$H:$I,2,0),"")</f>
        <v/>
      </c>
      <c r="HH67" s="28" t="str">
        <f t="shared" si="38"/>
        <v>00:00</v>
      </c>
      <c r="HI67" s="29"/>
      <c r="HJ67" s="31" t="str">
        <f t="shared" si="39"/>
        <v/>
      </c>
      <c r="HK67" s="27"/>
      <c r="HL67" s="27"/>
      <c r="HM67" s="28" t="str">
        <f>IFERROR(VLOOKUP(HK67,Horarios!$H:$I,2,0),"")</f>
        <v/>
      </c>
      <c r="HN67" s="28" t="str">
        <f>IFERROR(VLOOKUP(HL67,Horarios!$H:$I,2,0),"")</f>
        <v/>
      </c>
      <c r="HO67" s="28" t="str">
        <f t="shared" si="40"/>
        <v>00:00</v>
      </c>
      <c r="HP67" s="29"/>
      <c r="HQ67" s="27"/>
      <c r="HR67" s="27"/>
      <c r="HS67" s="28" t="str">
        <f>IFERROR(VLOOKUP(HQ67,Horarios!$H:$I,2,0),"")</f>
        <v/>
      </c>
      <c r="HT67" s="28" t="str">
        <f>IFERROR(VLOOKUP(HR67,Horarios!$H:$I,2,0),"")</f>
        <v/>
      </c>
      <c r="HU67" s="28" t="str">
        <f t="shared" si="41"/>
        <v>00:00</v>
      </c>
      <c r="HV67" s="29"/>
      <c r="HW67" s="27"/>
      <c r="HX67" s="27"/>
      <c r="HY67" s="28" t="str">
        <f>IFERROR(VLOOKUP(HW67,Horarios!$H:$I,2,0),"")</f>
        <v/>
      </c>
      <c r="HZ67" s="28" t="str">
        <f>IFERROR(VLOOKUP(HX67,Horarios!$H:$I,2,0),"")</f>
        <v/>
      </c>
      <c r="IA67" s="28" t="str">
        <f t="shared" si="42"/>
        <v>00:00</v>
      </c>
      <c r="IB67" s="29"/>
      <c r="IC67" s="27"/>
      <c r="ID67" s="27"/>
      <c r="IE67" s="28" t="str">
        <f>IFERROR(VLOOKUP(IC67,Horarios!$H:$I,2,0),"")</f>
        <v/>
      </c>
      <c r="IF67" s="28" t="str">
        <f>IFERROR(VLOOKUP(ID67,Horarios!$H:$I,2,0),"")</f>
        <v/>
      </c>
      <c r="IG67" s="28" t="str">
        <f t="shared" si="43"/>
        <v>00:00</v>
      </c>
      <c r="IH67" s="29"/>
      <c r="II67" s="27"/>
      <c r="IJ67" s="27"/>
      <c r="IK67" s="28" t="str">
        <f>IFERROR(VLOOKUP(II67,Horarios!$H:$I,2,0),"")</f>
        <v/>
      </c>
      <c r="IL67" s="28" t="str">
        <f>IFERROR(VLOOKUP(IJ67,Horarios!$H:$I,2,0),"")</f>
        <v/>
      </c>
      <c r="IM67" s="28" t="str">
        <f t="shared" si="44"/>
        <v>00:00</v>
      </c>
      <c r="IN67" s="29"/>
      <c r="IO67" s="27"/>
      <c r="IP67" s="27"/>
      <c r="IQ67" s="28" t="str">
        <f>IFERROR(VLOOKUP(IO67,Horarios!$H:$I,2,0),"")</f>
        <v/>
      </c>
      <c r="IR67" s="28" t="str">
        <f>IFERROR(VLOOKUP(IP67,Horarios!$H:$I,2,0),"")</f>
        <v/>
      </c>
      <c r="IS67" s="28" t="str">
        <f t="shared" si="45"/>
        <v>00:00</v>
      </c>
      <c r="IT67" s="29"/>
      <c r="IU67" s="27"/>
      <c r="IV67" s="27"/>
      <c r="IW67" s="28" t="str">
        <f>IFERROR(VLOOKUP(IU67,Horarios!$H:$I,2,0),"")</f>
        <v/>
      </c>
      <c r="IX67" s="28" t="str">
        <f>IFERROR(VLOOKUP(IV67,Horarios!$H:$I,2,0),"")</f>
        <v/>
      </c>
      <c r="IY67" s="28" t="str">
        <f t="shared" si="46"/>
        <v>00:00</v>
      </c>
      <c r="IZ67" s="29"/>
      <c r="JA67" s="31" t="str">
        <f t="shared" si="47"/>
        <v/>
      </c>
    </row>
    <row r="68" spans="1:261" s="24" customFormat="1" ht="17.399999999999999" x14ac:dyDescent="0.25">
      <c r="A68" s="25"/>
      <c r="B68" s="26" t="str">
        <f>IFERROR(VLOOKUP(A68,BaseNombres!A:B,2,0),"")</f>
        <v/>
      </c>
      <c r="C68" s="26" t="str">
        <f>IFERROR(VLOOKUP(A68,BaseNombres!A:C,3,0),"")</f>
        <v/>
      </c>
      <c r="D68" s="27"/>
      <c r="E68" s="27"/>
      <c r="F68" s="28" t="str">
        <f>IFERROR(VLOOKUP(D68,Horarios!$H:$I,2,0),"")</f>
        <v/>
      </c>
      <c r="G68" s="28" t="str">
        <f>IFERROR(VLOOKUP(E68,Horarios!$H:$I,2,0),"")</f>
        <v/>
      </c>
      <c r="H68" s="28" t="str">
        <f t="shared" si="0"/>
        <v>00:00</v>
      </c>
      <c r="I68" s="29"/>
      <c r="J68" s="27"/>
      <c r="K68" s="27"/>
      <c r="L68" s="28" t="str">
        <f>IFERROR(VLOOKUP(J68,Horarios!$H:$I,2,0),"")</f>
        <v/>
      </c>
      <c r="M68" s="28" t="str">
        <f>IFERROR(VLOOKUP(K68,Horarios!$H:$I,2,0),"")</f>
        <v/>
      </c>
      <c r="N68" s="28" t="str">
        <f t="shared" si="1"/>
        <v>00:00</v>
      </c>
      <c r="O68" s="29"/>
      <c r="P68" s="27"/>
      <c r="Q68" s="27"/>
      <c r="R68" s="28" t="str">
        <f>IFERROR(VLOOKUP(P68,Horarios!$H:$I,2,0),"")</f>
        <v/>
      </c>
      <c r="S68" s="28" t="str">
        <f>IFERROR(VLOOKUP(Q68,Horarios!$H:$I,2,0),"")</f>
        <v/>
      </c>
      <c r="T68" s="28" t="str">
        <f t="shared" si="2"/>
        <v>00:00</v>
      </c>
      <c r="U68" s="29"/>
      <c r="V68" s="27"/>
      <c r="W68" s="27"/>
      <c r="X68" s="28" t="str">
        <f>IFERROR(VLOOKUP(V68,Horarios!$H:$I,2,0),"")</f>
        <v/>
      </c>
      <c r="Y68" s="28" t="str">
        <f>IFERROR(VLOOKUP(W68,Horarios!$H:$I,2,0),"")</f>
        <v/>
      </c>
      <c r="Z68" s="28" t="str">
        <f t="shared" si="3"/>
        <v>00:00</v>
      </c>
      <c r="AA68" s="29"/>
      <c r="AB68" s="27"/>
      <c r="AC68" s="27"/>
      <c r="AD68" s="28" t="str">
        <f>IFERROR(VLOOKUP(AB68,Horarios!$H:$I,2,0),"")</f>
        <v/>
      </c>
      <c r="AE68" s="28" t="str">
        <f>IFERROR(VLOOKUP(AC68,Horarios!$H:$I,2,0),"")</f>
        <v/>
      </c>
      <c r="AF68" s="28" t="str">
        <f t="shared" si="4"/>
        <v>00:00</v>
      </c>
      <c r="AG68" s="29"/>
      <c r="AH68" s="27"/>
      <c r="AI68" s="27"/>
      <c r="AJ68" s="28" t="str">
        <f>IFERROR(VLOOKUP(AH68,Horarios!$H:$I,2,0),"")</f>
        <v/>
      </c>
      <c r="AK68" s="28" t="str">
        <f>IFERROR(VLOOKUP(AI68,Horarios!$H:$I,2,0),"")</f>
        <v/>
      </c>
      <c r="AL68" s="28" t="str">
        <f t="shared" si="5"/>
        <v>00:00</v>
      </c>
      <c r="AM68" s="29"/>
      <c r="AN68" s="27"/>
      <c r="AO68" s="27"/>
      <c r="AP68" s="28" t="str">
        <f>IFERROR(VLOOKUP(AN68,Horarios!$H:$I,2,0),"")</f>
        <v/>
      </c>
      <c r="AQ68" s="28" t="str">
        <f>IFERROR(VLOOKUP(AO68,Horarios!$H:$I,2,0),"")</f>
        <v/>
      </c>
      <c r="AR68" s="28" t="str">
        <f t="shared" si="6"/>
        <v>00:00</v>
      </c>
      <c r="AS68" s="29"/>
      <c r="AT68" s="31" t="str">
        <f t="shared" si="7"/>
        <v/>
      </c>
      <c r="AU68" s="27"/>
      <c r="AV68" s="27"/>
      <c r="AW68" s="28" t="str">
        <f>IFERROR(VLOOKUP(AU68,Horarios!$H:$I,2,0),"")</f>
        <v/>
      </c>
      <c r="AX68" s="28" t="str">
        <f>IFERROR(VLOOKUP(AV68,Horarios!$H:$I,2,0),"")</f>
        <v/>
      </c>
      <c r="AY68" s="28" t="str">
        <f t="shared" si="8"/>
        <v>00:00</v>
      </c>
      <c r="AZ68" s="29"/>
      <c r="BA68" s="27"/>
      <c r="BB68" s="27"/>
      <c r="BC68" s="28" t="str">
        <f>IFERROR(VLOOKUP(BA68,Horarios!$H:$I,2,0),"")</f>
        <v/>
      </c>
      <c r="BD68" s="28" t="str">
        <f>IFERROR(VLOOKUP(BB68,Horarios!$H:$I,2,0),"")</f>
        <v/>
      </c>
      <c r="BE68" s="28" t="str">
        <f t="shared" si="9"/>
        <v>00:00</v>
      </c>
      <c r="BF68" s="29"/>
      <c r="BG68" s="27"/>
      <c r="BH68" s="27"/>
      <c r="BI68" s="28" t="str">
        <f>IFERROR(VLOOKUP(BG68,Horarios!$H:$I,2,0),"")</f>
        <v/>
      </c>
      <c r="BJ68" s="28" t="str">
        <f>IFERROR(VLOOKUP(BH68,Horarios!$H:$I,2,0),"")</f>
        <v/>
      </c>
      <c r="BK68" s="28" t="str">
        <f t="shared" si="10"/>
        <v>00:00</v>
      </c>
      <c r="BL68" s="29"/>
      <c r="BM68" s="27"/>
      <c r="BN68" s="27"/>
      <c r="BO68" s="28" t="str">
        <f>IFERROR(VLOOKUP(BM68,Horarios!$H:$I,2,0),"")</f>
        <v/>
      </c>
      <c r="BP68" s="28" t="str">
        <f>IFERROR(VLOOKUP(BN68,Horarios!$H:$I,2,0),"")</f>
        <v/>
      </c>
      <c r="BQ68" s="28" t="str">
        <f t="shared" si="11"/>
        <v>00:00</v>
      </c>
      <c r="BR68" s="29"/>
      <c r="BS68" s="27"/>
      <c r="BT68" s="27"/>
      <c r="BU68" s="28" t="str">
        <f>IFERROR(VLOOKUP(BS68,Horarios!$H:$I,2,0),"")</f>
        <v/>
      </c>
      <c r="BV68" s="28" t="str">
        <f>IFERROR(VLOOKUP(BT68,Horarios!$H:$I,2,0),"")</f>
        <v/>
      </c>
      <c r="BW68" s="28" t="str">
        <f t="shared" si="12"/>
        <v>00:00</v>
      </c>
      <c r="BX68" s="29"/>
      <c r="BY68" s="27"/>
      <c r="BZ68" s="27"/>
      <c r="CA68" s="28" t="str">
        <f>IFERROR(VLOOKUP(BY68,Horarios!$H:$I,2,0),"")</f>
        <v/>
      </c>
      <c r="CB68" s="28" t="str">
        <f>IFERROR(VLOOKUP(BZ68,Horarios!$H:$I,2,0),"")</f>
        <v/>
      </c>
      <c r="CC68" s="28" t="str">
        <f t="shared" si="13"/>
        <v>00:00</v>
      </c>
      <c r="CD68" s="29"/>
      <c r="CE68" s="27"/>
      <c r="CF68" s="27"/>
      <c r="CG68" s="28" t="str">
        <f>IFERROR(VLOOKUP(CE68,Horarios!$H:$I,2,0),"")</f>
        <v/>
      </c>
      <c r="CH68" s="28" t="str">
        <f>IFERROR(VLOOKUP(CF68,Horarios!$H:$I,2,0),"")</f>
        <v/>
      </c>
      <c r="CI68" s="28" t="str">
        <f t="shared" si="14"/>
        <v>00:00</v>
      </c>
      <c r="CJ68" s="29"/>
      <c r="CK68" s="31" t="str">
        <f t="shared" si="15"/>
        <v/>
      </c>
      <c r="CL68" s="27"/>
      <c r="CM68" s="27"/>
      <c r="CN68" s="28" t="str">
        <f>IFERROR(VLOOKUP(CL68,Horarios!$H:$I,2,0),"")</f>
        <v/>
      </c>
      <c r="CO68" s="28" t="str">
        <f>IFERROR(VLOOKUP(CM68,Horarios!$H:$I,2,0),"")</f>
        <v/>
      </c>
      <c r="CP68" s="28" t="str">
        <f t="shared" si="16"/>
        <v>00:00</v>
      </c>
      <c r="CQ68" s="29"/>
      <c r="CR68" s="27"/>
      <c r="CS68" s="27"/>
      <c r="CT68" s="28" t="str">
        <f>IFERROR(VLOOKUP(CR68,Horarios!$H:$I,2,0),"")</f>
        <v/>
      </c>
      <c r="CU68" s="28" t="str">
        <f>IFERROR(VLOOKUP(CS68,Horarios!$H:$I,2,0),"")</f>
        <v/>
      </c>
      <c r="CV68" s="28" t="str">
        <f t="shared" si="17"/>
        <v>00:00</v>
      </c>
      <c r="CW68" s="29"/>
      <c r="CX68" s="27"/>
      <c r="CY68" s="27"/>
      <c r="CZ68" s="28" t="str">
        <f>IFERROR(VLOOKUP(CX68,Horarios!$H:$I,2,0),"")</f>
        <v/>
      </c>
      <c r="DA68" s="28" t="str">
        <f>IFERROR(VLOOKUP(CY68,Horarios!$H:$I,2,0),"")</f>
        <v/>
      </c>
      <c r="DB68" s="28" t="str">
        <f t="shared" si="18"/>
        <v>00:00</v>
      </c>
      <c r="DC68" s="29"/>
      <c r="DD68" s="27"/>
      <c r="DE68" s="27"/>
      <c r="DF68" s="28" t="str">
        <f>IFERROR(VLOOKUP(DD68,Horarios!$H:$I,2,0),"")</f>
        <v/>
      </c>
      <c r="DG68" s="28" t="str">
        <f>IFERROR(VLOOKUP(DE68,Horarios!$H:$I,2,0),"")</f>
        <v/>
      </c>
      <c r="DH68" s="28" t="str">
        <f t="shared" si="19"/>
        <v>00:00</v>
      </c>
      <c r="DI68" s="29"/>
      <c r="DJ68" s="27"/>
      <c r="DK68" s="27"/>
      <c r="DL68" s="28" t="str">
        <f>IFERROR(VLOOKUP(DJ68,Horarios!$H:$I,2,0),"")</f>
        <v/>
      </c>
      <c r="DM68" s="28" t="str">
        <f>IFERROR(VLOOKUP(DK68,Horarios!$H:$I,2,0),"")</f>
        <v/>
      </c>
      <c r="DN68" s="28" t="str">
        <f t="shared" si="20"/>
        <v>00:00</v>
      </c>
      <c r="DO68" s="29"/>
      <c r="DP68" s="27"/>
      <c r="DQ68" s="27"/>
      <c r="DR68" s="28" t="str">
        <f>IFERROR(VLOOKUP(DP68,Horarios!$H:$I,2,0),"")</f>
        <v/>
      </c>
      <c r="DS68" s="28" t="str">
        <f>IFERROR(VLOOKUP(DQ68,Horarios!$H:$I,2,0),"")</f>
        <v/>
      </c>
      <c r="DT68" s="28" t="str">
        <f t="shared" si="21"/>
        <v>00:00</v>
      </c>
      <c r="DU68" s="29"/>
      <c r="DV68" s="27"/>
      <c r="DW68" s="27"/>
      <c r="DX68" s="28" t="str">
        <f>IFERROR(VLOOKUP(DV68,Horarios!$H:$I,2,0),"")</f>
        <v/>
      </c>
      <c r="DY68" s="28" t="str">
        <f>IFERROR(VLOOKUP(DW68,Horarios!$H:$I,2,0),"")</f>
        <v/>
      </c>
      <c r="DZ68" s="28" t="str">
        <f t="shared" si="22"/>
        <v>00:00</v>
      </c>
      <c r="EA68" s="29"/>
      <c r="EB68" s="31" t="str">
        <f t="shared" si="23"/>
        <v/>
      </c>
      <c r="EC68" s="27"/>
      <c r="ED68" s="27"/>
      <c r="EE68" s="28" t="str">
        <f>IFERROR(VLOOKUP(EC68,Horarios!$H:$I,2,0),"")</f>
        <v/>
      </c>
      <c r="EF68" s="28" t="str">
        <f>IFERROR(VLOOKUP(ED68,Horarios!$H:$I,2,0),"")</f>
        <v/>
      </c>
      <c r="EG68" s="28" t="str">
        <f t="shared" si="24"/>
        <v>00:00</v>
      </c>
      <c r="EH68" s="29"/>
      <c r="EI68" s="27"/>
      <c r="EJ68" s="27"/>
      <c r="EK68" s="28" t="str">
        <f>IFERROR(VLOOKUP(EI68,Horarios!$H:$I,2,0),"")</f>
        <v/>
      </c>
      <c r="EL68" s="28" t="str">
        <f>IFERROR(VLOOKUP(EJ68,Horarios!$H:$I,2,0),"")</f>
        <v/>
      </c>
      <c r="EM68" s="28" t="str">
        <f t="shared" si="25"/>
        <v>00:00</v>
      </c>
      <c r="EN68" s="29"/>
      <c r="EO68" s="27"/>
      <c r="EP68" s="27"/>
      <c r="EQ68" s="28" t="str">
        <f>IFERROR(VLOOKUP(EO68,Horarios!$H:$I,2,0),"")</f>
        <v/>
      </c>
      <c r="ER68" s="28" t="str">
        <f>IFERROR(VLOOKUP(EP68,Horarios!$H:$I,2,0),"")</f>
        <v/>
      </c>
      <c r="ES68" s="28" t="str">
        <f t="shared" si="26"/>
        <v>00:00</v>
      </c>
      <c r="ET68" s="29"/>
      <c r="EU68" s="27"/>
      <c r="EV68" s="27"/>
      <c r="EW68" s="28" t="str">
        <f>IFERROR(VLOOKUP(EU68,Horarios!$H:$I,2,0),"")</f>
        <v/>
      </c>
      <c r="EX68" s="28" t="str">
        <f>IFERROR(VLOOKUP(EV68,Horarios!$H:$I,2,0),"")</f>
        <v/>
      </c>
      <c r="EY68" s="28" t="str">
        <f t="shared" si="27"/>
        <v>00:00</v>
      </c>
      <c r="EZ68" s="29"/>
      <c r="FA68" s="27"/>
      <c r="FB68" s="27"/>
      <c r="FC68" s="28" t="str">
        <f>IFERROR(VLOOKUP(FA68,Horarios!$H:$I,2,0),"")</f>
        <v/>
      </c>
      <c r="FD68" s="28" t="str">
        <f>IFERROR(VLOOKUP(FB68,Horarios!$H:$I,2,0),"")</f>
        <v/>
      </c>
      <c r="FE68" s="28" t="str">
        <f t="shared" si="28"/>
        <v>00:00</v>
      </c>
      <c r="FF68" s="29"/>
      <c r="FG68" s="27"/>
      <c r="FH68" s="27"/>
      <c r="FI68" s="28" t="str">
        <f>IFERROR(VLOOKUP(FG68,Horarios!$H:$I,2,0),"")</f>
        <v/>
      </c>
      <c r="FJ68" s="28" t="str">
        <f>IFERROR(VLOOKUP(FH68,Horarios!$H:$I,2,0),"")</f>
        <v/>
      </c>
      <c r="FK68" s="28" t="str">
        <f t="shared" si="29"/>
        <v>00:00</v>
      </c>
      <c r="FL68" s="29"/>
      <c r="FM68" s="27"/>
      <c r="FN68" s="27"/>
      <c r="FO68" s="28" t="str">
        <f>IFERROR(VLOOKUP(FM68,Horarios!$H:$I,2,0),"")</f>
        <v/>
      </c>
      <c r="FP68" s="28" t="str">
        <f>IFERROR(VLOOKUP(FN68,Horarios!$H:$I,2,0),"")</f>
        <v/>
      </c>
      <c r="FQ68" s="28" t="str">
        <f t="shared" si="30"/>
        <v>00:00</v>
      </c>
      <c r="FR68" s="29"/>
      <c r="FS68" s="31" t="str">
        <f t="shared" si="31"/>
        <v/>
      </c>
      <c r="FT68" s="27"/>
      <c r="FU68" s="27"/>
      <c r="FV68" s="28" t="str">
        <f>IFERROR(VLOOKUP(FT68,Horarios!$H:$I,2,0),"")</f>
        <v/>
      </c>
      <c r="FW68" s="28" t="str">
        <f>IFERROR(VLOOKUP(FU68,Horarios!$H:$I,2,0),"")</f>
        <v/>
      </c>
      <c r="FX68" s="28" t="str">
        <f t="shared" si="32"/>
        <v>00:00</v>
      </c>
      <c r="FY68" s="29"/>
      <c r="FZ68" s="27"/>
      <c r="GA68" s="27"/>
      <c r="GB68" s="28" t="str">
        <f>IFERROR(VLOOKUP(FZ68,Horarios!$H:$I,2,0),"")</f>
        <v/>
      </c>
      <c r="GC68" s="28" t="str">
        <f>IFERROR(VLOOKUP(GA68,Horarios!$H:$I,2,0),"")</f>
        <v/>
      </c>
      <c r="GD68" s="28" t="str">
        <f t="shared" si="33"/>
        <v>00:00</v>
      </c>
      <c r="GE68" s="29"/>
      <c r="GF68" s="27"/>
      <c r="GG68" s="27"/>
      <c r="GH68" s="28" t="str">
        <f>IFERROR(VLOOKUP(GF68,Horarios!$H:$I,2,0),"")</f>
        <v/>
      </c>
      <c r="GI68" s="28" t="str">
        <f>IFERROR(VLOOKUP(GG68,Horarios!$H:$I,2,0),"")</f>
        <v/>
      </c>
      <c r="GJ68" s="28" t="str">
        <f t="shared" si="34"/>
        <v>00:00</v>
      </c>
      <c r="GK68" s="29"/>
      <c r="GL68" s="27"/>
      <c r="GM68" s="27"/>
      <c r="GN68" s="28" t="str">
        <f>IFERROR(VLOOKUP(GL68,Horarios!$H:$I,2,0),"")</f>
        <v/>
      </c>
      <c r="GO68" s="28" t="str">
        <f>IFERROR(VLOOKUP(GM68,Horarios!$H:$I,2,0),"")</f>
        <v/>
      </c>
      <c r="GP68" s="28" t="str">
        <f t="shared" si="35"/>
        <v>00:00</v>
      </c>
      <c r="GQ68" s="29"/>
      <c r="GR68" s="27"/>
      <c r="GS68" s="27"/>
      <c r="GT68" s="28" t="str">
        <f>IFERROR(VLOOKUP(GR68,Horarios!$H:$I,2,0),"")</f>
        <v/>
      </c>
      <c r="GU68" s="28" t="str">
        <f>IFERROR(VLOOKUP(GS68,Horarios!$H:$I,2,0),"")</f>
        <v/>
      </c>
      <c r="GV68" s="28" t="str">
        <f t="shared" si="36"/>
        <v>00:00</v>
      </c>
      <c r="GW68" s="29"/>
      <c r="GX68" s="27"/>
      <c r="GY68" s="27"/>
      <c r="GZ68" s="28" t="str">
        <f>IFERROR(VLOOKUP(GX68,Horarios!$H:$I,2,0),"")</f>
        <v/>
      </c>
      <c r="HA68" s="28" t="str">
        <f>IFERROR(VLOOKUP(GY68,Horarios!$H:$I,2,0),"")</f>
        <v/>
      </c>
      <c r="HB68" s="28" t="str">
        <f t="shared" si="37"/>
        <v>00:00</v>
      </c>
      <c r="HC68" s="29"/>
      <c r="HD68" s="27"/>
      <c r="HE68" s="27"/>
      <c r="HF68" s="28" t="str">
        <f>IFERROR(VLOOKUP(HD68,Horarios!$H:$I,2,0),"")</f>
        <v/>
      </c>
      <c r="HG68" s="28" t="str">
        <f>IFERROR(VLOOKUP(HE68,Horarios!$H:$I,2,0),"")</f>
        <v/>
      </c>
      <c r="HH68" s="28" t="str">
        <f t="shared" si="38"/>
        <v>00:00</v>
      </c>
      <c r="HI68" s="29"/>
      <c r="HJ68" s="31" t="str">
        <f t="shared" si="39"/>
        <v/>
      </c>
      <c r="HK68" s="27"/>
      <c r="HL68" s="27"/>
      <c r="HM68" s="28" t="str">
        <f>IFERROR(VLOOKUP(HK68,Horarios!$H:$I,2,0),"")</f>
        <v/>
      </c>
      <c r="HN68" s="28" t="str">
        <f>IFERROR(VLOOKUP(HL68,Horarios!$H:$I,2,0),"")</f>
        <v/>
      </c>
      <c r="HO68" s="28" t="str">
        <f t="shared" si="40"/>
        <v>00:00</v>
      </c>
      <c r="HP68" s="29"/>
      <c r="HQ68" s="27"/>
      <c r="HR68" s="27"/>
      <c r="HS68" s="28" t="str">
        <f>IFERROR(VLOOKUP(HQ68,Horarios!$H:$I,2,0),"")</f>
        <v/>
      </c>
      <c r="HT68" s="28" t="str">
        <f>IFERROR(VLOOKUP(HR68,Horarios!$H:$I,2,0),"")</f>
        <v/>
      </c>
      <c r="HU68" s="28" t="str">
        <f t="shared" si="41"/>
        <v>00:00</v>
      </c>
      <c r="HV68" s="29"/>
      <c r="HW68" s="27"/>
      <c r="HX68" s="27"/>
      <c r="HY68" s="28" t="str">
        <f>IFERROR(VLOOKUP(HW68,Horarios!$H:$I,2,0),"")</f>
        <v/>
      </c>
      <c r="HZ68" s="28" t="str">
        <f>IFERROR(VLOOKUP(HX68,Horarios!$H:$I,2,0),"")</f>
        <v/>
      </c>
      <c r="IA68" s="28" t="str">
        <f t="shared" si="42"/>
        <v>00:00</v>
      </c>
      <c r="IB68" s="29"/>
      <c r="IC68" s="27"/>
      <c r="ID68" s="27"/>
      <c r="IE68" s="28" t="str">
        <f>IFERROR(VLOOKUP(IC68,Horarios!$H:$I,2,0),"")</f>
        <v/>
      </c>
      <c r="IF68" s="28" t="str">
        <f>IFERROR(VLOOKUP(ID68,Horarios!$H:$I,2,0),"")</f>
        <v/>
      </c>
      <c r="IG68" s="28" t="str">
        <f t="shared" si="43"/>
        <v>00:00</v>
      </c>
      <c r="IH68" s="29"/>
      <c r="II68" s="27"/>
      <c r="IJ68" s="27"/>
      <c r="IK68" s="28" t="str">
        <f>IFERROR(VLOOKUP(II68,Horarios!$H:$I,2,0),"")</f>
        <v/>
      </c>
      <c r="IL68" s="28" t="str">
        <f>IFERROR(VLOOKUP(IJ68,Horarios!$H:$I,2,0),"")</f>
        <v/>
      </c>
      <c r="IM68" s="28" t="str">
        <f t="shared" si="44"/>
        <v>00:00</v>
      </c>
      <c r="IN68" s="29"/>
      <c r="IO68" s="27"/>
      <c r="IP68" s="27"/>
      <c r="IQ68" s="28" t="str">
        <f>IFERROR(VLOOKUP(IO68,Horarios!$H:$I,2,0),"")</f>
        <v/>
      </c>
      <c r="IR68" s="28" t="str">
        <f>IFERROR(VLOOKUP(IP68,Horarios!$H:$I,2,0),"")</f>
        <v/>
      </c>
      <c r="IS68" s="28" t="str">
        <f t="shared" si="45"/>
        <v>00:00</v>
      </c>
      <c r="IT68" s="29"/>
      <c r="IU68" s="27"/>
      <c r="IV68" s="27"/>
      <c r="IW68" s="28" t="str">
        <f>IFERROR(VLOOKUP(IU68,Horarios!$H:$I,2,0),"")</f>
        <v/>
      </c>
      <c r="IX68" s="28" t="str">
        <f>IFERROR(VLOOKUP(IV68,Horarios!$H:$I,2,0),"")</f>
        <v/>
      </c>
      <c r="IY68" s="28" t="str">
        <f t="shared" si="46"/>
        <v>00:00</v>
      </c>
      <c r="IZ68" s="29"/>
      <c r="JA68" s="31" t="str">
        <f t="shared" si="47"/>
        <v/>
      </c>
    </row>
    <row r="69" spans="1:261" s="24" customFormat="1" ht="17.399999999999999" x14ac:dyDescent="0.25">
      <c r="A69" s="25"/>
      <c r="B69" s="26" t="str">
        <f>IFERROR(VLOOKUP(A69,BaseNombres!A:B,2,0),"")</f>
        <v/>
      </c>
      <c r="C69" s="26" t="str">
        <f>IFERROR(VLOOKUP(A69,BaseNombres!A:C,3,0),"")</f>
        <v/>
      </c>
      <c r="D69" s="27"/>
      <c r="E69" s="27"/>
      <c r="F69" s="28" t="str">
        <f>IFERROR(VLOOKUP(D69,Horarios!$H:$I,2,0),"")</f>
        <v/>
      </c>
      <c r="G69" s="28" t="str">
        <f>IFERROR(VLOOKUP(E69,Horarios!$H:$I,2,0),"")</f>
        <v/>
      </c>
      <c r="H69" s="28" t="str">
        <f t="shared" si="0"/>
        <v>00:00</v>
      </c>
      <c r="I69" s="29"/>
      <c r="J69" s="27"/>
      <c r="K69" s="27"/>
      <c r="L69" s="28" t="str">
        <f>IFERROR(VLOOKUP(J69,Horarios!$H:$I,2,0),"")</f>
        <v/>
      </c>
      <c r="M69" s="28" t="str">
        <f>IFERROR(VLOOKUP(K69,Horarios!$H:$I,2,0),"")</f>
        <v/>
      </c>
      <c r="N69" s="28" t="str">
        <f t="shared" si="1"/>
        <v>00:00</v>
      </c>
      <c r="O69" s="29"/>
      <c r="P69" s="27"/>
      <c r="Q69" s="27"/>
      <c r="R69" s="28" t="str">
        <f>IFERROR(VLOOKUP(P69,Horarios!$H:$I,2,0),"")</f>
        <v/>
      </c>
      <c r="S69" s="28" t="str">
        <f>IFERROR(VLOOKUP(Q69,Horarios!$H:$I,2,0),"")</f>
        <v/>
      </c>
      <c r="T69" s="28" t="str">
        <f t="shared" si="2"/>
        <v>00:00</v>
      </c>
      <c r="U69" s="29"/>
      <c r="V69" s="27"/>
      <c r="W69" s="27"/>
      <c r="X69" s="28" t="str">
        <f>IFERROR(VLOOKUP(V69,Horarios!$H:$I,2,0),"")</f>
        <v/>
      </c>
      <c r="Y69" s="28" t="str">
        <f>IFERROR(VLOOKUP(W69,Horarios!$H:$I,2,0),"")</f>
        <v/>
      </c>
      <c r="Z69" s="28" t="str">
        <f t="shared" si="3"/>
        <v>00:00</v>
      </c>
      <c r="AA69" s="29"/>
      <c r="AB69" s="27"/>
      <c r="AC69" s="27"/>
      <c r="AD69" s="28" t="str">
        <f>IFERROR(VLOOKUP(AB69,Horarios!$H:$I,2,0),"")</f>
        <v/>
      </c>
      <c r="AE69" s="28" t="str">
        <f>IFERROR(VLOOKUP(AC69,Horarios!$H:$I,2,0),"")</f>
        <v/>
      </c>
      <c r="AF69" s="28" t="str">
        <f t="shared" si="4"/>
        <v>00:00</v>
      </c>
      <c r="AG69" s="29"/>
      <c r="AH69" s="27"/>
      <c r="AI69" s="27"/>
      <c r="AJ69" s="28" t="str">
        <f>IFERROR(VLOOKUP(AH69,Horarios!$H:$I,2,0),"")</f>
        <v/>
      </c>
      <c r="AK69" s="28" t="str">
        <f>IFERROR(VLOOKUP(AI69,Horarios!$H:$I,2,0),"")</f>
        <v/>
      </c>
      <c r="AL69" s="28" t="str">
        <f t="shared" si="5"/>
        <v>00:00</v>
      </c>
      <c r="AM69" s="29"/>
      <c r="AN69" s="27"/>
      <c r="AO69" s="27"/>
      <c r="AP69" s="28" t="str">
        <f>IFERROR(VLOOKUP(AN69,Horarios!$H:$I,2,0),"")</f>
        <v/>
      </c>
      <c r="AQ69" s="28" t="str">
        <f>IFERROR(VLOOKUP(AO69,Horarios!$H:$I,2,0),"")</f>
        <v/>
      </c>
      <c r="AR69" s="28" t="str">
        <f t="shared" si="6"/>
        <v>00:00</v>
      </c>
      <c r="AS69" s="29"/>
      <c r="AT69" s="31" t="str">
        <f t="shared" si="7"/>
        <v/>
      </c>
      <c r="AU69" s="27"/>
      <c r="AV69" s="27"/>
      <c r="AW69" s="28" t="str">
        <f>IFERROR(VLOOKUP(AU69,Horarios!$H:$I,2,0),"")</f>
        <v/>
      </c>
      <c r="AX69" s="28" t="str">
        <f>IFERROR(VLOOKUP(AV69,Horarios!$H:$I,2,0),"")</f>
        <v/>
      </c>
      <c r="AY69" s="28" t="str">
        <f t="shared" si="8"/>
        <v>00:00</v>
      </c>
      <c r="AZ69" s="29"/>
      <c r="BA69" s="27"/>
      <c r="BB69" s="27"/>
      <c r="BC69" s="28" t="str">
        <f>IFERROR(VLOOKUP(BA69,Horarios!$H:$I,2,0),"")</f>
        <v/>
      </c>
      <c r="BD69" s="28" t="str">
        <f>IFERROR(VLOOKUP(BB69,Horarios!$H:$I,2,0),"")</f>
        <v/>
      </c>
      <c r="BE69" s="28" t="str">
        <f t="shared" si="9"/>
        <v>00:00</v>
      </c>
      <c r="BF69" s="29"/>
      <c r="BG69" s="27"/>
      <c r="BH69" s="27"/>
      <c r="BI69" s="28" t="str">
        <f>IFERROR(VLOOKUP(BG69,Horarios!$H:$I,2,0),"")</f>
        <v/>
      </c>
      <c r="BJ69" s="28" t="str">
        <f>IFERROR(VLOOKUP(BH69,Horarios!$H:$I,2,0),"")</f>
        <v/>
      </c>
      <c r="BK69" s="28" t="str">
        <f t="shared" si="10"/>
        <v>00:00</v>
      </c>
      <c r="BL69" s="29"/>
      <c r="BM69" s="27"/>
      <c r="BN69" s="27"/>
      <c r="BO69" s="28" t="str">
        <f>IFERROR(VLOOKUP(BM69,Horarios!$H:$I,2,0),"")</f>
        <v/>
      </c>
      <c r="BP69" s="28" t="str">
        <f>IFERROR(VLOOKUP(BN69,Horarios!$H:$I,2,0),"")</f>
        <v/>
      </c>
      <c r="BQ69" s="28" t="str">
        <f t="shared" si="11"/>
        <v>00:00</v>
      </c>
      <c r="BR69" s="29"/>
      <c r="BS69" s="27"/>
      <c r="BT69" s="27"/>
      <c r="BU69" s="28" t="str">
        <f>IFERROR(VLOOKUP(BS69,Horarios!$H:$I,2,0),"")</f>
        <v/>
      </c>
      <c r="BV69" s="28" t="str">
        <f>IFERROR(VLOOKUP(BT69,Horarios!$H:$I,2,0),"")</f>
        <v/>
      </c>
      <c r="BW69" s="28" t="str">
        <f t="shared" si="12"/>
        <v>00:00</v>
      </c>
      <c r="BX69" s="29"/>
      <c r="BY69" s="27"/>
      <c r="BZ69" s="27"/>
      <c r="CA69" s="28" t="str">
        <f>IFERROR(VLOOKUP(BY69,Horarios!$H:$I,2,0),"")</f>
        <v/>
      </c>
      <c r="CB69" s="28" t="str">
        <f>IFERROR(VLOOKUP(BZ69,Horarios!$H:$I,2,0),"")</f>
        <v/>
      </c>
      <c r="CC69" s="28" t="str">
        <f t="shared" si="13"/>
        <v>00:00</v>
      </c>
      <c r="CD69" s="29"/>
      <c r="CE69" s="27"/>
      <c r="CF69" s="27"/>
      <c r="CG69" s="28" t="str">
        <f>IFERROR(VLOOKUP(CE69,Horarios!$H:$I,2,0),"")</f>
        <v/>
      </c>
      <c r="CH69" s="28" t="str">
        <f>IFERROR(VLOOKUP(CF69,Horarios!$H:$I,2,0),"")</f>
        <v/>
      </c>
      <c r="CI69" s="28" t="str">
        <f t="shared" si="14"/>
        <v>00:00</v>
      </c>
      <c r="CJ69" s="29"/>
      <c r="CK69" s="31" t="str">
        <f t="shared" si="15"/>
        <v/>
      </c>
      <c r="CL69" s="27"/>
      <c r="CM69" s="27"/>
      <c r="CN69" s="28" t="str">
        <f>IFERROR(VLOOKUP(CL69,Horarios!$H:$I,2,0),"")</f>
        <v/>
      </c>
      <c r="CO69" s="28" t="str">
        <f>IFERROR(VLOOKUP(CM69,Horarios!$H:$I,2,0),"")</f>
        <v/>
      </c>
      <c r="CP69" s="28" t="str">
        <f t="shared" si="16"/>
        <v>00:00</v>
      </c>
      <c r="CQ69" s="29"/>
      <c r="CR69" s="27"/>
      <c r="CS69" s="27"/>
      <c r="CT69" s="28" t="str">
        <f>IFERROR(VLOOKUP(CR69,Horarios!$H:$I,2,0),"")</f>
        <v/>
      </c>
      <c r="CU69" s="28" t="str">
        <f>IFERROR(VLOOKUP(CS69,Horarios!$H:$I,2,0),"")</f>
        <v/>
      </c>
      <c r="CV69" s="28" t="str">
        <f t="shared" si="17"/>
        <v>00:00</v>
      </c>
      <c r="CW69" s="29"/>
      <c r="CX69" s="27"/>
      <c r="CY69" s="27"/>
      <c r="CZ69" s="28" t="str">
        <f>IFERROR(VLOOKUP(CX69,Horarios!$H:$I,2,0),"")</f>
        <v/>
      </c>
      <c r="DA69" s="28" t="str">
        <f>IFERROR(VLOOKUP(CY69,Horarios!$H:$I,2,0),"")</f>
        <v/>
      </c>
      <c r="DB69" s="28" t="str">
        <f t="shared" si="18"/>
        <v>00:00</v>
      </c>
      <c r="DC69" s="29"/>
      <c r="DD69" s="27"/>
      <c r="DE69" s="27"/>
      <c r="DF69" s="28" t="str">
        <f>IFERROR(VLOOKUP(DD69,Horarios!$H:$I,2,0),"")</f>
        <v/>
      </c>
      <c r="DG69" s="28" t="str">
        <f>IFERROR(VLOOKUP(DE69,Horarios!$H:$I,2,0),"")</f>
        <v/>
      </c>
      <c r="DH69" s="28" t="str">
        <f t="shared" si="19"/>
        <v>00:00</v>
      </c>
      <c r="DI69" s="29"/>
      <c r="DJ69" s="27"/>
      <c r="DK69" s="27"/>
      <c r="DL69" s="28" t="str">
        <f>IFERROR(VLOOKUP(DJ69,Horarios!$H:$I,2,0),"")</f>
        <v/>
      </c>
      <c r="DM69" s="28" t="str">
        <f>IFERROR(VLOOKUP(DK69,Horarios!$H:$I,2,0),"")</f>
        <v/>
      </c>
      <c r="DN69" s="28" t="str">
        <f t="shared" si="20"/>
        <v>00:00</v>
      </c>
      <c r="DO69" s="29"/>
      <c r="DP69" s="27"/>
      <c r="DQ69" s="27"/>
      <c r="DR69" s="28" t="str">
        <f>IFERROR(VLOOKUP(DP69,Horarios!$H:$I,2,0),"")</f>
        <v/>
      </c>
      <c r="DS69" s="28" t="str">
        <f>IFERROR(VLOOKUP(DQ69,Horarios!$H:$I,2,0),"")</f>
        <v/>
      </c>
      <c r="DT69" s="28" t="str">
        <f t="shared" si="21"/>
        <v>00:00</v>
      </c>
      <c r="DU69" s="29"/>
      <c r="DV69" s="27"/>
      <c r="DW69" s="27"/>
      <c r="DX69" s="28" t="str">
        <f>IFERROR(VLOOKUP(DV69,Horarios!$H:$I,2,0),"")</f>
        <v/>
      </c>
      <c r="DY69" s="28" t="str">
        <f>IFERROR(VLOOKUP(DW69,Horarios!$H:$I,2,0),"")</f>
        <v/>
      </c>
      <c r="DZ69" s="28" t="str">
        <f t="shared" si="22"/>
        <v>00:00</v>
      </c>
      <c r="EA69" s="29"/>
      <c r="EB69" s="31" t="str">
        <f t="shared" si="23"/>
        <v/>
      </c>
      <c r="EC69" s="27"/>
      <c r="ED69" s="27"/>
      <c r="EE69" s="28" t="str">
        <f>IFERROR(VLOOKUP(EC69,Horarios!$H:$I,2,0),"")</f>
        <v/>
      </c>
      <c r="EF69" s="28" t="str">
        <f>IFERROR(VLOOKUP(ED69,Horarios!$H:$I,2,0),"")</f>
        <v/>
      </c>
      <c r="EG69" s="28" t="str">
        <f t="shared" si="24"/>
        <v>00:00</v>
      </c>
      <c r="EH69" s="29"/>
      <c r="EI69" s="27"/>
      <c r="EJ69" s="27"/>
      <c r="EK69" s="28" t="str">
        <f>IFERROR(VLOOKUP(EI69,Horarios!$H:$I,2,0),"")</f>
        <v/>
      </c>
      <c r="EL69" s="28" t="str">
        <f>IFERROR(VLOOKUP(EJ69,Horarios!$H:$I,2,0),"")</f>
        <v/>
      </c>
      <c r="EM69" s="28" t="str">
        <f t="shared" si="25"/>
        <v>00:00</v>
      </c>
      <c r="EN69" s="29"/>
      <c r="EO69" s="27"/>
      <c r="EP69" s="27"/>
      <c r="EQ69" s="28" t="str">
        <f>IFERROR(VLOOKUP(EO69,Horarios!$H:$I,2,0),"")</f>
        <v/>
      </c>
      <c r="ER69" s="28" t="str">
        <f>IFERROR(VLOOKUP(EP69,Horarios!$H:$I,2,0),"")</f>
        <v/>
      </c>
      <c r="ES69" s="28" t="str">
        <f t="shared" si="26"/>
        <v>00:00</v>
      </c>
      <c r="ET69" s="29"/>
      <c r="EU69" s="27"/>
      <c r="EV69" s="27"/>
      <c r="EW69" s="28" t="str">
        <f>IFERROR(VLOOKUP(EU69,Horarios!$H:$I,2,0),"")</f>
        <v/>
      </c>
      <c r="EX69" s="28" t="str">
        <f>IFERROR(VLOOKUP(EV69,Horarios!$H:$I,2,0),"")</f>
        <v/>
      </c>
      <c r="EY69" s="28" t="str">
        <f t="shared" si="27"/>
        <v>00:00</v>
      </c>
      <c r="EZ69" s="29"/>
      <c r="FA69" s="27"/>
      <c r="FB69" s="27"/>
      <c r="FC69" s="28" t="str">
        <f>IFERROR(VLOOKUP(FA69,Horarios!$H:$I,2,0),"")</f>
        <v/>
      </c>
      <c r="FD69" s="28" t="str">
        <f>IFERROR(VLOOKUP(FB69,Horarios!$H:$I,2,0),"")</f>
        <v/>
      </c>
      <c r="FE69" s="28" t="str">
        <f t="shared" si="28"/>
        <v>00:00</v>
      </c>
      <c r="FF69" s="29"/>
      <c r="FG69" s="27"/>
      <c r="FH69" s="27"/>
      <c r="FI69" s="28" t="str">
        <f>IFERROR(VLOOKUP(FG69,Horarios!$H:$I,2,0),"")</f>
        <v/>
      </c>
      <c r="FJ69" s="28" t="str">
        <f>IFERROR(VLOOKUP(FH69,Horarios!$H:$I,2,0),"")</f>
        <v/>
      </c>
      <c r="FK69" s="28" t="str">
        <f t="shared" si="29"/>
        <v>00:00</v>
      </c>
      <c r="FL69" s="29"/>
      <c r="FM69" s="27"/>
      <c r="FN69" s="27"/>
      <c r="FO69" s="28" t="str">
        <f>IFERROR(VLOOKUP(FM69,Horarios!$H:$I,2,0),"")</f>
        <v/>
      </c>
      <c r="FP69" s="28" t="str">
        <f>IFERROR(VLOOKUP(FN69,Horarios!$H:$I,2,0),"")</f>
        <v/>
      </c>
      <c r="FQ69" s="28" t="str">
        <f t="shared" si="30"/>
        <v>00:00</v>
      </c>
      <c r="FR69" s="29"/>
      <c r="FS69" s="31" t="str">
        <f t="shared" si="31"/>
        <v/>
      </c>
      <c r="FT69" s="27"/>
      <c r="FU69" s="27"/>
      <c r="FV69" s="28" t="str">
        <f>IFERROR(VLOOKUP(FT69,Horarios!$H:$I,2,0),"")</f>
        <v/>
      </c>
      <c r="FW69" s="28" t="str">
        <f>IFERROR(VLOOKUP(FU69,Horarios!$H:$I,2,0),"")</f>
        <v/>
      </c>
      <c r="FX69" s="28" t="str">
        <f t="shared" si="32"/>
        <v>00:00</v>
      </c>
      <c r="FY69" s="29"/>
      <c r="FZ69" s="27"/>
      <c r="GA69" s="27"/>
      <c r="GB69" s="28" t="str">
        <f>IFERROR(VLOOKUP(FZ69,Horarios!$H:$I,2,0),"")</f>
        <v/>
      </c>
      <c r="GC69" s="28" t="str">
        <f>IFERROR(VLOOKUP(GA69,Horarios!$H:$I,2,0),"")</f>
        <v/>
      </c>
      <c r="GD69" s="28" t="str">
        <f t="shared" si="33"/>
        <v>00:00</v>
      </c>
      <c r="GE69" s="29"/>
      <c r="GF69" s="27"/>
      <c r="GG69" s="27"/>
      <c r="GH69" s="28" t="str">
        <f>IFERROR(VLOOKUP(GF69,Horarios!$H:$I,2,0),"")</f>
        <v/>
      </c>
      <c r="GI69" s="28" t="str">
        <f>IFERROR(VLOOKUP(GG69,Horarios!$H:$I,2,0),"")</f>
        <v/>
      </c>
      <c r="GJ69" s="28" t="str">
        <f t="shared" si="34"/>
        <v>00:00</v>
      </c>
      <c r="GK69" s="29"/>
      <c r="GL69" s="27"/>
      <c r="GM69" s="27"/>
      <c r="GN69" s="28" t="str">
        <f>IFERROR(VLOOKUP(GL69,Horarios!$H:$I,2,0),"")</f>
        <v/>
      </c>
      <c r="GO69" s="28" t="str">
        <f>IFERROR(VLOOKUP(GM69,Horarios!$H:$I,2,0),"")</f>
        <v/>
      </c>
      <c r="GP69" s="28" t="str">
        <f t="shared" si="35"/>
        <v>00:00</v>
      </c>
      <c r="GQ69" s="29"/>
      <c r="GR69" s="27"/>
      <c r="GS69" s="27"/>
      <c r="GT69" s="28" t="str">
        <f>IFERROR(VLOOKUP(GR69,Horarios!$H:$I,2,0),"")</f>
        <v/>
      </c>
      <c r="GU69" s="28" t="str">
        <f>IFERROR(VLOOKUP(GS69,Horarios!$H:$I,2,0),"")</f>
        <v/>
      </c>
      <c r="GV69" s="28" t="str">
        <f t="shared" si="36"/>
        <v>00:00</v>
      </c>
      <c r="GW69" s="29"/>
      <c r="GX69" s="27"/>
      <c r="GY69" s="27"/>
      <c r="GZ69" s="28" t="str">
        <f>IFERROR(VLOOKUP(GX69,Horarios!$H:$I,2,0),"")</f>
        <v/>
      </c>
      <c r="HA69" s="28" t="str">
        <f>IFERROR(VLOOKUP(GY69,Horarios!$H:$I,2,0),"")</f>
        <v/>
      </c>
      <c r="HB69" s="28" t="str">
        <f t="shared" si="37"/>
        <v>00:00</v>
      </c>
      <c r="HC69" s="29"/>
      <c r="HD69" s="27"/>
      <c r="HE69" s="27"/>
      <c r="HF69" s="28" t="str">
        <f>IFERROR(VLOOKUP(HD69,Horarios!$H:$I,2,0),"")</f>
        <v/>
      </c>
      <c r="HG69" s="28" t="str">
        <f>IFERROR(VLOOKUP(HE69,Horarios!$H:$I,2,0),"")</f>
        <v/>
      </c>
      <c r="HH69" s="28" t="str">
        <f t="shared" si="38"/>
        <v>00:00</v>
      </c>
      <c r="HI69" s="29"/>
      <c r="HJ69" s="31" t="str">
        <f t="shared" si="39"/>
        <v/>
      </c>
      <c r="HK69" s="27"/>
      <c r="HL69" s="27"/>
      <c r="HM69" s="28" t="str">
        <f>IFERROR(VLOOKUP(HK69,Horarios!$H:$I,2,0),"")</f>
        <v/>
      </c>
      <c r="HN69" s="28" t="str">
        <f>IFERROR(VLOOKUP(HL69,Horarios!$H:$I,2,0),"")</f>
        <v/>
      </c>
      <c r="HO69" s="28" t="str">
        <f t="shared" si="40"/>
        <v>00:00</v>
      </c>
      <c r="HP69" s="29"/>
      <c r="HQ69" s="27"/>
      <c r="HR69" s="27"/>
      <c r="HS69" s="28" t="str">
        <f>IFERROR(VLOOKUP(HQ69,Horarios!$H:$I,2,0),"")</f>
        <v/>
      </c>
      <c r="HT69" s="28" t="str">
        <f>IFERROR(VLOOKUP(HR69,Horarios!$H:$I,2,0),"")</f>
        <v/>
      </c>
      <c r="HU69" s="28" t="str">
        <f t="shared" si="41"/>
        <v>00:00</v>
      </c>
      <c r="HV69" s="29"/>
      <c r="HW69" s="27"/>
      <c r="HX69" s="27"/>
      <c r="HY69" s="28" t="str">
        <f>IFERROR(VLOOKUP(HW69,Horarios!$H:$I,2,0),"")</f>
        <v/>
      </c>
      <c r="HZ69" s="28" t="str">
        <f>IFERROR(VLOOKUP(HX69,Horarios!$H:$I,2,0),"")</f>
        <v/>
      </c>
      <c r="IA69" s="28" t="str">
        <f t="shared" si="42"/>
        <v>00:00</v>
      </c>
      <c r="IB69" s="29"/>
      <c r="IC69" s="27"/>
      <c r="ID69" s="27"/>
      <c r="IE69" s="28" t="str">
        <f>IFERROR(VLOOKUP(IC69,Horarios!$H:$I,2,0),"")</f>
        <v/>
      </c>
      <c r="IF69" s="28" t="str">
        <f>IFERROR(VLOOKUP(ID69,Horarios!$H:$I,2,0),"")</f>
        <v/>
      </c>
      <c r="IG69" s="28" t="str">
        <f t="shared" si="43"/>
        <v>00:00</v>
      </c>
      <c r="IH69" s="29"/>
      <c r="II69" s="27"/>
      <c r="IJ69" s="27"/>
      <c r="IK69" s="28" t="str">
        <f>IFERROR(VLOOKUP(II69,Horarios!$H:$I,2,0),"")</f>
        <v/>
      </c>
      <c r="IL69" s="28" t="str">
        <f>IFERROR(VLOOKUP(IJ69,Horarios!$H:$I,2,0),"")</f>
        <v/>
      </c>
      <c r="IM69" s="28" t="str">
        <f t="shared" si="44"/>
        <v>00:00</v>
      </c>
      <c r="IN69" s="29"/>
      <c r="IO69" s="27"/>
      <c r="IP69" s="27"/>
      <c r="IQ69" s="28" t="str">
        <f>IFERROR(VLOOKUP(IO69,Horarios!$H:$I,2,0),"")</f>
        <v/>
      </c>
      <c r="IR69" s="28" t="str">
        <f>IFERROR(VLOOKUP(IP69,Horarios!$H:$I,2,0),"")</f>
        <v/>
      </c>
      <c r="IS69" s="28" t="str">
        <f t="shared" si="45"/>
        <v>00:00</v>
      </c>
      <c r="IT69" s="29"/>
      <c r="IU69" s="27"/>
      <c r="IV69" s="27"/>
      <c r="IW69" s="28" t="str">
        <f>IFERROR(VLOOKUP(IU69,Horarios!$H:$I,2,0),"")</f>
        <v/>
      </c>
      <c r="IX69" s="28" t="str">
        <f>IFERROR(VLOOKUP(IV69,Horarios!$H:$I,2,0),"")</f>
        <v/>
      </c>
      <c r="IY69" s="28" t="str">
        <f t="shared" si="46"/>
        <v>00:00</v>
      </c>
      <c r="IZ69" s="29"/>
      <c r="JA69" s="31" t="str">
        <f t="shared" si="47"/>
        <v/>
      </c>
    </row>
    <row r="70" spans="1:261" s="24" customFormat="1" ht="17.399999999999999" x14ac:dyDescent="0.25">
      <c r="A70" s="25"/>
      <c r="B70" s="26" t="str">
        <f>IFERROR(VLOOKUP(A70,BaseNombres!A:B,2,0),"")</f>
        <v/>
      </c>
      <c r="C70" s="26" t="str">
        <f>IFERROR(VLOOKUP(A70,BaseNombres!A:C,3,0),"")</f>
        <v/>
      </c>
      <c r="D70" s="27"/>
      <c r="E70" s="27"/>
      <c r="F70" s="28" t="str">
        <f>IFERROR(VLOOKUP(D70,Horarios!$H:$I,2,0),"")</f>
        <v/>
      </c>
      <c r="G70" s="28" t="str">
        <f>IFERROR(VLOOKUP(E70,Horarios!$H:$I,2,0),"")</f>
        <v/>
      </c>
      <c r="H70" s="28" t="str">
        <f t="shared" si="0"/>
        <v>00:00</v>
      </c>
      <c r="I70" s="29"/>
      <c r="J70" s="27"/>
      <c r="K70" s="27"/>
      <c r="L70" s="28" t="str">
        <f>IFERROR(VLOOKUP(J70,Horarios!$H:$I,2,0),"")</f>
        <v/>
      </c>
      <c r="M70" s="28" t="str">
        <f>IFERROR(VLOOKUP(K70,Horarios!$H:$I,2,0),"")</f>
        <v/>
      </c>
      <c r="N70" s="28" t="str">
        <f t="shared" si="1"/>
        <v>00:00</v>
      </c>
      <c r="O70" s="29"/>
      <c r="P70" s="27"/>
      <c r="Q70" s="27"/>
      <c r="R70" s="28" t="str">
        <f>IFERROR(VLOOKUP(P70,Horarios!$H:$I,2,0),"")</f>
        <v/>
      </c>
      <c r="S70" s="28" t="str">
        <f>IFERROR(VLOOKUP(Q70,Horarios!$H:$I,2,0),"")</f>
        <v/>
      </c>
      <c r="T70" s="28" t="str">
        <f t="shared" si="2"/>
        <v>00:00</v>
      </c>
      <c r="U70" s="29"/>
      <c r="V70" s="27"/>
      <c r="W70" s="27"/>
      <c r="X70" s="28" t="str">
        <f>IFERROR(VLOOKUP(V70,Horarios!$H:$I,2,0),"")</f>
        <v/>
      </c>
      <c r="Y70" s="28" t="str">
        <f>IFERROR(VLOOKUP(W70,Horarios!$H:$I,2,0),"")</f>
        <v/>
      </c>
      <c r="Z70" s="28" t="str">
        <f t="shared" si="3"/>
        <v>00:00</v>
      </c>
      <c r="AA70" s="29"/>
      <c r="AB70" s="27"/>
      <c r="AC70" s="27"/>
      <c r="AD70" s="28" t="str">
        <f>IFERROR(VLOOKUP(AB70,Horarios!$H:$I,2,0),"")</f>
        <v/>
      </c>
      <c r="AE70" s="28" t="str">
        <f>IFERROR(VLOOKUP(AC70,Horarios!$H:$I,2,0),"")</f>
        <v/>
      </c>
      <c r="AF70" s="28" t="str">
        <f t="shared" si="4"/>
        <v>00:00</v>
      </c>
      <c r="AG70" s="29"/>
      <c r="AH70" s="27"/>
      <c r="AI70" s="27"/>
      <c r="AJ70" s="28" t="str">
        <f>IFERROR(VLOOKUP(AH70,Horarios!$H:$I,2,0),"")</f>
        <v/>
      </c>
      <c r="AK70" s="28" t="str">
        <f>IFERROR(VLOOKUP(AI70,Horarios!$H:$I,2,0),"")</f>
        <v/>
      </c>
      <c r="AL70" s="28" t="str">
        <f t="shared" si="5"/>
        <v>00:00</v>
      </c>
      <c r="AM70" s="29"/>
      <c r="AN70" s="27"/>
      <c r="AO70" s="27"/>
      <c r="AP70" s="28" t="str">
        <f>IFERROR(VLOOKUP(AN70,Horarios!$H:$I,2,0),"")</f>
        <v/>
      </c>
      <c r="AQ70" s="28" t="str">
        <f>IFERROR(VLOOKUP(AO70,Horarios!$H:$I,2,0),"")</f>
        <v/>
      </c>
      <c r="AR70" s="28" t="str">
        <f t="shared" si="6"/>
        <v>00:00</v>
      </c>
      <c r="AS70" s="29"/>
      <c r="AT70" s="31" t="str">
        <f t="shared" si="7"/>
        <v/>
      </c>
      <c r="AU70" s="27"/>
      <c r="AV70" s="27"/>
      <c r="AW70" s="28" t="str">
        <f>IFERROR(VLOOKUP(AU70,Horarios!$H:$I,2,0),"")</f>
        <v/>
      </c>
      <c r="AX70" s="28" t="str">
        <f>IFERROR(VLOOKUP(AV70,Horarios!$H:$I,2,0),"")</f>
        <v/>
      </c>
      <c r="AY70" s="28" t="str">
        <f t="shared" si="8"/>
        <v>00:00</v>
      </c>
      <c r="AZ70" s="29"/>
      <c r="BA70" s="27"/>
      <c r="BB70" s="27"/>
      <c r="BC70" s="28" t="str">
        <f>IFERROR(VLOOKUP(BA70,Horarios!$H:$I,2,0),"")</f>
        <v/>
      </c>
      <c r="BD70" s="28" t="str">
        <f>IFERROR(VLOOKUP(BB70,Horarios!$H:$I,2,0),"")</f>
        <v/>
      </c>
      <c r="BE70" s="28" t="str">
        <f t="shared" si="9"/>
        <v>00:00</v>
      </c>
      <c r="BF70" s="29"/>
      <c r="BG70" s="27"/>
      <c r="BH70" s="27"/>
      <c r="BI70" s="28" t="str">
        <f>IFERROR(VLOOKUP(BG70,Horarios!$H:$I,2,0),"")</f>
        <v/>
      </c>
      <c r="BJ70" s="28" t="str">
        <f>IFERROR(VLOOKUP(BH70,Horarios!$H:$I,2,0),"")</f>
        <v/>
      </c>
      <c r="BK70" s="28" t="str">
        <f t="shared" si="10"/>
        <v>00:00</v>
      </c>
      <c r="BL70" s="29"/>
      <c r="BM70" s="27"/>
      <c r="BN70" s="27"/>
      <c r="BO70" s="28" t="str">
        <f>IFERROR(VLOOKUP(BM70,Horarios!$H:$I,2,0),"")</f>
        <v/>
      </c>
      <c r="BP70" s="28" t="str">
        <f>IFERROR(VLOOKUP(BN70,Horarios!$H:$I,2,0),"")</f>
        <v/>
      </c>
      <c r="BQ70" s="28" t="str">
        <f t="shared" si="11"/>
        <v>00:00</v>
      </c>
      <c r="BR70" s="29"/>
      <c r="BS70" s="27"/>
      <c r="BT70" s="27"/>
      <c r="BU70" s="28" t="str">
        <f>IFERROR(VLOOKUP(BS70,Horarios!$H:$I,2,0),"")</f>
        <v/>
      </c>
      <c r="BV70" s="28" t="str">
        <f>IFERROR(VLOOKUP(BT70,Horarios!$H:$I,2,0),"")</f>
        <v/>
      </c>
      <c r="BW70" s="28" t="str">
        <f t="shared" si="12"/>
        <v>00:00</v>
      </c>
      <c r="BX70" s="29"/>
      <c r="BY70" s="27"/>
      <c r="BZ70" s="27"/>
      <c r="CA70" s="28" t="str">
        <f>IFERROR(VLOOKUP(BY70,Horarios!$H:$I,2,0),"")</f>
        <v/>
      </c>
      <c r="CB70" s="28" t="str">
        <f>IFERROR(VLOOKUP(BZ70,Horarios!$H:$I,2,0),"")</f>
        <v/>
      </c>
      <c r="CC70" s="28" t="str">
        <f t="shared" si="13"/>
        <v>00:00</v>
      </c>
      <c r="CD70" s="29"/>
      <c r="CE70" s="27"/>
      <c r="CF70" s="27"/>
      <c r="CG70" s="28" t="str">
        <f>IFERROR(VLOOKUP(CE70,Horarios!$H:$I,2,0),"")</f>
        <v/>
      </c>
      <c r="CH70" s="28" t="str">
        <f>IFERROR(VLOOKUP(CF70,Horarios!$H:$I,2,0),"")</f>
        <v/>
      </c>
      <c r="CI70" s="28" t="str">
        <f t="shared" si="14"/>
        <v>00:00</v>
      </c>
      <c r="CJ70" s="29"/>
      <c r="CK70" s="31" t="str">
        <f t="shared" si="15"/>
        <v/>
      </c>
      <c r="CL70" s="27"/>
      <c r="CM70" s="27"/>
      <c r="CN70" s="28" t="str">
        <f>IFERROR(VLOOKUP(CL70,Horarios!$H:$I,2,0),"")</f>
        <v/>
      </c>
      <c r="CO70" s="28" t="str">
        <f>IFERROR(VLOOKUP(CM70,Horarios!$H:$I,2,0),"")</f>
        <v/>
      </c>
      <c r="CP70" s="28" t="str">
        <f t="shared" si="16"/>
        <v>00:00</v>
      </c>
      <c r="CQ70" s="29"/>
      <c r="CR70" s="27"/>
      <c r="CS70" s="27"/>
      <c r="CT70" s="28" t="str">
        <f>IFERROR(VLOOKUP(CR70,Horarios!$H:$I,2,0),"")</f>
        <v/>
      </c>
      <c r="CU70" s="28" t="str">
        <f>IFERROR(VLOOKUP(CS70,Horarios!$H:$I,2,0),"")</f>
        <v/>
      </c>
      <c r="CV70" s="28" t="str">
        <f t="shared" si="17"/>
        <v>00:00</v>
      </c>
      <c r="CW70" s="29"/>
      <c r="CX70" s="27"/>
      <c r="CY70" s="27"/>
      <c r="CZ70" s="28" t="str">
        <f>IFERROR(VLOOKUP(CX70,Horarios!$H:$I,2,0),"")</f>
        <v/>
      </c>
      <c r="DA70" s="28" t="str">
        <f>IFERROR(VLOOKUP(CY70,Horarios!$H:$I,2,0),"")</f>
        <v/>
      </c>
      <c r="DB70" s="28" t="str">
        <f t="shared" si="18"/>
        <v>00:00</v>
      </c>
      <c r="DC70" s="29"/>
      <c r="DD70" s="27"/>
      <c r="DE70" s="27"/>
      <c r="DF70" s="28" t="str">
        <f>IFERROR(VLOOKUP(DD70,Horarios!$H:$I,2,0),"")</f>
        <v/>
      </c>
      <c r="DG70" s="28" t="str">
        <f>IFERROR(VLOOKUP(DE70,Horarios!$H:$I,2,0),"")</f>
        <v/>
      </c>
      <c r="DH70" s="28" t="str">
        <f t="shared" si="19"/>
        <v>00:00</v>
      </c>
      <c r="DI70" s="29"/>
      <c r="DJ70" s="27"/>
      <c r="DK70" s="27"/>
      <c r="DL70" s="28" t="str">
        <f>IFERROR(VLOOKUP(DJ70,Horarios!$H:$I,2,0),"")</f>
        <v/>
      </c>
      <c r="DM70" s="28" t="str">
        <f>IFERROR(VLOOKUP(DK70,Horarios!$H:$I,2,0),"")</f>
        <v/>
      </c>
      <c r="DN70" s="28" t="str">
        <f t="shared" si="20"/>
        <v>00:00</v>
      </c>
      <c r="DO70" s="29"/>
      <c r="DP70" s="27"/>
      <c r="DQ70" s="27"/>
      <c r="DR70" s="28" t="str">
        <f>IFERROR(VLOOKUP(DP70,Horarios!$H:$I,2,0),"")</f>
        <v/>
      </c>
      <c r="DS70" s="28" t="str">
        <f>IFERROR(VLOOKUP(DQ70,Horarios!$H:$I,2,0),"")</f>
        <v/>
      </c>
      <c r="DT70" s="28" t="str">
        <f t="shared" si="21"/>
        <v>00:00</v>
      </c>
      <c r="DU70" s="29"/>
      <c r="DV70" s="27"/>
      <c r="DW70" s="27"/>
      <c r="DX70" s="28" t="str">
        <f>IFERROR(VLOOKUP(DV70,Horarios!$H:$I,2,0),"")</f>
        <v/>
      </c>
      <c r="DY70" s="28" t="str">
        <f>IFERROR(VLOOKUP(DW70,Horarios!$H:$I,2,0),"")</f>
        <v/>
      </c>
      <c r="DZ70" s="28" t="str">
        <f t="shared" si="22"/>
        <v>00:00</v>
      </c>
      <c r="EA70" s="29"/>
      <c r="EB70" s="31" t="str">
        <f t="shared" si="23"/>
        <v/>
      </c>
      <c r="EC70" s="27"/>
      <c r="ED70" s="27"/>
      <c r="EE70" s="28" t="str">
        <f>IFERROR(VLOOKUP(EC70,Horarios!$H:$I,2,0),"")</f>
        <v/>
      </c>
      <c r="EF70" s="28" t="str">
        <f>IFERROR(VLOOKUP(ED70,Horarios!$H:$I,2,0),"")</f>
        <v/>
      </c>
      <c r="EG70" s="28" t="str">
        <f t="shared" si="24"/>
        <v>00:00</v>
      </c>
      <c r="EH70" s="29"/>
      <c r="EI70" s="27"/>
      <c r="EJ70" s="27"/>
      <c r="EK70" s="28" t="str">
        <f>IFERROR(VLOOKUP(EI70,Horarios!$H:$I,2,0),"")</f>
        <v/>
      </c>
      <c r="EL70" s="28" t="str">
        <f>IFERROR(VLOOKUP(EJ70,Horarios!$H:$I,2,0),"")</f>
        <v/>
      </c>
      <c r="EM70" s="28" t="str">
        <f t="shared" si="25"/>
        <v>00:00</v>
      </c>
      <c r="EN70" s="29"/>
      <c r="EO70" s="27"/>
      <c r="EP70" s="27"/>
      <c r="EQ70" s="28" t="str">
        <f>IFERROR(VLOOKUP(EO70,Horarios!$H:$I,2,0),"")</f>
        <v/>
      </c>
      <c r="ER70" s="28" t="str">
        <f>IFERROR(VLOOKUP(EP70,Horarios!$H:$I,2,0),"")</f>
        <v/>
      </c>
      <c r="ES70" s="28" t="str">
        <f t="shared" si="26"/>
        <v>00:00</v>
      </c>
      <c r="ET70" s="29"/>
      <c r="EU70" s="27"/>
      <c r="EV70" s="27"/>
      <c r="EW70" s="28" t="str">
        <f>IFERROR(VLOOKUP(EU70,Horarios!$H:$I,2,0),"")</f>
        <v/>
      </c>
      <c r="EX70" s="28" t="str">
        <f>IFERROR(VLOOKUP(EV70,Horarios!$H:$I,2,0),"")</f>
        <v/>
      </c>
      <c r="EY70" s="28" t="str">
        <f t="shared" si="27"/>
        <v>00:00</v>
      </c>
      <c r="EZ70" s="29"/>
      <c r="FA70" s="27"/>
      <c r="FB70" s="27"/>
      <c r="FC70" s="28" t="str">
        <f>IFERROR(VLOOKUP(FA70,Horarios!$H:$I,2,0),"")</f>
        <v/>
      </c>
      <c r="FD70" s="28" t="str">
        <f>IFERROR(VLOOKUP(FB70,Horarios!$H:$I,2,0),"")</f>
        <v/>
      </c>
      <c r="FE70" s="28" t="str">
        <f t="shared" si="28"/>
        <v>00:00</v>
      </c>
      <c r="FF70" s="29"/>
      <c r="FG70" s="27"/>
      <c r="FH70" s="27"/>
      <c r="FI70" s="28" t="str">
        <f>IFERROR(VLOOKUP(FG70,Horarios!$H:$I,2,0),"")</f>
        <v/>
      </c>
      <c r="FJ70" s="28" t="str">
        <f>IFERROR(VLOOKUP(FH70,Horarios!$H:$I,2,0),"")</f>
        <v/>
      </c>
      <c r="FK70" s="28" t="str">
        <f t="shared" si="29"/>
        <v>00:00</v>
      </c>
      <c r="FL70" s="29"/>
      <c r="FM70" s="27"/>
      <c r="FN70" s="27"/>
      <c r="FO70" s="28" t="str">
        <f>IFERROR(VLOOKUP(FM70,Horarios!$H:$I,2,0),"")</f>
        <v/>
      </c>
      <c r="FP70" s="28" t="str">
        <f>IFERROR(VLOOKUP(FN70,Horarios!$H:$I,2,0),"")</f>
        <v/>
      </c>
      <c r="FQ70" s="28" t="str">
        <f t="shared" si="30"/>
        <v>00:00</v>
      </c>
      <c r="FR70" s="29"/>
      <c r="FS70" s="31" t="str">
        <f t="shared" si="31"/>
        <v/>
      </c>
      <c r="FT70" s="27"/>
      <c r="FU70" s="27"/>
      <c r="FV70" s="28" t="str">
        <f>IFERROR(VLOOKUP(FT70,Horarios!$H:$I,2,0),"")</f>
        <v/>
      </c>
      <c r="FW70" s="28" t="str">
        <f>IFERROR(VLOOKUP(FU70,Horarios!$H:$I,2,0),"")</f>
        <v/>
      </c>
      <c r="FX70" s="28" t="str">
        <f t="shared" si="32"/>
        <v>00:00</v>
      </c>
      <c r="FY70" s="29"/>
      <c r="FZ70" s="27"/>
      <c r="GA70" s="27"/>
      <c r="GB70" s="28" t="str">
        <f>IFERROR(VLOOKUP(FZ70,Horarios!$H:$I,2,0),"")</f>
        <v/>
      </c>
      <c r="GC70" s="28" t="str">
        <f>IFERROR(VLOOKUP(GA70,Horarios!$H:$I,2,0),"")</f>
        <v/>
      </c>
      <c r="GD70" s="28" t="str">
        <f t="shared" si="33"/>
        <v>00:00</v>
      </c>
      <c r="GE70" s="29"/>
      <c r="GF70" s="27"/>
      <c r="GG70" s="27"/>
      <c r="GH70" s="28" t="str">
        <f>IFERROR(VLOOKUP(GF70,Horarios!$H:$I,2,0),"")</f>
        <v/>
      </c>
      <c r="GI70" s="28" t="str">
        <f>IFERROR(VLOOKUP(GG70,Horarios!$H:$I,2,0),"")</f>
        <v/>
      </c>
      <c r="GJ70" s="28" t="str">
        <f t="shared" si="34"/>
        <v>00:00</v>
      </c>
      <c r="GK70" s="29"/>
      <c r="GL70" s="27"/>
      <c r="GM70" s="27"/>
      <c r="GN70" s="28" t="str">
        <f>IFERROR(VLOOKUP(GL70,Horarios!$H:$I,2,0),"")</f>
        <v/>
      </c>
      <c r="GO70" s="28" t="str">
        <f>IFERROR(VLOOKUP(GM70,Horarios!$H:$I,2,0),"")</f>
        <v/>
      </c>
      <c r="GP70" s="28" t="str">
        <f t="shared" si="35"/>
        <v>00:00</v>
      </c>
      <c r="GQ70" s="29"/>
      <c r="GR70" s="27"/>
      <c r="GS70" s="27"/>
      <c r="GT70" s="28" t="str">
        <f>IFERROR(VLOOKUP(GR70,Horarios!$H:$I,2,0),"")</f>
        <v/>
      </c>
      <c r="GU70" s="28" t="str">
        <f>IFERROR(VLOOKUP(GS70,Horarios!$H:$I,2,0),"")</f>
        <v/>
      </c>
      <c r="GV70" s="28" t="str">
        <f t="shared" si="36"/>
        <v>00:00</v>
      </c>
      <c r="GW70" s="29"/>
      <c r="GX70" s="27"/>
      <c r="GY70" s="27"/>
      <c r="GZ70" s="28" t="str">
        <f>IFERROR(VLOOKUP(GX70,Horarios!$H:$I,2,0),"")</f>
        <v/>
      </c>
      <c r="HA70" s="28" t="str">
        <f>IFERROR(VLOOKUP(GY70,Horarios!$H:$I,2,0),"")</f>
        <v/>
      </c>
      <c r="HB70" s="28" t="str">
        <f t="shared" si="37"/>
        <v>00:00</v>
      </c>
      <c r="HC70" s="29"/>
      <c r="HD70" s="27"/>
      <c r="HE70" s="27"/>
      <c r="HF70" s="28" t="str">
        <f>IFERROR(VLOOKUP(HD70,Horarios!$H:$I,2,0),"")</f>
        <v/>
      </c>
      <c r="HG70" s="28" t="str">
        <f>IFERROR(VLOOKUP(HE70,Horarios!$H:$I,2,0),"")</f>
        <v/>
      </c>
      <c r="HH70" s="28" t="str">
        <f t="shared" si="38"/>
        <v>00:00</v>
      </c>
      <c r="HI70" s="29"/>
      <c r="HJ70" s="31" t="str">
        <f t="shared" si="39"/>
        <v/>
      </c>
      <c r="HK70" s="27"/>
      <c r="HL70" s="27"/>
      <c r="HM70" s="28" t="str">
        <f>IFERROR(VLOOKUP(HK70,Horarios!$H:$I,2,0),"")</f>
        <v/>
      </c>
      <c r="HN70" s="28" t="str">
        <f>IFERROR(VLOOKUP(HL70,Horarios!$H:$I,2,0),"")</f>
        <v/>
      </c>
      <c r="HO70" s="28" t="str">
        <f t="shared" si="40"/>
        <v>00:00</v>
      </c>
      <c r="HP70" s="29"/>
      <c r="HQ70" s="27"/>
      <c r="HR70" s="27"/>
      <c r="HS70" s="28" t="str">
        <f>IFERROR(VLOOKUP(HQ70,Horarios!$H:$I,2,0),"")</f>
        <v/>
      </c>
      <c r="HT70" s="28" t="str">
        <f>IFERROR(VLOOKUP(HR70,Horarios!$H:$I,2,0),"")</f>
        <v/>
      </c>
      <c r="HU70" s="28" t="str">
        <f t="shared" si="41"/>
        <v>00:00</v>
      </c>
      <c r="HV70" s="29"/>
      <c r="HW70" s="27"/>
      <c r="HX70" s="27"/>
      <c r="HY70" s="28" t="str">
        <f>IFERROR(VLOOKUP(HW70,Horarios!$H:$I,2,0),"")</f>
        <v/>
      </c>
      <c r="HZ70" s="28" t="str">
        <f>IFERROR(VLOOKUP(HX70,Horarios!$H:$I,2,0),"")</f>
        <v/>
      </c>
      <c r="IA70" s="28" t="str">
        <f t="shared" si="42"/>
        <v>00:00</v>
      </c>
      <c r="IB70" s="29"/>
      <c r="IC70" s="27"/>
      <c r="ID70" s="27"/>
      <c r="IE70" s="28" t="str">
        <f>IFERROR(VLOOKUP(IC70,Horarios!$H:$I,2,0),"")</f>
        <v/>
      </c>
      <c r="IF70" s="28" t="str">
        <f>IFERROR(VLOOKUP(ID70,Horarios!$H:$I,2,0),"")</f>
        <v/>
      </c>
      <c r="IG70" s="28" t="str">
        <f t="shared" si="43"/>
        <v>00:00</v>
      </c>
      <c r="IH70" s="29"/>
      <c r="II70" s="27"/>
      <c r="IJ70" s="27"/>
      <c r="IK70" s="28" t="str">
        <f>IFERROR(VLOOKUP(II70,Horarios!$H:$I,2,0),"")</f>
        <v/>
      </c>
      <c r="IL70" s="28" t="str">
        <f>IFERROR(VLOOKUP(IJ70,Horarios!$H:$I,2,0),"")</f>
        <v/>
      </c>
      <c r="IM70" s="28" t="str">
        <f t="shared" si="44"/>
        <v>00:00</v>
      </c>
      <c r="IN70" s="29"/>
      <c r="IO70" s="27"/>
      <c r="IP70" s="27"/>
      <c r="IQ70" s="28" t="str">
        <f>IFERROR(VLOOKUP(IO70,Horarios!$H:$I,2,0),"")</f>
        <v/>
      </c>
      <c r="IR70" s="28" t="str">
        <f>IFERROR(VLOOKUP(IP70,Horarios!$H:$I,2,0),"")</f>
        <v/>
      </c>
      <c r="IS70" s="28" t="str">
        <f t="shared" si="45"/>
        <v>00:00</v>
      </c>
      <c r="IT70" s="29"/>
      <c r="IU70" s="27"/>
      <c r="IV70" s="27"/>
      <c r="IW70" s="28" t="str">
        <f>IFERROR(VLOOKUP(IU70,Horarios!$H:$I,2,0),"")</f>
        <v/>
      </c>
      <c r="IX70" s="28" t="str">
        <f>IFERROR(VLOOKUP(IV70,Horarios!$H:$I,2,0),"")</f>
        <v/>
      </c>
      <c r="IY70" s="28" t="str">
        <f t="shared" si="46"/>
        <v>00:00</v>
      </c>
      <c r="IZ70" s="29"/>
      <c r="JA70" s="31" t="str">
        <f t="shared" si="47"/>
        <v/>
      </c>
    </row>
    <row r="71" spans="1:261" s="24" customFormat="1" ht="17.399999999999999" x14ac:dyDescent="0.25">
      <c r="A71" s="25"/>
      <c r="B71" s="26" t="str">
        <f>IFERROR(VLOOKUP(A71,BaseNombres!A:B,2,0),"")</f>
        <v/>
      </c>
      <c r="C71" s="26" t="str">
        <f>IFERROR(VLOOKUP(A71,BaseNombres!A:C,3,0),"")</f>
        <v/>
      </c>
      <c r="D71" s="27"/>
      <c r="E71" s="27"/>
      <c r="F71" s="28" t="str">
        <f>IFERROR(VLOOKUP(D71,Horarios!$H:$I,2,0),"")</f>
        <v/>
      </c>
      <c r="G71" s="28" t="str">
        <f>IFERROR(VLOOKUP(E71,Horarios!$H:$I,2,0),"")</f>
        <v/>
      </c>
      <c r="H71" s="28" t="str">
        <f t="shared" si="0"/>
        <v>00:00</v>
      </c>
      <c r="I71" s="29"/>
      <c r="J71" s="27"/>
      <c r="K71" s="27"/>
      <c r="L71" s="28" t="str">
        <f>IFERROR(VLOOKUP(J71,Horarios!$H:$I,2,0),"")</f>
        <v/>
      </c>
      <c r="M71" s="28" t="str">
        <f>IFERROR(VLOOKUP(K71,Horarios!$H:$I,2,0),"")</f>
        <v/>
      </c>
      <c r="N71" s="28" t="str">
        <f t="shared" si="1"/>
        <v>00:00</v>
      </c>
      <c r="O71" s="29"/>
      <c r="P71" s="27"/>
      <c r="Q71" s="27"/>
      <c r="R71" s="28" t="str">
        <f>IFERROR(VLOOKUP(P71,Horarios!$H:$I,2,0),"")</f>
        <v/>
      </c>
      <c r="S71" s="28" t="str">
        <f>IFERROR(VLOOKUP(Q71,Horarios!$H:$I,2,0),"")</f>
        <v/>
      </c>
      <c r="T71" s="28" t="str">
        <f t="shared" si="2"/>
        <v>00:00</v>
      </c>
      <c r="U71" s="29"/>
      <c r="V71" s="27"/>
      <c r="W71" s="27"/>
      <c r="X71" s="28" t="str">
        <f>IFERROR(VLOOKUP(V71,Horarios!$H:$I,2,0),"")</f>
        <v/>
      </c>
      <c r="Y71" s="28" t="str">
        <f>IFERROR(VLOOKUP(W71,Horarios!$H:$I,2,0),"")</f>
        <v/>
      </c>
      <c r="Z71" s="28" t="str">
        <f t="shared" si="3"/>
        <v>00:00</v>
      </c>
      <c r="AA71" s="29"/>
      <c r="AB71" s="27"/>
      <c r="AC71" s="27"/>
      <c r="AD71" s="28" t="str">
        <f>IFERROR(VLOOKUP(AB71,Horarios!$H:$I,2,0),"")</f>
        <v/>
      </c>
      <c r="AE71" s="28" t="str">
        <f>IFERROR(VLOOKUP(AC71,Horarios!$H:$I,2,0),"")</f>
        <v/>
      </c>
      <c r="AF71" s="28" t="str">
        <f t="shared" si="4"/>
        <v>00:00</v>
      </c>
      <c r="AG71" s="29"/>
      <c r="AH71" s="27"/>
      <c r="AI71" s="27"/>
      <c r="AJ71" s="28" t="str">
        <f>IFERROR(VLOOKUP(AH71,Horarios!$H:$I,2,0),"")</f>
        <v/>
      </c>
      <c r="AK71" s="28" t="str">
        <f>IFERROR(VLOOKUP(AI71,Horarios!$H:$I,2,0),"")</f>
        <v/>
      </c>
      <c r="AL71" s="28" t="str">
        <f t="shared" si="5"/>
        <v>00:00</v>
      </c>
      <c r="AM71" s="29"/>
      <c r="AN71" s="27"/>
      <c r="AO71" s="27"/>
      <c r="AP71" s="28" t="str">
        <f>IFERROR(VLOOKUP(AN71,Horarios!$H:$I,2,0),"")</f>
        <v/>
      </c>
      <c r="AQ71" s="28" t="str">
        <f>IFERROR(VLOOKUP(AO71,Horarios!$H:$I,2,0),"")</f>
        <v/>
      </c>
      <c r="AR71" s="28" t="str">
        <f t="shared" si="6"/>
        <v>00:00</v>
      </c>
      <c r="AS71" s="29"/>
      <c r="AT71" s="31" t="str">
        <f t="shared" si="7"/>
        <v/>
      </c>
      <c r="AU71" s="27"/>
      <c r="AV71" s="27"/>
      <c r="AW71" s="28" t="str">
        <f>IFERROR(VLOOKUP(AU71,Horarios!$H:$I,2,0),"")</f>
        <v/>
      </c>
      <c r="AX71" s="28" t="str">
        <f>IFERROR(VLOOKUP(AV71,Horarios!$H:$I,2,0),"")</f>
        <v/>
      </c>
      <c r="AY71" s="28" t="str">
        <f t="shared" si="8"/>
        <v>00:00</v>
      </c>
      <c r="AZ71" s="29"/>
      <c r="BA71" s="27"/>
      <c r="BB71" s="27"/>
      <c r="BC71" s="28" t="str">
        <f>IFERROR(VLOOKUP(BA71,Horarios!$H:$I,2,0),"")</f>
        <v/>
      </c>
      <c r="BD71" s="28" t="str">
        <f>IFERROR(VLOOKUP(BB71,Horarios!$H:$I,2,0),"")</f>
        <v/>
      </c>
      <c r="BE71" s="28" t="str">
        <f t="shared" si="9"/>
        <v>00:00</v>
      </c>
      <c r="BF71" s="29"/>
      <c r="BG71" s="27"/>
      <c r="BH71" s="27"/>
      <c r="BI71" s="28" t="str">
        <f>IFERROR(VLOOKUP(BG71,Horarios!$H:$I,2,0),"")</f>
        <v/>
      </c>
      <c r="BJ71" s="28" t="str">
        <f>IFERROR(VLOOKUP(BH71,Horarios!$H:$I,2,0),"")</f>
        <v/>
      </c>
      <c r="BK71" s="28" t="str">
        <f t="shared" si="10"/>
        <v>00:00</v>
      </c>
      <c r="BL71" s="29"/>
      <c r="BM71" s="27"/>
      <c r="BN71" s="27"/>
      <c r="BO71" s="28" t="str">
        <f>IFERROR(VLOOKUP(BM71,Horarios!$H:$I,2,0),"")</f>
        <v/>
      </c>
      <c r="BP71" s="28" t="str">
        <f>IFERROR(VLOOKUP(BN71,Horarios!$H:$I,2,0),"")</f>
        <v/>
      </c>
      <c r="BQ71" s="28" t="str">
        <f t="shared" si="11"/>
        <v>00:00</v>
      </c>
      <c r="BR71" s="29"/>
      <c r="BS71" s="27"/>
      <c r="BT71" s="27"/>
      <c r="BU71" s="28" t="str">
        <f>IFERROR(VLOOKUP(BS71,Horarios!$H:$I,2,0),"")</f>
        <v/>
      </c>
      <c r="BV71" s="28" t="str">
        <f>IFERROR(VLOOKUP(BT71,Horarios!$H:$I,2,0),"")</f>
        <v/>
      </c>
      <c r="BW71" s="28" t="str">
        <f t="shared" si="12"/>
        <v>00:00</v>
      </c>
      <c r="BX71" s="29"/>
      <c r="BY71" s="27"/>
      <c r="BZ71" s="27"/>
      <c r="CA71" s="28" t="str">
        <f>IFERROR(VLOOKUP(BY71,Horarios!$H:$I,2,0),"")</f>
        <v/>
      </c>
      <c r="CB71" s="28" t="str">
        <f>IFERROR(VLOOKUP(BZ71,Horarios!$H:$I,2,0),"")</f>
        <v/>
      </c>
      <c r="CC71" s="28" t="str">
        <f t="shared" si="13"/>
        <v>00:00</v>
      </c>
      <c r="CD71" s="29"/>
      <c r="CE71" s="27"/>
      <c r="CF71" s="27"/>
      <c r="CG71" s="28" t="str">
        <f>IFERROR(VLOOKUP(CE71,Horarios!$H:$I,2,0),"")</f>
        <v/>
      </c>
      <c r="CH71" s="28" t="str">
        <f>IFERROR(VLOOKUP(CF71,Horarios!$H:$I,2,0),"")</f>
        <v/>
      </c>
      <c r="CI71" s="28" t="str">
        <f t="shared" si="14"/>
        <v>00:00</v>
      </c>
      <c r="CJ71" s="29"/>
      <c r="CK71" s="31" t="str">
        <f t="shared" si="15"/>
        <v/>
      </c>
      <c r="CL71" s="27"/>
      <c r="CM71" s="27"/>
      <c r="CN71" s="28" t="str">
        <f>IFERROR(VLOOKUP(CL71,Horarios!$H:$I,2,0),"")</f>
        <v/>
      </c>
      <c r="CO71" s="28" t="str">
        <f>IFERROR(VLOOKUP(CM71,Horarios!$H:$I,2,0),"")</f>
        <v/>
      </c>
      <c r="CP71" s="28" t="str">
        <f t="shared" si="16"/>
        <v>00:00</v>
      </c>
      <c r="CQ71" s="29"/>
      <c r="CR71" s="27"/>
      <c r="CS71" s="27"/>
      <c r="CT71" s="28" t="str">
        <f>IFERROR(VLOOKUP(CR71,Horarios!$H:$I,2,0),"")</f>
        <v/>
      </c>
      <c r="CU71" s="28" t="str">
        <f>IFERROR(VLOOKUP(CS71,Horarios!$H:$I,2,0),"")</f>
        <v/>
      </c>
      <c r="CV71" s="28" t="str">
        <f t="shared" si="17"/>
        <v>00:00</v>
      </c>
      <c r="CW71" s="29"/>
      <c r="CX71" s="27"/>
      <c r="CY71" s="27"/>
      <c r="CZ71" s="28" t="str">
        <f>IFERROR(VLOOKUP(CX71,Horarios!$H:$I,2,0),"")</f>
        <v/>
      </c>
      <c r="DA71" s="28" t="str">
        <f>IFERROR(VLOOKUP(CY71,Horarios!$H:$I,2,0),"")</f>
        <v/>
      </c>
      <c r="DB71" s="28" t="str">
        <f t="shared" si="18"/>
        <v>00:00</v>
      </c>
      <c r="DC71" s="29"/>
      <c r="DD71" s="27"/>
      <c r="DE71" s="27"/>
      <c r="DF71" s="28" t="str">
        <f>IFERROR(VLOOKUP(DD71,Horarios!$H:$I,2,0),"")</f>
        <v/>
      </c>
      <c r="DG71" s="28" t="str">
        <f>IFERROR(VLOOKUP(DE71,Horarios!$H:$I,2,0),"")</f>
        <v/>
      </c>
      <c r="DH71" s="28" t="str">
        <f t="shared" si="19"/>
        <v>00:00</v>
      </c>
      <c r="DI71" s="29"/>
      <c r="DJ71" s="27"/>
      <c r="DK71" s="27"/>
      <c r="DL71" s="28" t="str">
        <f>IFERROR(VLOOKUP(DJ71,Horarios!$H:$I,2,0),"")</f>
        <v/>
      </c>
      <c r="DM71" s="28" t="str">
        <f>IFERROR(VLOOKUP(DK71,Horarios!$H:$I,2,0),"")</f>
        <v/>
      </c>
      <c r="DN71" s="28" t="str">
        <f t="shared" si="20"/>
        <v>00:00</v>
      </c>
      <c r="DO71" s="29"/>
      <c r="DP71" s="27"/>
      <c r="DQ71" s="27"/>
      <c r="DR71" s="28" t="str">
        <f>IFERROR(VLOOKUP(DP71,Horarios!$H:$I,2,0),"")</f>
        <v/>
      </c>
      <c r="DS71" s="28" t="str">
        <f>IFERROR(VLOOKUP(DQ71,Horarios!$H:$I,2,0),"")</f>
        <v/>
      </c>
      <c r="DT71" s="28" t="str">
        <f t="shared" si="21"/>
        <v>00:00</v>
      </c>
      <c r="DU71" s="29"/>
      <c r="DV71" s="27"/>
      <c r="DW71" s="27"/>
      <c r="DX71" s="28" t="str">
        <f>IFERROR(VLOOKUP(DV71,Horarios!$H:$I,2,0),"")</f>
        <v/>
      </c>
      <c r="DY71" s="28" t="str">
        <f>IFERROR(VLOOKUP(DW71,Horarios!$H:$I,2,0),"")</f>
        <v/>
      </c>
      <c r="DZ71" s="28" t="str">
        <f t="shared" si="22"/>
        <v>00:00</v>
      </c>
      <c r="EA71" s="29"/>
      <c r="EB71" s="31" t="str">
        <f t="shared" si="23"/>
        <v/>
      </c>
      <c r="EC71" s="27"/>
      <c r="ED71" s="27"/>
      <c r="EE71" s="28" t="str">
        <f>IFERROR(VLOOKUP(EC71,Horarios!$H:$I,2,0),"")</f>
        <v/>
      </c>
      <c r="EF71" s="28" t="str">
        <f>IFERROR(VLOOKUP(ED71,Horarios!$H:$I,2,0),"")</f>
        <v/>
      </c>
      <c r="EG71" s="28" t="str">
        <f t="shared" si="24"/>
        <v>00:00</v>
      </c>
      <c r="EH71" s="29"/>
      <c r="EI71" s="27"/>
      <c r="EJ71" s="27"/>
      <c r="EK71" s="28" t="str">
        <f>IFERROR(VLOOKUP(EI71,Horarios!$H:$I,2,0),"")</f>
        <v/>
      </c>
      <c r="EL71" s="28" t="str">
        <f>IFERROR(VLOOKUP(EJ71,Horarios!$H:$I,2,0),"")</f>
        <v/>
      </c>
      <c r="EM71" s="28" t="str">
        <f t="shared" si="25"/>
        <v>00:00</v>
      </c>
      <c r="EN71" s="29"/>
      <c r="EO71" s="27"/>
      <c r="EP71" s="27"/>
      <c r="EQ71" s="28" t="str">
        <f>IFERROR(VLOOKUP(EO71,Horarios!$H:$I,2,0),"")</f>
        <v/>
      </c>
      <c r="ER71" s="28" t="str">
        <f>IFERROR(VLOOKUP(EP71,Horarios!$H:$I,2,0),"")</f>
        <v/>
      </c>
      <c r="ES71" s="28" t="str">
        <f t="shared" si="26"/>
        <v>00:00</v>
      </c>
      <c r="ET71" s="29"/>
      <c r="EU71" s="27"/>
      <c r="EV71" s="27"/>
      <c r="EW71" s="28" t="str">
        <f>IFERROR(VLOOKUP(EU71,Horarios!$H:$I,2,0),"")</f>
        <v/>
      </c>
      <c r="EX71" s="28" t="str">
        <f>IFERROR(VLOOKUP(EV71,Horarios!$H:$I,2,0),"")</f>
        <v/>
      </c>
      <c r="EY71" s="28" t="str">
        <f t="shared" si="27"/>
        <v>00:00</v>
      </c>
      <c r="EZ71" s="29"/>
      <c r="FA71" s="27"/>
      <c r="FB71" s="27"/>
      <c r="FC71" s="28" t="str">
        <f>IFERROR(VLOOKUP(FA71,Horarios!$H:$I,2,0),"")</f>
        <v/>
      </c>
      <c r="FD71" s="28" t="str">
        <f>IFERROR(VLOOKUP(FB71,Horarios!$H:$I,2,0),"")</f>
        <v/>
      </c>
      <c r="FE71" s="28" t="str">
        <f t="shared" si="28"/>
        <v>00:00</v>
      </c>
      <c r="FF71" s="29"/>
      <c r="FG71" s="27"/>
      <c r="FH71" s="27"/>
      <c r="FI71" s="28" t="str">
        <f>IFERROR(VLOOKUP(FG71,Horarios!$H:$I,2,0),"")</f>
        <v/>
      </c>
      <c r="FJ71" s="28" t="str">
        <f>IFERROR(VLOOKUP(FH71,Horarios!$H:$I,2,0),"")</f>
        <v/>
      </c>
      <c r="FK71" s="28" t="str">
        <f t="shared" si="29"/>
        <v>00:00</v>
      </c>
      <c r="FL71" s="29"/>
      <c r="FM71" s="27"/>
      <c r="FN71" s="27"/>
      <c r="FO71" s="28" t="str">
        <f>IFERROR(VLOOKUP(FM71,Horarios!$H:$I,2,0),"")</f>
        <v/>
      </c>
      <c r="FP71" s="28" t="str">
        <f>IFERROR(VLOOKUP(FN71,Horarios!$H:$I,2,0),"")</f>
        <v/>
      </c>
      <c r="FQ71" s="28" t="str">
        <f t="shared" si="30"/>
        <v>00:00</v>
      </c>
      <c r="FR71" s="29"/>
      <c r="FS71" s="31" t="str">
        <f t="shared" si="31"/>
        <v/>
      </c>
      <c r="FT71" s="27"/>
      <c r="FU71" s="27"/>
      <c r="FV71" s="28" t="str">
        <f>IFERROR(VLOOKUP(FT71,Horarios!$H:$I,2,0),"")</f>
        <v/>
      </c>
      <c r="FW71" s="28" t="str">
        <f>IFERROR(VLOOKUP(FU71,Horarios!$H:$I,2,0),"")</f>
        <v/>
      </c>
      <c r="FX71" s="28" t="str">
        <f t="shared" si="32"/>
        <v>00:00</v>
      </c>
      <c r="FY71" s="29"/>
      <c r="FZ71" s="27"/>
      <c r="GA71" s="27"/>
      <c r="GB71" s="28" t="str">
        <f>IFERROR(VLOOKUP(FZ71,Horarios!$H:$I,2,0),"")</f>
        <v/>
      </c>
      <c r="GC71" s="28" t="str">
        <f>IFERROR(VLOOKUP(GA71,Horarios!$H:$I,2,0),"")</f>
        <v/>
      </c>
      <c r="GD71" s="28" t="str">
        <f t="shared" si="33"/>
        <v>00:00</v>
      </c>
      <c r="GE71" s="29"/>
      <c r="GF71" s="27"/>
      <c r="GG71" s="27"/>
      <c r="GH71" s="28" t="str">
        <f>IFERROR(VLOOKUP(GF71,Horarios!$H:$I,2,0),"")</f>
        <v/>
      </c>
      <c r="GI71" s="28" t="str">
        <f>IFERROR(VLOOKUP(GG71,Horarios!$H:$I,2,0),"")</f>
        <v/>
      </c>
      <c r="GJ71" s="28" t="str">
        <f t="shared" si="34"/>
        <v>00:00</v>
      </c>
      <c r="GK71" s="29"/>
      <c r="GL71" s="27"/>
      <c r="GM71" s="27"/>
      <c r="GN71" s="28" t="str">
        <f>IFERROR(VLOOKUP(GL71,Horarios!$H:$I,2,0),"")</f>
        <v/>
      </c>
      <c r="GO71" s="28" t="str">
        <f>IFERROR(VLOOKUP(GM71,Horarios!$H:$I,2,0),"")</f>
        <v/>
      </c>
      <c r="GP71" s="28" t="str">
        <f t="shared" si="35"/>
        <v>00:00</v>
      </c>
      <c r="GQ71" s="29"/>
      <c r="GR71" s="27"/>
      <c r="GS71" s="27"/>
      <c r="GT71" s="28" t="str">
        <f>IFERROR(VLOOKUP(GR71,Horarios!$H:$I,2,0),"")</f>
        <v/>
      </c>
      <c r="GU71" s="28" t="str">
        <f>IFERROR(VLOOKUP(GS71,Horarios!$H:$I,2,0),"")</f>
        <v/>
      </c>
      <c r="GV71" s="28" t="str">
        <f t="shared" si="36"/>
        <v>00:00</v>
      </c>
      <c r="GW71" s="29"/>
      <c r="GX71" s="27"/>
      <c r="GY71" s="27"/>
      <c r="GZ71" s="28" t="str">
        <f>IFERROR(VLOOKUP(GX71,Horarios!$H:$I,2,0),"")</f>
        <v/>
      </c>
      <c r="HA71" s="28" t="str">
        <f>IFERROR(VLOOKUP(GY71,Horarios!$H:$I,2,0),"")</f>
        <v/>
      </c>
      <c r="HB71" s="28" t="str">
        <f t="shared" si="37"/>
        <v>00:00</v>
      </c>
      <c r="HC71" s="29"/>
      <c r="HD71" s="27"/>
      <c r="HE71" s="27"/>
      <c r="HF71" s="28" t="str">
        <f>IFERROR(VLOOKUP(HD71,Horarios!$H:$I,2,0),"")</f>
        <v/>
      </c>
      <c r="HG71" s="28" t="str">
        <f>IFERROR(VLOOKUP(HE71,Horarios!$H:$I,2,0),"")</f>
        <v/>
      </c>
      <c r="HH71" s="28" t="str">
        <f t="shared" si="38"/>
        <v>00:00</v>
      </c>
      <c r="HI71" s="29"/>
      <c r="HJ71" s="31" t="str">
        <f t="shared" si="39"/>
        <v/>
      </c>
      <c r="HK71" s="27"/>
      <c r="HL71" s="27"/>
      <c r="HM71" s="28" t="str">
        <f>IFERROR(VLOOKUP(HK71,Horarios!$H:$I,2,0),"")</f>
        <v/>
      </c>
      <c r="HN71" s="28" t="str">
        <f>IFERROR(VLOOKUP(HL71,Horarios!$H:$I,2,0),"")</f>
        <v/>
      </c>
      <c r="HO71" s="28" t="str">
        <f t="shared" si="40"/>
        <v>00:00</v>
      </c>
      <c r="HP71" s="29"/>
      <c r="HQ71" s="27"/>
      <c r="HR71" s="27"/>
      <c r="HS71" s="28" t="str">
        <f>IFERROR(VLOOKUP(HQ71,Horarios!$H:$I,2,0),"")</f>
        <v/>
      </c>
      <c r="HT71" s="28" t="str">
        <f>IFERROR(VLOOKUP(HR71,Horarios!$H:$I,2,0),"")</f>
        <v/>
      </c>
      <c r="HU71" s="28" t="str">
        <f t="shared" si="41"/>
        <v>00:00</v>
      </c>
      <c r="HV71" s="29"/>
      <c r="HW71" s="27"/>
      <c r="HX71" s="27"/>
      <c r="HY71" s="28" t="str">
        <f>IFERROR(VLOOKUP(HW71,Horarios!$H:$I,2,0),"")</f>
        <v/>
      </c>
      <c r="HZ71" s="28" t="str">
        <f>IFERROR(VLOOKUP(HX71,Horarios!$H:$I,2,0),"")</f>
        <v/>
      </c>
      <c r="IA71" s="28" t="str">
        <f t="shared" si="42"/>
        <v>00:00</v>
      </c>
      <c r="IB71" s="29"/>
      <c r="IC71" s="27"/>
      <c r="ID71" s="27"/>
      <c r="IE71" s="28" t="str">
        <f>IFERROR(VLOOKUP(IC71,Horarios!$H:$I,2,0),"")</f>
        <v/>
      </c>
      <c r="IF71" s="28" t="str">
        <f>IFERROR(VLOOKUP(ID71,Horarios!$H:$I,2,0),"")</f>
        <v/>
      </c>
      <c r="IG71" s="28" t="str">
        <f t="shared" si="43"/>
        <v>00:00</v>
      </c>
      <c r="IH71" s="29"/>
      <c r="II71" s="27"/>
      <c r="IJ71" s="27"/>
      <c r="IK71" s="28" t="str">
        <f>IFERROR(VLOOKUP(II71,Horarios!$H:$I,2,0),"")</f>
        <v/>
      </c>
      <c r="IL71" s="28" t="str">
        <f>IFERROR(VLOOKUP(IJ71,Horarios!$H:$I,2,0),"")</f>
        <v/>
      </c>
      <c r="IM71" s="28" t="str">
        <f t="shared" si="44"/>
        <v>00:00</v>
      </c>
      <c r="IN71" s="29"/>
      <c r="IO71" s="27"/>
      <c r="IP71" s="27"/>
      <c r="IQ71" s="28" t="str">
        <f>IFERROR(VLOOKUP(IO71,Horarios!$H:$I,2,0),"")</f>
        <v/>
      </c>
      <c r="IR71" s="28" t="str">
        <f>IFERROR(VLOOKUP(IP71,Horarios!$H:$I,2,0),"")</f>
        <v/>
      </c>
      <c r="IS71" s="28" t="str">
        <f t="shared" si="45"/>
        <v>00:00</v>
      </c>
      <c r="IT71" s="29"/>
      <c r="IU71" s="27"/>
      <c r="IV71" s="27"/>
      <c r="IW71" s="28" t="str">
        <f>IFERROR(VLOOKUP(IU71,Horarios!$H:$I,2,0),"")</f>
        <v/>
      </c>
      <c r="IX71" s="28" t="str">
        <f>IFERROR(VLOOKUP(IV71,Horarios!$H:$I,2,0),"")</f>
        <v/>
      </c>
      <c r="IY71" s="28" t="str">
        <f t="shared" si="46"/>
        <v>00:00</v>
      </c>
      <c r="IZ71" s="29"/>
      <c r="JA71" s="31" t="str">
        <f t="shared" si="47"/>
        <v/>
      </c>
    </row>
    <row r="72" spans="1:261" s="24" customFormat="1" ht="17.399999999999999" x14ac:dyDescent="0.25">
      <c r="A72" s="25"/>
      <c r="B72" s="26" t="str">
        <f>IFERROR(VLOOKUP(A72,BaseNombres!A:B,2,0),"")</f>
        <v/>
      </c>
      <c r="C72" s="26" t="str">
        <f>IFERROR(VLOOKUP(A72,BaseNombres!A:C,3,0),"")</f>
        <v/>
      </c>
      <c r="D72" s="27"/>
      <c r="E72" s="27"/>
      <c r="F72" s="28" t="str">
        <f>IFERROR(VLOOKUP(D72,Horarios!$H:$I,2,0),"")</f>
        <v/>
      </c>
      <c r="G72" s="28" t="str">
        <f>IFERROR(VLOOKUP(E72,Horarios!$H:$I,2,0),"")</f>
        <v/>
      </c>
      <c r="H72" s="28" t="str">
        <f t="shared" si="0"/>
        <v>00:00</v>
      </c>
      <c r="I72" s="29"/>
      <c r="J72" s="27"/>
      <c r="K72" s="27"/>
      <c r="L72" s="28" t="str">
        <f>IFERROR(VLOOKUP(J72,Horarios!$H:$I,2,0),"")</f>
        <v/>
      </c>
      <c r="M72" s="28" t="str">
        <f>IFERROR(VLOOKUP(K72,Horarios!$H:$I,2,0),"")</f>
        <v/>
      </c>
      <c r="N72" s="28" t="str">
        <f t="shared" si="1"/>
        <v>00:00</v>
      </c>
      <c r="O72" s="29"/>
      <c r="P72" s="27"/>
      <c r="Q72" s="27"/>
      <c r="R72" s="28" t="str">
        <f>IFERROR(VLOOKUP(P72,Horarios!$H:$I,2,0),"")</f>
        <v/>
      </c>
      <c r="S72" s="28" t="str">
        <f>IFERROR(VLOOKUP(Q72,Horarios!$H:$I,2,0),"")</f>
        <v/>
      </c>
      <c r="T72" s="28" t="str">
        <f t="shared" si="2"/>
        <v>00:00</v>
      </c>
      <c r="U72" s="29"/>
      <c r="V72" s="27"/>
      <c r="W72" s="27"/>
      <c r="X72" s="28" t="str">
        <f>IFERROR(VLOOKUP(V72,Horarios!$H:$I,2,0),"")</f>
        <v/>
      </c>
      <c r="Y72" s="28" t="str">
        <f>IFERROR(VLOOKUP(W72,Horarios!$H:$I,2,0),"")</f>
        <v/>
      </c>
      <c r="Z72" s="28" t="str">
        <f t="shared" si="3"/>
        <v>00:00</v>
      </c>
      <c r="AA72" s="29"/>
      <c r="AB72" s="27"/>
      <c r="AC72" s="27"/>
      <c r="AD72" s="28" t="str">
        <f>IFERROR(VLOOKUP(AB72,Horarios!$H:$I,2,0),"")</f>
        <v/>
      </c>
      <c r="AE72" s="28" t="str">
        <f>IFERROR(VLOOKUP(AC72,Horarios!$H:$I,2,0),"")</f>
        <v/>
      </c>
      <c r="AF72" s="28" t="str">
        <f t="shared" si="4"/>
        <v>00:00</v>
      </c>
      <c r="AG72" s="29"/>
      <c r="AH72" s="27"/>
      <c r="AI72" s="27"/>
      <c r="AJ72" s="28" t="str">
        <f>IFERROR(VLOOKUP(AH72,Horarios!$H:$I,2,0),"")</f>
        <v/>
      </c>
      <c r="AK72" s="28" t="str">
        <f>IFERROR(VLOOKUP(AI72,Horarios!$H:$I,2,0),"")</f>
        <v/>
      </c>
      <c r="AL72" s="28" t="str">
        <f t="shared" si="5"/>
        <v>00:00</v>
      </c>
      <c r="AM72" s="29"/>
      <c r="AN72" s="27"/>
      <c r="AO72" s="27"/>
      <c r="AP72" s="28" t="str">
        <f>IFERROR(VLOOKUP(AN72,Horarios!$H:$I,2,0),"")</f>
        <v/>
      </c>
      <c r="AQ72" s="28" t="str">
        <f>IFERROR(VLOOKUP(AO72,Horarios!$H:$I,2,0),"")</f>
        <v/>
      </c>
      <c r="AR72" s="28" t="str">
        <f t="shared" si="6"/>
        <v>00:00</v>
      </c>
      <c r="AS72" s="29"/>
      <c r="AT72" s="31" t="str">
        <f t="shared" si="7"/>
        <v/>
      </c>
      <c r="AU72" s="27"/>
      <c r="AV72" s="27"/>
      <c r="AW72" s="28" t="str">
        <f>IFERROR(VLOOKUP(AU72,Horarios!$H:$I,2,0),"")</f>
        <v/>
      </c>
      <c r="AX72" s="28" t="str">
        <f>IFERROR(VLOOKUP(AV72,Horarios!$H:$I,2,0),"")</f>
        <v/>
      </c>
      <c r="AY72" s="28" t="str">
        <f t="shared" si="8"/>
        <v>00:00</v>
      </c>
      <c r="AZ72" s="29"/>
      <c r="BA72" s="27"/>
      <c r="BB72" s="27"/>
      <c r="BC72" s="28" t="str">
        <f>IFERROR(VLOOKUP(BA72,Horarios!$H:$I,2,0),"")</f>
        <v/>
      </c>
      <c r="BD72" s="28" t="str">
        <f>IFERROR(VLOOKUP(BB72,Horarios!$H:$I,2,0),"")</f>
        <v/>
      </c>
      <c r="BE72" s="28" t="str">
        <f t="shared" si="9"/>
        <v>00:00</v>
      </c>
      <c r="BF72" s="29"/>
      <c r="BG72" s="27"/>
      <c r="BH72" s="27"/>
      <c r="BI72" s="28" t="str">
        <f>IFERROR(VLOOKUP(BG72,Horarios!$H:$I,2,0),"")</f>
        <v/>
      </c>
      <c r="BJ72" s="28" t="str">
        <f>IFERROR(VLOOKUP(BH72,Horarios!$H:$I,2,0),"")</f>
        <v/>
      </c>
      <c r="BK72" s="28" t="str">
        <f t="shared" si="10"/>
        <v>00:00</v>
      </c>
      <c r="BL72" s="29"/>
      <c r="BM72" s="27"/>
      <c r="BN72" s="27"/>
      <c r="BO72" s="28" t="str">
        <f>IFERROR(VLOOKUP(BM72,Horarios!$H:$I,2,0),"")</f>
        <v/>
      </c>
      <c r="BP72" s="28" t="str">
        <f>IFERROR(VLOOKUP(BN72,Horarios!$H:$I,2,0),"")</f>
        <v/>
      </c>
      <c r="BQ72" s="28" t="str">
        <f t="shared" si="11"/>
        <v>00:00</v>
      </c>
      <c r="BR72" s="29"/>
      <c r="BS72" s="27"/>
      <c r="BT72" s="27"/>
      <c r="BU72" s="28" t="str">
        <f>IFERROR(VLOOKUP(BS72,Horarios!$H:$I,2,0),"")</f>
        <v/>
      </c>
      <c r="BV72" s="28" t="str">
        <f>IFERROR(VLOOKUP(BT72,Horarios!$H:$I,2,0),"")</f>
        <v/>
      </c>
      <c r="BW72" s="28" t="str">
        <f t="shared" si="12"/>
        <v>00:00</v>
      </c>
      <c r="BX72" s="29"/>
      <c r="BY72" s="27"/>
      <c r="BZ72" s="27"/>
      <c r="CA72" s="28" t="str">
        <f>IFERROR(VLOOKUP(BY72,Horarios!$H:$I,2,0),"")</f>
        <v/>
      </c>
      <c r="CB72" s="28" t="str">
        <f>IFERROR(VLOOKUP(BZ72,Horarios!$H:$I,2,0),"")</f>
        <v/>
      </c>
      <c r="CC72" s="28" t="str">
        <f t="shared" si="13"/>
        <v>00:00</v>
      </c>
      <c r="CD72" s="29"/>
      <c r="CE72" s="27"/>
      <c r="CF72" s="27"/>
      <c r="CG72" s="28" t="str">
        <f>IFERROR(VLOOKUP(CE72,Horarios!$H:$I,2,0),"")</f>
        <v/>
      </c>
      <c r="CH72" s="28" t="str">
        <f>IFERROR(VLOOKUP(CF72,Horarios!$H:$I,2,0),"")</f>
        <v/>
      </c>
      <c r="CI72" s="28" t="str">
        <f t="shared" si="14"/>
        <v>00:00</v>
      </c>
      <c r="CJ72" s="29"/>
      <c r="CK72" s="31" t="str">
        <f t="shared" si="15"/>
        <v/>
      </c>
      <c r="CL72" s="27"/>
      <c r="CM72" s="27"/>
      <c r="CN72" s="28" t="str">
        <f>IFERROR(VLOOKUP(CL72,Horarios!$H:$I,2,0),"")</f>
        <v/>
      </c>
      <c r="CO72" s="28" t="str">
        <f>IFERROR(VLOOKUP(CM72,Horarios!$H:$I,2,0),"")</f>
        <v/>
      </c>
      <c r="CP72" s="28" t="str">
        <f t="shared" si="16"/>
        <v>00:00</v>
      </c>
      <c r="CQ72" s="29"/>
      <c r="CR72" s="27"/>
      <c r="CS72" s="27"/>
      <c r="CT72" s="28" t="str">
        <f>IFERROR(VLOOKUP(CR72,Horarios!$H:$I,2,0),"")</f>
        <v/>
      </c>
      <c r="CU72" s="28" t="str">
        <f>IFERROR(VLOOKUP(CS72,Horarios!$H:$I,2,0),"")</f>
        <v/>
      </c>
      <c r="CV72" s="28" t="str">
        <f t="shared" si="17"/>
        <v>00:00</v>
      </c>
      <c r="CW72" s="29"/>
      <c r="CX72" s="27"/>
      <c r="CY72" s="27"/>
      <c r="CZ72" s="28" t="str">
        <f>IFERROR(VLOOKUP(CX72,Horarios!$H:$I,2,0),"")</f>
        <v/>
      </c>
      <c r="DA72" s="28" t="str">
        <f>IFERROR(VLOOKUP(CY72,Horarios!$H:$I,2,0),"")</f>
        <v/>
      </c>
      <c r="DB72" s="28" t="str">
        <f t="shared" si="18"/>
        <v>00:00</v>
      </c>
      <c r="DC72" s="29"/>
      <c r="DD72" s="27"/>
      <c r="DE72" s="27"/>
      <c r="DF72" s="28" t="str">
        <f>IFERROR(VLOOKUP(DD72,Horarios!$H:$I,2,0),"")</f>
        <v/>
      </c>
      <c r="DG72" s="28" t="str">
        <f>IFERROR(VLOOKUP(DE72,Horarios!$H:$I,2,0),"")</f>
        <v/>
      </c>
      <c r="DH72" s="28" t="str">
        <f t="shared" si="19"/>
        <v>00:00</v>
      </c>
      <c r="DI72" s="29"/>
      <c r="DJ72" s="27"/>
      <c r="DK72" s="27"/>
      <c r="DL72" s="28" t="str">
        <f>IFERROR(VLOOKUP(DJ72,Horarios!$H:$I,2,0),"")</f>
        <v/>
      </c>
      <c r="DM72" s="28" t="str">
        <f>IFERROR(VLOOKUP(DK72,Horarios!$H:$I,2,0),"")</f>
        <v/>
      </c>
      <c r="DN72" s="28" t="str">
        <f t="shared" si="20"/>
        <v>00:00</v>
      </c>
      <c r="DO72" s="29"/>
      <c r="DP72" s="27"/>
      <c r="DQ72" s="27"/>
      <c r="DR72" s="28" t="str">
        <f>IFERROR(VLOOKUP(DP72,Horarios!$H:$I,2,0),"")</f>
        <v/>
      </c>
      <c r="DS72" s="28" t="str">
        <f>IFERROR(VLOOKUP(DQ72,Horarios!$H:$I,2,0),"")</f>
        <v/>
      </c>
      <c r="DT72" s="28" t="str">
        <f t="shared" si="21"/>
        <v>00:00</v>
      </c>
      <c r="DU72" s="29"/>
      <c r="DV72" s="27"/>
      <c r="DW72" s="27"/>
      <c r="DX72" s="28" t="str">
        <f>IFERROR(VLOOKUP(DV72,Horarios!$H:$I,2,0),"")</f>
        <v/>
      </c>
      <c r="DY72" s="28" t="str">
        <f>IFERROR(VLOOKUP(DW72,Horarios!$H:$I,2,0),"")</f>
        <v/>
      </c>
      <c r="DZ72" s="28" t="str">
        <f t="shared" si="22"/>
        <v>00:00</v>
      </c>
      <c r="EA72" s="29"/>
      <c r="EB72" s="31" t="str">
        <f t="shared" si="23"/>
        <v/>
      </c>
      <c r="EC72" s="27"/>
      <c r="ED72" s="27"/>
      <c r="EE72" s="28" t="str">
        <f>IFERROR(VLOOKUP(EC72,Horarios!$H:$I,2,0),"")</f>
        <v/>
      </c>
      <c r="EF72" s="28" t="str">
        <f>IFERROR(VLOOKUP(ED72,Horarios!$H:$I,2,0),"")</f>
        <v/>
      </c>
      <c r="EG72" s="28" t="str">
        <f t="shared" si="24"/>
        <v>00:00</v>
      </c>
      <c r="EH72" s="29"/>
      <c r="EI72" s="27"/>
      <c r="EJ72" s="27"/>
      <c r="EK72" s="28" t="str">
        <f>IFERROR(VLOOKUP(EI72,Horarios!$H:$I,2,0),"")</f>
        <v/>
      </c>
      <c r="EL72" s="28" t="str">
        <f>IFERROR(VLOOKUP(EJ72,Horarios!$H:$I,2,0),"")</f>
        <v/>
      </c>
      <c r="EM72" s="28" t="str">
        <f t="shared" si="25"/>
        <v>00:00</v>
      </c>
      <c r="EN72" s="29"/>
      <c r="EO72" s="27"/>
      <c r="EP72" s="27"/>
      <c r="EQ72" s="28" t="str">
        <f>IFERROR(VLOOKUP(EO72,Horarios!$H:$I,2,0),"")</f>
        <v/>
      </c>
      <c r="ER72" s="28" t="str">
        <f>IFERROR(VLOOKUP(EP72,Horarios!$H:$I,2,0),"")</f>
        <v/>
      </c>
      <c r="ES72" s="28" t="str">
        <f t="shared" si="26"/>
        <v>00:00</v>
      </c>
      <c r="ET72" s="29"/>
      <c r="EU72" s="27"/>
      <c r="EV72" s="27"/>
      <c r="EW72" s="28" t="str">
        <f>IFERROR(VLOOKUP(EU72,Horarios!$H:$I,2,0),"")</f>
        <v/>
      </c>
      <c r="EX72" s="28" t="str">
        <f>IFERROR(VLOOKUP(EV72,Horarios!$H:$I,2,0),"")</f>
        <v/>
      </c>
      <c r="EY72" s="28" t="str">
        <f t="shared" si="27"/>
        <v>00:00</v>
      </c>
      <c r="EZ72" s="29"/>
      <c r="FA72" s="27"/>
      <c r="FB72" s="27"/>
      <c r="FC72" s="28" t="str">
        <f>IFERROR(VLOOKUP(FA72,Horarios!$H:$I,2,0),"")</f>
        <v/>
      </c>
      <c r="FD72" s="28" t="str">
        <f>IFERROR(VLOOKUP(FB72,Horarios!$H:$I,2,0),"")</f>
        <v/>
      </c>
      <c r="FE72" s="28" t="str">
        <f t="shared" si="28"/>
        <v>00:00</v>
      </c>
      <c r="FF72" s="29"/>
      <c r="FG72" s="27"/>
      <c r="FH72" s="27"/>
      <c r="FI72" s="28" t="str">
        <f>IFERROR(VLOOKUP(FG72,Horarios!$H:$I,2,0),"")</f>
        <v/>
      </c>
      <c r="FJ72" s="28" t="str">
        <f>IFERROR(VLOOKUP(FH72,Horarios!$H:$I,2,0),"")</f>
        <v/>
      </c>
      <c r="FK72" s="28" t="str">
        <f t="shared" si="29"/>
        <v>00:00</v>
      </c>
      <c r="FL72" s="29"/>
      <c r="FM72" s="27"/>
      <c r="FN72" s="27"/>
      <c r="FO72" s="28" t="str">
        <f>IFERROR(VLOOKUP(FM72,Horarios!$H:$I,2,0),"")</f>
        <v/>
      </c>
      <c r="FP72" s="28" t="str">
        <f>IFERROR(VLOOKUP(FN72,Horarios!$H:$I,2,0),"")</f>
        <v/>
      </c>
      <c r="FQ72" s="28" t="str">
        <f t="shared" si="30"/>
        <v>00:00</v>
      </c>
      <c r="FR72" s="29"/>
      <c r="FS72" s="31" t="str">
        <f t="shared" si="31"/>
        <v/>
      </c>
      <c r="FT72" s="27"/>
      <c r="FU72" s="27"/>
      <c r="FV72" s="28" t="str">
        <f>IFERROR(VLOOKUP(FT72,Horarios!$H:$I,2,0),"")</f>
        <v/>
      </c>
      <c r="FW72" s="28" t="str">
        <f>IFERROR(VLOOKUP(FU72,Horarios!$H:$I,2,0),"")</f>
        <v/>
      </c>
      <c r="FX72" s="28" t="str">
        <f t="shared" si="32"/>
        <v>00:00</v>
      </c>
      <c r="FY72" s="29"/>
      <c r="FZ72" s="27"/>
      <c r="GA72" s="27"/>
      <c r="GB72" s="28" t="str">
        <f>IFERROR(VLOOKUP(FZ72,Horarios!$H:$I,2,0),"")</f>
        <v/>
      </c>
      <c r="GC72" s="28" t="str">
        <f>IFERROR(VLOOKUP(GA72,Horarios!$H:$I,2,0),"")</f>
        <v/>
      </c>
      <c r="GD72" s="28" t="str">
        <f t="shared" si="33"/>
        <v>00:00</v>
      </c>
      <c r="GE72" s="29"/>
      <c r="GF72" s="27"/>
      <c r="GG72" s="27"/>
      <c r="GH72" s="28" t="str">
        <f>IFERROR(VLOOKUP(GF72,Horarios!$H:$I,2,0),"")</f>
        <v/>
      </c>
      <c r="GI72" s="28" t="str">
        <f>IFERROR(VLOOKUP(GG72,Horarios!$H:$I,2,0),"")</f>
        <v/>
      </c>
      <c r="GJ72" s="28" t="str">
        <f t="shared" si="34"/>
        <v>00:00</v>
      </c>
      <c r="GK72" s="29"/>
      <c r="GL72" s="27"/>
      <c r="GM72" s="27"/>
      <c r="GN72" s="28" t="str">
        <f>IFERROR(VLOOKUP(GL72,Horarios!$H:$I,2,0),"")</f>
        <v/>
      </c>
      <c r="GO72" s="28" t="str">
        <f>IFERROR(VLOOKUP(GM72,Horarios!$H:$I,2,0),"")</f>
        <v/>
      </c>
      <c r="GP72" s="28" t="str">
        <f t="shared" si="35"/>
        <v>00:00</v>
      </c>
      <c r="GQ72" s="29"/>
      <c r="GR72" s="27"/>
      <c r="GS72" s="27"/>
      <c r="GT72" s="28" t="str">
        <f>IFERROR(VLOOKUP(GR72,Horarios!$H:$I,2,0),"")</f>
        <v/>
      </c>
      <c r="GU72" s="28" t="str">
        <f>IFERROR(VLOOKUP(GS72,Horarios!$H:$I,2,0),"")</f>
        <v/>
      </c>
      <c r="GV72" s="28" t="str">
        <f t="shared" si="36"/>
        <v>00:00</v>
      </c>
      <c r="GW72" s="29"/>
      <c r="GX72" s="27"/>
      <c r="GY72" s="27"/>
      <c r="GZ72" s="28" t="str">
        <f>IFERROR(VLOOKUP(GX72,Horarios!$H:$I,2,0),"")</f>
        <v/>
      </c>
      <c r="HA72" s="28" t="str">
        <f>IFERROR(VLOOKUP(GY72,Horarios!$H:$I,2,0),"")</f>
        <v/>
      </c>
      <c r="HB72" s="28" t="str">
        <f t="shared" si="37"/>
        <v>00:00</v>
      </c>
      <c r="HC72" s="29"/>
      <c r="HD72" s="27"/>
      <c r="HE72" s="27"/>
      <c r="HF72" s="28" t="str">
        <f>IFERROR(VLOOKUP(HD72,Horarios!$H:$I,2,0),"")</f>
        <v/>
      </c>
      <c r="HG72" s="28" t="str">
        <f>IFERROR(VLOOKUP(HE72,Horarios!$H:$I,2,0),"")</f>
        <v/>
      </c>
      <c r="HH72" s="28" t="str">
        <f t="shared" si="38"/>
        <v>00:00</v>
      </c>
      <c r="HI72" s="29"/>
      <c r="HJ72" s="31" t="str">
        <f t="shared" si="39"/>
        <v/>
      </c>
      <c r="HK72" s="27"/>
      <c r="HL72" s="27"/>
      <c r="HM72" s="28" t="str">
        <f>IFERROR(VLOOKUP(HK72,Horarios!$H:$I,2,0),"")</f>
        <v/>
      </c>
      <c r="HN72" s="28" t="str">
        <f>IFERROR(VLOOKUP(HL72,Horarios!$H:$I,2,0),"")</f>
        <v/>
      </c>
      <c r="HO72" s="28" t="str">
        <f t="shared" si="40"/>
        <v>00:00</v>
      </c>
      <c r="HP72" s="29"/>
      <c r="HQ72" s="27"/>
      <c r="HR72" s="27"/>
      <c r="HS72" s="28" t="str">
        <f>IFERROR(VLOOKUP(HQ72,Horarios!$H:$I,2,0),"")</f>
        <v/>
      </c>
      <c r="HT72" s="28" t="str">
        <f>IFERROR(VLOOKUP(HR72,Horarios!$H:$I,2,0),"")</f>
        <v/>
      </c>
      <c r="HU72" s="28" t="str">
        <f t="shared" si="41"/>
        <v>00:00</v>
      </c>
      <c r="HV72" s="29"/>
      <c r="HW72" s="27"/>
      <c r="HX72" s="27"/>
      <c r="HY72" s="28" t="str">
        <f>IFERROR(VLOOKUP(HW72,Horarios!$H:$I,2,0),"")</f>
        <v/>
      </c>
      <c r="HZ72" s="28" t="str">
        <f>IFERROR(VLOOKUP(HX72,Horarios!$H:$I,2,0),"")</f>
        <v/>
      </c>
      <c r="IA72" s="28" t="str">
        <f t="shared" si="42"/>
        <v>00:00</v>
      </c>
      <c r="IB72" s="29"/>
      <c r="IC72" s="27"/>
      <c r="ID72" s="27"/>
      <c r="IE72" s="28" t="str">
        <f>IFERROR(VLOOKUP(IC72,Horarios!$H:$I,2,0),"")</f>
        <v/>
      </c>
      <c r="IF72" s="28" t="str">
        <f>IFERROR(VLOOKUP(ID72,Horarios!$H:$I,2,0),"")</f>
        <v/>
      </c>
      <c r="IG72" s="28" t="str">
        <f t="shared" si="43"/>
        <v>00:00</v>
      </c>
      <c r="IH72" s="29"/>
      <c r="II72" s="27"/>
      <c r="IJ72" s="27"/>
      <c r="IK72" s="28" t="str">
        <f>IFERROR(VLOOKUP(II72,Horarios!$H:$I,2,0),"")</f>
        <v/>
      </c>
      <c r="IL72" s="28" t="str">
        <f>IFERROR(VLOOKUP(IJ72,Horarios!$H:$I,2,0),"")</f>
        <v/>
      </c>
      <c r="IM72" s="28" t="str">
        <f t="shared" si="44"/>
        <v>00:00</v>
      </c>
      <c r="IN72" s="29"/>
      <c r="IO72" s="27"/>
      <c r="IP72" s="27"/>
      <c r="IQ72" s="28" t="str">
        <f>IFERROR(VLOOKUP(IO72,Horarios!$H:$I,2,0),"")</f>
        <v/>
      </c>
      <c r="IR72" s="28" t="str">
        <f>IFERROR(VLOOKUP(IP72,Horarios!$H:$I,2,0),"")</f>
        <v/>
      </c>
      <c r="IS72" s="28" t="str">
        <f t="shared" si="45"/>
        <v>00:00</v>
      </c>
      <c r="IT72" s="29"/>
      <c r="IU72" s="27"/>
      <c r="IV72" s="27"/>
      <c r="IW72" s="28" t="str">
        <f>IFERROR(VLOOKUP(IU72,Horarios!$H:$I,2,0),"")</f>
        <v/>
      </c>
      <c r="IX72" s="28" t="str">
        <f>IFERROR(VLOOKUP(IV72,Horarios!$H:$I,2,0),"")</f>
        <v/>
      </c>
      <c r="IY72" s="28" t="str">
        <f t="shared" si="46"/>
        <v>00:00</v>
      </c>
      <c r="IZ72" s="29"/>
      <c r="JA72" s="31" t="str">
        <f t="shared" si="47"/>
        <v/>
      </c>
    </row>
    <row r="73" spans="1:261" s="24" customFormat="1" ht="17.399999999999999" x14ac:dyDescent="0.25">
      <c r="A73" s="25"/>
      <c r="B73" s="26" t="str">
        <f>IFERROR(VLOOKUP(A73,BaseNombres!A:B,2,0),"")</f>
        <v/>
      </c>
      <c r="C73" s="26" t="str">
        <f>IFERROR(VLOOKUP(A73,BaseNombres!A:C,3,0),"")</f>
        <v/>
      </c>
      <c r="D73" s="27"/>
      <c r="E73" s="27"/>
      <c r="F73" s="28" t="str">
        <f>IFERROR(VLOOKUP(D73,Horarios!$H:$I,2,0),"")</f>
        <v/>
      </c>
      <c r="G73" s="28" t="str">
        <f>IFERROR(VLOOKUP(E73,Horarios!$H:$I,2,0),"")</f>
        <v/>
      </c>
      <c r="H73" s="28" t="str">
        <f t="shared" si="0"/>
        <v>00:00</v>
      </c>
      <c r="I73" s="29"/>
      <c r="J73" s="27"/>
      <c r="K73" s="27"/>
      <c r="L73" s="28" t="str">
        <f>IFERROR(VLOOKUP(J73,Horarios!$H:$I,2,0),"")</f>
        <v/>
      </c>
      <c r="M73" s="28" t="str">
        <f>IFERROR(VLOOKUP(K73,Horarios!$H:$I,2,0),"")</f>
        <v/>
      </c>
      <c r="N73" s="28" t="str">
        <f t="shared" si="1"/>
        <v>00:00</v>
      </c>
      <c r="O73" s="29"/>
      <c r="P73" s="27"/>
      <c r="Q73" s="27"/>
      <c r="R73" s="28" t="str">
        <f>IFERROR(VLOOKUP(P73,Horarios!$H:$I,2,0),"")</f>
        <v/>
      </c>
      <c r="S73" s="28" t="str">
        <f>IFERROR(VLOOKUP(Q73,Horarios!$H:$I,2,0),"")</f>
        <v/>
      </c>
      <c r="T73" s="28" t="str">
        <f t="shared" si="2"/>
        <v>00:00</v>
      </c>
      <c r="U73" s="29"/>
      <c r="V73" s="27"/>
      <c r="W73" s="27"/>
      <c r="X73" s="28" t="str">
        <f>IFERROR(VLOOKUP(V73,Horarios!$H:$I,2,0),"")</f>
        <v/>
      </c>
      <c r="Y73" s="28" t="str">
        <f>IFERROR(VLOOKUP(W73,Horarios!$H:$I,2,0),"")</f>
        <v/>
      </c>
      <c r="Z73" s="28" t="str">
        <f t="shared" si="3"/>
        <v>00:00</v>
      </c>
      <c r="AA73" s="29"/>
      <c r="AB73" s="27"/>
      <c r="AC73" s="27"/>
      <c r="AD73" s="28" t="str">
        <f>IFERROR(VLOOKUP(AB73,Horarios!$H:$I,2,0),"")</f>
        <v/>
      </c>
      <c r="AE73" s="28" t="str">
        <f>IFERROR(VLOOKUP(AC73,Horarios!$H:$I,2,0),"")</f>
        <v/>
      </c>
      <c r="AF73" s="28" t="str">
        <f t="shared" si="4"/>
        <v>00:00</v>
      </c>
      <c r="AG73" s="29"/>
      <c r="AH73" s="27"/>
      <c r="AI73" s="27"/>
      <c r="AJ73" s="28" t="str">
        <f>IFERROR(VLOOKUP(AH73,Horarios!$H:$I,2,0),"")</f>
        <v/>
      </c>
      <c r="AK73" s="28" t="str">
        <f>IFERROR(VLOOKUP(AI73,Horarios!$H:$I,2,0),"")</f>
        <v/>
      </c>
      <c r="AL73" s="28" t="str">
        <f t="shared" si="5"/>
        <v>00:00</v>
      </c>
      <c r="AM73" s="29"/>
      <c r="AN73" s="27"/>
      <c r="AO73" s="27"/>
      <c r="AP73" s="28" t="str">
        <f>IFERROR(VLOOKUP(AN73,Horarios!$H:$I,2,0),"")</f>
        <v/>
      </c>
      <c r="AQ73" s="28" t="str">
        <f>IFERROR(VLOOKUP(AO73,Horarios!$H:$I,2,0),"")</f>
        <v/>
      </c>
      <c r="AR73" s="28" t="str">
        <f t="shared" si="6"/>
        <v>00:00</v>
      </c>
      <c r="AS73" s="29"/>
      <c r="AT73" s="31" t="str">
        <f t="shared" si="7"/>
        <v/>
      </c>
      <c r="AU73" s="27"/>
      <c r="AV73" s="27"/>
      <c r="AW73" s="28" t="str">
        <f>IFERROR(VLOOKUP(AU73,Horarios!$H:$I,2,0),"")</f>
        <v/>
      </c>
      <c r="AX73" s="28" t="str">
        <f>IFERROR(VLOOKUP(AV73,Horarios!$H:$I,2,0),"")</f>
        <v/>
      </c>
      <c r="AY73" s="28" t="str">
        <f t="shared" si="8"/>
        <v>00:00</v>
      </c>
      <c r="AZ73" s="29"/>
      <c r="BA73" s="27"/>
      <c r="BB73" s="27"/>
      <c r="BC73" s="28" t="str">
        <f>IFERROR(VLOOKUP(BA73,Horarios!$H:$I,2,0),"")</f>
        <v/>
      </c>
      <c r="BD73" s="28" t="str">
        <f>IFERROR(VLOOKUP(BB73,Horarios!$H:$I,2,0),"")</f>
        <v/>
      </c>
      <c r="BE73" s="28" t="str">
        <f t="shared" si="9"/>
        <v>00:00</v>
      </c>
      <c r="BF73" s="29"/>
      <c r="BG73" s="27"/>
      <c r="BH73" s="27"/>
      <c r="BI73" s="28" t="str">
        <f>IFERROR(VLOOKUP(BG73,Horarios!$H:$I,2,0),"")</f>
        <v/>
      </c>
      <c r="BJ73" s="28" t="str">
        <f>IFERROR(VLOOKUP(BH73,Horarios!$H:$I,2,0),"")</f>
        <v/>
      </c>
      <c r="BK73" s="28" t="str">
        <f t="shared" si="10"/>
        <v>00:00</v>
      </c>
      <c r="BL73" s="29"/>
      <c r="BM73" s="27"/>
      <c r="BN73" s="27"/>
      <c r="BO73" s="28" t="str">
        <f>IFERROR(VLOOKUP(BM73,Horarios!$H:$I,2,0),"")</f>
        <v/>
      </c>
      <c r="BP73" s="28" t="str">
        <f>IFERROR(VLOOKUP(BN73,Horarios!$H:$I,2,0),"")</f>
        <v/>
      </c>
      <c r="BQ73" s="28" t="str">
        <f t="shared" si="11"/>
        <v>00:00</v>
      </c>
      <c r="BR73" s="29"/>
      <c r="BS73" s="27"/>
      <c r="BT73" s="27"/>
      <c r="BU73" s="28" t="str">
        <f>IFERROR(VLOOKUP(BS73,Horarios!$H:$I,2,0),"")</f>
        <v/>
      </c>
      <c r="BV73" s="28" t="str">
        <f>IFERROR(VLOOKUP(BT73,Horarios!$H:$I,2,0),"")</f>
        <v/>
      </c>
      <c r="BW73" s="28" t="str">
        <f t="shared" si="12"/>
        <v>00:00</v>
      </c>
      <c r="BX73" s="29"/>
      <c r="BY73" s="27"/>
      <c r="BZ73" s="27"/>
      <c r="CA73" s="28" t="str">
        <f>IFERROR(VLOOKUP(BY73,Horarios!$H:$I,2,0),"")</f>
        <v/>
      </c>
      <c r="CB73" s="28" t="str">
        <f>IFERROR(VLOOKUP(BZ73,Horarios!$H:$I,2,0),"")</f>
        <v/>
      </c>
      <c r="CC73" s="28" t="str">
        <f t="shared" si="13"/>
        <v>00:00</v>
      </c>
      <c r="CD73" s="29"/>
      <c r="CE73" s="27"/>
      <c r="CF73" s="27"/>
      <c r="CG73" s="28" t="str">
        <f>IFERROR(VLOOKUP(CE73,Horarios!$H:$I,2,0),"")</f>
        <v/>
      </c>
      <c r="CH73" s="28" t="str">
        <f>IFERROR(VLOOKUP(CF73,Horarios!$H:$I,2,0),"")</f>
        <v/>
      </c>
      <c r="CI73" s="28" t="str">
        <f t="shared" si="14"/>
        <v>00:00</v>
      </c>
      <c r="CJ73" s="29"/>
      <c r="CK73" s="31" t="str">
        <f t="shared" si="15"/>
        <v/>
      </c>
      <c r="CL73" s="27"/>
      <c r="CM73" s="27"/>
      <c r="CN73" s="28" t="str">
        <f>IFERROR(VLOOKUP(CL73,Horarios!$H:$I,2,0),"")</f>
        <v/>
      </c>
      <c r="CO73" s="28" t="str">
        <f>IFERROR(VLOOKUP(CM73,Horarios!$H:$I,2,0),"")</f>
        <v/>
      </c>
      <c r="CP73" s="28" t="str">
        <f t="shared" si="16"/>
        <v>00:00</v>
      </c>
      <c r="CQ73" s="29"/>
      <c r="CR73" s="27"/>
      <c r="CS73" s="27"/>
      <c r="CT73" s="28" t="str">
        <f>IFERROR(VLOOKUP(CR73,Horarios!$H:$I,2,0),"")</f>
        <v/>
      </c>
      <c r="CU73" s="28" t="str">
        <f>IFERROR(VLOOKUP(CS73,Horarios!$H:$I,2,0),"")</f>
        <v/>
      </c>
      <c r="CV73" s="28" t="str">
        <f t="shared" si="17"/>
        <v>00:00</v>
      </c>
      <c r="CW73" s="29"/>
      <c r="CX73" s="27"/>
      <c r="CY73" s="27"/>
      <c r="CZ73" s="28" t="str">
        <f>IFERROR(VLOOKUP(CX73,Horarios!$H:$I,2,0),"")</f>
        <v/>
      </c>
      <c r="DA73" s="28" t="str">
        <f>IFERROR(VLOOKUP(CY73,Horarios!$H:$I,2,0),"")</f>
        <v/>
      </c>
      <c r="DB73" s="28" t="str">
        <f t="shared" si="18"/>
        <v>00:00</v>
      </c>
      <c r="DC73" s="29"/>
      <c r="DD73" s="27"/>
      <c r="DE73" s="27"/>
      <c r="DF73" s="28" t="str">
        <f>IFERROR(VLOOKUP(DD73,Horarios!$H:$I,2,0),"")</f>
        <v/>
      </c>
      <c r="DG73" s="28" t="str">
        <f>IFERROR(VLOOKUP(DE73,Horarios!$H:$I,2,0),"")</f>
        <v/>
      </c>
      <c r="DH73" s="28" t="str">
        <f t="shared" si="19"/>
        <v>00:00</v>
      </c>
      <c r="DI73" s="29"/>
      <c r="DJ73" s="27"/>
      <c r="DK73" s="27"/>
      <c r="DL73" s="28" t="str">
        <f>IFERROR(VLOOKUP(DJ73,Horarios!$H:$I,2,0),"")</f>
        <v/>
      </c>
      <c r="DM73" s="28" t="str">
        <f>IFERROR(VLOOKUP(DK73,Horarios!$H:$I,2,0),"")</f>
        <v/>
      </c>
      <c r="DN73" s="28" t="str">
        <f t="shared" si="20"/>
        <v>00:00</v>
      </c>
      <c r="DO73" s="29"/>
      <c r="DP73" s="27"/>
      <c r="DQ73" s="27"/>
      <c r="DR73" s="28" t="str">
        <f>IFERROR(VLOOKUP(DP73,Horarios!$H:$I,2,0),"")</f>
        <v/>
      </c>
      <c r="DS73" s="28" t="str">
        <f>IFERROR(VLOOKUP(DQ73,Horarios!$H:$I,2,0),"")</f>
        <v/>
      </c>
      <c r="DT73" s="28" t="str">
        <f t="shared" si="21"/>
        <v>00:00</v>
      </c>
      <c r="DU73" s="29"/>
      <c r="DV73" s="27"/>
      <c r="DW73" s="27"/>
      <c r="DX73" s="28" t="str">
        <f>IFERROR(VLOOKUP(DV73,Horarios!$H:$I,2,0),"")</f>
        <v/>
      </c>
      <c r="DY73" s="28" t="str">
        <f>IFERROR(VLOOKUP(DW73,Horarios!$H:$I,2,0),"")</f>
        <v/>
      </c>
      <c r="DZ73" s="28" t="str">
        <f t="shared" si="22"/>
        <v>00:00</v>
      </c>
      <c r="EA73" s="29"/>
      <c r="EB73" s="31" t="str">
        <f t="shared" si="23"/>
        <v/>
      </c>
      <c r="EC73" s="27"/>
      <c r="ED73" s="27"/>
      <c r="EE73" s="28" t="str">
        <f>IFERROR(VLOOKUP(EC73,Horarios!$H:$I,2,0),"")</f>
        <v/>
      </c>
      <c r="EF73" s="28" t="str">
        <f>IFERROR(VLOOKUP(ED73,Horarios!$H:$I,2,0),"")</f>
        <v/>
      </c>
      <c r="EG73" s="28" t="str">
        <f t="shared" si="24"/>
        <v>00:00</v>
      </c>
      <c r="EH73" s="29"/>
      <c r="EI73" s="27"/>
      <c r="EJ73" s="27"/>
      <c r="EK73" s="28" t="str">
        <f>IFERROR(VLOOKUP(EI73,Horarios!$H:$I,2,0),"")</f>
        <v/>
      </c>
      <c r="EL73" s="28" t="str">
        <f>IFERROR(VLOOKUP(EJ73,Horarios!$H:$I,2,0),"")</f>
        <v/>
      </c>
      <c r="EM73" s="28" t="str">
        <f t="shared" si="25"/>
        <v>00:00</v>
      </c>
      <c r="EN73" s="29"/>
      <c r="EO73" s="27"/>
      <c r="EP73" s="27"/>
      <c r="EQ73" s="28" t="str">
        <f>IFERROR(VLOOKUP(EO73,Horarios!$H:$I,2,0),"")</f>
        <v/>
      </c>
      <c r="ER73" s="28" t="str">
        <f>IFERROR(VLOOKUP(EP73,Horarios!$H:$I,2,0),"")</f>
        <v/>
      </c>
      <c r="ES73" s="28" t="str">
        <f t="shared" si="26"/>
        <v>00:00</v>
      </c>
      <c r="ET73" s="29"/>
      <c r="EU73" s="27"/>
      <c r="EV73" s="27"/>
      <c r="EW73" s="28" t="str">
        <f>IFERROR(VLOOKUP(EU73,Horarios!$H:$I,2,0),"")</f>
        <v/>
      </c>
      <c r="EX73" s="28" t="str">
        <f>IFERROR(VLOOKUP(EV73,Horarios!$H:$I,2,0),"")</f>
        <v/>
      </c>
      <c r="EY73" s="28" t="str">
        <f t="shared" si="27"/>
        <v>00:00</v>
      </c>
      <c r="EZ73" s="29"/>
      <c r="FA73" s="27"/>
      <c r="FB73" s="27"/>
      <c r="FC73" s="28" t="str">
        <f>IFERROR(VLOOKUP(FA73,Horarios!$H:$I,2,0),"")</f>
        <v/>
      </c>
      <c r="FD73" s="28" t="str">
        <f>IFERROR(VLOOKUP(FB73,Horarios!$H:$I,2,0),"")</f>
        <v/>
      </c>
      <c r="FE73" s="28" t="str">
        <f t="shared" si="28"/>
        <v>00:00</v>
      </c>
      <c r="FF73" s="29"/>
      <c r="FG73" s="27"/>
      <c r="FH73" s="27"/>
      <c r="FI73" s="28" t="str">
        <f>IFERROR(VLOOKUP(FG73,Horarios!$H:$I,2,0),"")</f>
        <v/>
      </c>
      <c r="FJ73" s="28" t="str">
        <f>IFERROR(VLOOKUP(FH73,Horarios!$H:$I,2,0),"")</f>
        <v/>
      </c>
      <c r="FK73" s="28" t="str">
        <f t="shared" si="29"/>
        <v>00:00</v>
      </c>
      <c r="FL73" s="29"/>
      <c r="FM73" s="27"/>
      <c r="FN73" s="27"/>
      <c r="FO73" s="28" t="str">
        <f>IFERROR(VLOOKUP(FM73,Horarios!$H:$I,2,0),"")</f>
        <v/>
      </c>
      <c r="FP73" s="28" t="str">
        <f>IFERROR(VLOOKUP(FN73,Horarios!$H:$I,2,0),"")</f>
        <v/>
      </c>
      <c r="FQ73" s="28" t="str">
        <f t="shared" si="30"/>
        <v>00:00</v>
      </c>
      <c r="FR73" s="29"/>
      <c r="FS73" s="31" t="str">
        <f t="shared" si="31"/>
        <v/>
      </c>
      <c r="FT73" s="27"/>
      <c r="FU73" s="27"/>
      <c r="FV73" s="28" t="str">
        <f>IFERROR(VLOOKUP(FT73,Horarios!$H:$I,2,0),"")</f>
        <v/>
      </c>
      <c r="FW73" s="28" t="str">
        <f>IFERROR(VLOOKUP(FU73,Horarios!$H:$I,2,0),"")</f>
        <v/>
      </c>
      <c r="FX73" s="28" t="str">
        <f t="shared" si="32"/>
        <v>00:00</v>
      </c>
      <c r="FY73" s="29"/>
      <c r="FZ73" s="27"/>
      <c r="GA73" s="27"/>
      <c r="GB73" s="28" t="str">
        <f>IFERROR(VLOOKUP(FZ73,Horarios!$H:$I,2,0),"")</f>
        <v/>
      </c>
      <c r="GC73" s="28" t="str">
        <f>IFERROR(VLOOKUP(GA73,Horarios!$H:$I,2,0),"")</f>
        <v/>
      </c>
      <c r="GD73" s="28" t="str">
        <f t="shared" si="33"/>
        <v>00:00</v>
      </c>
      <c r="GE73" s="29"/>
      <c r="GF73" s="27"/>
      <c r="GG73" s="27"/>
      <c r="GH73" s="28" t="str">
        <f>IFERROR(VLOOKUP(GF73,Horarios!$H:$I,2,0),"")</f>
        <v/>
      </c>
      <c r="GI73" s="28" t="str">
        <f>IFERROR(VLOOKUP(GG73,Horarios!$H:$I,2,0),"")</f>
        <v/>
      </c>
      <c r="GJ73" s="28" t="str">
        <f t="shared" si="34"/>
        <v>00:00</v>
      </c>
      <c r="GK73" s="29"/>
      <c r="GL73" s="27"/>
      <c r="GM73" s="27"/>
      <c r="GN73" s="28" t="str">
        <f>IFERROR(VLOOKUP(GL73,Horarios!$H:$I,2,0),"")</f>
        <v/>
      </c>
      <c r="GO73" s="28" t="str">
        <f>IFERROR(VLOOKUP(GM73,Horarios!$H:$I,2,0),"")</f>
        <v/>
      </c>
      <c r="GP73" s="28" t="str">
        <f t="shared" si="35"/>
        <v>00:00</v>
      </c>
      <c r="GQ73" s="29"/>
      <c r="GR73" s="27"/>
      <c r="GS73" s="27"/>
      <c r="GT73" s="28" t="str">
        <f>IFERROR(VLOOKUP(GR73,Horarios!$H:$I,2,0),"")</f>
        <v/>
      </c>
      <c r="GU73" s="28" t="str">
        <f>IFERROR(VLOOKUP(GS73,Horarios!$H:$I,2,0),"")</f>
        <v/>
      </c>
      <c r="GV73" s="28" t="str">
        <f t="shared" si="36"/>
        <v>00:00</v>
      </c>
      <c r="GW73" s="29"/>
      <c r="GX73" s="27"/>
      <c r="GY73" s="27"/>
      <c r="GZ73" s="28" t="str">
        <f>IFERROR(VLOOKUP(GX73,Horarios!$H:$I,2,0),"")</f>
        <v/>
      </c>
      <c r="HA73" s="28" t="str">
        <f>IFERROR(VLOOKUP(GY73,Horarios!$H:$I,2,0),"")</f>
        <v/>
      </c>
      <c r="HB73" s="28" t="str">
        <f t="shared" si="37"/>
        <v>00:00</v>
      </c>
      <c r="HC73" s="29"/>
      <c r="HD73" s="27"/>
      <c r="HE73" s="27"/>
      <c r="HF73" s="28" t="str">
        <f>IFERROR(VLOOKUP(HD73,Horarios!$H:$I,2,0),"")</f>
        <v/>
      </c>
      <c r="HG73" s="28" t="str">
        <f>IFERROR(VLOOKUP(HE73,Horarios!$H:$I,2,0),"")</f>
        <v/>
      </c>
      <c r="HH73" s="28" t="str">
        <f t="shared" si="38"/>
        <v>00:00</v>
      </c>
      <c r="HI73" s="29"/>
      <c r="HJ73" s="31" t="str">
        <f t="shared" si="39"/>
        <v/>
      </c>
      <c r="HK73" s="27"/>
      <c r="HL73" s="27"/>
      <c r="HM73" s="28" t="str">
        <f>IFERROR(VLOOKUP(HK73,Horarios!$H:$I,2,0),"")</f>
        <v/>
      </c>
      <c r="HN73" s="28" t="str">
        <f>IFERROR(VLOOKUP(HL73,Horarios!$H:$I,2,0),"")</f>
        <v/>
      </c>
      <c r="HO73" s="28" t="str">
        <f t="shared" si="40"/>
        <v>00:00</v>
      </c>
      <c r="HP73" s="29"/>
      <c r="HQ73" s="27"/>
      <c r="HR73" s="27"/>
      <c r="HS73" s="28" t="str">
        <f>IFERROR(VLOOKUP(HQ73,Horarios!$H:$I,2,0),"")</f>
        <v/>
      </c>
      <c r="HT73" s="28" t="str">
        <f>IFERROR(VLOOKUP(HR73,Horarios!$H:$I,2,0),"")</f>
        <v/>
      </c>
      <c r="HU73" s="28" t="str">
        <f t="shared" si="41"/>
        <v>00:00</v>
      </c>
      <c r="HV73" s="29"/>
      <c r="HW73" s="27"/>
      <c r="HX73" s="27"/>
      <c r="HY73" s="28" t="str">
        <f>IFERROR(VLOOKUP(HW73,Horarios!$H:$I,2,0),"")</f>
        <v/>
      </c>
      <c r="HZ73" s="28" t="str">
        <f>IFERROR(VLOOKUP(HX73,Horarios!$H:$I,2,0),"")</f>
        <v/>
      </c>
      <c r="IA73" s="28" t="str">
        <f t="shared" si="42"/>
        <v>00:00</v>
      </c>
      <c r="IB73" s="29"/>
      <c r="IC73" s="27"/>
      <c r="ID73" s="27"/>
      <c r="IE73" s="28" t="str">
        <f>IFERROR(VLOOKUP(IC73,Horarios!$H:$I,2,0),"")</f>
        <v/>
      </c>
      <c r="IF73" s="28" t="str">
        <f>IFERROR(VLOOKUP(ID73,Horarios!$H:$I,2,0),"")</f>
        <v/>
      </c>
      <c r="IG73" s="28" t="str">
        <f t="shared" si="43"/>
        <v>00:00</v>
      </c>
      <c r="IH73" s="29"/>
      <c r="II73" s="27"/>
      <c r="IJ73" s="27"/>
      <c r="IK73" s="28" t="str">
        <f>IFERROR(VLOOKUP(II73,Horarios!$H:$I,2,0),"")</f>
        <v/>
      </c>
      <c r="IL73" s="28" t="str">
        <f>IFERROR(VLOOKUP(IJ73,Horarios!$H:$I,2,0),"")</f>
        <v/>
      </c>
      <c r="IM73" s="28" t="str">
        <f t="shared" si="44"/>
        <v>00:00</v>
      </c>
      <c r="IN73" s="29"/>
      <c r="IO73" s="27"/>
      <c r="IP73" s="27"/>
      <c r="IQ73" s="28" t="str">
        <f>IFERROR(VLOOKUP(IO73,Horarios!$H:$I,2,0),"")</f>
        <v/>
      </c>
      <c r="IR73" s="28" t="str">
        <f>IFERROR(VLOOKUP(IP73,Horarios!$H:$I,2,0),"")</f>
        <v/>
      </c>
      <c r="IS73" s="28" t="str">
        <f t="shared" si="45"/>
        <v>00:00</v>
      </c>
      <c r="IT73" s="29"/>
      <c r="IU73" s="27"/>
      <c r="IV73" s="27"/>
      <c r="IW73" s="28" t="str">
        <f>IFERROR(VLOOKUP(IU73,Horarios!$H:$I,2,0),"")</f>
        <v/>
      </c>
      <c r="IX73" s="28" t="str">
        <f>IFERROR(VLOOKUP(IV73,Horarios!$H:$I,2,0),"")</f>
        <v/>
      </c>
      <c r="IY73" s="28" t="str">
        <f t="shared" si="46"/>
        <v>00:00</v>
      </c>
      <c r="IZ73" s="29"/>
      <c r="JA73" s="31" t="str">
        <f t="shared" si="47"/>
        <v/>
      </c>
    </row>
    <row r="74" spans="1:261" s="24" customFormat="1" ht="17.399999999999999" x14ac:dyDescent="0.25">
      <c r="A74" s="25"/>
      <c r="B74" s="26" t="str">
        <f>IFERROR(VLOOKUP(A74,BaseNombres!A:B,2,0),"")</f>
        <v/>
      </c>
      <c r="C74" s="26" t="str">
        <f>IFERROR(VLOOKUP(A74,BaseNombres!A:C,3,0),"")</f>
        <v/>
      </c>
      <c r="D74" s="27"/>
      <c r="E74" s="27"/>
      <c r="F74" s="28" t="str">
        <f>IFERROR(VLOOKUP(D74,Horarios!$H:$I,2,0),"")</f>
        <v/>
      </c>
      <c r="G74" s="28" t="str">
        <f>IFERROR(VLOOKUP(E74,Horarios!$H:$I,2,0),"")</f>
        <v/>
      </c>
      <c r="H74" s="28" t="str">
        <f t="shared" si="0"/>
        <v>00:00</v>
      </c>
      <c r="I74" s="29"/>
      <c r="J74" s="27"/>
      <c r="K74" s="27"/>
      <c r="L74" s="28" t="str">
        <f>IFERROR(VLOOKUP(J74,Horarios!$H:$I,2,0),"")</f>
        <v/>
      </c>
      <c r="M74" s="28" t="str">
        <f>IFERROR(VLOOKUP(K74,Horarios!$H:$I,2,0),"")</f>
        <v/>
      </c>
      <c r="N74" s="28" t="str">
        <f t="shared" si="1"/>
        <v>00:00</v>
      </c>
      <c r="O74" s="29"/>
      <c r="P74" s="27"/>
      <c r="Q74" s="27"/>
      <c r="R74" s="28" t="str">
        <f>IFERROR(VLOOKUP(P74,Horarios!$H:$I,2,0),"")</f>
        <v/>
      </c>
      <c r="S74" s="28" t="str">
        <f>IFERROR(VLOOKUP(Q74,Horarios!$H:$I,2,0),"")</f>
        <v/>
      </c>
      <c r="T74" s="28" t="str">
        <f t="shared" si="2"/>
        <v>00:00</v>
      </c>
      <c r="U74" s="29"/>
      <c r="V74" s="27"/>
      <c r="W74" s="27"/>
      <c r="X74" s="28" t="str">
        <f>IFERROR(VLOOKUP(V74,Horarios!$H:$I,2,0),"")</f>
        <v/>
      </c>
      <c r="Y74" s="28" t="str">
        <f>IFERROR(VLOOKUP(W74,Horarios!$H:$I,2,0),"")</f>
        <v/>
      </c>
      <c r="Z74" s="28" t="str">
        <f t="shared" si="3"/>
        <v>00:00</v>
      </c>
      <c r="AA74" s="29"/>
      <c r="AB74" s="27"/>
      <c r="AC74" s="27"/>
      <c r="AD74" s="28" t="str">
        <f>IFERROR(VLOOKUP(AB74,Horarios!$H:$I,2,0),"")</f>
        <v/>
      </c>
      <c r="AE74" s="28" t="str">
        <f>IFERROR(VLOOKUP(AC74,Horarios!$H:$I,2,0),"")</f>
        <v/>
      </c>
      <c r="AF74" s="28" t="str">
        <f t="shared" si="4"/>
        <v>00:00</v>
      </c>
      <c r="AG74" s="29"/>
      <c r="AH74" s="27"/>
      <c r="AI74" s="27"/>
      <c r="AJ74" s="28" t="str">
        <f>IFERROR(VLOOKUP(AH74,Horarios!$H:$I,2,0),"")</f>
        <v/>
      </c>
      <c r="AK74" s="28" t="str">
        <f>IFERROR(VLOOKUP(AI74,Horarios!$H:$I,2,0),"")</f>
        <v/>
      </c>
      <c r="AL74" s="28" t="str">
        <f t="shared" si="5"/>
        <v>00:00</v>
      </c>
      <c r="AM74" s="29"/>
      <c r="AN74" s="27"/>
      <c r="AO74" s="27"/>
      <c r="AP74" s="28" t="str">
        <f>IFERROR(VLOOKUP(AN74,Horarios!$H:$I,2,0),"")</f>
        <v/>
      </c>
      <c r="AQ74" s="28" t="str">
        <f>IFERROR(VLOOKUP(AO74,Horarios!$H:$I,2,0),"")</f>
        <v/>
      </c>
      <c r="AR74" s="28" t="str">
        <f t="shared" si="6"/>
        <v>00:00</v>
      </c>
      <c r="AS74" s="29"/>
      <c r="AT74" s="31" t="str">
        <f t="shared" si="7"/>
        <v/>
      </c>
      <c r="AU74" s="27"/>
      <c r="AV74" s="27"/>
      <c r="AW74" s="28" t="str">
        <f>IFERROR(VLOOKUP(AU74,Horarios!$H:$I,2,0),"")</f>
        <v/>
      </c>
      <c r="AX74" s="28" t="str">
        <f>IFERROR(VLOOKUP(AV74,Horarios!$H:$I,2,0),"")</f>
        <v/>
      </c>
      <c r="AY74" s="28" t="str">
        <f t="shared" si="8"/>
        <v>00:00</v>
      </c>
      <c r="AZ74" s="29"/>
      <c r="BA74" s="27"/>
      <c r="BB74" s="27"/>
      <c r="BC74" s="28" t="str">
        <f>IFERROR(VLOOKUP(BA74,Horarios!$H:$I,2,0),"")</f>
        <v/>
      </c>
      <c r="BD74" s="28" t="str">
        <f>IFERROR(VLOOKUP(BB74,Horarios!$H:$I,2,0),"")</f>
        <v/>
      </c>
      <c r="BE74" s="28" t="str">
        <f t="shared" si="9"/>
        <v>00:00</v>
      </c>
      <c r="BF74" s="29"/>
      <c r="BG74" s="27"/>
      <c r="BH74" s="27"/>
      <c r="BI74" s="28" t="str">
        <f>IFERROR(VLOOKUP(BG74,Horarios!$H:$I,2,0),"")</f>
        <v/>
      </c>
      <c r="BJ74" s="28" t="str">
        <f>IFERROR(VLOOKUP(BH74,Horarios!$H:$I,2,0),"")</f>
        <v/>
      </c>
      <c r="BK74" s="28" t="str">
        <f t="shared" si="10"/>
        <v>00:00</v>
      </c>
      <c r="BL74" s="29"/>
      <c r="BM74" s="27"/>
      <c r="BN74" s="27"/>
      <c r="BO74" s="28" t="str">
        <f>IFERROR(VLOOKUP(BM74,Horarios!$H:$I,2,0),"")</f>
        <v/>
      </c>
      <c r="BP74" s="28" t="str">
        <f>IFERROR(VLOOKUP(BN74,Horarios!$H:$I,2,0),"")</f>
        <v/>
      </c>
      <c r="BQ74" s="28" t="str">
        <f t="shared" si="11"/>
        <v>00:00</v>
      </c>
      <c r="BR74" s="29"/>
      <c r="BS74" s="27"/>
      <c r="BT74" s="27"/>
      <c r="BU74" s="28" t="str">
        <f>IFERROR(VLOOKUP(BS74,Horarios!$H:$I,2,0),"")</f>
        <v/>
      </c>
      <c r="BV74" s="28" t="str">
        <f>IFERROR(VLOOKUP(BT74,Horarios!$H:$I,2,0),"")</f>
        <v/>
      </c>
      <c r="BW74" s="28" t="str">
        <f t="shared" si="12"/>
        <v>00:00</v>
      </c>
      <c r="BX74" s="29"/>
      <c r="BY74" s="27"/>
      <c r="BZ74" s="27"/>
      <c r="CA74" s="28" t="str">
        <f>IFERROR(VLOOKUP(BY74,Horarios!$H:$I,2,0),"")</f>
        <v/>
      </c>
      <c r="CB74" s="28" t="str">
        <f>IFERROR(VLOOKUP(BZ74,Horarios!$H:$I,2,0),"")</f>
        <v/>
      </c>
      <c r="CC74" s="28" t="str">
        <f t="shared" si="13"/>
        <v>00:00</v>
      </c>
      <c r="CD74" s="29"/>
      <c r="CE74" s="27"/>
      <c r="CF74" s="27"/>
      <c r="CG74" s="28" t="str">
        <f>IFERROR(VLOOKUP(CE74,Horarios!$H:$I,2,0),"")</f>
        <v/>
      </c>
      <c r="CH74" s="28" t="str">
        <f>IFERROR(VLOOKUP(CF74,Horarios!$H:$I,2,0),"")</f>
        <v/>
      </c>
      <c r="CI74" s="28" t="str">
        <f t="shared" si="14"/>
        <v>00:00</v>
      </c>
      <c r="CJ74" s="29"/>
      <c r="CK74" s="31" t="str">
        <f t="shared" si="15"/>
        <v/>
      </c>
      <c r="CL74" s="27"/>
      <c r="CM74" s="27"/>
      <c r="CN74" s="28" t="str">
        <f>IFERROR(VLOOKUP(CL74,Horarios!$H:$I,2,0),"")</f>
        <v/>
      </c>
      <c r="CO74" s="28" t="str">
        <f>IFERROR(VLOOKUP(CM74,Horarios!$H:$I,2,0),"")</f>
        <v/>
      </c>
      <c r="CP74" s="28" t="str">
        <f t="shared" si="16"/>
        <v>00:00</v>
      </c>
      <c r="CQ74" s="29"/>
      <c r="CR74" s="27"/>
      <c r="CS74" s="27"/>
      <c r="CT74" s="28" t="str">
        <f>IFERROR(VLOOKUP(CR74,Horarios!$H:$I,2,0),"")</f>
        <v/>
      </c>
      <c r="CU74" s="28" t="str">
        <f>IFERROR(VLOOKUP(CS74,Horarios!$H:$I,2,0),"")</f>
        <v/>
      </c>
      <c r="CV74" s="28" t="str">
        <f t="shared" si="17"/>
        <v>00:00</v>
      </c>
      <c r="CW74" s="29"/>
      <c r="CX74" s="27"/>
      <c r="CY74" s="27"/>
      <c r="CZ74" s="28" t="str">
        <f>IFERROR(VLOOKUP(CX74,Horarios!$H:$I,2,0),"")</f>
        <v/>
      </c>
      <c r="DA74" s="28" t="str">
        <f>IFERROR(VLOOKUP(CY74,Horarios!$H:$I,2,0),"")</f>
        <v/>
      </c>
      <c r="DB74" s="28" t="str">
        <f t="shared" si="18"/>
        <v>00:00</v>
      </c>
      <c r="DC74" s="29"/>
      <c r="DD74" s="27"/>
      <c r="DE74" s="27"/>
      <c r="DF74" s="28" t="str">
        <f>IFERROR(VLOOKUP(DD74,Horarios!$H:$I,2,0),"")</f>
        <v/>
      </c>
      <c r="DG74" s="28" t="str">
        <f>IFERROR(VLOOKUP(DE74,Horarios!$H:$I,2,0),"")</f>
        <v/>
      </c>
      <c r="DH74" s="28" t="str">
        <f t="shared" si="19"/>
        <v>00:00</v>
      </c>
      <c r="DI74" s="29"/>
      <c r="DJ74" s="27"/>
      <c r="DK74" s="27"/>
      <c r="DL74" s="28" t="str">
        <f>IFERROR(VLOOKUP(DJ74,Horarios!$H:$I,2,0),"")</f>
        <v/>
      </c>
      <c r="DM74" s="28" t="str">
        <f>IFERROR(VLOOKUP(DK74,Horarios!$H:$I,2,0),"")</f>
        <v/>
      </c>
      <c r="DN74" s="28" t="str">
        <f t="shared" si="20"/>
        <v>00:00</v>
      </c>
      <c r="DO74" s="29"/>
      <c r="DP74" s="27"/>
      <c r="DQ74" s="27"/>
      <c r="DR74" s="28" t="str">
        <f>IFERROR(VLOOKUP(DP74,Horarios!$H:$I,2,0),"")</f>
        <v/>
      </c>
      <c r="DS74" s="28" t="str">
        <f>IFERROR(VLOOKUP(DQ74,Horarios!$H:$I,2,0),"")</f>
        <v/>
      </c>
      <c r="DT74" s="28" t="str">
        <f t="shared" si="21"/>
        <v>00:00</v>
      </c>
      <c r="DU74" s="29"/>
      <c r="DV74" s="27"/>
      <c r="DW74" s="27"/>
      <c r="DX74" s="28" t="str">
        <f>IFERROR(VLOOKUP(DV74,Horarios!$H:$I,2,0),"")</f>
        <v/>
      </c>
      <c r="DY74" s="28" t="str">
        <f>IFERROR(VLOOKUP(DW74,Horarios!$H:$I,2,0),"")</f>
        <v/>
      </c>
      <c r="DZ74" s="28" t="str">
        <f t="shared" si="22"/>
        <v>00:00</v>
      </c>
      <c r="EA74" s="29"/>
      <c r="EB74" s="31" t="str">
        <f t="shared" si="23"/>
        <v/>
      </c>
      <c r="EC74" s="27"/>
      <c r="ED74" s="27"/>
      <c r="EE74" s="28" t="str">
        <f>IFERROR(VLOOKUP(EC74,Horarios!$H:$I,2,0),"")</f>
        <v/>
      </c>
      <c r="EF74" s="28" t="str">
        <f>IFERROR(VLOOKUP(ED74,Horarios!$H:$I,2,0),"")</f>
        <v/>
      </c>
      <c r="EG74" s="28" t="str">
        <f t="shared" si="24"/>
        <v>00:00</v>
      </c>
      <c r="EH74" s="29"/>
      <c r="EI74" s="27"/>
      <c r="EJ74" s="27"/>
      <c r="EK74" s="28" t="str">
        <f>IFERROR(VLOOKUP(EI74,Horarios!$H:$I,2,0),"")</f>
        <v/>
      </c>
      <c r="EL74" s="28" t="str">
        <f>IFERROR(VLOOKUP(EJ74,Horarios!$H:$I,2,0),"")</f>
        <v/>
      </c>
      <c r="EM74" s="28" t="str">
        <f t="shared" si="25"/>
        <v>00:00</v>
      </c>
      <c r="EN74" s="29"/>
      <c r="EO74" s="27"/>
      <c r="EP74" s="27"/>
      <c r="EQ74" s="28" t="str">
        <f>IFERROR(VLOOKUP(EO74,Horarios!$H:$I,2,0),"")</f>
        <v/>
      </c>
      <c r="ER74" s="28" t="str">
        <f>IFERROR(VLOOKUP(EP74,Horarios!$H:$I,2,0),"")</f>
        <v/>
      </c>
      <c r="ES74" s="28" t="str">
        <f t="shared" si="26"/>
        <v>00:00</v>
      </c>
      <c r="ET74" s="29"/>
      <c r="EU74" s="27"/>
      <c r="EV74" s="27"/>
      <c r="EW74" s="28" t="str">
        <f>IFERROR(VLOOKUP(EU74,Horarios!$H:$I,2,0),"")</f>
        <v/>
      </c>
      <c r="EX74" s="28" t="str">
        <f>IFERROR(VLOOKUP(EV74,Horarios!$H:$I,2,0),"")</f>
        <v/>
      </c>
      <c r="EY74" s="28" t="str">
        <f t="shared" si="27"/>
        <v>00:00</v>
      </c>
      <c r="EZ74" s="29"/>
      <c r="FA74" s="27"/>
      <c r="FB74" s="27"/>
      <c r="FC74" s="28" t="str">
        <f>IFERROR(VLOOKUP(FA74,Horarios!$H:$I,2,0),"")</f>
        <v/>
      </c>
      <c r="FD74" s="28" t="str">
        <f>IFERROR(VLOOKUP(FB74,Horarios!$H:$I,2,0),"")</f>
        <v/>
      </c>
      <c r="FE74" s="28" t="str">
        <f t="shared" si="28"/>
        <v>00:00</v>
      </c>
      <c r="FF74" s="29"/>
      <c r="FG74" s="27"/>
      <c r="FH74" s="27"/>
      <c r="FI74" s="28" t="str">
        <f>IFERROR(VLOOKUP(FG74,Horarios!$H:$I,2,0),"")</f>
        <v/>
      </c>
      <c r="FJ74" s="28" t="str">
        <f>IFERROR(VLOOKUP(FH74,Horarios!$H:$I,2,0),"")</f>
        <v/>
      </c>
      <c r="FK74" s="28" t="str">
        <f t="shared" si="29"/>
        <v>00:00</v>
      </c>
      <c r="FL74" s="29"/>
      <c r="FM74" s="27"/>
      <c r="FN74" s="27"/>
      <c r="FO74" s="28" t="str">
        <f>IFERROR(VLOOKUP(FM74,Horarios!$H:$I,2,0),"")</f>
        <v/>
      </c>
      <c r="FP74" s="28" t="str">
        <f>IFERROR(VLOOKUP(FN74,Horarios!$H:$I,2,0),"")</f>
        <v/>
      </c>
      <c r="FQ74" s="28" t="str">
        <f t="shared" si="30"/>
        <v>00:00</v>
      </c>
      <c r="FR74" s="29"/>
      <c r="FS74" s="31" t="str">
        <f t="shared" si="31"/>
        <v/>
      </c>
      <c r="FT74" s="27"/>
      <c r="FU74" s="27"/>
      <c r="FV74" s="28" t="str">
        <f>IFERROR(VLOOKUP(FT74,Horarios!$H:$I,2,0),"")</f>
        <v/>
      </c>
      <c r="FW74" s="28" t="str">
        <f>IFERROR(VLOOKUP(FU74,Horarios!$H:$I,2,0),"")</f>
        <v/>
      </c>
      <c r="FX74" s="28" t="str">
        <f t="shared" si="32"/>
        <v>00:00</v>
      </c>
      <c r="FY74" s="29"/>
      <c r="FZ74" s="27"/>
      <c r="GA74" s="27"/>
      <c r="GB74" s="28" t="str">
        <f>IFERROR(VLOOKUP(FZ74,Horarios!$H:$I,2,0),"")</f>
        <v/>
      </c>
      <c r="GC74" s="28" t="str">
        <f>IFERROR(VLOOKUP(GA74,Horarios!$H:$I,2,0),"")</f>
        <v/>
      </c>
      <c r="GD74" s="28" t="str">
        <f t="shared" si="33"/>
        <v>00:00</v>
      </c>
      <c r="GE74" s="29"/>
      <c r="GF74" s="27"/>
      <c r="GG74" s="27"/>
      <c r="GH74" s="28" t="str">
        <f>IFERROR(VLOOKUP(GF74,Horarios!$H:$I,2,0),"")</f>
        <v/>
      </c>
      <c r="GI74" s="28" t="str">
        <f>IFERROR(VLOOKUP(GG74,Horarios!$H:$I,2,0),"")</f>
        <v/>
      </c>
      <c r="GJ74" s="28" t="str">
        <f t="shared" si="34"/>
        <v>00:00</v>
      </c>
      <c r="GK74" s="29"/>
      <c r="GL74" s="27"/>
      <c r="GM74" s="27"/>
      <c r="GN74" s="28" t="str">
        <f>IFERROR(VLOOKUP(GL74,Horarios!$H:$I,2,0),"")</f>
        <v/>
      </c>
      <c r="GO74" s="28" t="str">
        <f>IFERROR(VLOOKUP(GM74,Horarios!$H:$I,2,0),"")</f>
        <v/>
      </c>
      <c r="GP74" s="28" t="str">
        <f t="shared" si="35"/>
        <v>00:00</v>
      </c>
      <c r="GQ74" s="29"/>
      <c r="GR74" s="27"/>
      <c r="GS74" s="27"/>
      <c r="GT74" s="28" t="str">
        <f>IFERROR(VLOOKUP(GR74,Horarios!$H:$I,2,0),"")</f>
        <v/>
      </c>
      <c r="GU74" s="28" t="str">
        <f>IFERROR(VLOOKUP(GS74,Horarios!$H:$I,2,0),"")</f>
        <v/>
      </c>
      <c r="GV74" s="28" t="str">
        <f t="shared" si="36"/>
        <v>00:00</v>
      </c>
      <c r="GW74" s="29"/>
      <c r="GX74" s="27"/>
      <c r="GY74" s="27"/>
      <c r="GZ74" s="28" t="str">
        <f>IFERROR(VLOOKUP(GX74,Horarios!$H:$I,2,0),"")</f>
        <v/>
      </c>
      <c r="HA74" s="28" t="str">
        <f>IFERROR(VLOOKUP(GY74,Horarios!$H:$I,2,0),"")</f>
        <v/>
      </c>
      <c r="HB74" s="28" t="str">
        <f t="shared" si="37"/>
        <v>00:00</v>
      </c>
      <c r="HC74" s="29"/>
      <c r="HD74" s="27"/>
      <c r="HE74" s="27"/>
      <c r="HF74" s="28" t="str">
        <f>IFERROR(VLOOKUP(HD74,Horarios!$H:$I,2,0),"")</f>
        <v/>
      </c>
      <c r="HG74" s="28" t="str">
        <f>IFERROR(VLOOKUP(HE74,Horarios!$H:$I,2,0),"")</f>
        <v/>
      </c>
      <c r="HH74" s="28" t="str">
        <f t="shared" si="38"/>
        <v>00:00</v>
      </c>
      <c r="HI74" s="29"/>
      <c r="HJ74" s="31" t="str">
        <f t="shared" si="39"/>
        <v/>
      </c>
      <c r="HK74" s="27"/>
      <c r="HL74" s="27"/>
      <c r="HM74" s="28" t="str">
        <f>IFERROR(VLOOKUP(HK74,Horarios!$H:$I,2,0),"")</f>
        <v/>
      </c>
      <c r="HN74" s="28" t="str">
        <f>IFERROR(VLOOKUP(HL74,Horarios!$H:$I,2,0),"")</f>
        <v/>
      </c>
      <c r="HO74" s="28" t="str">
        <f t="shared" si="40"/>
        <v>00:00</v>
      </c>
      <c r="HP74" s="29"/>
      <c r="HQ74" s="27"/>
      <c r="HR74" s="27"/>
      <c r="HS74" s="28" t="str">
        <f>IFERROR(VLOOKUP(HQ74,Horarios!$H:$I,2,0),"")</f>
        <v/>
      </c>
      <c r="HT74" s="28" t="str">
        <f>IFERROR(VLOOKUP(HR74,Horarios!$H:$I,2,0),"")</f>
        <v/>
      </c>
      <c r="HU74" s="28" t="str">
        <f t="shared" si="41"/>
        <v>00:00</v>
      </c>
      <c r="HV74" s="29"/>
      <c r="HW74" s="27"/>
      <c r="HX74" s="27"/>
      <c r="HY74" s="28" t="str">
        <f>IFERROR(VLOOKUP(HW74,Horarios!$H:$I,2,0),"")</f>
        <v/>
      </c>
      <c r="HZ74" s="28" t="str">
        <f>IFERROR(VLOOKUP(HX74,Horarios!$H:$I,2,0),"")</f>
        <v/>
      </c>
      <c r="IA74" s="28" t="str">
        <f t="shared" si="42"/>
        <v>00:00</v>
      </c>
      <c r="IB74" s="29"/>
      <c r="IC74" s="27"/>
      <c r="ID74" s="27"/>
      <c r="IE74" s="28" t="str">
        <f>IFERROR(VLOOKUP(IC74,Horarios!$H:$I,2,0),"")</f>
        <v/>
      </c>
      <c r="IF74" s="28" t="str">
        <f>IFERROR(VLOOKUP(ID74,Horarios!$H:$I,2,0),"")</f>
        <v/>
      </c>
      <c r="IG74" s="28" t="str">
        <f t="shared" si="43"/>
        <v>00:00</v>
      </c>
      <c r="IH74" s="29"/>
      <c r="II74" s="27"/>
      <c r="IJ74" s="27"/>
      <c r="IK74" s="28" t="str">
        <f>IFERROR(VLOOKUP(II74,Horarios!$H:$I,2,0),"")</f>
        <v/>
      </c>
      <c r="IL74" s="28" t="str">
        <f>IFERROR(VLOOKUP(IJ74,Horarios!$H:$I,2,0),"")</f>
        <v/>
      </c>
      <c r="IM74" s="28" t="str">
        <f t="shared" si="44"/>
        <v>00:00</v>
      </c>
      <c r="IN74" s="29"/>
      <c r="IO74" s="27"/>
      <c r="IP74" s="27"/>
      <c r="IQ74" s="28" t="str">
        <f>IFERROR(VLOOKUP(IO74,Horarios!$H:$I,2,0),"")</f>
        <v/>
      </c>
      <c r="IR74" s="28" t="str">
        <f>IFERROR(VLOOKUP(IP74,Horarios!$H:$I,2,0),"")</f>
        <v/>
      </c>
      <c r="IS74" s="28" t="str">
        <f t="shared" si="45"/>
        <v>00:00</v>
      </c>
      <c r="IT74" s="29"/>
      <c r="IU74" s="27"/>
      <c r="IV74" s="27"/>
      <c r="IW74" s="28" t="str">
        <f>IFERROR(VLOOKUP(IU74,Horarios!$H:$I,2,0),"")</f>
        <v/>
      </c>
      <c r="IX74" s="28" t="str">
        <f>IFERROR(VLOOKUP(IV74,Horarios!$H:$I,2,0),"")</f>
        <v/>
      </c>
      <c r="IY74" s="28" t="str">
        <f t="shared" si="46"/>
        <v>00:00</v>
      </c>
      <c r="IZ74" s="29"/>
      <c r="JA74" s="31" t="str">
        <f t="shared" si="47"/>
        <v/>
      </c>
    </row>
    <row r="75" spans="1:261" s="24" customFormat="1" ht="17.399999999999999" x14ac:dyDescent="0.25">
      <c r="A75" s="25"/>
      <c r="B75" s="26" t="str">
        <f>IFERROR(VLOOKUP(A75,BaseNombres!A:B,2,0),"")</f>
        <v/>
      </c>
      <c r="C75" s="26" t="str">
        <f>IFERROR(VLOOKUP(A75,BaseNombres!A:C,3,0),"")</f>
        <v/>
      </c>
      <c r="D75" s="27"/>
      <c r="E75" s="27"/>
      <c r="F75" s="28" t="str">
        <f>IFERROR(VLOOKUP(D75,Horarios!$H:$I,2,0),"")</f>
        <v/>
      </c>
      <c r="G75" s="28" t="str">
        <f>IFERROR(VLOOKUP(E75,Horarios!$H:$I,2,0),"")</f>
        <v/>
      </c>
      <c r="H75" s="28" t="str">
        <f t="shared" ref="H75:H138" si="48">IF(SUM(F75,G75)=0,"00:00",SUM(F75,G75))</f>
        <v>00:00</v>
      </c>
      <c r="I75" s="29"/>
      <c r="J75" s="27"/>
      <c r="K75" s="27"/>
      <c r="L75" s="28" t="str">
        <f>IFERROR(VLOOKUP(J75,Horarios!$H:$I,2,0),"")</f>
        <v/>
      </c>
      <c r="M75" s="28" t="str">
        <f>IFERROR(VLOOKUP(K75,Horarios!$H:$I,2,0),"")</f>
        <v/>
      </c>
      <c r="N75" s="28" t="str">
        <f t="shared" ref="N75:N138" si="49">IF(SUM(L75,M75)=0,"00:00",SUM(L75,M75))</f>
        <v>00:00</v>
      </c>
      <c r="O75" s="29"/>
      <c r="P75" s="27"/>
      <c r="Q75" s="27"/>
      <c r="R75" s="28" t="str">
        <f>IFERROR(VLOOKUP(P75,Horarios!$H:$I,2,0),"")</f>
        <v/>
      </c>
      <c r="S75" s="28" t="str">
        <f>IFERROR(VLOOKUP(Q75,Horarios!$H:$I,2,0),"")</f>
        <v/>
      </c>
      <c r="T75" s="28" t="str">
        <f t="shared" ref="T75:T138" si="50">IF(SUM(R75,S75)=0,"00:00",SUM(R75,S75))</f>
        <v>00:00</v>
      </c>
      <c r="U75" s="29"/>
      <c r="V75" s="27"/>
      <c r="W75" s="27"/>
      <c r="X75" s="28" t="str">
        <f>IFERROR(VLOOKUP(V75,Horarios!$H:$I,2,0),"")</f>
        <v/>
      </c>
      <c r="Y75" s="28" t="str">
        <f>IFERROR(VLOOKUP(W75,Horarios!$H:$I,2,0),"")</f>
        <v/>
      </c>
      <c r="Z75" s="28" t="str">
        <f t="shared" ref="Z75:Z138" si="51">IF(SUM(X75,Y75)=0,"00:00",SUM(X75,Y75))</f>
        <v>00:00</v>
      </c>
      <c r="AA75" s="29"/>
      <c r="AB75" s="27"/>
      <c r="AC75" s="27"/>
      <c r="AD75" s="28" t="str">
        <f>IFERROR(VLOOKUP(AB75,Horarios!$H:$I,2,0),"")</f>
        <v/>
      </c>
      <c r="AE75" s="28" t="str">
        <f>IFERROR(VLOOKUP(AC75,Horarios!$H:$I,2,0),"")</f>
        <v/>
      </c>
      <c r="AF75" s="28" t="str">
        <f t="shared" ref="AF75:AF138" si="52">IF(SUM(AD75,AE75)=0,"00:00",SUM(AD75,AE75))</f>
        <v>00:00</v>
      </c>
      <c r="AG75" s="29"/>
      <c r="AH75" s="27"/>
      <c r="AI75" s="27"/>
      <c r="AJ75" s="28" t="str">
        <f>IFERROR(VLOOKUP(AH75,Horarios!$H:$I,2,0),"")</f>
        <v/>
      </c>
      <c r="AK75" s="28" t="str">
        <f>IFERROR(VLOOKUP(AI75,Horarios!$H:$I,2,0),"")</f>
        <v/>
      </c>
      <c r="AL75" s="28" t="str">
        <f t="shared" ref="AL75:AL138" si="53">IF(SUM(AJ75,AK75)=0,"00:00",SUM(AJ75,AK75))</f>
        <v>00:00</v>
      </c>
      <c r="AM75" s="29"/>
      <c r="AN75" s="27"/>
      <c r="AO75" s="27"/>
      <c r="AP75" s="28" t="str">
        <f>IFERROR(VLOOKUP(AN75,Horarios!$H:$I,2,0),"")</f>
        <v/>
      </c>
      <c r="AQ75" s="28" t="str">
        <f>IFERROR(VLOOKUP(AO75,Horarios!$H:$I,2,0),"")</f>
        <v/>
      </c>
      <c r="AR75" s="28" t="str">
        <f t="shared" ref="AR75:AR138" si="54">IF(SUM(AP75,AQ75)=0,"00:00",SUM(AP75,AQ75))</f>
        <v>00:00</v>
      </c>
      <c r="AS75" s="29"/>
      <c r="AT75" s="31" t="str">
        <f t="shared" ref="AT75:AT138" si="55">IFERROR(IF(SUM(H75,N75,T75,Z75,AF75,AL75,AR75)=0,"",SUM(TEXT(H75,"HH:MM"),TEXT(N75,"HH:MM"),TEXT(T75,"HH:MM"),TEXT(Z75,"HH:MM"),TEXT(AF75,"HH:MM"),TEXT(AL75,"HH:MM"),TEXT(AR75,"HH:MM")))*24,"")</f>
        <v/>
      </c>
      <c r="AU75" s="27"/>
      <c r="AV75" s="27"/>
      <c r="AW75" s="28" t="str">
        <f>IFERROR(VLOOKUP(AU75,Horarios!$H:$I,2,0),"")</f>
        <v/>
      </c>
      <c r="AX75" s="28" t="str">
        <f>IFERROR(VLOOKUP(AV75,Horarios!$H:$I,2,0),"")</f>
        <v/>
      </c>
      <c r="AY75" s="28" t="str">
        <f t="shared" ref="AY75:AY138" si="56">IF(SUM(AW75,AX75)=0,"00:00",SUM(AW75,AX75))</f>
        <v>00:00</v>
      </c>
      <c r="AZ75" s="29"/>
      <c r="BA75" s="27"/>
      <c r="BB75" s="27"/>
      <c r="BC75" s="28" t="str">
        <f>IFERROR(VLOOKUP(BA75,Horarios!$H:$I,2,0),"")</f>
        <v/>
      </c>
      <c r="BD75" s="28" t="str">
        <f>IFERROR(VLOOKUP(BB75,Horarios!$H:$I,2,0),"")</f>
        <v/>
      </c>
      <c r="BE75" s="28" t="str">
        <f t="shared" ref="BE75:BE138" si="57">IF(SUM(BC75,BD75)=0,"00:00",SUM(BC75,BD75))</f>
        <v>00:00</v>
      </c>
      <c r="BF75" s="29"/>
      <c r="BG75" s="27"/>
      <c r="BH75" s="27"/>
      <c r="BI75" s="28" t="str">
        <f>IFERROR(VLOOKUP(BG75,Horarios!$H:$I,2,0),"")</f>
        <v/>
      </c>
      <c r="BJ75" s="28" t="str">
        <f>IFERROR(VLOOKUP(BH75,Horarios!$H:$I,2,0),"")</f>
        <v/>
      </c>
      <c r="BK75" s="28" t="str">
        <f t="shared" ref="BK75:BK138" si="58">IF(SUM(BI75,BJ75)=0,"00:00",SUM(BI75,BJ75))</f>
        <v>00:00</v>
      </c>
      <c r="BL75" s="29"/>
      <c r="BM75" s="27"/>
      <c r="BN75" s="27"/>
      <c r="BO75" s="28" t="str">
        <f>IFERROR(VLOOKUP(BM75,Horarios!$H:$I,2,0),"")</f>
        <v/>
      </c>
      <c r="BP75" s="28" t="str">
        <f>IFERROR(VLOOKUP(BN75,Horarios!$H:$I,2,0),"")</f>
        <v/>
      </c>
      <c r="BQ75" s="28" t="str">
        <f t="shared" ref="BQ75:BQ138" si="59">IF(SUM(BO75,BP75)=0,"00:00",SUM(BO75,BP75))</f>
        <v>00:00</v>
      </c>
      <c r="BR75" s="29"/>
      <c r="BS75" s="27"/>
      <c r="BT75" s="27"/>
      <c r="BU75" s="28" t="str">
        <f>IFERROR(VLOOKUP(BS75,Horarios!$H:$I,2,0),"")</f>
        <v/>
      </c>
      <c r="BV75" s="28" t="str">
        <f>IFERROR(VLOOKUP(BT75,Horarios!$H:$I,2,0),"")</f>
        <v/>
      </c>
      <c r="BW75" s="28" t="str">
        <f t="shared" ref="BW75:BW138" si="60">IF(SUM(BU75,BV75)=0,"00:00",SUM(BU75,BV75))</f>
        <v>00:00</v>
      </c>
      <c r="BX75" s="29"/>
      <c r="BY75" s="27"/>
      <c r="BZ75" s="27"/>
      <c r="CA75" s="28" t="str">
        <f>IFERROR(VLOOKUP(BY75,Horarios!$H:$I,2,0),"")</f>
        <v/>
      </c>
      <c r="CB75" s="28" t="str">
        <f>IFERROR(VLOOKUP(BZ75,Horarios!$H:$I,2,0),"")</f>
        <v/>
      </c>
      <c r="CC75" s="28" t="str">
        <f t="shared" ref="CC75:CC138" si="61">IF(SUM(CA75,CB75)=0,"00:00",SUM(CA75,CB75))</f>
        <v>00:00</v>
      </c>
      <c r="CD75" s="29"/>
      <c r="CE75" s="27"/>
      <c r="CF75" s="27"/>
      <c r="CG75" s="28" t="str">
        <f>IFERROR(VLOOKUP(CE75,Horarios!$H:$I,2,0),"")</f>
        <v/>
      </c>
      <c r="CH75" s="28" t="str">
        <f>IFERROR(VLOOKUP(CF75,Horarios!$H:$I,2,0),"")</f>
        <v/>
      </c>
      <c r="CI75" s="28" t="str">
        <f t="shared" ref="CI75:CI138" si="62">IF(SUM(CG75,CH75)=0,"00:00",SUM(CG75,CH75))</f>
        <v>00:00</v>
      </c>
      <c r="CJ75" s="29"/>
      <c r="CK75" s="31" t="str">
        <f t="shared" ref="CK75:CK138" si="63">IFERROR(IF(SUM(AY75,BE75,BK75,BQ75,BW75,CC75,CI75)=0,"",SUM(TEXT(AY75,"HH:MM"),TEXT(BE75,"HH:MM"),TEXT(BK75,"HH:MM"),TEXT(BQ75,"HH:MM"),TEXT(BW75,"HH:MM"),TEXT(CC75,"HH:MM"),TEXT(CI75,"HH:MM")))*24,"")</f>
        <v/>
      </c>
      <c r="CL75" s="27"/>
      <c r="CM75" s="27"/>
      <c r="CN75" s="28" t="str">
        <f>IFERROR(VLOOKUP(CL75,Horarios!$H:$I,2,0),"")</f>
        <v/>
      </c>
      <c r="CO75" s="28" t="str">
        <f>IFERROR(VLOOKUP(CM75,Horarios!$H:$I,2,0),"")</f>
        <v/>
      </c>
      <c r="CP75" s="28" t="str">
        <f t="shared" ref="CP75:CP138" si="64">IF(SUM(CN75,CO75)=0,"00:00",SUM(CN75,CO75))</f>
        <v>00:00</v>
      </c>
      <c r="CQ75" s="29"/>
      <c r="CR75" s="27"/>
      <c r="CS75" s="27"/>
      <c r="CT75" s="28" t="str">
        <f>IFERROR(VLOOKUP(CR75,Horarios!$H:$I,2,0),"")</f>
        <v/>
      </c>
      <c r="CU75" s="28" t="str">
        <f>IFERROR(VLOOKUP(CS75,Horarios!$H:$I,2,0),"")</f>
        <v/>
      </c>
      <c r="CV75" s="28" t="str">
        <f t="shared" ref="CV75:CV138" si="65">IF(SUM(CT75,CU75)=0,"00:00",SUM(CT75,CU75))</f>
        <v>00:00</v>
      </c>
      <c r="CW75" s="29"/>
      <c r="CX75" s="27"/>
      <c r="CY75" s="27"/>
      <c r="CZ75" s="28" t="str">
        <f>IFERROR(VLOOKUP(CX75,Horarios!$H:$I,2,0),"")</f>
        <v/>
      </c>
      <c r="DA75" s="28" t="str">
        <f>IFERROR(VLOOKUP(CY75,Horarios!$H:$I,2,0),"")</f>
        <v/>
      </c>
      <c r="DB75" s="28" t="str">
        <f t="shared" ref="DB75:DB138" si="66">IF(SUM(CZ75,DA75)=0,"00:00",SUM(CZ75,DA75))</f>
        <v>00:00</v>
      </c>
      <c r="DC75" s="29"/>
      <c r="DD75" s="27"/>
      <c r="DE75" s="27"/>
      <c r="DF75" s="28" t="str">
        <f>IFERROR(VLOOKUP(DD75,Horarios!$H:$I,2,0),"")</f>
        <v/>
      </c>
      <c r="DG75" s="28" t="str">
        <f>IFERROR(VLOOKUP(DE75,Horarios!$H:$I,2,0),"")</f>
        <v/>
      </c>
      <c r="DH75" s="28" t="str">
        <f t="shared" ref="DH75:DH138" si="67">IF(SUM(DF75,DG75)=0,"00:00",SUM(DF75,DG75))</f>
        <v>00:00</v>
      </c>
      <c r="DI75" s="29"/>
      <c r="DJ75" s="27"/>
      <c r="DK75" s="27"/>
      <c r="DL75" s="28" t="str">
        <f>IFERROR(VLOOKUP(DJ75,Horarios!$H:$I,2,0),"")</f>
        <v/>
      </c>
      <c r="DM75" s="28" t="str">
        <f>IFERROR(VLOOKUP(DK75,Horarios!$H:$I,2,0),"")</f>
        <v/>
      </c>
      <c r="DN75" s="28" t="str">
        <f t="shared" ref="DN75:DN138" si="68">IF(SUM(DL75,DM75)=0,"00:00",SUM(DL75,DM75))</f>
        <v>00:00</v>
      </c>
      <c r="DO75" s="29"/>
      <c r="DP75" s="27"/>
      <c r="DQ75" s="27"/>
      <c r="DR75" s="28" t="str">
        <f>IFERROR(VLOOKUP(DP75,Horarios!$H:$I,2,0),"")</f>
        <v/>
      </c>
      <c r="DS75" s="28" t="str">
        <f>IFERROR(VLOOKUP(DQ75,Horarios!$H:$I,2,0),"")</f>
        <v/>
      </c>
      <c r="DT75" s="28" t="str">
        <f t="shared" ref="DT75:DT138" si="69">IF(SUM(DR75,DS75)=0,"00:00",SUM(DR75,DS75))</f>
        <v>00:00</v>
      </c>
      <c r="DU75" s="29"/>
      <c r="DV75" s="27"/>
      <c r="DW75" s="27"/>
      <c r="DX75" s="28" t="str">
        <f>IFERROR(VLOOKUP(DV75,Horarios!$H:$I,2,0),"")</f>
        <v/>
      </c>
      <c r="DY75" s="28" t="str">
        <f>IFERROR(VLOOKUP(DW75,Horarios!$H:$I,2,0),"")</f>
        <v/>
      </c>
      <c r="DZ75" s="28" t="str">
        <f t="shared" ref="DZ75:DZ138" si="70">IF(SUM(DX75,DY75)=0,"00:00",SUM(DX75,DY75))</f>
        <v>00:00</v>
      </c>
      <c r="EA75" s="29"/>
      <c r="EB75" s="31" t="str">
        <f t="shared" ref="EB75:EB138" si="71">IFERROR(IF(SUM(CP75,CV75,DB75,DH75,DN75,DT75,DZ75)=0,"",SUM(TEXT(CP75,"HH:MM"),TEXT(CV75,"HH:MM"),TEXT(DB75,"HH:MM"),TEXT(DH75,"HH:MM"),TEXT(DN75,"HH:MM"),TEXT(DT75,"HH:MM"),TEXT(DZ75,"HH:MM")))*24,"")</f>
        <v/>
      </c>
      <c r="EC75" s="27"/>
      <c r="ED75" s="27"/>
      <c r="EE75" s="28" t="str">
        <f>IFERROR(VLOOKUP(EC75,Horarios!$H:$I,2,0),"")</f>
        <v/>
      </c>
      <c r="EF75" s="28" t="str">
        <f>IFERROR(VLOOKUP(ED75,Horarios!$H:$I,2,0),"")</f>
        <v/>
      </c>
      <c r="EG75" s="28" t="str">
        <f t="shared" ref="EG75:EG138" si="72">IF(SUM(EE75,EF75)=0,"00:00",SUM(EE75,EF75))</f>
        <v>00:00</v>
      </c>
      <c r="EH75" s="29"/>
      <c r="EI75" s="27"/>
      <c r="EJ75" s="27"/>
      <c r="EK75" s="28" t="str">
        <f>IFERROR(VLOOKUP(EI75,Horarios!$H:$I,2,0),"")</f>
        <v/>
      </c>
      <c r="EL75" s="28" t="str">
        <f>IFERROR(VLOOKUP(EJ75,Horarios!$H:$I,2,0),"")</f>
        <v/>
      </c>
      <c r="EM75" s="28" t="str">
        <f t="shared" ref="EM75:EM138" si="73">IF(SUM(EK75,EL75)=0,"00:00",SUM(EK75,EL75))</f>
        <v>00:00</v>
      </c>
      <c r="EN75" s="29"/>
      <c r="EO75" s="27"/>
      <c r="EP75" s="27"/>
      <c r="EQ75" s="28" t="str">
        <f>IFERROR(VLOOKUP(EO75,Horarios!$H:$I,2,0),"")</f>
        <v/>
      </c>
      <c r="ER75" s="28" t="str">
        <f>IFERROR(VLOOKUP(EP75,Horarios!$H:$I,2,0),"")</f>
        <v/>
      </c>
      <c r="ES75" s="28" t="str">
        <f t="shared" ref="ES75:ES138" si="74">IF(SUM(EQ75,ER75)=0,"00:00",SUM(EQ75,ER75))</f>
        <v>00:00</v>
      </c>
      <c r="ET75" s="29"/>
      <c r="EU75" s="27"/>
      <c r="EV75" s="27"/>
      <c r="EW75" s="28" t="str">
        <f>IFERROR(VLOOKUP(EU75,Horarios!$H:$I,2,0),"")</f>
        <v/>
      </c>
      <c r="EX75" s="28" t="str">
        <f>IFERROR(VLOOKUP(EV75,Horarios!$H:$I,2,0),"")</f>
        <v/>
      </c>
      <c r="EY75" s="28" t="str">
        <f t="shared" ref="EY75:EY138" si="75">IF(SUM(EW75,EX75)=0,"00:00",SUM(EW75,EX75))</f>
        <v>00:00</v>
      </c>
      <c r="EZ75" s="29"/>
      <c r="FA75" s="27"/>
      <c r="FB75" s="27"/>
      <c r="FC75" s="28" t="str">
        <f>IFERROR(VLOOKUP(FA75,Horarios!$H:$I,2,0),"")</f>
        <v/>
      </c>
      <c r="FD75" s="28" t="str">
        <f>IFERROR(VLOOKUP(FB75,Horarios!$H:$I,2,0),"")</f>
        <v/>
      </c>
      <c r="FE75" s="28" t="str">
        <f t="shared" ref="FE75:FE138" si="76">IF(SUM(FC75,FD75)=0,"00:00",SUM(FC75,FD75))</f>
        <v>00:00</v>
      </c>
      <c r="FF75" s="29"/>
      <c r="FG75" s="27"/>
      <c r="FH75" s="27"/>
      <c r="FI75" s="28" t="str">
        <f>IFERROR(VLOOKUP(FG75,Horarios!$H:$I,2,0),"")</f>
        <v/>
      </c>
      <c r="FJ75" s="28" t="str">
        <f>IFERROR(VLOOKUP(FH75,Horarios!$H:$I,2,0),"")</f>
        <v/>
      </c>
      <c r="FK75" s="28" t="str">
        <f t="shared" ref="FK75:FK138" si="77">IF(SUM(FI75,FJ75)=0,"00:00",SUM(FI75,FJ75))</f>
        <v>00:00</v>
      </c>
      <c r="FL75" s="29"/>
      <c r="FM75" s="27"/>
      <c r="FN75" s="27"/>
      <c r="FO75" s="28" t="str">
        <f>IFERROR(VLOOKUP(FM75,Horarios!$H:$I,2,0),"")</f>
        <v/>
      </c>
      <c r="FP75" s="28" t="str">
        <f>IFERROR(VLOOKUP(FN75,Horarios!$H:$I,2,0),"")</f>
        <v/>
      </c>
      <c r="FQ75" s="28" t="str">
        <f t="shared" ref="FQ75:FQ138" si="78">IF(SUM(FO75,FP75)=0,"00:00",SUM(FO75,FP75))</f>
        <v>00:00</v>
      </c>
      <c r="FR75" s="29"/>
      <c r="FS75" s="31" t="str">
        <f t="shared" ref="FS75:FS138" si="79">IFERROR(IF(SUM(EG75,EM75,ES75,EY75,FE75,FK75,FQ75)=0,"",SUM(TEXT(EG75,"HH:MM"),TEXT(EM75,"HH:MM"),TEXT(ES75,"HH:MM"),TEXT(EY75,"HH:MM"),TEXT(FE75,"HH:MM"),TEXT(FK75,"HH:MM"),TEXT(FQ75,"HH:MM")))*24,"")</f>
        <v/>
      </c>
      <c r="FT75" s="27"/>
      <c r="FU75" s="27"/>
      <c r="FV75" s="28" t="str">
        <f>IFERROR(VLOOKUP(FT75,Horarios!$H:$I,2,0),"")</f>
        <v/>
      </c>
      <c r="FW75" s="28" t="str">
        <f>IFERROR(VLOOKUP(FU75,Horarios!$H:$I,2,0),"")</f>
        <v/>
      </c>
      <c r="FX75" s="28" t="str">
        <f t="shared" ref="FX75:FX138" si="80">IF(SUM(FV75,FW75)=0,"00:00",SUM(FV75,FW75))</f>
        <v>00:00</v>
      </c>
      <c r="FY75" s="29"/>
      <c r="FZ75" s="27"/>
      <c r="GA75" s="27"/>
      <c r="GB75" s="28" t="str">
        <f>IFERROR(VLOOKUP(FZ75,Horarios!$H:$I,2,0),"")</f>
        <v/>
      </c>
      <c r="GC75" s="28" t="str">
        <f>IFERROR(VLOOKUP(GA75,Horarios!$H:$I,2,0),"")</f>
        <v/>
      </c>
      <c r="GD75" s="28" t="str">
        <f t="shared" ref="GD75:GD138" si="81">IF(SUM(GB75,GC75)=0,"00:00",SUM(GB75,GC75))</f>
        <v>00:00</v>
      </c>
      <c r="GE75" s="29"/>
      <c r="GF75" s="27"/>
      <c r="GG75" s="27"/>
      <c r="GH75" s="28" t="str">
        <f>IFERROR(VLOOKUP(GF75,Horarios!$H:$I,2,0),"")</f>
        <v/>
      </c>
      <c r="GI75" s="28" t="str">
        <f>IFERROR(VLOOKUP(GG75,Horarios!$H:$I,2,0),"")</f>
        <v/>
      </c>
      <c r="GJ75" s="28" t="str">
        <f t="shared" ref="GJ75:GJ138" si="82">IF(SUM(GH75,GI75)=0,"00:00",SUM(GH75,GI75))</f>
        <v>00:00</v>
      </c>
      <c r="GK75" s="29"/>
      <c r="GL75" s="27"/>
      <c r="GM75" s="27"/>
      <c r="GN75" s="28" t="str">
        <f>IFERROR(VLOOKUP(GL75,Horarios!$H:$I,2,0),"")</f>
        <v/>
      </c>
      <c r="GO75" s="28" t="str">
        <f>IFERROR(VLOOKUP(GM75,Horarios!$H:$I,2,0),"")</f>
        <v/>
      </c>
      <c r="GP75" s="28" t="str">
        <f t="shared" ref="GP75:GP138" si="83">IF(SUM(GN75,GO75)=0,"00:00",SUM(GN75,GO75))</f>
        <v>00:00</v>
      </c>
      <c r="GQ75" s="29"/>
      <c r="GR75" s="27"/>
      <c r="GS75" s="27"/>
      <c r="GT75" s="28" t="str">
        <f>IFERROR(VLOOKUP(GR75,Horarios!$H:$I,2,0),"")</f>
        <v/>
      </c>
      <c r="GU75" s="28" t="str">
        <f>IFERROR(VLOOKUP(GS75,Horarios!$H:$I,2,0),"")</f>
        <v/>
      </c>
      <c r="GV75" s="28" t="str">
        <f t="shared" ref="GV75:GV138" si="84">IF(SUM(GT75,GU75)=0,"00:00",SUM(GT75,GU75))</f>
        <v>00:00</v>
      </c>
      <c r="GW75" s="29"/>
      <c r="GX75" s="27"/>
      <c r="GY75" s="27"/>
      <c r="GZ75" s="28" t="str">
        <f>IFERROR(VLOOKUP(GX75,Horarios!$H:$I,2,0),"")</f>
        <v/>
      </c>
      <c r="HA75" s="28" t="str">
        <f>IFERROR(VLOOKUP(GY75,Horarios!$H:$I,2,0),"")</f>
        <v/>
      </c>
      <c r="HB75" s="28" t="str">
        <f t="shared" ref="HB75:HB138" si="85">IF(SUM(GZ75,HA75)=0,"00:00",SUM(GZ75,HA75))</f>
        <v>00:00</v>
      </c>
      <c r="HC75" s="29"/>
      <c r="HD75" s="27"/>
      <c r="HE75" s="27"/>
      <c r="HF75" s="28" t="str">
        <f>IFERROR(VLOOKUP(HD75,Horarios!$H:$I,2,0),"")</f>
        <v/>
      </c>
      <c r="HG75" s="28" t="str">
        <f>IFERROR(VLOOKUP(HE75,Horarios!$H:$I,2,0),"")</f>
        <v/>
      </c>
      <c r="HH75" s="28" t="str">
        <f t="shared" ref="HH75:HH138" si="86">IF(SUM(HF75,HG75)=0,"00:00",SUM(HF75,HG75))</f>
        <v>00:00</v>
      </c>
      <c r="HI75" s="29"/>
      <c r="HJ75" s="31" t="str">
        <f t="shared" ref="HJ75:HJ138" si="87">IFERROR(IF(SUM(FX75,GD75,GJ75,GP75,GV75,HB75,HH75)=0,"",SUM(TEXT(FX75,"HH:MM"),TEXT(GD75,"HH:MM"),TEXT(GJ75,"HH:MM"),TEXT(GP75,"HH:MM"),TEXT(GV75,"HH:MM"),TEXT(HB75,"HH:MM"),TEXT(HH75,"HH:MM")))*24,"")</f>
        <v/>
      </c>
      <c r="HK75" s="27"/>
      <c r="HL75" s="27"/>
      <c r="HM75" s="28" t="str">
        <f>IFERROR(VLOOKUP(HK75,Horarios!$H:$I,2,0),"")</f>
        <v/>
      </c>
      <c r="HN75" s="28" t="str">
        <f>IFERROR(VLOOKUP(HL75,Horarios!$H:$I,2,0),"")</f>
        <v/>
      </c>
      <c r="HO75" s="28" t="str">
        <f t="shared" ref="HO75:HO138" si="88">IF(SUM(HM75,HN75)=0,"00:00",SUM(HM75,HN75))</f>
        <v>00:00</v>
      </c>
      <c r="HP75" s="29"/>
      <c r="HQ75" s="27"/>
      <c r="HR75" s="27"/>
      <c r="HS75" s="28" t="str">
        <f>IFERROR(VLOOKUP(HQ75,Horarios!$H:$I,2,0),"")</f>
        <v/>
      </c>
      <c r="HT75" s="28" t="str">
        <f>IFERROR(VLOOKUP(HR75,Horarios!$H:$I,2,0),"")</f>
        <v/>
      </c>
      <c r="HU75" s="28" t="str">
        <f t="shared" ref="HU75:HU138" si="89">IF(SUM(HS75,HT75)=0,"00:00",SUM(HS75,HT75))</f>
        <v>00:00</v>
      </c>
      <c r="HV75" s="29"/>
      <c r="HW75" s="27"/>
      <c r="HX75" s="27"/>
      <c r="HY75" s="28" t="str">
        <f>IFERROR(VLOOKUP(HW75,Horarios!$H:$I,2,0),"")</f>
        <v/>
      </c>
      <c r="HZ75" s="28" t="str">
        <f>IFERROR(VLOOKUP(HX75,Horarios!$H:$I,2,0),"")</f>
        <v/>
      </c>
      <c r="IA75" s="28" t="str">
        <f t="shared" ref="IA75:IA138" si="90">IF(SUM(HY75,HZ75)=0,"00:00",SUM(HY75,HZ75))</f>
        <v>00:00</v>
      </c>
      <c r="IB75" s="29"/>
      <c r="IC75" s="27"/>
      <c r="ID75" s="27"/>
      <c r="IE75" s="28" t="str">
        <f>IFERROR(VLOOKUP(IC75,Horarios!$H:$I,2,0),"")</f>
        <v/>
      </c>
      <c r="IF75" s="28" t="str">
        <f>IFERROR(VLOOKUP(ID75,Horarios!$H:$I,2,0),"")</f>
        <v/>
      </c>
      <c r="IG75" s="28" t="str">
        <f t="shared" ref="IG75:IG138" si="91">IF(SUM(IE75,IF75)=0,"00:00",SUM(IE75,IF75))</f>
        <v>00:00</v>
      </c>
      <c r="IH75" s="29"/>
      <c r="II75" s="27"/>
      <c r="IJ75" s="27"/>
      <c r="IK75" s="28" t="str">
        <f>IFERROR(VLOOKUP(II75,Horarios!$H:$I,2,0),"")</f>
        <v/>
      </c>
      <c r="IL75" s="28" t="str">
        <f>IFERROR(VLOOKUP(IJ75,Horarios!$H:$I,2,0),"")</f>
        <v/>
      </c>
      <c r="IM75" s="28" t="str">
        <f t="shared" ref="IM75:IM138" si="92">IF(SUM(IK75,IL75)=0,"00:00",SUM(IK75,IL75))</f>
        <v>00:00</v>
      </c>
      <c r="IN75" s="29"/>
      <c r="IO75" s="27"/>
      <c r="IP75" s="27"/>
      <c r="IQ75" s="28" t="str">
        <f>IFERROR(VLOOKUP(IO75,Horarios!$H:$I,2,0),"")</f>
        <v/>
      </c>
      <c r="IR75" s="28" t="str">
        <f>IFERROR(VLOOKUP(IP75,Horarios!$H:$I,2,0),"")</f>
        <v/>
      </c>
      <c r="IS75" s="28" t="str">
        <f t="shared" ref="IS75:IS138" si="93">IF(SUM(IQ75,IR75)=0,"00:00",SUM(IQ75,IR75))</f>
        <v>00:00</v>
      </c>
      <c r="IT75" s="29"/>
      <c r="IU75" s="27"/>
      <c r="IV75" s="27"/>
      <c r="IW75" s="28" t="str">
        <f>IFERROR(VLOOKUP(IU75,Horarios!$H:$I,2,0),"")</f>
        <v/>
      </c>
      <c r="IX75" s="28" t="str">
        <f>IFERROR(VLOOKUP(IV75,Horarios!$H:$I,2,0),"")</f>
        <v/>
      </c>
      <c r="IY75" s="28" t="str">
        <f t="shared" ref="IY75:IY138" si="94">IF(SUM(IW75,IX75)=0,"00:00",SUM(IW75,IX75))</f>
        <v>00:00</v>
      </c>
      <c r="IZ75" s="29"/>
      <c r="JA75" s="31" t="str">
        <f t="shared" ref="JA75:JA138" si="95">IFERROR(IF(SUM(HO75,HU75,IA75,IG75,IM75,IS75,IY75)=0,"",SUM(TEXT(HO75,"HH:MM"),TEXT(HU75,"HH:MM"),TEXT(IA75,"HH:MM"),TEXT(IG75,"HH:MM"),TEXT(IM75,"HH:MM"),TEXT(IS75,"HH:MM"),TEXT(IY75,"HH:MM")))*24,"")</f>
        <v/>
      </c>
    </row>
    <row r="76" spans="1:261" s="24" customFormat="1" ht="17.399999999999999" x14ac:dyDescent="0.25">
      <c r="A76" s="25"/>
      <c r="B76" s="26" t="str">
        <f>IFERROR(VLOOKUP(A76,BaseNombres!A:B,2,0),"")</f>
        <v/>
      </c>
      <c r="C76" s="26" t="str">
        <f>IFERROR(VLOOKUP(A76,BaseNombres!A:C,3,0),"")</f>
        <v/>
      </c>
      <c r="D76" s="27"/>
      <c r="E76" s="27"/>
      <c r="F76" s="28" t="str">
        <f>IFERROR(VLOOKUP(D76,Horarios!$H:$I,2,0),"")</f>
        <v/>
      </c>
      <c r="G76" s="28" t="str">
        <f>IFERROR(VLOOKUP(E76,Horarios!$H:$I,2,0),"")</f>
        <v/>
      </c>
      <c r="H76" s="28" t="str">
        <f t="shared" si="48"/>
        <v>00:00</v>
      </c>
      <c r="I76" s="29"/>
      <c r="J76" s="27"/>
      <c r="K76" s="27"/>
      <c r="L76" s="28" t="str">
        <f>IFERROR(VLOOKUP(J76,Horarios!$H:$I,2,0),"")</f>
        <v/>
      </c>
      <c r="M76" s="28" t="str">
        <f>IFERROR(VLOOKUP(K76,Horarios!$H:$I,2,0),"")</f>
        <v/>
      </c>
      <c r="N76" s="28" t="str">
        <f t="shared" si="49"/>
        <v>00:00</v>
      </c>
      <c r="O76" s="29"/>
      <c r="P76" s="27"/>
      <c r="Q76" s="27"/>
      <c r="R76" s="28" t="str">
        <f>IFERROR(VLOOKUP(P76,Horarios!$H:$I,2,0),"")</f>
        <v/>
      </c>
      <c r="S76" s="28" t="str">
        <f>IFERROR(VLOOKUP(Q76,Horarios!$H:$I,2,0),"")</f>
        <v/>
      </c>
      <c r="T76" s="28" t="str">
        <f t="shared" si="50"/>
        <v>00:00</v>
      </c>
      <c r="U76" s="29"/>
      <c r="V76" s="27"/>
      <c r="W76" s="27"/>
      <c r="X76" s="28" t="str">
        <f>IFERROR(VLOOKUP(V76,Horarios!$H:$I,2,0),"")</f>
        <v/>
      </c>
      <c r="Y76" s="28" t="str">
        <f>IFERROR(VLOOKUP(W76,Horarios!$H:$I,2,0),"")</f>
        <v/>
      </c>
      <c r="Z76" s="28" t="str">
        <f t="shared" si="51"/>
        <v>00:00</v>
      </c>
      <c r="AA76" s="29"/>
      <c r="AB76" s="27"/>
      <c r="AC76" s="27"/>
      <c r="AD76" s="28" t="str">
        <f>IFERROR(VLOOKUP(AB76,Horarios!$H:$I,2,0),"")</f>
        <v/>
      </c>
      <c r="AE76" s="28" t="str">
        <f>IFERROR(VLOOKUP(AC76,Horarios!$H:$I,2,0),"")</f>
        <v/>
      </c>
      <c r="AF76" s="28" t="str">
        <f t="shared" si="52"/>
        <v>00:00</v>
      </c>
      <c r="AG76" s="29"/>
      <c r="AH76" s="27"/>
      <c r="AI76" s="27"/>
      <c r="AJ76" s="28" t="str">
        <f>IFERROR(VLOOKUP(AH76,Horarios!$H:$I,2,0),"")</f>
        <v/>
      </c>
      <c r="AK76" s="28" t="str">
        <f>IFERROR(VLOOKUP(AI76,Horarios!$H:$I,2,0),"")</f>
        <v/>
      </c>
      <c r="AL76" s="28" t="str">
        <f t="shared" si="53"/>
        <v>00:00</v>
      </c>
      <c r="AM76" s="29"/>
      <c r="AN76" s="27"/>
      <c r="AO76" s="27"/>
      <c r="AP76" s="28" t="str">
        <f>IFERROR(VLOOKUP(AN76,Horarios!$H:$I,2,0),"")</f>
        <v/>
      </c>
      <c r="AQ76" s="28" t="str">
        <f>IFERROR(VLOOKUP(AO76,Horarios!$H:$I,2,0),"")</f>
        <v/>
      </c>
      <c r="AR76" s="28" t="str">
        <f t="shared" si="54"/>
        <v>00:00</v>
      </c>
      <c r="AS76" s="29"/>
      <c r="AT76" s="31" t="str">
        <f t="shared" si="55"/>
        <v/>
      </c>
      <c r="AU76" s="27"/>
      <c r="AV76" s="27"/>
      <c r="AW76" s="28" t="str">
        <f>IFERROR(VLOOKUP(AU76,Horarios!$H:$I,2,0),"")</f>
        <v/>
      </c>
      <c r="AX76" s="28" t="str">
        <f>IFERROR(VLOOKUP(AV76,Horarios!$H:$I,2,0),"")</f>
        <v/>
      </c>
      <c r="AY76" s="28" t="str">
        <f t="shared" si="56"/>
        <v>00:00</v>
      </c>
      <c r="AZ76" s="29"/>
      <c r="BA76" s="27"/>
      <c r="BB76" s="27"/>
      <c r="BC76" s="28" t="str">
        <f>IFERROR(VLOOKUP(BA76,Horarios!$H:$I,2,0),"")</f>
        <v/>
      </c>
      <c r="BD76" s="28" t="str">
        <f>IFERROR(VLOOKUP(BB76,Horarios!$H:$I,2,0),"")</f>
        <v/>
      </c>
      <c r="BE76" s="28" t="str">
        <f t="shared" si="57"/>
        <v>00:00</v>
      </c>
      <c r="BF76" s="29"/>
      <c r="BG76" s="27"/>
      <c r="BH76" s="27"/>
      <c r="BI76" s="28" t="str">
        <f>IFERROR(VLOOKUP(BG76,Horarios!$H:$I,2,0),"")</f>
        <v/>
      </c>
      <c r="BJ76" s="28" t="str">
        <f>IFERROR(VLOOKUP(BH76,Horarios!$H:$I,2,0),"")</f>
        <v/>
      </c>
      <c r="BK76" s="28" t="str">
        <f t="shared" si="58"/>
        <v>00:00</v>
      </c>
      <c r="BL76" s="29"/>
      <c r="BM76" s="27"/>
      <c r="BN76" s="27"/>
      <c r="BO76" s="28" t="str">
        <f>IFERROR(VLOOKUP(BM76,Horarios!$H:$I,2,0),"")</f>
        <v/>
      </c>
      <c r="BP76" s="28" t="str">
        <f>IFERROR(VLOOKUP(BN76,Horarios!$H:$I,2,0),"")</f>
        <v/>
      </c>
      <c r="BQ76" s="28" t="str">
        <f t="shared" si="59"/>
        <v>00:00</v>
      </c>
      <c r="BR76" s="29"/>
      <c r="BS76" s="27"/>
      <c r="BT76" s="27"/>
      <c r="BU76" s="28" t="str">
        <f>IFERROR(VLOOKUP(BS76,Horarios!$H:$I,2,0),"")</f>
        <v/>
      </c>
      <c r="BV76" s="28" t="str">
        <f>IFERROR(VLOOKUP(BT76,Horarios!$H:$I,2,0),"")</f>
        <v/>
      </c>
      <c r="BW76" s="28" t="str">
        <f t="shared" si="60"/>
        <v>00:00</v>
      </c>
      <c r="BX76" s="29"/>
      <c r="BY76" s="27"/>
      <c r="BZ76" s="27"/>
      <c r="CA76" s="28" t="str">
        <f>IFERROR(VLOOKUP(BY76,Horarios!$H:$I,2,0),"")</f>
        <v/>
      </c>
      <c r="CB76" s="28" t="str">
        <f>IFERROR(VLOOKUP(BZ76,Horarios!$H:$I,2,0),"")</f>
        <v/>
      </c>
      <c r="CC76" s="28" t="str">
        <f t="shared" si="61"/>
        <v>00:00</v>
      </c>
      <c r="CD76" s="29"/>
      <c r="CE76" s="27"/>
      <c r="CF76" s="27"/>
      <c r="CG76" s="28" t="str">
        <f>IFERROR(VLOOKUP(CE76,Horarios!$H:$I,2,0),"")</f>
        <v/>
      </c>
      <c r="CH76" s="28" t="str">
        <f>IFERROR(VLOOKUP(CF76,Horarios!$H:$I,2,0),"")</f>
        <v/>
      </c>
      <c r="CI76" s="28" t="str">
        <f t="shared" si="62"/>
        <v>00:00</v>
      </c>
      <c r="CJ76" s="29"/>
      <c r="CK76" s="31" t="str">
        <f t="shared" si="63"/>
        <v/>
      </c>
      <c r="CL76" s="27"/>
      <c r="CM76" s="27"/>
      <c r="CN76" s="28" t="str">
        <f>IFERROR(VLOOKUP(CL76,Horarios!$H:$I,2,0),"")</f>
        <v/>
      </c>
      <c r="CO76" s="28" t="str">
        <f>IFERROR(VLOOKUP(CM76,Horarios!$H:$I,2,0),"")</f>
        <v/>
      </c>
      <c r="CP76" s="28" t="str">
        <f t="shared" si="64"/>
        <v>00:00</v>
      </c>
      <c r="CQ76" s="29"/>
      <c r="CR76" s="27"/>
      <c r="CS76" s="27"/>
      <c r="CT76" s="28" t="str">
        <f>IFERROR(VLOOKUP(CR76,Horarios!$H:$I,2,0),"")</f>
        <v/>
      </c>
      <c r="CU76" s="28" t="str">
        <f>IFERROR(VLOOKUP(CS76,Horarios!$H:$I,2,0),"")</f>
        <v/>
      </c>
      <c r="CV76" s="28" t="str">
        <f t="shared" si="65"/>
        <v>00:00</v>
      </c>
      <c r="CW76" s="29"/>
      <c r="CX76" s="27"/>
      <c r="CY76" s="27"/>
      <c r="CZ76" s="28" t="str">
        <f>IFERROR(VLOOKUP(CX76,Horarios!$H:$I,2,0),"")</f>
        <v/>
      </c>
      <c r="DA76" s="28" t="str">
        <f>IFERROR(VLOOKUP(CY76,Horarios!$H:$I,2,0),"")</f>
        <v/>
      </c>
      <c r="DB76" s="28" t="str">
        <f t="shared" si="66"/>
        <v>00:00</v>
      </c>
      <c r="DC76" s="29"/>
      <c r="DD76" s="27"/>
      <c r="DE76" s="27"/>
      <c r="DF76" s="28" t="str">
        <f>IFERROR(VLOOKUP(DD76,Horarios!$H:$I,2,0),"")</f>
        <v/>
      </c>
      <c r="DG76" s="28" t="str">
        <f>IFERROR(VLOOKUP(DE76,Horarios!$H:$I,2,0),"")</f>
        <v/>
      </c>
      <c r="DH76" s="28" t="str">
        <f t="shared" si="67"/>
        <v>00:00</v>
      </c>
      <c r="DI76" s="29"/>
      <c r="DJ76" s="27"/>
      <c r="DK76" s="27"/>
      <c r="DL76" s="28" t="str">
        <f>IFERROR(VLOOKUP(DJ76,Horarios!$H:$I,2,0),"")</f>
        <v/>
      </c>
      <c r="DM76" s="28" t="str">
        <f>IFERROR(VLOOKUP(DK76,Horarios!$H:$I,2,0),"")</f>
        <v/>
      </c>
      <c r="DN76" s="28" t="str">
        <f t="shared" si="68"/>
        <v>00:00</v>
      </c>
      <c r="DO76" s="29"/>
      <c r="DP76" s="27"/>
      <c r="DQ76" s="27"/>
      <c r="DR76" s="28" t="str">
        <f>IFERROR(VLOOKUP(DP76,Horarios!$H:$I,2,0),"")</f>
        <v/>
      </c>
      <c r="DS76" s="28" t="str">
        <f>IFERROR(VLOOKUP(DQ76,Horarios!$H:$I,2,0),"")</f>
        <v/>
      </c>
      <c r="DT76" s="28" t="str">
        <f t="shared" si="69"/>
        <v>00:00</v>
      </c>
      <c r="DU76" s="29"/>
      <c r="DV76" s="27"/>
      <c r="DW76" s="27"/>
      <c r="DX76" s="28" t="str">
        <f>IFERROR(VLOOKUP(DV76,Horarios!$H:$I,2,0),"")</f>
        <v/>
      </c>
      <c r="DY76" s="28" t="str">
        <f>IFERROR(VLOOKUP(DW76,Horarios!$H:$I,2,0),"")</f>
        <v/>
      </c>
      <c r="DZ76" s="28" t="str">
        <f t="shared" si="70"/>
        <v>00:00</v>
      </c>
      <c r="EA76" s="29"/>
      <c r="EB76" s="31" t="str">
        <f t="shared" si="71"/>
        <v/>
      </c>
      <c r="EC76" s="27"/>
      <c r="ED76" s="27"/>
      <c r="EE76" s="28" t="str">
        <f>IFERROR(VLOOKUP(EC76,Horarios!$H:$I,2,0),"")</f>
        <v/>
      </c>
      <c r="EF76" s="28" t="str">
        <f>IFERROR(VLOOKUP(ED76,Horarios!$H:$I,2,0),"")</f>
        <v/>
      </c>
      <c r="EG76" s="28" t="str">
        <f t="shared" si="72"/>
        <v>00:00</v>
      </c>
      <c r="EH76" s="29"/>
      <c r="EI76" s="27"/>
      <c r="EJ76" s="27"/>
      <c r="EK76" s="28" t="str">
        <f>IFERROR(VLOOKUP(EI76,Horarios!$H:$I,2,0),"")</f>
        <v/>
      </c>
      <c r="EL76" s="28" t="str">
        <f>IFERROR(VLOOKUP(EJ76,Horarios!$H:$I,2,0),"")</f>
        <v/>
      </c>
      <c r="EM76" s="28" t="str">
        <f t="shared" si="73"/>
        <v>00:00</v>
      </c>
      <c r="EN76" s="29"/>
      <c r="EO76" s="27"/>
      <c r="EP76" s="27"/>
      <c r="EQ76" s="28" t="str">
        <f>IFERROR(VLOOKUP(EO76,Horarios!$H:$I,2,0),"")</f>
        <v/>
      </c>
      <c r="ER76" s="28" t="str">
        <f>IFERROR(VLOOKUP(EP76,Horarios!$H:$I,2,0),"")</f>
        <v/>
      </c>
      <c r="ES76" s="28" t="str">
        <f t="shared" si="74"/>
        <v>00:00</v>
      </c>
      <c r="ET76" s="29"/>
      <c r="EU76" s="27"/>
      <c r="EV76" s="27"/>
      <c r="EW76" s="28" t="str">
        <f>IFERROR(VLOOKUP(EU76,Horarios!$H:$I,2,0),"")</f>
        <v/>
      </c>
      <c r="EX76" s="28" t="str">
        <f>IFERROR(VLOOKUP(EV76,Horarios!$H:$I,2,0),"")</f>
        <v/>
      </c>
      <c r="EY76" s="28" t="str">
        <f t="shared" si="75"/>
        <v>00:00</v>
      </c>
      <c r="EZ76" s="29"/>
      <c r="FA76" s="27"/>
      <c r="FB76" s="27"/>
      <c r="FC76" s="28" t="str">
        <f>IFERROR(VLOOKUP(FA76,Horarios!$H:$I,2,0),"")</f>
        <v/>
      </c>
      <c r="FD76" s="28" t="str">
        <f>IFERROR(VLOOKUP(FB76,Horarios!$H:$I,2,0),"")</f>
        <v/>
      </c>
      <c r="FE76" s="28" t="str">
        <f t="shared" si="76"/>
        <v>00:00</v>
      </c>
      <c r="FF76" s="29"/>
      <c r="FG76" s="27"/>
      <c r="FH76" s="27"/>
      <c r="FI76" s="28" t="str">
        <f>IFERROR(VLOOKUP(FG76,Horarios!$H:$I,2,0),"")</f>
        <v/>
      </c>
      <c r="FJ76" s="28" t="str">
        <f>IFERROR(VLOOKUP(FH76,Horarios!$H:$I,2,0),"")</f>
        <v/>
      </c>
      <c r="FK76" s="28" t="str">
        <f t="shared" si="77"/>
        <v>00:00</v>
      </c>
      <c r="FL76" s="29"/>
      <c r="FM76" s="27"/>
      <c r="FN76" s="27"/>
      <c r="FO76" s="28" t="str">
        <f>IFERROR(VLOOKUP(FM76,Horarios!$H:$I,2,0),"")</f>
        <v/>
      </c>
      <c r="FP76" s="28" t="str">
        <f>IFERROR(VLOOKUP(FN76,Horarios!$H:$I,2,0),"")</f>
        <v/>
      </c>
      <c r="FQ76" s="28" t="str">
        <f t="shared" si="78"/>
        <v>00:00</v>
      </c>
      <c r="FR76" s="29"/>
      <c r="FS76" s="31" t="str">
        <f t="shared" si="79"/>
        <v/>
      </c>
      <c r="FT76" s="27"/>
      <c r="FU76" s="27"/>
      <c r="FV76" s="28" t="str">
        <f>IFERROR(VLOOKUP(FT76,Horarios!$H:$I,2,0),"")</f>
        <v/>
      </c>
      <c r="FW76" s="28" t="str">
        <f>IFERROR(VLOOKUP(FU76,Horarios!$H:$I,2,0),"")</f>
        <v/>
      </c>
      <c r="FX76" s="28" t="str">
        <f t="shared" si="80"/>
        <v>00:00</v>
      </c>
      <c r="FY76" s="29"/>
      <c r="FZ76" s="27"/>
      <c r="GA76" s="27"/>
      <c r="GB76" s="28" t="str">
        <f>IFERROR(VLOOKUP(FZ76,Horarios!$H:$I,2,0),"")</f>
        <v/>
      </c>
      <c r="GC76" s="28" t="str">
        <f>IFERROR(VLOOKUP(GA76,Horarios!$H:$I,2,0),"")</f>
        <v/>
      </c>
      <c r="GD76" s="28" t="str">
        <f t="shared" si="81"/>
        <v>00:00</v>
      </c>
      <c r="GE76" s="29"/>
      <c r="GF76" s="27"/>
      <c r="GG76" s="27"/>
      <c r="GH76" s="28" t="str">
        <f>IFERROR(VLOOKUP(GF76,Horarios!$H:$I,2,0),"")</f>
        <v/>
      </c>
      <c r="GI76" s="28" t="str">
        <f>IFERROR(VLOOKUP(GG76,Horarios!$H:$I,2,0),"")</f>
        <v/>
      </c>
      <c r="GJ76" s="28" t="str">
        <f t="shared" si="82"/>
        <v>00:00</v>
      </c>
      <c r="GK76" s="29"/>
      <c r="GL76" s="27"/>
      <c r="GM76" s="27"/>
      <c r="GN76" s="28" t="str">
        <f>IFERROR(VLOOKUP(GL76,Horarios!$H:$I,2,0),"")</f>
        <v/>
      </c>
      <c r="GO76" s="28" t="str">
        <f>IFERROR(VLOOKUP(GM76,Horarios!$H:$I,2,0),"")</f>
        <v/>
      </c>
      <c r="GP76" s="28" t="str">
        <f t="shared" si="83"/>
        <v>00:00</v>
      </c>
      <c r="GQ76" s="29"/>
      <c r="GR76" s="27"/>
      <c r="GS76" s="27"/>
      <c r="GT76" s="28" t="str">
        <f>IFERROR(VLOOKUP(GR76,Horarios!$H:$I,2,0),"")</f>
        <v/>
      </c>
      <c r="GU76" s="28" t="str">
        <f>IFERROR(VLOOKUP(GS76,Horarios!$H:$I,2,0),"")</f>
        <v/>
      </c>
      <c r="GV76" s="28" t="str">
        <f t="shared" si="84"/>
        <v>00:00</v>
      </c>
      <c r="GW76" s="29"/>
      <c r="GX76" s="27"/>
      <c r="GY76" s="27"/>
      <c r="GZ76" s="28" t="str">
        <f>IFERROR(VLOOKUP(GX76,Horarios!$H:$I,2,0),"")</f>
        <v/>
      </c>
      <c r="HA76" s="28" t="str">
        <f>IFERROR(VLOOKUP(GY76,Horarios!$H:$I,2,0),"")</f>
        <v/>
      </c>
      <c r="HB76" s="28" t="str">
        <f t="shared" si="85"/>
        <v>00:00</v>
      </c>
      <c r="HC76" s="29"/>
      <c r="HD76" s="27"/>
      <c r="HE76" s="27"/>
      <c r="HF76" s="28" t="str">
        <f>IFERROR(VLOOKUP(HD76,Horarios!$H:$I,2,0),"")</f>
        <v/>
      </c>
      <c r="HG76" s="28" t="str">
        <f>IFERROR(VLOOKUP(HE76,Horarios!$H:$I,2,0),"")</f>
        <v/>
      </c>
      <c r="HH76" s="28" t="str">
        <f t="shared" si="86"/>
        <v>00:00</v>
      </c>
      <c r="HI76" s="29"/>
      <c r="HJ76" s="31" t="str">
        <f t="shared" si="87"/>
        <v/>
      </c>
      <c r="HK76" s="27"/>
      <c r="HL76" s="27"/>
      <c r="HM76" s="28" t="str">
        <f>IFERROR(VLOOKUP(HK76,Horarios!$H:$I,2,0),"")</f>
        <v/>
      </c>
      <c r="HN76" s="28" t="str">
        <f>IFERROR(VLOOKUP(HL76,Horarios!$H:$I,2,0),"")</f>
        <v/>
      </c>
      <c r="HO76" s="28" t="str">
        <f t="shared" si="88"/>
        <v>00:00</v>
      </c>
      <c r="HP76" s="29"/>
      <c r="HQ76" s="27"/>
      <c r="HR76" s="27"/>
      <c r="HS76" s="28" t="str">
        <f>IFERROR(VLOOKUP(HQ76,Horarios!$H:$I,2,0),"")</f>
        <v/>
      </c>
      <c r="HT76" s="28" t="str">
        <f>IFERROR(VLOOKUP(HR76,Horarios!$H:$I,2,0),"")</f>
        <v/>
      </c>
      <c r="HU76" s="28" t="str">
        <f t="shared" si="89"/>
        <v>00:00</v>
      </c>
      <c r="HV76" s="29"/>
      <c r="HW76" s="27"/>
      <c r="HX76" s="27"/>
      <c r="HY76" s="28" t="str">
        <f>IFERROR(VLOOKUP(HW76,Horarios!$H:$I,2,0),"")</f>
        <v/>
      </c>
      <c r="HZ76" s="28" t="str">
        <f>IFERROR(VLOOKUP(HX76,Horarios!$H:$I,2,0),"")</f>
        <v/>
      </c>
      <c r="IA76" s="28" t="str">
        <f t="shared" si="90"/>
        <v>00:00</v>
      </c>
      <c r="IB76" s="29"/>
      <c r="IC76" s="27"/>
      <c r="ID76" s="27"/>
      <c r="IE76" s="28" t="str">
        <f>IFERROR(VLOOKUP(IC76,Horarios!$H:$I,2,0),"")</f>
        <v/>
      </c>
      <c r="IF76" s="28" t="str">
        <f>IFERROR(VLOOKUP(ID76,Horarios!$H:$I,2,0),"")</f>
        <v/>
      </c>
      <c r="IG76" s="28" t="str">
        <f t="shared" si="91"/>
        <v>00:00</v>
      </c>
      <c r="IH76" s="29"/>
      <c r="II76" s="27"/>
      <c r="IJ76" s="27"/>
      <c r="IK76" s="28" t="str">
        <f>IFERROR(VLOOKUP(II76,Horarios!$H:$I,2,0),"")</f>
        <v/>
      </c>
      <c r="IL76" s="28" t="str">
        <f>IFERROR(VLOOKUP(IJ76,Horarios!$H:$I,2,0),"")</f>
        <v/>
      </c>
      <c r="IM76" s="28" t="str">
        <f t="shared" si="92"/>
        <v>00:00</v>
      </c>
      <c r="IN76" s="29"/>
      <c r="IO76" s="27"/>
      <c r="IP76" s="27"/>
      <c r="IQ76" s="28" t="str">
        <f>IFERROR(VLOOKUP(IO76,Horarios!$H:$I,2,0),"")</f>
        <v/>
      </c>
      <c r="IR76" s="28" t="str">
        <f>IFERROR(VLOOKUP(IP76,Horarios!$H:$I,2,0),"")</f>
        <v/>
      </c>
      <c r="IS76" s="28" t="str">
        <f t="shared" si="93"/>
        <v>00:00</v>
      </c>
      <c r="IT76" s="29"/>
      <c r="IU76" s="27"/>
      <c r="IV76" s="27"/>
      <c r="IW76" s="28" t="str">
        <f>IFERROR(VLOOKUP(IU76,Horarios!$H:$I,2,0),"")</f>
        <v/>
      </c>
      <c r="IX76" s="28" t="str">
        <f>IFERROR(VLOOKUP(IV76,Horarios!$H:$I,2,0),"")</f>
        <v/>
      </c>
      <c r="IY76" s="28" t="str">
        <f t="shared" si="94"/>
        <v>00:00</v>
      </c>
      <c r="IZ76" s="29"/>
      <c r="JA76" s="31" t="str">
        <f t="shared" si="95"/>
        <v/>
      </c>
    </row>
    <row r="77" spans="1:261" s="24" customFormat="1" ht="17.399999999999999" x14ac:dyDescent="0.25">
      <c r="A77" s="25"/>
      <c r="B77" s="26" t="str">
        <f>IFERROR(VLOOKUP(A77,BaseNombres!A:B,2,0),"")</f>
        <v/>
      </c>
      <c r="C77" s="26" t="str">
        <f>IFERROR(VLOOKUP(A77,BaseNombres!A:C,3,0),"")</f>
        <v/>
      </c>
      <c r="D77" s="27"/>
      <c r="E77" s="27"/>
      <c r="F77" s="28" t="str">
        <f>IFERROR(VLOOKUP(D77,Horarios!$H:$I,2,0),"")</f>
        <v/>
      </c>
      <c r="G77" s="28" t="str">
        <f>IFERROR(VLOOKUP(E77,Horarios!$H:$I,2,0),"")</f>
        <v/>
      </c>
      <c r="H77" s="28" t="str">
        <f t="shared" si="48"/>
        <v>00:00</v>
      </c>
      <c r="I77" s="29"/>
      <c r="J77" s="27"/>
      <c r="K77" s="27"/>
      <c r="L77" s="28" t="str">
        <f>IFERROR(VLOOKUP(J77,Horarios!$H:$I,2,0),"")</f>
        <v/>
      </c>
      <c r="M77" s="28" t="str">
        <f>IFERROR(VLOOKUP(K77,Horarios!$H:$I,2,0),"")</f>
        <v/>
      </c>
      <c r="N77" s="28" t="str">
        <f t="shared" si="49"/>
        <v>00:00</v>
      </c>
      <c r="O77" s="29"/>
      <c r="P77" s="27"/>
      <c r="Q77" s="27"/>
      <c r="R77" s="28" t="str">
        <f>IFERROR(VLOOKUP(P77,Horarios!$H:$I,2,0),"")</f>
        <v/>
      </c>
      <c r="S77" s="28" t="str">
        <f>IFERROR(VLOOKUP(Q77,Horarios!$H:$I,2,0),"")</f>
        <v/>
      </c>
      <c r="T77" s="28" t="str">
        <f t="shared" si="50"/>
        <v>00:00</v>
      </c>
      <c r="U77" s="29"/>
      <c r="V77" s="27"/>
      <c r="W77" s="27"/>
      <c r="X77" s="28" t="str">
        <f>IFERROR(VLOOKUP(V77,Horarios!$H:$I,2,0),"")</f>
        <v/>
      </c>
      <c r="Y77" s="28" t="str">
        <f>IFERROR(VLOOKUP(W77,Horarios!$H:$I,2,0),"")</f>
        <v/>
      </c>
      <c r="Z77" s="28" t="str">
        <f t="shared" si="51"/>
        <v>00:00</v>
      </c>
      <c r="AA77" s="29"/>
      <c r="AB77" s="27"/>
      <c r="AC77" s="27"/>
      <c r="AD77" s="28" t="str">
        <f>IFERROR(VLOOKUP(AB77,Horarios!$H:$I,2,0),"")</f>
        <v/>
      </c>
      <c r="AE77" s="28" t="str">
        <f>IFERROR(VLOOKUP(AC77,Horarios!$H:$I,2,0),"")</f>
        <v/>
      </c>
      <c r="AF77" s="28" t="str">
        <f t="shared" si="52"/>
        <v>00:00</v>
      </c>
      <c r="AG77" s="29"/>
      <c r="AH77" s="27"/>
      <c r="AI77" s="27"/>
      <c r="AJ77" s="28" t="str">
        <f>IFERROR(VLOOKUP(AH77,Horarios!$H:$I,2,0),"")</f>
        <v/>
      </c>
      <c r="AK77" s="28" t="str">
        <f>IFERROR(VLOOKUP(AI77,Horarios!$H:$I,2,0),"")</f>
        <v/>
      </c>
      <c r="AL77" s="28" t="str">
        <f t="shared" si="53"/>
        <v>00:00</v>
      </c>
      <c r="AM77" s="29"/>
      <c r="AN77" s="27"/>
      <c r="AO77" s="27"/>
      <c r="AP77" s="28" t="str">
        <f>IFERROR(VLOOKUP(AN77,Horarios!$H:$I,2,0),"")</f>
        <v/>
      </c>
      <c r="AQ77" s="28" t="str">
        <f>IFERROR(VLOOKUP(AO77,Horarios!$H:$I,2,0),"")</f>
        <v/>
      </c>
      <c r="AR77" s="28" t="str">
        <f t="shared" si="54"/>
        <v>00:00</v>
      </c>
      <c r="AS77" s="29"/>
      <c r="AT77" s="31" t="str">
        <f t="shared" si="55"/>
        <v/>
      </c>
      <c r="AU77" s="27"/>
      <c r="AV77" s="27"/>
      <c r="AW77" s="28" t="str">
        <f>IFERROR(VLOOKUP(AU77,Horarios!$H:$I,2,0),"")</f>
        <v/>
      </c>
      <c r="AX77" s="28" t="str">
        <f>IFERROR(VLOOKUP(AV77,Horarios!$H:$I,2,0),"")</f>
        <v/>
      </c>
      <c r="AY77" s="28" t="str">
        <f t="shared" si="56"/>
        <v>00:00</v>
      </c>
      <c r="AZ77" s="29"/>
      <c r="BA77" s="27"/>
      <c r="BB77" s="27"/>
      <c r="BC77" s="28" t="str">
        <f>IFERROR(VLOOKUP(BA77,Horarios!$H:$I,2,0),"")</f>
        <v/>
      </c>
      <c r="BD77" s="28" t="str">
        <f>IFERROR(VLOOKUP(BB77,Horarios!$H:$I,2,0),"")</f>
        <v/>
      </c>
      <c r="BE77" s="28" t="str">
        <f t="shared" si="57"/>
        <v>00:00</v>
      </c>
      <c r="BF77" s="29"/>
      <c r="BG77" s="27"/>
      <c r="BH77" s="27"/>
      <c r="BI77" s="28" t="str">
        <f>IFERROR(VLOOKUP(BG77,Horarios!$H:$I,2,0),"")</f>
        <v/>
      </c>
      <c r="BJ77" s="28" t="str">
        <f>IFERROR(VLOOKUP(BH77,Horarios!$H:$I,2,0),"")</f>
        <v/>
      </c>
      <c r="BK77" s="28" t="str">
        <f t="shared" si="58"/>
        <v>00:00</v>
      </c>
      <c r="BL77" s="29"/>
      <c r="BM77" s="27"/>
      <c r="BN77" s="27"/>
      <c r="BO77" s="28" t="str">
        <f>IFERROR(VLOOKUP(BM77,Horarios!$H:$I,2,0),"")</f>
        <v/>
      </c>
      <c r="BP77" s="28" t="str">
        <f>IFERROR(VLOOKUP(BN77,Horarios!$H:$I,2,0),"")</f>
        <v/>
      </c>
      <c r="BQ77" s="28" t="str">
        <f t="shared" si="59"/>
        <v>00:00</v>
      </c>
      <c r="BR77" s="29"/>
      <c r="BS77" s="27"/>
      <c r="BT77" s="27"/>
      <c r="BU77" s="28" t="str">
        <f>IFERROR(VLOOKUP(BS77,Horarios!$H:$I,2,0),"")</f>
        <v/>
      </c>
      <c r="BV77" s="28" t="str">
        <f>IFERROR(VLOOKUP(BT77,Horarios!$H:$I,2,0),"")</f>
        <v/>
      </c>
      <c r="BW77" s="28" t="str">
        <f t="shared" si="60"/>
        <v>00:00</v>
      </c>
      <c r="BX77" s="29"/>
      <c r="BY77" s="27"/>
      <c r="BZ77" s="27"/>
      <c r="CA77" s="28" t="str">
        <f>IFERROR(VLOOKUP(BY77,Horarios!$H:$I,2,0),"")</f>
        <v/>
      </c>
      <c r="CB77" s="28" t="str">
        <f>IFERROR(VLOOKUP(BZ77,Horarios!$H:$I,2,0),"")</f>
        <v/>
      </c>
      <c r="CC77" s="28" t="str">
        <f t="shared" si="61"/>
        <v>00:00</v>
      </c>
      <c r="CD77" s="29"/>
      <c r="CE77" s="27"/>
      <c r="CF77" s="27"/>
      <c r="CG77" s="28" t="str">
        <f>IFERROR(VLOOKUP(CE77,Horarios!$H:$I,2,0),"")</f>
        <v/>
      </c>
      <c r="CH77" s="28" t="str">
        <f>IFERROR(VLOOKUP(CF77,Horarios!$H:$I,2,0),"")</f>
        <v/>
      </c>
      <c r="CI77" s="28" t="str">
        <f t="shared" si="62"/>
        <v>00:00</v>
      </c>
      <c r="CJ77" s="29"/>
      <c r="CK77" s="31" t="str">
        <f t="shared" si="63"/>
        <v/>
      </c>
      <c r="CL77" s="27"/>
      <c r="CM77" s="27"/>
      <c r="CN77" s="28" t="str">
        <f>IFERROR(VLOOKUP(CL77,Horarios!$H:$I,2,0),"")</f>
        <v/>
      </c>
      <c r="CO77" s="28" t="str">
        <f>IFERROR(VLOOKUP(CM77,Horarios!$H:$I,2,0),"")</f>
        <v/>
      </c>
      <c r="CP77" s="28" t="str">
        <f t="shared" si="64"/>
        <v>00:00</v>
      </c>
      <c r="CQ77" s="29"/>
      <c r="CR77" s="27"/>
      <c r="CS77" s="27"/>
      <c r="CT77" s="28" t="str">
        <f>IFERROR(VLOOKUP(CR77,Horarios!$H:$I,2,0),"")</f>
        <v/>
      </c>
      <c r="CU77" s="28" t="str">
        <f>IFERROR(VLOOKUP(CS77,Horarios!$H:$I,2,0),"")</f>
        <v/>
      </c>
      <c r="CV77" s="28" t="str">
        <f t="shared" si="65"/>
        <v>00:00</v>
      </c>
      <c r="CW77" s="29"/>
      <c r="CX77" s="27"/>
      <c r="CY77" s="27"/>
      <c r="CZ77" s="28" t="str">
        <f>IFERROR(VLOOKUP(CX77,Horarios!$H:$I,2,0),"")</f>
        <v/>
      </c>
      <c r="DA77" s="28" t="str">
        <f>IFERROR(VLOOKUP(CY77,Horarios!$H:$I,2,0),"")</f>
        <v/>
      </c>
      <c r="DB77" s="28" t="str">
        <f t="shared" si="66"/>
        <v>00:00</v>
      </c>
      <c r="DC77" s="29"/>
      <c r="DD77" s="27"/>
      <c r="DE77" s="27"/>
      <c r="DF77" s="28" t="str">
        <f>IFERROR(VLOOKUP(DD77,Horarios!$H:$I,2,0),"")</f>
        <v/>
      </c>
      <c r="DG77" s="28" t="str">
        <f>IFERROR(VLOOKUP(DE77,Horarios!$H:$I,2,0),"")</f>
        <v/>
      </c>
      <c r="DH77" s="28" t="str">
        <f t="shared" si="67"/>
        <v>00:00</v>
      </c>
      <c r="DI77" s="29"/>
      <c r="DJ77" s="27"/>
      <c r="DK77" s="27"/>
      <c r="DL77" s="28" t="str">
        <f>IFERROR(VLOOKUP(DJ77,Horarios!$H:$I,2,0),"")</f>
        <v/>
      </c>
      <c r="DM77" s="28" t="str">
        <f>IFERROR(VLOOKUP(DK77,Horarios!$H:$I,2,0),"")</f>
        <v/>
      </c>
      <c r="DN77" s="28" t="str">
        <f t="shared" si="68"/>
        <v>00:00</v>
      </c>
      <c r="DO77" s="29"/>
      <c r="DP77" s="27"/>
      <c r="DQ77" s="27"/>
      <c r="DR77" s="28" t="str">
        <f>IFERROR(VLOOKUP(DP77,Horarios!$H:$I,2,0),"")</f>
        <v/>
      </c>
      <c r="DS77" s="28" t="str">
        <f>IFERROR(VLOOKUP(DQ77,Horarios!$H:$I,2,0),"")</f>
        <v/>
      </c>
      <c r="DT77" s="28" t="str">
        <f t="shared" si="69"/>
        <v>00:00</v>
      </c>
      <c r="DU77" s="29"/>
      <c r="DV77" s="27"/>
      <c r="DW77" s="27"/>
      <c r="DX77" s="28" t="str">
        <f>IFERROR(VLOOKUP(DV77,Horarios!$H:$I,2,0),"")</f>
        <v/>
      </c>
      <c r="DY77" s="28" t="str">
        <f>IFERROR(VLOOKUP(DW77,Horarios!$H:$I,2,0),"")</f>
        <v/>
      </c>
      <c r="DZ77" s="28" t="str">
        <f t="shared" si="70"/>
        <v>00:00</v>
      </c>
      <c r="EA77" s="29"/>
      <c r="EB77" s="31" t="str">
        <f t="shared" si="71"/>
        <v/>
      </c>
      <c r="EC77" s="27"/>
      <c r="ED77" s="27"/>
      <c r="EE77" s="28" t="str">
        <f>IFERROR(VLOOKUP(EC77,Horarios!$H:$I,2,0),"")</f>
        <v/>
      </c>
      <c r="EF77" s="28" t="str">
        <f>IFERROR(VLOOKUP(ED77,Horarios!$H:$I,2,0),"")</f>
        <v/>
      </c>
      <c r="EG77" s="28" t="str">
        <f t="shared" si="72"/>
        <v>00:00</v>
      </c>
      <c r="EH77" s="29"/>
      <c r="EI77" s="27"/>
      <c r="EJ77" s="27"/>
      <c r="EK77" s="28" t="str">
        <f>IFERROR(VLOOKUP(EI77,Horarios!$H:$I,2,0),"")</f>
        <v/>
      </c>
      <c r="EL77" s="28" t="str">
        <f>IFERROR(VLOOKUP(EJ77,Horarios!$H:$I,2,0),"")</f>
        <v/>
      </c>
      <c r="EM77" s="28" t="str">
        <f t="shared" si="73"/>
        <v>00:00</v>
      </c>
      <c r="EN77" s="29"/>
      <c r="EO77" s="27"/>
      <c r="EP77" s="27"/>
      <c r="EQ77" s="28" t="str">
        <f>IFERROR(VLOOKUP(EO77,Horarios!$H:$I,2,0),"")</f>
        <v/>
      </c>
      <c r="ER77" s="28" t="str">
        <f>IFERROR(VLOOKUP(EP77,Horarios!$H:$I,2,0),"")</f>
        <v/>
      </c>
      <c r="ES77" s="28" t="str">
        <f t="shared" si="74"/>
        <v>00:00</v>
      </c>
      <c r="ET77" s="29"/>
      <c r="EU77" s="27"/>
      <c r="EV77" s="27"/>
      <c r="EW77" s="28" t="str">
        <f>IFERROR(VLOOKUP(EU77,Horarios!$H:$I,2,0),"")</f>
        <v/>
      </c>
      <c r="EX77" s="28" t="str">
        <f>IFERROR(VLOOKUP(EV77,Horarios!$H:$I,2,0),"")</f>
        <v/>
      </c>
      <c r="EY77" s="28" t="str">
        <f t="shared" si="75"/>
        <v>00:00</v>
      </c>
      <c r="EZ77" s="29"/>
      <c r="FA77" s="27"/>
      <c r="FB77" s="27"/>
      <c r="FC77" s="28" t="str">
        <f>IFERROR(VLOOKUP(FA77,Horarios!$H:$I,2,0),"")</f>
        <v/>
      </c>
      <c r="FD77" s="28" t="str">
        <f>IFERROR(VLOOKUP(FB77,Horarios!$H:$I,2,0),"")</f>
        <v/>
      </c>
      <c r="FE77" s="28" t="str">
        <f t="shared" si="76"/>
        <v>00:00</v>
      </c>
      <c r="FF77" s="29"/>
      <c r="FG77" s="27"/>
      <c r="FH77" s="27"/>
      <c r="FI77" s="28" t="str">
        <f>IFERROR(VLOOKUP(FG77,Horarios!$H:$I,2,0),"")</f>
        <v/>
      </c>
      <c r="FJ77" s="28" t="str">
        <f>IFERROR(VLOOKUP(FH77,Horarios!$H:$I,2,0),"")</f>
        <v/>
      </c>
      <c r="FK77" s="28" t="str">
        <f t="shared" si="77"/>
        <v>00:00</v>
      </c>
      <c r="FL77" s="29"/>
      <c r="FM77" s="27"/>
      <c r="FN77" s="27"/>
      <c r="FO77" s="28" t="str">
        <f>IFERROR(VLOOKUP(FM77,Horarios!$H:$I,2,0),"")</f>
        <v/>
      </c>
      <c r="FP77" s="28" t="str">
        <f>IFERROR(VLOOKUP(FN77,Horarios!$H:$I,2,0),"")</f>
        <v/>
      </c>
      <c r="FQ77" s="28" t="str">
        <f t="shared" si="78"/>
        <v>00:00</v>
      </c>
      <c r="FR77" s="29"/>
      <c r="FS77" s="31" t="str">
        <f t="shared" si="79"/>
        <v/>
      </c>
      <c r="FT77" s="27"/>
      <c r="FU77" s="27"/>
      <c r="FV77" s="28" t="str">
        <f>IFERROR(VLOOKUP(FT77,Horarios!$H:$I,2,0),"")</f>
        <v/>
      </c>
      <c r="FW77" s="28" t="str">
        <f>IFERROR(VLOOKUP(FU77,Horarios!$H:$I,2,0),"")</f>
        <v/>
      </c>
      <c r="FX77" s="28" t="str">
        <f t="shared" si="80"/>
        <v>00:00</v>
      </c>
      <c r="FY77" s="29"/>
      <c r="FZ77" s="27"/>
      <c r="GA77" s="27"/>
      <c r="GB77" s="28" t="str">
        <f>IFERROR(VLOOKUP(FZ77,Horarios!$H:$I,2,0),"")</f>
        <v/>
      </c>
      <c r="GC77" s="28" t="str">
        <f>IFERROR(VLOOKUP(GA77,Horarios!$H:$I,2,0),"")</f>
        <v/>
      </c>
      <c r="GD77" s="28" t="str">
        <f t="shared" si="81"/>
        <v>00:00</v>
      </c>
      <c r="GE77" s="29"/>
      <c r="GF77" s="27"/>
      <c r="GG77" s="27"/>
      <c r="GH77" s="28" t="str">
        <f>IFERROR(VLOOKUP(GF77,Horarios!$H:$I,2,0),"")</f>
        <v/>
      </c>
      <c r="GI77" s="28" t="str">
        <f>IFERROR(VLOOKUP(GG77,Horarios!$H:$I,2,0),"")</f>
        <v/>
      </c>
      <c r="GJ77" s="28" t="str">
        <f t="shared" si="82"/>
        <v>00:00</v>
      </c>
      <c r="GK77" s="29"/>
      <c r="GL77" s="27"/>
      <c r="GM77" s="27"/>
      <c r="GN77" s="28" t="str">
        <f>IFERROR(VLOOKUP(GL77,Horarios!$H:$I,2,0),"")</f>
        <v/>
      </c>
      <c r="GO77" s="28" t="str">
        <f>IFERROR(VLOOKUP(GM77,Horarios!$H:$I,2,0),"")</f>
        <v/>
      </c>
      <c r="GP77" s="28" t="str">
        <f t="shared" si="83"/>
        <v>00:00</v>
      </c>
      <c r="GQ77" s="29"/>
      <c r="GR77" s="27"/>
      <c r="GS77" s="27"/>
      <c r="GT77" s="28" t="str">
        <f>IFERROR(VLOOKUP(GR77,Horarios!$H:$I,2,0),"")</f>
        <v/>
      </c>
      <c r="GU77" s="28" t="str">
        <f>IFERROR(VLOOKUP(GS77,Horarios!$H:$I,2,0),"")</f>
        <v/>
      </c>
      <c r="GV77" s="28" t="str">
        <f t="shared" si="84"/>
        <v>00:00</v>
      </c>
      <c r="GW77" s="29"/>
      <c r="GX77" s="27"/>
      <c r="GY77" s="27"/>
      <c r="GZ77" s="28" t="str">
        <f>IFERROR(VLOOKUP(GX77,Horarios!$H:$I,2,0),"")</f>
        <v/>
      </c>
      <c r="HA77" s="28" t="str">
        <f>IFERROR(VLOOKUP(GY77,Horarios!$H:$I,2,0),"")</f>
        <v/>
      </c>
      <c r="HB77" s="28" t="str">
        <f t="shared" si="85"/>
        <v>00:00</v>
      </c>
      <c r="HC77" s="29"/>
      <c r="HD77" s="27"/>
      <c r="HE77" s="27"/>
      <c r="HF77" s="28" t="str">
        <f>IFERROR(VLOOKUP(HD77,Horarios!$H:$I,2,0),"")</f>
        <v/>
      </c>
      <c r="HG77" s="28" t="str">
        <f>IFERROR(VLOOKUP(HE77,Horarios!$H:$I,2,0),"")</f>
        <v/>
      </c>
      <c r="HH77" s="28" t="str">
        <f t="shared" si="86"/>
        <v>00:00</v>
      </c>
      <c r="HI77" s="29"/>
      <c r="HJ77" s="31" t="str">
        <f t="shared" si="87"/>
        <v/>
      </c>
      <c r="HK77" s="27"/>
      <c r="HL77" s="27"/>
      <c r="HM77" s="28" t="str">
        <f>IFERROR(VLOOKUP(HK77,Horarios!$H:$I,2,0),"")</f>
        <v/>
      </c>
      <c r="HN77" s="28" t="str">
        <f>IFERROR(VLOOKUP(HL77,Horarios!$H:$I,2,0),"")</f>
        <v/>
      </c>
      <c r="HO77" s="28" t="str">
        <f t="shared" si="88"/>
        <v>00:00</v>
      </c>
      <c r="HP77" s="29"/>
      <c r="HQ77" s="27"/>
      <c r="HR77" s="27"/>
      <c r="HS77" s="28" t="str">
        <f>IFERROR(VLOOKUP(HQ77,Horarios!$H:$I,2,0),"")</f>
        <v/>
      </c>
      <c r="HT77" s="28" t="str">
        <f>IFERROR(VLOOKUP(HR77,Horarios!$H:$I,2,0),"")</f>
        <v/>
      </c>
      <c r="HU77" s="28" t="str">
        <f t="shared" si="89"/>
        <v>00:00</v>
      </c>
      <c r="HV77" s="29"/>
      <c r="HW77" s="27"/>
      <c r="HX77" s="27"/>
      <c r="HY77" s="28" t="str">
        <f>IFERROR(VLOOKUP(HW77,Horarios!$H:$I,2,0),"")</f>
        <v/>
      </c>
      <c r="HZ77" s="28" t="str">
        <f>IFERROR(VLOOKUP(HX77,Horarios!$H:$I,2,0),"")</f>
        <v/>
      </c>
      <c r="IA77" s="28" t="str">
        <f t="shared" si="90"/>
        <v>00:00</v>
      </c>
      <c r="IB77" s="29"/>
      <c r="IC77" s="27"/>
      <c r="ID77" s="27"/>
      <c r="IE77" s="28" t="str">
        <f>IFERROR(VLOOKUP(IC77,Horarios!$H:$I,2,0),"")</f>
        <v/>
      </c>
      <c r="IF77" s="28" t="str">
        <f>IFERROR(VLOOKUP(ID77,Horarios!$H:$I,2,0),"")</f>
        <v/>
      </c>
      <c r="IG77" s="28" t="str">
        <f t="shared" si="91"/>
        <v>00:00</v>
      </c>
      <c r="IH77" s="29"/>
      <c r="II77" s="27"/>
      <c r="IJ77" s="27"/>
      <c r="IK77" s="28" t="str">
        <f>IFERROR(VLOOKUP(II77,Horarios!$H:$I,2,0),"")</f>
        <v/>
      </c>
      <c r="IL77" s="28" t="str">
        <f>IFERROR(VLOOKUP(IJ77,Horarios!$H:$I,2,0),"")</f>
        <v/>
      </c>
      <c r="IM77" s="28" t="str">
        <f t="shared" si="92"/>
        <v>00:00</v>
      </c>
      <c r="IN77" s="29"/>
      <c r="IO77" s="27"/>
      <c r="IP77" s="27"/>
      <c r="IQ77" s="28" t="str">
        <f>IFERROR(VLOOKUP(IO77,Horarios!$H:$I,2,0),"")</f>
        <v/>
      </c>
      <c r="IR77" s="28" t="str">
        <f>IFERROR(VLOOKUP(IP77,Horarios!$H:$I,2,0),"")</f>
        <v/>
      </c>
      <c r="IS77" s="28" t="str">
        <f t="shared" si="93"/>
        <v>00:00</v>
      </c>
      <c r="IT77" s="29"/>
      <c r="IU77" s="27"/>
      <c r="IV77" s="27"/>
      <c r="IW77" s="28" t="str">
        <f>IFERROR(VLOOKUP(IU77,Horarios!$H:$I,2,0),"")</f>
        <v/>
      </c>
      <c r="IX77" s="28" t="str">
        <f>IFERROR(VLOOKUP(IV77,Horarios!$H:$I,2,0),"")</f>
        <v/>
      </c>
      <c r="IY77" s="28" t="str">
        <f t="shared" si="94"/>
        <v>00:00</v>
      </c>
      <c r="IZ77" s="29"/>
      <c r="JA77" s="31" t="str">
        <f t="shared" si="95"/>
        <v/>
      </c>
    </row>
    <row r="78" spans="1:261" s="24" customFormat="1" ht="17.399999999999999" x14ac:dyDescent="0.25">
      <c r="A78" s="25"/>
      <c r="B78" s="26" t="str">
        <f>IFERROR(VLOOKUP(A78,BaseNombres!A:B,2,0),"")</f>
        <v/>
      </c>
      <c r="C78" s="26" t="str">
        <f>IFERROR(VLOOKUP(A78,BaseNombres!A:C,3,0),"")</f>
        <v/>
      </c>
      <c r="D78" s="27"/>
      <c r="E78" s="27"/>
      <c r="F78" s="28" t="str">
        <f>IFERROR(VLOOKUP(D78,Horarios!$H:$I,2,0),"")</f>
        <v/>
      </c>
      <c r="G78" s="28" t="str">
        <f>IFERROR(VLOOKUP(E78,Horarios!$H:$I,2,0),"")</f>
        <v/>
      </c>
      <c r="H78" s="28" t="str">
        <f t="shared" si="48"/>
        <v>00:00</v>
      </c>
      <c r="I78" s="29"/>
      <c r="J78" s="27"/>
      <c r="K78" s="27"/>
      <c r="L78" s="28" t="str">
        <f>IFERROR(VLOOKUP(J78,Horarios!$H:$I,2,0),"")</f>
        <v/>
      </c>
      <c r="M78" s="28" t="str">
        <f>IFERROR(VLOOKUP(K78,Horarios!$H:$I,2,0),"")</f>
        <v/>
      </c>
      <c r="N78" s="28" t="str">
        <f t="shared" si="49"/>
        <v>00:00</v>
      </c>
      <c r="O78" s="29"/>
      <c r="P78" s="27"/>
      <c r="Q78" s="27"/>
      <c r="R78" s="28" t="str">
        <f>IFERROR(VLOOKUP(P78,Horarios!$H:$I,2,0),"")</f>
        <v/>
      </c>
      <c r="S78" s="28" t="str">
        <f>IFERROR(VLOOKUP(Q78,Horarios!$H:$I,2,0),"")</f>
        <v/>
      </c>
      <c r="T78" s="28" t="str">
        <f t="shared" si="50"/>
        <v>00:00</v>
      </c>
      <c r="U78" s="29"/>
      <c r="V78" s="27"/>
      <c r="W78" s="27"/>
      <c r="X78" s="28" t="str">
        <f>IFERROR(VLOOKUP(V78,Horarios!$H:$I,2,0),"")</f>
        <v/>
      </c>
      <c r="Y78" s="28" t="str">
        <f>IFERROR(VLOOKUP(W78,Horarios!$H:$I,2,0),"")</f>
        <v/>
      </c>
      <c r="Z78" s="28" t="str">
        <f t="shared" si="51"/>
        <v>00:00</v>
      </c>
      <c r="AA78" s="29"/>
      <c r="AB78" s="27"/>
      <c r="AC78" s="27"/>
      <c r="AD78" s="28" t="str">
        <f>IFERROR(VLOOKUP(AB78,Horarios!$H:$I,2,0),"")</f>
        <v/>
      </c>
      <c r="AE78" s="28" t="str">
        <f>IFERROR(VLOOKUP(AC78,Horarios!$H:$I,2,0),"")</f>
        <v/>
      </c>
      <c r="AF78" s="28" t="str">
        <f t="shared" si="52"/>
        <v>00:00</v>
      </c>
      <c r="AG78" s="29"/>
      <c r="AH78" s="27"/>
      <c r="AI78" s="27"/>
      <c r="AJ78" s="28" t="str">
        <f>IFERROR(VLOOKUP(AH78,Horarios!$H:$I,2,0),"")</f>
        <v/>
      </c>
      <c r="AK78" s="28" t="str">
        <f>IFERROR(VLOOKUP(AI78,Horarios!$H:$I,2,0),"")</f>
        <v/>
      </c>
      <c r="AL78" s="28" t="str">
        <f t="shared" si="53"/>
        <v>00:00</v>
      </c>
      <c r="AM78" s="29"/>
      <c r="AN78" s="27"/>
      <c r="AO78" s="27"/>
      <c r="AP78" s="28" t="str">
        <f>IFERROR(VLOOKUP(AN78,Horarios!$H:$I,2,0),"")</f>
        <v/>
      </c>
      <c r="AQ78" s="28" t="str">
        <f>IFERROR(VLOOKUP(AO78,Horarios!$H:$I,2,0),"")</f>
        <v/>
      </c>
      <c r="AR78" s="28" t="str">
        <f t="shared" si="54"/>
        <v>00:00</v>
      </c>
      <c r="AS78" s="29"/>
      <c r="AT78" s="31" t="str">
        <f t="shared" si="55"/>
        <v/>
      </c>
      <c r="AU78" s="27"/>
      <c r="AV78" s="27"/>
      <c r="AW78" s="28" t="str">
        <f>IFERROR(VLOOKUP(AU78,Horarios!$H:$I,2,0),"")</f>
        <v/>
      </c>
      <c r="AX78" s="28" t="str">
        <f>IFERROR(VLOOKUP(AV78,Horarios!$H:$I,2,0),"")</f>
        <v/>
      </c>
      <c r="AY78" s="28" t="str">
        <f t="shared" si="56"/>
        <v>00:00</v>
      </c>
      <c r="AZ78" s="29"/>
      <c r="BA78" s="27"/>
      <c r="BB78" s="27"/>
      <c r="BC78" s="28" t="str">
        <f>IFERROR(VLOOKUP(BA78,Horarios!$H:$I,2,0),"")</f>
        <v/>
      </c>
      <c r="BD78" s="28" t="str">
        <f>IFERROR(VLOOKUP(BB78,Horarios!$H:$I,2,0),"")</f>
        <v/>
      </c>
      <c r="BE78" s="28" t="str">
        <f t="shared" si="57"/>
        <v>00:00</v>
      </c>
      <c r="BF78" s="29"/>
      <c r="BG78" s="27"/>
      <c r="BH78" s="27"/>
      <c r="BI78" s="28" t="str">
        <f>IFERROR(VLOOKUP(BG78,Horarios!$H:$I,2,0),"")</f>
        <v/>
      </c>
      <c r="BJ78" s="28" t="str">
        <f>IFERROR(VLOOKUP(BH78,Horarios!$H:$I,2,0),"")</f>
        <v/>
      </c>
      <c r="BK78" s="28" t="str">
        <f t="shared" si="58"/>
        <v>00:00</v>
      </c>
      <c r="BL78" s="29"/>
      <c r="BM78" s="27"/>
      <c r="BN78" s="27"/>
      <c r="BO78" s="28" t="str">
        <f>IFERROR(VLOOKUP(BM78,Horarios!$H:$I,2,0),"")</f>
        <v/>
      </c>
      <c r="BP78" s="28" t="str">
        <f>IFERROR(VLOOKUP(BN78,Horarios!$H:$I,2,0),"")</f>
        <v/>
      </c>
      <c r="BQ78" s="28" t="str">
        <f t="shared" si="59"/>
        <v>00:00</v>
      </c>
      <c r="BR78" s="29"/>
      <c r="BS78" s="27"/>
      <c r="BT78" s="27"/>
      <c r="BU78" s="28" t="str">
        <f>IFERROR(VLOOKUP(BS78,Horarios!$H:$I,2,0),"")</f>
        <v/>
      </c>
      <c r="BV78" s="28" t="str">
        <f>IFERROR(VLOOKUP(BT78,Horarios!$H:$I,2,0),"")</f>
        <v/>
      </c>
      <c r="BW78" s="28" t="str">
        <f t="shared" si="60"/>
        <v>00:00</v>
      </c>
      <c r="BX78" s="29"/>
      <c r="BY78" s="27"/>
      <c r="BZ78" s="27"/>
      <c r="CA78" s="28" t="str">
        <f>IFERROR(VLOOKUP(BY78,Horarios!$H:$I,2,0),"")</f>
        <v/>
      </c>
      <c r="CB78" s="28" t="str">
        <f>IFERROR(VLOOKUP(BZ78,Horarios!$H:$I,2,0),"")</f>
        <v/>
      </c>
      <c r="CC78" s="28" t="str">
        <f t="shared" si="61"/>
        <v>00:00</v>
      </c>
      <c r="CD78" s="29"/>
      <c r="CE78" s="27"/>
      <c r="CF78" s="27"/>
      <c r="CG78" s="28" t="str">
        <f>IFERROR(VLOOKUP(CE78,Horarios!$H:$I,2,0),"")</f>
        <v/>
      </c>
      <c r="CH78" s="28" t="str">
        <f>IFERROR(VLOOKUP(CF78,Horarios!$H:$I,2,0),"")</f>
        <v/>
      </c>
      <c r="CI78" s="28" t="str">
        <f t="shared" si="62"/>
        <v>00:00</v>
      </c>
      <c r="CJ78" s="29"/>
      <c r="CK78" s="31" t="str">
        <f t="shared" si="63"/>
        <v/>
      </c>
      <c r="CL78" s="27"/>
      <c r="CM78" s="27"/>
      <c r="CN78" s="28" t="str">
        <f>IFERROR(VLOOKUP(CL78,Horarios!$H:$I,2,0),"")</f>
        <v/>
      </c>
      <c r="CO78" s="28" t="str">
        <f>IFERROR(VLOOKUP(CM78,Horarios!$H:$I,2,0),"")</f>
        <v/>
      </c>
      <c r="CP78" s="28" t="str">
        <f t="shared" si="64"/>
        <v>00:00</v>
      </c>
      <c r="CQ78" s="29"/>
      <c r="CR78" s="27"/>
      <c r="CS78" s="27"/>
      <c r="CT78" s="28" t="str">
        <f>IFERROR(VLOOKUP(CR78,Horarios!$H:$I,2,0),"")</f>
        <v/>
      </c>
      <c r="CU78" s="28" t="str">
        <f>IFERROR(VLOOKUP(CS78,Horarios!$H:$I,2,0),"")</f>
        <v/>
      </c>
      <c r="CV78" s="28" t="str">
        <f t="shared" si="65"/>
        <v>00:00</v>
      </c>
      <c r="CW78" s="29"/>
      <c r="CX78" s="27"/>
      <c r="CY78" s="27"/>
      <c r="CZ78" s="28" t="str">
        <f>IFERROR(VLOOKUP(CX78,Horarios!$H:$I,2,0),"")</f>
        <v/>
      </c>
      <c r="DA78" s="28" t="str">
        <f>IFERROR(VLOOKUP(CY78,Horarios!$H:$I,2,0),"")</f>
        <v/>
      </c>
      <c r="DB78" s="28" t="str">
        <f t="shared" si="66"/>
        <v>00:00</v>
      </c>
      <c r="DC78" s="29"/>
      <c r="DD78" s="27"/>
      <c r="DE78" s="27"/>
      <c r="DF78" s="28" t="str">
        <f>IFERROR(VLOOKUP(DD78,Horarios!$H:$I,2,0),"")</f>
        <v/>
      </c>
      <c r="DG78" s="28" t="str">
        <f>IFERROR(VLOOKUP(DE78,Horarios!$H:$I,2,0),"")</f>
        <v/>
      </c>
      <c r="DH78" s="28" t="str">
        <f t="shared" si="67"/>
        <v>00:00</v>
      </c>
      <c r="DI78" s="29"/>
      <c r="DJ78" s="27"/>
      <c r="DK78" s="27"/>
      <c r="DL78" s="28" t="str">
        <f>IFERROR(VLOOKUP(DJ78,Horarios!$H:$I,2,0),"")</f>
        <v/>
      </c>
      <c r="DM78" s="28" t="str">
        <f>IFERROR(VLOOKUP(DK78,Horarios!$H:$I,2,0),"")</f>
        <v/>
      </c>
      <c r="DN78" s="28" t="str">
        <f t="shared" si="68"/>
        <v>00:00</v>
      </c>
      <c r="DO78" s="29"/>
      <c r="DP78" s="27"/>
      <c r="DQ78" s="27"/>
      <c r="DR78" s="28" t="str">
        <f>IFERROR(VLOOKUP(DP78,Horarios!$H:$I,2,0),"")</f>
        <v/>
      </c>
      <c r="DS78" s="28" t="str">
        <f>IFERROR(VLOOKUP(DQ78,Horarios!$H:$I,2,0),"")</f>
        <v/>
      </c>
      <c r="DT78" s="28" t="str">
        <f t="shared" si="69"/>
        <v>00:00</v>
      </c>
      <c r="DU78" s="29"/>
      <c r="DV78" s="27"/>
      <c r="DW78" s="27"/>
      <c r="DX78" s="28" t="str">
        <f>IFERROR(VLOOKUP(DV78,Horarios!$H:$I,2,0),"")</f>
        <v/>
      </c>
      <c r="DY78" s="28" t="str">
        <f>IFERROR(VLOOKUP(DW78,Horarios!$H:$I,2,0),"")</f>
        <v/>
      </c>
      <c r="DZ78" s="28" t="str">
        <f t="shared" si="70"/>
        <v>00:00</v>
      </c>
      <c r="EA78" s="29"/>
      <c r="EB78" s="31" t="str">
        <f t="shared" si="71"/>
        <v/>
      </c>
      <c r="EC78" s="27"/>
      <c r="ED78" s="27"/>
      <c r="EE78" s="28" t="str">
        <f>IFERROR(VLOOKUP(EC78,Horarios!$H:$I,2,0),"")</f>
        <v/>
      </c>
      <c r="EF78" s="28" t="str">
        <f>IFERROR(VLOOKUP(ED78,Horarios!$H:$I,2,0),"")</f>
        <v/>
      </c>
      <c r="EG78" s="28" t="str">
        <f t="shared" si="72"/>
        <v>00:00</v>
      </c>
      <c r="EH78" s="29"/>
      <c r="EI78" s="27"/>
      <c r="EJ78" s="27"/>
      <c r="EK78" s="28" t="str">
        <f>IFERROR(VLOOKUP(EI78,Horarios!$H:$I,2,0),"")</f>
        <v/>
      </c>
      <c r="EL78" s="28" t="str">
        <f>IFERROR(VLOOKUP(EJ78,Horarios!$H:$I,2,0),"")</f>
        <v/>
      </c>
      <c r="EM78" s="28" t="str">
        <f t="shared" si="73"/>
        <v>00:00</v>
      </c>
      <c r="EN78" s="29"/>
      <c r="EO78" s="27"/>
      <c r="EP78" s="27"/>
      <c r="EQ78" s="28" t="str">
        <f>IFERROR(VLOOKUP(EO78,Horarios!$H:$I,2,0),"")</f>
        <v/>
      </c>
      <c r="ER78" s="28" t="str">
        <f>IFERROR(VLOOKUP(EP78,Horarios!$H:$I,2,0),"")</f>
        <v/>
      </c>
      <c r="ES78" s="28" t="str">
        <f t="shared" si="74"/>
        <v>00:00</v>
      </c>
      <c r="ET78" s="29"/>
      <c r="EU78" s="27"/>
      <c r="EV78" s="27"/>
      <c r="EW78" s="28" t="str">
        <f>IFERROR(VLOOKUP(EU78,Horarios!$H:$I,2,0),"")</f>
        <v/>
      </c>
      <c r="EX78" s="28" t="str">
        <f>IFERROR(VLOOKUP(EV78,Horarios!$H:$I,2,0),"")</f>
        <v/>
      </c>
      <c r="EY78" s="28" t="str">
        <f t="shared" si="75"/>
        <v>00:00</v>
      </c>
      <c r="EZ78" s="29"/>
      <c r="FA78" s="27"/>
      <c r="FB78" s="27"/>
      <c r="FC78" s="28" t="str">
        <f>IFERROR(VLOOKUP(FA78,Horarios!$H:$I,2,0),"")</f>
        <v/>
      </c>
      <c r="FD78" s="28" t="str">
        <f>IFERROR(VLOOKUP(FB78,Horarios!$H:$I,2,0),"")</f>
        <v/>
      </c>
      <c r="FE78" s="28" t="str">
        <f t="shared" si="76"/>
        <v>00:00</v>
      </c>
      <c r="FF78" s="29"/>
      <c r="FG78" s="27"/>
      <c r="FH78" s="27"/>
      <c r="FI78" s="28" t="str">
        <f>IFERROR(VLOOKUP(FG78,Horarios!$H:$I,2,0),"")</f>
        <v/>
      </c>
      <c r="FJ78" s="28" t="str">
        <f>IFERROR(VLOOKUP(FH78,Horarios!$H:$I,2,0),"")</f>
        <v/>
      </c>
      <c r="FK78" s="28" t="str">
        <f t="shared" si="77"/>
        <v>00:00</v>
      </c>
      <c r="FL78" s="29"/>
      <c r="FM78" s="27"/>
      <c r="FN78" s="27"/>
      <c r="FO78" s="28" t="str">
        <f>IFERROR(VLOOKUP(FM78,Horarios!$H:$I,2,0),"")</f>
        <v/>
      </c>
      <c r="FP78" s="28" t="str">
        <f>IFERROR(VLOOKUP(FN78,Horarios!$H:$I,2,0),"")</f>
        <v/>
      </c>
      <c r="FQ78" s="28" t="str">
        <f t="shared" si="78"/>
        <v>00:00</v>
      </c>
      <c r="FR78" s="29"/>
      <c r="FS78" s="31" t="str">
        <f t="shared" si="79"/>
        <v/>
      </c>
      <c r="FT78" s="27"/>
      <c r="FU78" s="27"/>
      <c r="FV78" s="28" t="str">
        <f>IFERROR(VLOOKUP(FT78,Horarios!$H:$I,2,0),"")</f>
        <v/>
      </c>
      <c r="FW78" s="28" t="str">
        <f>IFERROR(VLOOKUP(FU78,Horarios!$H:$I,2,0),"")</f>
        <v/>
      </c>
      <c r="FX78" s="28" t="str">
        <f t="shared" si="80"/>
        <v>00:00</v>
      </c>
      <c r="FY78" s="29"/>
      <c r="FZ78" s="27"/>
      <c r="GA78" s="27"/>
      <c r="GB78" s="28" t="str">
        <f>IFERROR(VLOOKUP(FZ78,Horarios!$H:$I,2,0),"")</f>
        <v/>
      </c>
      <c r="GC78" s="28" t="str">
        <f>IFERROR(VLOOKUP(GA78,Horarios!$H:$I,2,0),"")</f>
        <v/>
      </c>
      <c r="GD78" s="28" t="str">
        <f t="shared" si="81"/>
        <v>00:00</v>
      </c>
      <c r="GE78" s="29"/>
      <c r="GF78" s="27"/>
      <c r="GG78" s="27"/>
      <c r="GH78" s="28" t="str">
        <f>IFERROR(VLOOKUP(GF78,Horarios!$H:$I,2,0),"")</f>
        <v/>
      </c>
      <c r="GI78" s="28" t="str">
        <f>IFERROR(VLOOKUP(GG78,Horarios!$H:$I,2,0),"")</f>
        <v/>
      </c>
      <c r="GJ78" s="28" t="str">
        <f t="shared" si="82"/>
        <v>00:00</v>
      </c>
      <c r="GK78" s="29"/>
      <c r="GL78" s="27"/>
      <c r="GM78" s="27"/>
      <c r="GN78" s="28" t="str">
        <f>IFERROR(VLOOKUP(GL78,Horarios!$H:$I,2,0),"")</f>
        <v/>
      </c>
      <c r="GO78" s="28" t="str">
        <f>IFERROR(VLOOKUP(GM78,Horarios!$H:$I,2,0),"")</f>
        <v/>
      </c>
      <c r="GP78" s="28" t="str">
        <f t="shared" si="83"/>
        <v>00:00</v>
      </c>
      <c r="GQ78" s="29"/>
      <c r="GR78" s="27"/>
      <c r="GS78" s="27"/>
      <c r="GT78" s="28" t="str">
        <f>IFERROR(VLOOKUP(GR78,Horarios!$H:$I,2,0),"")</f>
        <v/>
      </c>
      <c r="GU78" s="28" t="str">
        <f>IFERROR(VLOOKUP(GS78,Horarios!$H:$I,2,0),"")</f>
        <v/>
      </c>
      <c r="GV78" s="28" t="str">
        <f t="shared" si="84"/>
        <v>00:00</v>
      </c>
      <c r="GW78" s="29"/>
      <c r="GX78" s="27"/>
      <c r="GY78" s="27"/>
      <c r="GZ78" s="28" t="str">
        <f>IFERROR(VLOOKUP(GX78,Horarios!$H:$I,2,0),"")</f>
        <v/>
      </c>
      <c r="HA78" s="28" t="str">
        <f>IFERROR(VLOOKUP(GY78,Horarios!$H:$I,2,0),"")</f>
        <v/>
      </c>
      <c r="HB78" s="28" t="str">
        <f t="shared" si="85"/>
        <v>00:00</v>
      </c>
      <c r="HC78" s="29"/>
      <c r="HD78" s="27"/>
      <c r="HE78" s="27"/>
      <c r="HF78" s="28" t="str">
        <f>IFERROR(VLOOKUP(HD78,Horarios!$H:$I,2,0),"")</f>
        <v/>
      </c>
      <c r="HG78" s="28" t="str">
        <f>IFERROR(VLOOKUP(HE78,Horarios!$H:$I,2,0),"")</f>
        <v/>
      </c>
      <c r="HH78" s="28" t="str">
        <f t="shared" si="86"/>
        <v>00:00</v>
      </c>
      <c r="HI78" s="29"/>
      <c r="HJ78" s="31" t="str">
        <f t="shared" si="87"/>
        <v/>
      </c>
      <c r="HK78" s="27"/>
      <c r="HL78" s="27"/>
      <c r="HM78" s="28" t="str">
        <f>IFERROR(VLOOKUP(HK78,Horarios!$H:$I,2,0),"")</f>
        <v/>
      </c>
      <c r="HN78" s="28" t="str">
        <f>IFERROR(VLOOKUP(HL78,Horarios!$H:$I,2,0),"")</f>
        <v/>
      </c>
      <c r="HO78" s="28" t="str">
        <f t="shared" si="88"/>
        <v>00:00</v>
      </c>
      <c r="HP78" s="29"/>
      <c r="HQ78" s="27"/>
      <c r="HR78" s="27"/>
      <c r="HS78" s="28" t="str">
        <f>IFERROR(VLOOKUP(HQ78,Horarios!$H:$I,2,0),"")</f>
        <v/>
      </c>
      <c r="HT78" s="28" t="str">
        <f>IFERROR(VLOOKUP(HR78,Horarios!$H:$I,2,0),"")</f>
        <v/>
      </c>
      <c r="HU78" s="28" t="str">
        <f t="shared" si="89"/>
        <v>00:00</v>
      </c>
      <c r="HV78" s="29"/>
      <c r="HW78" s="27"/>
      <c r="HX78" s="27"/>
      <c r="HY78" s="28" t="str">
        <f>IFERROR(VLOOKUP(HW78,Horarios!$H:$I,2,0),"")</f>
        <v/>
      </c>
      <c r="HZ78" s="28" t="str">
        <f>IFERROR(VLOOKUP(HX78,Horarios!$H:$I,2,0),"")</f>
        <v/>
      </c>
      <c r="IA78" s="28" t="str">
        <f t="shared" si="90"/>
        <v>00:00</v>
      </c>
      <c r="IB78" s="29"/>
      <c r="IC78" s="27"/>
      <c r="ID78" s="27"/>
      <c r="IE78" s="28" t="str">
        <f>IFERROR(VLOOKUP(IC78,Horarios!$H:$I,2,0),"")</f>
        <v/>
      </c>
      <c r="IF78" s="28" t="str">
        <f>IFERROR(VLOOKUP(ID78,Horarios!$H:$I,2,0),"")</f>
        <v/>
      </c>
      <c r="IG78" s="28" t="str">
        <f t="shared" si="91"/>
        <v>00:00</v>
      </c>
      <c r="IH78" s="29"/>
      <c r="II78" s="27"/>
      <c r="IJ78" s="27"/>
      <c r="IK78" s="28" t="str">
        <f>IFERROR(VLOOKUP(II78,Horarios!$H:$I,2,0),"")</f>
        <v/>
      </c>
      <c r="IL78" s="28" t="str">
        <f>IFERROR(VLOOKUP(IJ78,Horarios!$H:$I,2,0),"")</f>
        <v/>
      </c>
      <c r="IM78" s="28" t="str">
        <f t="shared" si="92"/>
        <v>00:00</v>
      </c>
      <c r="IN78" s="29"/>
      <c r="IO78" s="27"/>
      <c r="IP78" s="27"/>
      <c r="IQ78" s="28" t="str">
        <f>IFERROR(VLOOKUP(IO78,Horarios!$H:$I,2,0),"")</f>
        <v/>
      </c>
      <c r="IR78" s="28" t="str">
        <f>IFERROR(VLOOKUP(IP78,Horarios!$H:$I,2,0),"")</f>
        <v/>
      </c>
      <c r="IS78" s="28" t="str">
        <f t="shared" si="93"/>
        <v>00:00</v>
      </c>
      <c r="IT78" s="29"/>
      <c r="IU78" s="27"/>
      <c r="IV78" s="27"/>
      <c r="IW78" s="28" t="str">
        <f>IFERROR(VLOOKUP(IU78,Horarios!$H:$I,2,0),"")</f>
        <v/>
      </c>
      <c r="IX78" s="28" t="str">
        <f>IFERROR(VLOOKUP(IV78,Horarios!$H:$I,2,0),"")</f>
        <v/>
      </c>
      <c r="IY78" s="28" t="str">
        <f t="shared" si="94"/>
        <v>00:00</v>
      </c>
      <c r="IZ78" s="29"/>
      <c r="JA78" s="31" t="str">
        <f t="shared" si="95"/>
        <v/>
      </c>
    </row>
    <row r="79" spans="1:261" s="24" customFormat="1" ht="17.399999999999999" x14ac:dyDescent="0.25">
      <c r="A79" s="25"/>
      <c r="B79" s="26" t="str">
        <f>IFERROR(VLOOKUP(A79,BaseNombres!A:B,2,0),"")</f>
        <v/>
      </c>
      <c r="C79" s="26" t="str">
        <f>IFERROR(VLOOKUP(A79,BaseNombres!A:C,3,0),"")</f>
        <v/>
      </c>
      <c r="D79" s="27"/>
      <c r="E79" s="27"/>
      <c r="F79" s="28" t="str">
        <f>IFERROR(VLOOKUP(D79,Horarios!$H:$I,2,0),"")</f>
        <v/>
      </c>
      <c r="G79" s="28" t="str">
        <f>IFERROR(VLOOKUP(E79,Horarios!$H:$I,2,0),"")</f>
        <v/>
      </c>
      <c r="H79" s="28" t="str">
        <f t="shared" si="48"/>
        <v>00:00</v>
      </c>
      <c r="I79" s="29"/>
      <c r="J79" s="27"/>
      <c r="K79" s="27"/>
      <c r="L79" s="28" t="str">
        <f>IFERROR(VLOOKUP(J79,Horarios!$H:$I,2,0),"")</f>
        <v/>
      </c>
      <c r="M79" s="28" t="str">
        <f>IFERROR(VLOOKUP(K79,Horarios!$H:$I,2,0),"")</f>
        <v/>
      </c>
      <c r="N79" s="28" t="str">
        <f t="shared" si="49"/>
        <v>00:00</v>
      </c>
      <c r="O79" s="29"/>
      <c r="P79" s="27"/>
      <c r="Q79" s="27"/>
      <c r="R79" s="28" t="str">
        <f>IFERROR(VLOOKUP(P79,Horarios!$H:$I,2,0),"")</f>
        <v/>
      </c>
      <c r="S79" s="28" t="str">
        <f>IFERROR(VLOOKUP(Q79,Horarios!$H:$I,2,0),"")</f>
        <v/>
      </c>
      <c r="T79" s="28" t="str">
        <f t="shared" si="50"/>
        <v>00:00</v>
      </c>
      <c r="U79" s="29"/>
      <c r="V79" s="27"/>
      <c r="W79" s="27"/>
      <c r="X79" s="28" t="str">
        <f>IFERROR(VLOOKUP(V79,Horarios!$H:$I,2,0),"")</f>
        <v/>
      </c>
      <c r="Y79" s="28" t="str">
        <f>IFERROR(VLOOKUP(W79,Horarios!$H:$I,2,0),"")</f>
        <v/>
      </c>
      <c r="Z79" s="28" t="str">
        <f t="shared" si="51"/>
        <v>00:00</v>
      </c>
      <c r="AA79" s="29"/>
      <c r="AB79" s="27"/>
      <c r="AC79" s="27"/>
      <c r="AD79" s="28" t="str">
        <f>IFERROR(VLOOKUP(AB79,Horarios!$H:$I,2,0),"")</f>
        <v/>
      </c>
      <c r="AE79" s="28" t="str">
        <f>IFERROR(VLOOKUP(AC79,Horarios!$H:$I,2,0),"")</f>
        <v/>
      </c>
      <c r="AF79" s="28" t="str">
        <f t="shared" si="52"/>
        <v>00:00</v>
      </c>
      <c r="AG79" s="29"/>
      <c r="AH79" s="27"/>
      <c r="AI79" s="27"/>
      <c r="AJ79" s="28" t="str">
        <f>IFERROR(VLOOKUP(AH79,Horarios!$H:$I,2,0),"")</f>
        <v/>
      </c>
      <c r="AK79" s="28" t="str">
        <f>IFERROR(VLOOKUP(AI79,Horarios!$H:$I,2,0),"")</f>
        <v/>
      </c>
      <c r="AL79" s="28" t="str">
        <f t="shared" si="53"/>
        <v>00:00</v>
      </c>
      <c r="AM79" s="29"/>
      <c r="AN79" s="27"/>
      <c r="AO79" s="27"/>
      <c r="AP79" s="28" t="str">
        <f>IFERROR(VLOOKUP(AN79,Horarios!$H:$I,2,0),"")</f>
        <v/>
      </c>
      <c r="AQ79" s="28" t="str">
        <f>IFERROR(VLOOKUP(AO79,Horarios!$H:$I,2,0),"")</f>
        <v/>
      </c>
      <c r="AR79" s="28" t="str">
        <f t="shared" si="54"/>
        <v>00:00</v>
      </c>
      <c r="AS79" s="29"/>
      <c r="AT79" s="31" t="str">
        <f t="shared" si="55"/>
        <v/>
      </c>
      <c r="AU79" s="27"/>
      <c r="AV79" s="27"/>
      <c r="AW79" s="28" t="str">
        <f>IFERROR(VLOOKUP(AU79,Horarios!$H:$I,2,0),"")</f>
        <v/>
      </c>
      <c r="AX79" s="28" t="str">
        <f>IFERROR(VLOOKUP(AV79,Horarios!$H:$I,2,0),"")</f>
        <v/>
      </c>
      <c r="AY79" s="28" t="str">
        <f t="shared" si="56"/>
        <v>00:00</v>
      </c>
      <c r="AZ79" s="29"/>
      <c r="BA79" s="27"/>
      <c r="BB79" s="27"/>
      <c r="BC79" s="28" t="str">
        <f>IFERROR(VLOOKUP(BA79,Horarios!$H:$I,2,0),"")</f>
        <v/>
      </c>
      <c r="BD79" s="28" t="str">
        <f>IFERROR(VLOOKUP(BB79,Horarios!$H:$I,2,0),"")</f>
        <v/>
      </c>
      <c r="BE79" s="28" t="str">
        <f t="shared" si="57"/>
        <v>00:00</v>
      </c>
      <c r="BF79" s="29"/>
      <c r="BG79" s="27"/>
      <c r="BH79" s="27"/>
      <c r="BI79" s="28" t="str">
        <f>IFERROR(VLOOKUP(BG79,Horarios!$H:$I,2,0),"")</f>
        <v/>
      </c>
      <c r="BJ79" s="28" t="str">
        <f>IFERROR(VLOOKUP(BH79,Horarios!$H:$I,2,0),"")</f>
        <v/>
      </c>
      <c r="BK79" s="28" t="str">
        <f t="shared" si="58"/>
        <v>00:00</v>
      </c>
      <c r="BL79" s="29"/>
      <c r="BM79" s="27"/>
      <c r="BN79" s="27"/>
      <c r="BO79" s="28" t="str">
        <f>IFERROR(VLOOKUP(BM79,Horarios!$H:$I,2,0),"")</f>
        <v/>
      </c>
      <c r="BP79" s="28" t="str">
        <f>IFERROR(VLOOKUP(BN79,Horarios!$H:$I,2,0),"")</f>
        <v/>
      </c>
      <c r="BQ79" s="28" t="str">
        <f t="shared" si="59"/>
        <v>00:00</v>
      </c>
      <c r="BR79" s="29"/>
      <c r="BS79" s="27"/>
      <c r="BT79" s="27"/>
      <c r="BU79" s="28" t="str">
        <f>IFERROR(VLOOKUP(BS79,Horarios!$H:$I,2,0),"")</f>
        <v/>
      </c>
      <c r="BV79" s="28" t="str">
        <f>IFERROR(VLOOKUP(BT79,Horarios!$H:$I,2,0),"")</f>
        <v/>
      </c>
      <c r="BW79" s="28" t="str">
        <f t="shared" si="60"/>
        <v>00:00</v>
      </c>
      <c r="BX79" s="29"/>
      <c r="BY79" s="27"/>
      <c r="BZ79" s="27"/>
      <c r="CA79" s="28" t="str">
        <f>IFERROR(VLOOKUP(BY79,Horarios!$H:$I,2,0),"")</f>
        <v/>
      </c>
      <c r="CB79" s="28" t="str">
        <f>IFERROR(VLOOKUP(BZ79,Horarios!$H:$I,2,0),"")</f>
        <v/>
      </c>
      <c r="CC79" s="28" t="str">
        <f t="shared" si="61"/>
        <v>00:00</v>
      </c>
      <c r="CD79" s="29"/>
      <c r="CE79" s="27"/>
      <c r="CF79" s="27"/>
      <c r="CG79" s="28" t="str">
        <f>IFERROR(VLOOKUP(CE79,Horarios!$H:$I,2,0),"")</f>
        <v/>
      </c>
      <c r="CH79" s="28" t="str">
        <f>IFERROR(VLOOKUP(CF79,Horarios!$H:$I,2,0),"")</f>
        <v/>
      </c>
      <c r="CI79" s="28" t="str">
        <f t="shared" si="62"/>
        <v>00:00</v>
      </c>
      <c r="CJ79" s="29"/>
      <c r="CK79" s="31" t="str">
        <f t="shared" si="63"/>
        <v/>
      </c>
      <c r="CL79" s="27"/>
      <c r="CM79" s="27"/>
      <c r="CN79" s="28" t="str">
        <f>IFERROR(VLOOKUP(CL79,Horarios!$H:$I,2,0),"")</f>
        <v/>
      </c>
      <c r="CO79" s="28" t="str">
        <f>IFERROR(VLOOKUP(CM79,Horarios!$H:$I,2,0),"")</f>
        <v/>
      </c>
      <c r="CP79" s="28" t="str">
        <f t="shared" si="64"/>
        <v>00:00</v>
      </c>
      <c r="CQ79" s="29"/>
      <c r="CR79" s="27"/>
      <c r="CS79" s="27"/>
      <c r="CT79" s="28" t="str">
        <f>IFERROR(VLOOKUP(CR79,Horarios!$H:$I,2,0),"")</f>
        <v/>
      </c>
      <c r="CU79" s="28" t="str">
        <f>IFERROR(VLOOKUP(CS79,Horarios!$H:$I,2,0),"")</f>
        <v/>
      </c>
      <c r="CV79" s="28" t="str">
        <f t="shared" si="65"/>
        <v>00:00</v>
      </c>
      <c r="CW79" s="29"/>
      <c r="CX79" s="27"/>
      <c r="CY79" s="27"/>
      <c r="CZ79" s="28" t="str">
        <f>IFERROR(VLOOKUP(CX79,Horarios!$H:$I,2,0),"")</f>
        <v/>
      </c>
      <c r="DA79" s="28" t="str">
        <f>IFERROR(VLOOKUP(CY79,Horarios!$H:$I,2,0),"")</f>
        <v/>
      </c>
      <c r="DB79" s="28" t="str">
        <f t="shared" si="66"/>
        <v>00:00</v>
      </c>
      <c r="DC79" s="29"/>
      <c r="DD79" s="27"/>
      <c r="DE79" s="27"/>
      <c r="DF79" s="28" t="str">
        <f>IFERROR(VLOOKUP(DD79,Horarios!$H:$I,2,0),"")</f>
        <v/>
      </c>
      <c r="DG79" s="28" t="str">
        <f>IFERROR(VLOOKUP(DE79,Horarios!$H:$I,2,0),"")</f>
        <v/>
      </c>
      <c r="DH79" s="28" t="str">
        <f t="shared" si="67"/>
        <v>00:00</v>
      </c>
      <c r="DI79" s="29"/>
      <c r="DJ79" s="27"/>
      <c r="DK79" s="27"/>
      <c r="DL79" s="28" t="str">
        <f>IFERROR(VLOOKUP(DJ79,Horarios!$H:$I,2,0),"")</f>
        <v/>
      </c>
      <c r="DM79" s="28" t="str">
        <f>IFERROR(VLOOKUP(DK79,Horarios!$H:$I,2,0),"")</f>
        <v/>
      </c>
      <c r="DN79" s="28" t="str">
        <f t="shared" si="68"/>
        <v>00:00</v>
      </c>
      <c r="DO79" s="29"/>
      <c r="DP79" s="27"/>
      <c r="DQ79" s="27"/>
      <c r="DR79" s="28" t="str">
        <f>IFERROR(VLOOKUP(DP79,Horarios!$H:$I,2,0),"")</f>
        <v/>
      </c>
      <c r="DS79" s="28" t="str">
        <f>IFERROR(VLOOKUP(DQ79,Horarios!$H:$I,2,0),"")</f>
        <v/>
      </c>
      <c r="DT79" s="28" t="str">
        <f t="shared" si="69"/>
        <v>00:00</v>
      </c>
      <c r="DU79" s="29"/>
      <c r="DV79" s="27"/>
      <c r="DW79" s="27"/>
      <c r="DX79" s="28" t="str">
        <f>IFERROR(VLOOKUP(DV79,Horarios!$H:$I,2,0),"")</f>
        <v/>
      </c>
      <c r="DY79" s="28" t="str">
        <f>IFERROR(VLOOKUP(DW79,Horarios!$H:$I,2,0),"")</f>
        <v/>
      </c>
      <c r="DZ79" s="28" t="str">
        <f t="shared" si="70"/>
        <v>00:00</v>
      </c>
      <c r="EA79" s="29"/>
      <c r="EB79" s="31" t="str">
        <f t="shared" si="71"/>
        <v/>
      </c>
      <c r="EC79" s="27"/>
      <c r="ED79" s="27"/>
      <c r="EE79" s="28" t="str">
        <f>IFERROR(VLOOKUP(EC79,Horarios!$H:$I,2,0),"")</f>
        <v/>
      </c>
      <c r="EF79" s="28" t="str">
        <f>IFERROR(VLOOKUP(ED79,Horarios!$H:$I,2,0),"")</f>
        <v/>
      </c>
      <c r="EG79" s="28" t="str">
        <f t="shared" si="72"/>
        <v>00:00</v>
      </c>
      <c r="EH79" s="29"/>
      <c r="EI79" s="27"/>
      <c r="EJ79" s="27"/>
      <c r="EK79" s="28" t="str">
        <f>IFERROR(VLOOKUP(EI79,Horarios!$H:$I,2,0),"")</f>
        <v/>
      </c>
      <c r="EL79" s="28" t="str">
        <f>IFERROR(VLOOKUP(EJ79,Horarios!$H:$I,2,0),"")</f>
        <v/>
      </c>
      <c r="EM79" s="28" t="str">
        <f t="shared" si="73"/>
        <v>00:00</v>
      </c>
      <c r="EN79" s="29"/>
      <c r="EO79" s="27"/>
      <c r="EP79" s="27"/>
      <c r="EQ79" s="28" t="str">
        <f>IFERROR(VLOOKUP(EO79,Horarios!$H:$I,2,0),"")</f>
        <v/>
      </c>
      <c r="ER79" s="28" t="str">
        <f>IFERROR(VLOOKUP(EP79,Horarios!$H:$I,2,0),"")</f>
        <v/>
      </c>
      <c r="ES79" s="28" t="str">
        <f t="shared" si="74"/>
        <v>00:00</v>
      </c>
      <c r="ET79" s="29"/>
      <c r="EU79" s="27"/>
      <c r="EV79" s="27"/>
      <c r="EW79" s="28" t="str">
        <f>IFERROR(VLOOKUP(EU79,Horarios!$H:$I,2,0),"")</f>
        <v/>
      </c>
      <c r="EX79" s="28" t="str">
        <f>IFERROR(VLOOKUP(EV79,Horarios!$H:$I,2,0),"")</f>
        <v/>
      </c>
      <c r="EY79" s="28" t="str">
        <f t="shared" si="75"/>
        <v>00:00</v>
      </c>
      <c r="EZ79" s="29"/>
      <c r="FA79" s="27"/>
      <c r="FB79" s="27"/>
      <c r="FC79" s="28" t="str">
        <f>IFERROR(VLOOKUP(FA79,Horarios!$H:$I,2,0),"")</f>
        <v/>
      </c>
      <c r="FD79" s="28" t="str">
        <f>IFERROR(VLOOKUP(FB79,Horarios!$H:$I,2,0),"")</f>
        <v/>
      </c>
      <c r="FE79" s="28" t="str">
        <f t="shared" si="76"/>
        <v>00:00</v>
      </c>
      <c r="FF79" s="29"/>
      <c r="FG79" s="27"/>
      <c r="FH79" s="27"/>
      <c r="FI79" s="28" t="str">
        <f>IFERROR(VLOOKUP(FG79,Horarios!$H:$I,2,0),"")</f>
        <v/>
      </c>
      <c r="FJ79" s="28" t="str">
        <f>IFERROR(VLOOKUP(FH79,Horarios!$H:$I,2,0),"")</f>
        <v/>
      </c>
      <c r="FK79" s="28" t="str">
        <f t="shared" si="77"/>
        <v>00:00</v>
      </c>
      <c r="FL79" s="29"/>
      <c r="FM79" s="27"/>
      <c r="FN79" s="27"/>
      <c r="FO79" s="28" t="str">
        <f>IFERROR(VLOOKUP(FM79,Horarios!$H:$I,2,0),"")</f>
        <v/>
      </c>
      <c r="FP79" s="28" t="str">
        <f>IFERROR(VLOOKUP(FN79,Horarios!$H:$I,2,0),"")</f>
        <v/>
      </c>
      <c r="FQ79" s="28" t="str">
        <f t="shared" si="78"/>
        <v>00:00</v>
      </c>
      <c r="FR79" s="29"/>
      <c r="FS79" s="31" t="str">
        <f t="shared" si="79"/>
        <v/>
      </c>
      <c r="FT79" s="27"/>
      <c r="FU79" s="27"/>
      <c r="FV79" s="28" t="str">
        <f>IFERROR(VLOOKUP(FT79,Horarios!$H:$I,2,0),"")</f>
        <v/>
      </c>
      <c r="FW79" s="28" t="str">
        <f>IFERROR(VLOOKUP(FU79,Horarios!$H:$I,2,0),"")</f>
        <v/>
      </c>
      <c r="FX79" s="28" t="str">
        <f t="shared" si="80"/>
        <v>00:00</v>
      </c>
      <c r="FY79" s="29"/>
      <c r="FZ79" s="27"/>
      <c r="GA79" s="27"/>
      <c r="GB79" s="28" t="str">
        <f>IFERROR(VLOOKUP(FZ79,Horarios!$H:$I,2,0),"")</f>
        <v/>
      </c>
      <c r="GC79" s="28" t="str">
        <f>IFERROR(VLOOKUP(GA79,Horarios!$H:$I,2,0),"")</f>
        <v/>
      </c>
      <c r="GD79" s="28" t="str">
        <f t="shared" si="81"/>
        <v>00:00</v>
      </c>
      <c r="GE79" s="29"/>
      <c r="GF79" s="27"/>
      <c r="GG79" s="27"/>
      <c r="GH79" s="28" t="str">
        <f>IFERROR(VLOOKUP(GF79,Horarios!$H:$I,2,0),"")</f>
        <v/>
      </c>
      <c r="GI79" s="28" t="str">
        <f>IFERROR(VLOOKUP(GG79,Horarios!$H:$I,2,0),"")</f>
        <v/>
      </c>
      <c r="GJ79" s="28" t="str">
        <f t="shared" si="82"/>
        <v>00:00</v>
      </c>
      <c r="GK79" s="29"/>
      <c r="GL79" s="27"/>
      <c r="GM79" s="27"/>
      <c r="GN79" s="28" t="str">
        <f>IFERROR(VLOOKUP(GL79,Horarios!$H:$I,2,0),"")</f>
        <v/>
      </c>
      <c r="GO79" s="28" t="str">
        <f>IFERROR(VLOOKUP(GM79,Horarios!$H:$I,2,0),"")</f>
        <v/>
      </c>
      <c r="GP79" s="28" t="str">
        <f t="shared" si="83"/>
        <v>00:00</v>
      </c>
      <c r="GQ79" s="29"/>
      <c r="GR79" s="27"/>
      <c r="GS79" s="27"/>
      <c r="GT79" s="28" t="str">
        <f>IFERROR(VLOOKUP(GR79,Horarios!$H:$I,2,0),"")</f>
        <v/>
      </c>
      <c r="GU79" s="28" t="str">
        <f>IFERROR(VLOOKUP(GS79,Horarios!$H:$I,2,0),"")</f>
        <v/>
      </c>
      <c r="GV79" s="28" t="str">
        <f t="shared" si="84"/>
        <v>00:00</v>
      </c>
      <c r="GW79" s="29"/>
      <c r="GX79" s="27"/>
      <c r="GY79" s="27"/>
      <c r="GZ79" s="28" t="str">
        <f>IFERROR(VLOOKUP(GX79,Horarios!$H:$I,2,0),"")</f>
        <v/>
      </c>
      <c r="HA79" s="28" t="str">
        <f>IFERROR(VLOOKUP(GY79,Horarios!$H:$I,2,0),"")</f>
        <v/>
      </c>
      <c r="HB79" s="28" t="str">
        <f t="shared" si="85"/>
        <v>00:00</v>
      </c>
      <c r="HC79" s="29"/>
      <c r="HD79" s="27"/>
      <c r="HE79" s="27"/>
      <c r="HF79" s="28" t="str">
        <f>IFERROR(VLOOKUP(HD79,Horarios!$H:$I,2,0),"")</f>
        <v/>
      </c>
      <c r="HG79" s="28" t="str">
        <f>IFERROR(VLOOKUP(HE79,Horarios!$H:$I,2,0),"")</f>
        <v/>
      </c>
      <c r="HH79" s="28" t="str">
        <f t="shared" si="86"/>
        <v>00:00</v>
      </c>
      <c r="HI79" s="29"/>
      <c r="HJ79" s="31" t="str">
        <f t="shared" si="87"/>
        <v/>
      </c>
      <c r="HK79" s="27"/>
      <c r="HL79" s="27"/>
      <c r="HM79" s="28" t="str">
        <f>IFERROR(VLOOKUP(HK79,Horarios!$H:$I,2,0),"")</f>
        <v/>
      </c>
      <c r="HN79" s="28" t="str">
        <f>IFERROR(VLOOKUP(HL79,Horarios!$H:$I,2,0),"")</f>
        <v/>
      </c>
      <c r="HO79" s="28" t="str">
        <f t="shared" si="88"/>
        <v>00:00</v>
      </c>
      <c r="HP79" s="29"/>
      <c r="HQ79" s="27"/>
      <c r="HR79" s="27"/>
      <c r="HS79" s="28" t="str">
        <f>IFERROR(VLOOKUP(HQ79,Horarios!$H:$I,2,0),"")</f>
        <v/>
      </c>
      <c r="HT79" s="28" t="str">
        <f>IFERROR(VLOOKUP(HR79,Horarios!$H:$I,2,0),"")</f>
        <v/>
      </c>
      <c r="HU79" s="28" t="str">
        <f t="shared" si="89"/>
        <v>00:00</v>
      </c>
      <c r="HV79" s="29"/>
      <c r="HW79" s="27"/>
      <c r="HX79" s="27"/>
      <c r="HY79" s="28" t="str">
        <f>IFERROR(VLOOKUP(HW79,Horarios!$H:$I,2,0),"")</f>
        <v/>
      </c>
      <c r="HZ79" s="28" t="str">
        <f>IFERROR(VLOOKUP(HX79,Horarios!$H:$I,2,0),"")</f>
        <v/>
      </c>
      <c r="IA79" s="28" t="str">
        <f t="shared" si="90"/>
        <v>00:00</v>
      </c>
      <c r="IB79" s="29"/>
      <c r="IC79" s="27"/>
      <c r="ID79" s="27"/>
      <c r="IE79" s="28" t="str">
        <f>IFERROR(VLOOKUP(IC79,Horarios!$H:$I,2,0),"")</f>
        <v/>
      </c>
      <c r="IF79" s="28" t="str">
        <f>IFERROR(VLOOKUP(ID79,Horarios!$H:$I,2,0),"")</f>
        <v/>
      </c>
      <c r="IG79" s="28" t="str">
        <f t="shared" si="91"/>
        <v>00:00</v>
      </c>
      <c r="IH79" s="29"/>
      <c r="II79" s="27"/>
      <c r="IJ79" s="27"/>
      <c r="IK79" s="28" t="str">
        <f>IFERROR(VLOOKUP(II79,Horarios!$H:$I,2,0),"")</f>
        <v/>
      </c>
      <c r="IL79" s="28" t="str">
        <f>IFERROR(VLOOKUP(IJ79,Horarios!$H:$I,2,0),"")</f>
        <v/>
      </c>
      <c r="IM79" s="28" t="str">
        <f t="shared" si="92"/>
        <v>00:00</v>
      </c>
      <c r="IN79" s="29"/>
      <c r="IO79" s="27"/>
      <c r="IP79" s="27"/>
      <c r="IQ79" s="28" t="str">
        <f>IFERROR(VLOOKUP(IO79,Horarios!$H:$I,2,0),"")</f>
        <v/>
      </c>
      <c r="IR79" s="28" t="str">
        <f>IFERROR(VLOOKUP(IP79,Horarios!$H:$I,2,0),"")</f>
        <v/>
      </c>
      <c r="IS79" s="28" t="str">
        <f t="shared" si="93"/>
        <v>00:00</v>
      </c>
      <c r="IT79" s="29"/>
      <c r="IU79" s="27"/>
      <c r="IV79" s="27"/>
      <c r="IW79" s="28" t="str">
        <f>IFERROR(VLOOKUP(IU79,Horarios!$H:$I,2,0),"")</f>
        <v/>
      </c>
      <c r="IX79" s="28" t="str">
        <f>IFERROR(VLOOKUP(IV79,Horarios!$H:$I,2,0),"")</f>
        <v/>
      </c>
      <c r="IY79" s="28" t="str">
        <f t="shared" si="94"/>
        <v>00:00</v>
      </c>
      <c r="IZ79" s="29"/>
      <c r="JA79" s="31" t="str">
        <f t="shared" si="95"/>
        <v/>
      </c>
    </row>
    <row r="80" spans="1:261" s="24" customFormat="1" ht="17.399999999999999" x14ac:dyDescent="0.25">
      <c r="A80" s="25"/>
      <c r="B80" s="26" t="str">
        <f>IFERROR(VLOOKUP(A80,BaseNombres!A:B,2,0),"")</f>
        <v/>
      </c>
      <c r="C80" s="26" t="str">
        <f>IFERROR(VLOOKUP(A80,BaseNombres!A:C,3,0),"")</f>
        <v/>
      </c>
      <c r="D80" s="27"/>
      <c r="E80" s="27"/>
      <c r="F80" s="28" t="str">
        <f>IFERROR(VLOOKUP(D80,Horarios!$H:$I,2,0),"")</f>
        <v/>
      </c>
      <c r="G80" s="28" t="str">
        <f>IFERROR(VLOOKUP(E80,Horarios!$H:$I,2,0),"")</f>
        <v/>
      </c>
      <c r="H80" s="28" t="str">
        <f t="shared" si="48"/>
        <v>00:00</v>
      </c>
      <c r="I80" s="29"/>
      <c r="J80" s="27"/>
      <c r="K80" s="27"/>
      <c r="L80" s="28" t="str">
        <f>IFERROR(VLOOKUP(J80,Horarios!$H:$I,2,0),"")</f>
        <v/>
      </c>
      <c r="M80" s="28" t="str">
        <f>IFERROR(VLOOKUP(K80,Horarios!$H:$I,2,0),"")</f>
        <v/>
      </c>
      <c r="N80" s="28" t="str">
        <f t="shared" si="49"/>
        <v>00:00</v>
      </c>
      <c r="O80" s="29"/>
      <c r="P80" s="27"/>
      <c r="Q80" s="27"/>
      <c r="R80" s="28" t="str">
        <f>IFERROR(VLOOKUP(P80,Horarios!$H:$I,2,0),"")</f>
        <v/>
      </c>
      <c r="S80" s="28" t="str">
        <f>IFERROR(VLOOKUP(Q80,Horarios!$H:$I,2,0),"")</f>
        <v/>
      </c>
      <c r="T80" s="28" t="str">
        <f t="shared" si="50"/>
        <v>00:00</v>
      </c>
      <c r="U80" s="29"/>
      <c r="V80" s="27"/>
      <c r="W80" s="27"/>
      <c r="X80" s="28" t="str">
        <f>IFERROR(VLOOKUP(V80,Horarios!$H:$I,2,0),"")</f>
        <v/>
      </c>
      <c r="Y80" s="28" t="str">
        <f>IFERROR(VLOOKUP(W80,Horarios!$H:$I,2,0),"")</f>
        <v/>
      </c>
      <c r="Z80" s="28" t="str">
        <f t="shared" si="51"/>
        <v>00:00</v>
      </c>
      <c r="AA80" s="29"/>
      <c r="AB80" s="27"/>
      <c r="AC80" s="27"/>
      <c r="AD80" s="28" t="str">
        <f>IFERROR(VLOOKUP(AB80,Horarios!$H:$I,2,0),"")</f>
        <v/>
      </c>
      <c r="AE80" s="28" t="str">
        <f>IFERROR(VLOOKUP(AC80,Horarios!$H:$I,2,0),"")</f>
        <v/>
      </c>
      <c r="AF80" s="28" t="str">
        <f t="shared" si="52"/>
        <v>00:00</v>
      </c>
      <c r="AG80" s="29"/>
      <c r="AH80" s="27"/>
      <c r="AI80" s="27"/>
      <c r="AJ80" s="28" t="str">
        <f>IFERROR(VLOOKUP(AH80,Horarios!$H:$I,2,0),"")</f>
        <v/>
      </c>
      <c r="AK80" s="28" t="str">
        <f>IFERROR(VLOOKUP(AI80,Horarios!$H:$I,2,0),"")</f>
        <v/>
      </c>
      <c r="AL80" s="28" t="str">
        <f t="shared" si="53"/>
        <v>00:00</v>
      </c>
      <c r="AM80" s="29"/>
      <c r="AN80" s="27"/>
      <c r="AO80" s="27"/>
      <c r="AP80" s="28" t="str">
        <f>IFERROR(VLOOKUP(AN80,Horarios!$H:$I,2,0),"")</f>
        <v/>
      </c>
      <c r="AQ80" s="28" t="str">
        <f>IFERROR(VLOOKUP(AO80,Horarios!$H:$I,2,0),"")</f>
        <v/>
      </c>
      <c r="AR80" s="28" t="str">
        <f t="shared" si="54"/>
        <v>00:00</v>
      </c>
      <c r="AS80" s="29"/>
      <c r="AT80" s="31" t="str">
        <f t="shared" si="55"/>
        <v/>
      </c>
      <c r="AU80" s="27"/>
      <c r="AV80" s="27"/>
      <c r="AW80" s="28" t="str">
        <f>IFERROR(VLOOKUP(AU80,Horarios!$H:$I,2,0),"")</f>
        <v/>
      </c>
      <c r="AX80" s="28" t="str">
        <f>IFERROR(VLOOKUP(AV80,Horarios!$H:$I,2,0),"")</f>
        <v/>
      </c>
      <c r="AY80" s="28" t="str">
        <f t="shared" si="56"/>
        <v>00:00</v>
      </c>
      <c r="AZ80" s="29"/>
      <c r="BA80" s="27"/>
      <c r="BB80" s="27"/>
      <c r="BC80" s="28" t="str">
        <f>IFERROR(VLOOKUP(BA80,Horarios!$H:$I,2,0),"")</f>
        <v/>
      </c>
      <c r="BD80" s="28" t="str">
        <f>IFERROR(VLOOKUP(BB80,Horarios!$H:$I,2,0),"")</f>
        <v/>
      </c>
      <c r="BE80" s="28" t="str">
        <f t="shared" si="57"/>
        <v>00:00</v>
      </c>
      <c r="BF80" s="29"/>
      <c r="BG80" s="27"/>
      <c r="BH80" s="27"/>
      <c r="BI80" s="28" t="str">
        <f>IFERROR(VLOOKUP(BG80,Horarios!$H:$I,2,0),"")</f>
        <v/>
      </c>
      <c r="BJ80" s="28" t="str">
        <f>IFERROR(VLOOKUP(BH80,Horarios!$H:$I,2,0),"")</f>
        <v/>
      </c>
      <c r="BK80" s="28" t="str">
        <f t="shared" si="58"/>
        <v>00:00</v>
      </c>
      <c r="BL80" s="29"/>
      <c r="BM80" s="27"/>
      <c r="BN80" s="27"/>
      <c r="BO80" s="28" t="str">
        <f>IFERROR(VLOOKUP(BM80,Horarios!$H:$I,2,0),"")</f>
        <v/>
      </c>
      <c r="BP80" s="28" t="str">
        <f>IFERROR(VLOOKUP(BN80,Horarios!$H:$I,2,0),"")</f>
        <v/>
      </c>
      <c r="BQ80" s="28" t="str">
        <f t="shared" si="59"/>
        <v>00:00</v>
      </c>
      <c r="BR80" s="29"/>
      <c r="BS80" s="27"/>
      <c r="BT80" s="27"/>
      <c r="BU80" s="28" t="str">
        <f>IFERROR(VLOOKUP(BS80,Horarios!$H:$I,2,0),"")</f>
        <v/>
      </c>
      <c r="BV80" s="28" t="str">
        <f>IFERROR(VLOOKUP(BT80,Horarios!$H:$I,2,0),"")</f>
        <v/>
      </c>
      <c r="BW80" s="28" t="str">
        <f t="shared" si="60"/>
        <v>00:00</v>
      </c>
      <c r="BX80" s="29"/>
      <c r="BY80" s="27"/>
      <c r="BZ80" s="27"/>
      <c r="CA80" s="28" t="str">
        <f>IFERROR(VLOOKUP(BY80,Horarios!$H:$I,2,0),"")</f>
        <v/>
      </c>
      <c r="CB80" s="28" t="str">
        <f>IFERROR(VLOOKUP(BZ80,Horarios!$H:$I,2,0),"")</f>
        <v/>
      </c>
      <c r="CC80" s="28" t="str">
        <f t="shared" si="61"/>
        <v>00:00</v>
      </c>
      <c r="CD80" s="29"/>
      <c r="CE80" s="27"/>
      <c r="CF80" s="27"/>
      <c r="CG80" s="28" t="str">
        <f>IFERROR(VLOOKUP(CE80,Horarios!$H:$I,2,0),"")</f>
        <v/>
      </c>
      <c r="CH80" s="28" t="str">
        <f>IFERROR(VLOOKUP(CF80,Horarios!$H:$I,2,0),"")</f>
        <v/>
      </c>
      <c r="CI80" s="28" t="str">
        <f t="shared" si="62"/>
        <v>00:00</v>
      </c>
      <c r="CJ80" s="29"/>
      <c r="CK80" s="31" t="str">
        <f t="shared" si="63"/>
        <v/>
      </c>
      <c r="CL80" s="27"/>
      <c r="CM80" s="27"/>
      <c r="CN80" s="28" t="str">
        <f>IFERROR(VLOOKUP(CL80,Horarios!$H:$I,2,0),"")</f>
        <v/>
      </c>
      <c r="CO80" s="28" t="str">
        <f>IFERROR(VLOOKUP(CM80,Horarios!$H:$I,2,0),"")</f>
        <v/>
      </c>
      <c r="CP80" s="28" t="str">
        <f t="shared" si="64"/>
        <v>00:00</v>
      </c>
      <c r="CQ80" s="29"/>
      <c r="CR80" s="27"/>
      <c r="CS80" s="27"/>
      <c r="CT80" s="28" t="str">
        <f>IFERROR(VLOOKUP(CR80,Horarios!$H:$I,2,0),"")</f>
        <v/>
      </c>
      <c r="CU80" s="28" t="str">
        <f>IFERROR(VLOOKUP(CS80,Horarios!$H:$I,2,0),"")</f>
        <v/>
      </c>
      <c r="CV80" s="28" t="str">
        <f t="shared" si="65"/>
        <v>00:00</v>
      </c>
      <c r="CW80" s="29"/>
      <c r="CX80" s="27"/>
      <c r="CY80" s="27"/>
      <c r="CZ80" s="28" t="str">
        <f>IFERROR(VLOOKUP(CX80,Horarios!$H:$I,2,0),"")</f>
        <v/>
      </c>
      <c r="DA80" s="28" t="str">
        <f>IFERROR(VLOOKUP(CY80,Horarios!$H:$I,2,0),"")</f>
        <v/>
      </c>
      <c r="DB80" s="28" t="str">
        <f t="shared" si="66"/>
        <v>00:00</v>
      </c>
      <c r="DC80" s="29"/>
      <c r="DD80" s="27"/>
      <c r="DE80" s="27"/>
      <c r="DF80" s="28" t="str">
        <f>IFERROR(VLOOKUP(DD80,Horarios!$H:$I,2,0),"")</f>
        <v/>
      </c>
      <c r="DG80" s="28" t="str">
        <f>IFERROR(VLOOKUP(DE80,Horarios!$H:$I,2,0),"")</f>
        <v/>
      </c>
      <c r="DH80" s="28" t="str">
        <f t="shared" si="67"/>
        <v>00:00</v>
      </c>
      <c r="DI80" s="29"/>
      <c r="DJ80" s="27"/>
      <c r="DK80" s="27"/>
      <c r="DL80" s="28" t="str">
        <f>IFERROR(VLOOKUP(DJ80,Horarios!$H:$I,2,0),"")</f>
        <v/>
      </c>
      <c r="DM80" s="28" t="str">
        <f>IFERROR(VLOOKUP(DK80,Horarios!$H:$I,2,0),"")</f>
        <v/>
      </c>
      <c r="DN80" s="28" t="str">
        <f t="shared" si="68"/>
        <v>00:00</v>
      </c>
      <c r="DO80" s="29"/>
      <c r="DP80" s="27"/>
      <c r="DQ80" s="27"/>
      <c r="DR80" s="28" t="str">
        <f>IFERROR(VLOOKUP(DP80,Horarios!$H:$I,2,0),"")</f>
        <v/>
      </c>
      <c r="DS80" s="28" t="str">
        <f>IFERROR(VLOOKUP(DQ80,Horarios!$H:$I,2,0),"")</f>
        <v/>
      </c>
      <c r="DT80" s="28" t="str">
        <f t="shared" si="69"/>
        <v>00:00</v>
      </c>
      <c r="DU80" s="29"/>
      <c r="DV80" s="27"/>
      <c r="DW80" s="27"/>
      <c r="DX80" s="28" t="str">
        <f>IFERROR(VLOOKUP(DV80,Horarios!$H:$I,2,0),"")</f>
        <v/>
      </c>
      <c r="DY80" s="28" t="str">
        <f>IFERROR(VLOOKUP(DW80,Horarios!$H:$I,2,0),"")</f>
        <v/>
      </c>
      <c r="DZ80" s="28" t="str">
        <f t="shared" si="70"/>
        <v>00:00</v>
      </c>
      <c r="EA80" s="29"/>
      <c r="EB80" s="31" t="str">
        <f t="shared" si="71"/>
        <v/>
      </c>
      <c r="EC80" s="27"/>
      <c r="ED80" s="27"/>
      <c r="EE80" s="28" t="str">
        <f>IFERROR(VLOOKUP(EC80,Horarios!$H:$I,2,0),"")</f>
        <v/>
      </c>
      <c r="EF80" s="28" t="str">
        <f>IFERROR(VLOOKUP(ED80,Horarios!$H:$I,2,0),"")</f>
        <v/>
      </c>
      <c r="EG80" s="28" t="str">
        <f t="shared" si="72"/>
        <v>00:00</v>
      </c>
      <c r="EH80" s="29"/>
      <c r="EI80" s="27"/>
      <c r="EJ80" s="27"/>
      <c r="EK80" s="28" t="str">
        <f>IFERROR(VLOOKUP(EI80,Horarios!$H:$I,2,0),"")</f>
        <v/>
      </c>
      <c r="EL80" s="28" t="str">
        <f>IFERROR(VLOOKUP(EJ80,Horarios!$H:$I,2,0),"")</f>
        <v/>
      </c>
      <c r="EM80" s="28" t="str">
        <f t="shared" si="73"/>
        <v>00:00</v>
      </c>
      <c r="EN80" s="29"/>
      <c r="EO80" s="27"/>
      <c r="EP80" s="27"/>
      <c r="EQ80" s="28" t="str">
        <f>IFERROR(VLOOKUP(EO80,Horarios!$H:$I,2,0),"")</f>
        <v/>
      </c>
      <c r="ER80" s="28" t="str">
        <f>IFERROR(VLOOKUP(EP80,Horarios!$H:$I,2,0),"")</f>
        <v/>
      </c>
      <c r="ES80" s="28" t="str">
        <f t="shared" si="74"/>
        <v>00:00</v>
      </c>
      <c r="ET80" s="29"/>
      <c r="EU80" s="27"/>
      <c r="EV80" s="27"/>
      <c r="EW80" s="28" t="str">
        <f>IFERROR(VLOOKUP(EU80,Horarios!$H:$I,2,0),"")</f>
        <v/>
      </c>
      <c r="EX80" s="28" t="str">
        <f>IFERROR(VLOOKUP(EV80,Horarios!$H:$I,2,0),"")</f>
        <v/>
      </c>
      <c r="EY80" s="28" t="str">
        <f t="shared" si="75"/>
        <v>00:00</v>
      </c>
      <c r="EZ80" s="29"/>
      <c r="FA80" s="27"/>
      <c r="FB80" s="27"/>
      <c r="FC80" s="28" t="str">
        <f>IFERROR(VLOOKUP(FA80,Horarios!$H:$I,2,0),"")</f>
        <v/>
      </c>
      <c r="FD80" s="28" t="str">
        <f>IFERROR(VLOOKUP(FB80,Horarios!$H:$I,2,0),"")</f>
        <v/>
      </c>
      <c r="FE80" s="28" t="str">
        <f t="shared" si="76"/>
        <v>00:00</v>
      </c>
      <c r="FF80" s="29"/>
      <c r="FG80" s="27"/>
      <c r="FH80" s="27"/>
      <c r="FI80" s="28" t="str">
        <f>IFERROR(VLOOKUP(FG80,Horarios!$H:$I,2,0),"")</f>
        <v/>
      </c>
      <c r="FJ80" s="28" t="str">
        <f>IFERROR(VLOOKUP(FH80,Horarios!$H:$I,2,0),"")</f>
        <v/>
      </c>
      <c r="FK80" s="28" t="str">
        <f t="shared" si="77"/>
        <v>00:00</v>
      </c>
      <c r="FL80" s="29"/>
      <c r="FM80" s="27"/>
      <c r="FN80" s="27"/>
      <c r="FO80" s="28" t="str">
        <f>IFERROR(VLOOKUP(FM80,Horarios!$H:$I,2,0),"")</f>
        <v/>
      </c>
      <c r="FP80" s="28" t="str">
        <f>IFERROR(VLOOKUP(FN80,Horarios!$H:$I,2,0),"")</f>
        <v/>
      </c>
      <c r="FQ80" s="28" t="str">
        <f t="shared" si="78"/>
        <v>00:00</v>
      </c>
      <c r="FR80" s="29"/>
      <c r="FS80" s="31" t="str">
        <f t="shared" si="79"/>
        <v/>
      </c>
      <c r="FT80" s="27"/>
      <c r="FU80" s="27"/>
      <c r="FV80" s="28" t="str">
        <f>IFERROR(VLOOKUP(FT80,Horarios!$H:$I,2,0),"")</f>
        <v/>
      </c>
      <c r="FW80" s="28" t="str">
        <f>IFERROR(VLOOKUP(FU80,Horarios!$H:$I,2,0),"")</f>
        <v/>
      </c>
      <c r="FX80" s="28" t="str">
        <f t="shared" si="80"/>
        <v>00:00</v>
      </c>
      <c r="FY80" s="29"/>
      <c r="FZ80" s="27"/>
      <c r="GA80" s="27"/>
      <c r="GB80" s="28" t="str">
        <f>IFERROR(VLOOKUP(FZ80,Horarios!$H:$I,2,0),"")</f>
        <v/>
      </c>
      <c r="GC80" s="28" t="str">
        <f>IFERROR(VLOOKUP(GA80,Horarios!$H:$I,2,0),"")</f>
        <v/>
      </c>
      <c r="GD80" s="28" t="str">
        <f t="shared" si="81"/>
        <v>00:00</v>
      </c>
      <c r="GE80" s="29"/>
      <c r="GF80" s="27"/>
      <c r="GG80" s="27"/>
      <c r="GH80" s="28" t="str">
        <f>IFERROR(VLOOKUP(GF80,Horarios!$H:$I,2,0),"")</f>
        <v/>
      </c>
      <c r="GI80" s="28" t="str">
        <f>IFERROR(VLOOKUP(GG80,Horarios!$H:$I,2,0),"")</f>
        <v/>
      </c>
      <c r="GJ80" s="28" t="str">
        <f t="shared" si="82"/>
        <v>00:00</v>
      </c>
      <c r="GK80" s="29"/>
      <c r="GL80" s="27"/>
      <c r="GM80" s="27"/>
      <c r="GN80" s="28" t="str">
        <f>IFERROR(VLOOKUP(GL80,Horarios!$H:$I,2,0),"")</f>
        <v/>
      </c>
      <c r="GO80" s="28" t="str">
        <f>IFERROR(VLOOKUP(GM80,Horarios!$H:$I,2,0),"")</f>
        <v/>
      </c>
      <c r="GP80" s="28" t="str">
        <f t="shared" si="83"/>
        <v>00:00</v>
      </c>
      <c r="GQ80" s="29"/>
      <c r="GR80" s="27"/>
      <c r="GS80" s="27"/>
      <c r="GT80" s="28" t="str">
        <f>IFERROR(VLOOKUP(GR80,Horarios!$H:$I,2,0),"")</f>
        <v/>
      </c>
      <c r="GU80" s="28" t="str">
        <f>IFERROR(VLOOKUP(GS80,Horarios!$H:$I,2,0),"")</f>
        <v/>
      </c>
      <c r="GV80" s="28" t="str">
        <f t="shared" si="84"/>
        <v>00:00</v>
      </c>
      <c r="GW80" s="29"/>
      <c r="GX80" s="27"/>
      <c r="GY80" s="27"/>
      <c r="GZ80" s="28" t="str">
        <f>IFERROR(VLOOKUP(GX80,Horarios!$H:$I,2,0),"")</f>
        <v/>
      </c>
      <c r="HA80" s="28" t="str">
        <f>IFERROR(VLOOKUP(GY80,Horarios!$H:$I,2,0),"")</f>
        <v/>
      </c>
      <c r="HB80" s="28" t="str">
        <f t="shared" si="85"/>
        <v>00:00</v>
      </c>
      <c r="HC80" s="29"/>
      <c r="HD80" s="27"/>
      <c r="HE80" s="27"/>
      <c r="HF80" s="28" t="str">
        <f>IFERROR(VLOOKUP(HD80,Horarios!$H:$I,2,0),"")</f>
        <v/>
      </c>
      <c r="HG80" s="28" t="str">
        <f>IFERROR(VLOOKUP(HE80,Horarios!$H:$I,2,0),"")</f>
        <v/>
      </c>
      <c r="HH80" s="28" t="str">
        <f t="shared" si="86"/>
        <v>00:00</v>
      </c>
      <c r="HI80" s="29"/>
      <c r="HJ80" s="31" t="str">
        <f t="shared" si="87"/>
        <v/>
      </c>
      <c r="HK80" s="27"/>
      <c r="HL80" s="27"/>
      <c r="HM80" s="28" t="str">
        <f>IFERROR(VLOOKUP(HK80,Horarios!$H:$I,2,0),"")</f>
        <v/>
      </c>
      <c r="HN80" s="28" t="str">
        <f>IFERROR(VLOOKUP(HL80,Horarios!$H:$I,2,0),"")</f>
        <v/>
      </c>
      <c r="HO80" s="28" t="str">
        <f t="shared" si="88"/>
        <v>00:00</v>
      </c>
      <c r="HP80" s="29"/>
      <c r="HQ80" s="27"/>
      <c r="HR80" s="27"/>
      <c r="HS80" s="28" t="str">
        <f>IFERROR(VLOOKUP(HQ80,Horarios!$H:$I,2,0),"")</f>
        <v/>
      </c>
      <c r="HT80" s="28" t="str">
        <f>IFERROR(VLOOKUP(HR80,Horarios!$H:$I,2,0),"")</f>
        <v/>
      </c>
      <c r="HU80" s="28" t="str">
        <f t="shared" si="89"/>
        <v>00:00</v>
      </c>
      <c r="HV80" s="29"/>
      <c r="HW80" s="27"/>
      <c r="HX80" s="27"/>
      <c r="HY80" s="28" t="str">
        <f>IFERROR(VLOOKUP(HW80,Horarios!$H:$I,2,0),"")</f>
        <v/>
      </c>
      <c r="HZ80" s="28" t="str">
        <f>IFERROR(VLOOKUP(HX80,Horarios!$H:$I,2,0),"")</f>
        <v/>
      </c>
      <c r="IA80" s="28" t="str">
        <f t="shared" si="90"/>
        <v>00:00</v>
      </c>
      <c r="IB80" s="29"/>
      <c r="IC80" s="27"/>
      <c r="ID80" s="27"/>
      <c r="IE80" s="28" t="str">
        <f>IFERROR(VLOOKUP(IC80,Horarios!$H:$I,2,0),"")</f>
        <v/>
      </c>
      <c r="IF80" s="28" t="str">
        <f>IFERROR(VLOOKUP(ID80,Horarios!$H:$I,2,0),"")</f>
        <v/>
      </c>
      <c r="IG80" s="28" t="str">
        <f t="shared" si="91"/>
        <v>00:00</v>
      </c>
      <c r="IH80" s="29"/>
      <c r="II80" s="27"/>
      <c r="IJ80" s="27"/>
      <c r="IK80" s="28" t="str">
        <f>IFERROR(VLOOKUP(II80,Horarios!$H:$I,2,0),"")</f>
        <v/>
      </c>
      <c r="IL80" s="28" t="str">
        <f>IFERROR(VLOOKUP(IJ80,Horarios!$H:$I,2,0),"")</f>
        <v/>
      </c>
      <c r="IM80" s="28" t="str">
        <f t="shared" si="92"/>
        <v>00:00</v>
      </c>
      <c r="IN80" s="29"/>
      <c r="IO80" s="27"/>
      <c r="IP80" s="27"/>
      <c r="IQ80" s="28" t="str">
        <f>IFERROR(VLOOKUP(IO80,Horarios!$H:$I,2,0),"")</f>
        <v/>
      </c>
      <c r="IR80" s="28" t="str">
        <f>IFERROR(VLOOKUP(IP80,Horarios!$H:$I,2,0),"")</f>
        <v/>
      </c>
      <c r="IS80" s="28" t="str">
        <f t="shared" si="93"/>
        <v>00:00</v>
      </c>
      <c r="IT80" s="29"/>
      <c r="IU80" s="27"/>
      <c r="IV80" s="27"/>
      <c r="IW80" s="28" t="str">
        <f>IFERROR(VLOOKUP(IU80,Horarios!$H:$I,2,0),"")</f>
        <v/>
      </c>
      <c r="IX80" s="28" t="str">
        <f>IFERROR(VLOOKUP(IV80,Horarios!$H:$I,2,0),"")</f>
        <v/>
      </c>
      <c r="IY80" s="28" t="str">
        <f t="shared" si="94"/>
        <v>00:00</v>
      </c>
      <c r="IZ80" s="29"/>
      <c r="JA80" s="31" t="str">
        <f t="shared" si="95"/>
        <v/>
      </c>
    </row>
    <row r="81" spans="1:261" s="24" customFormat="1" ht="17.399999999999999" x14ac:dyDescent="0.25">
      <c r="A81" s="25"/>
      <c r="B81" s="26" t="str">
        <f>IFERROR(VLOOKUP(A81,BaseNombres!A:B,2,0),"")</f>
        <v/>
      </c>
      <c r="C81" s="26" t="str">
        <f>IFERROR(VLOOKUP(A81,BaseNombres!A:C,3,0),"")</f>
        <v/>
      </c>
      <c r="D81" s="27"/>
      <c r="E81" s="27"/>
      <c r="F81" s="28" t="str">
        <f>IFERROR(VLOOKUP(D81,Horarios!$H:$I,2,0),"")</f>
        <v/>
      </c>
      <c r="G81" s="28" t="str">
        <f>IFERROR(VLOOKUP(E81,Horarios!$H:$I,2,0),"")</f>
        <v/>
      </c>
      <c r="H81" s="28" t="str">
        <f t="shared" si="48"/>
        <v>00:00</v>
      </c>
      <c r="I81" s="29"/>
      <c r="J81" s="27"/>
      <c r="K81" s="27"/>
      <c r="L81" s="28" t="str">
        <f>IFERROR(VLOOKUP(J81,Horarios!$H:$I,2,0),"")</f>
        <v/>
      </c>
      <c r="M81" s="28" t="str">
        <f>IFERROR(VLOOKUP(K81,Horarios!$H:$I,2,0),"")</f>
        <v/>
      </c>
      <c r="N81" s="28" t="str">
        <f t="shared" si="49"/>
        <v>00:00</v>
      </c>
      <c r="O81" s="29"/>
      <c r="P81" s="27"/>
      <c r="Q81" s="27"/>
      <c r="R81" s="28" t="str">
        <f>IFERROR(VLOOKUP(P81,Horarios!$H:$I,2,0),"")</f>
        <v/>
      </c>
      <c r="S81" s="28" t="str">
        <f>IFERROR(VLOOKUP(Q81,Horarios!$H:$I,2,0),"")</f>
        <v/>
      </c>
      <c r="T81" s="28" t="str">
        <f t="shared" si="50"/>
        <v>00:00</v>
      </c>
      <c r="U81" s="29"/>
      <c r="V81" s="27"/>
      <c r="W81" s="27"/>
      <c r="X81" s="28" t="str">
        <f>IFERROR(VLOOKUP(V81,Horarios!$H:$I,2,0),"")</f>
        <v/>
      </c>
      <c r="Y81" s="28" t="str">
        <f>IFERROR(VLOOKUP(W81,Horarios!$H:$I,2,0),"")</f>
        <v/>
      </c>
      <c r="Z81" s="28" t="str">
        <f t="shared" si="51"/>
        <v>00:00</v>
      </c>
      <c r="AA81" s="29"/>
      <c r="AB81" s="27"/>
      <c r="AC81" s="27"/>
      <c r="AD81" s="28" t="str">
        <f>IFERROR(VLOOKUP(AB81,Horarios!$H:$I,2,0),"")</f>
        <v/>
      </c>
      <c r="AE81" s="28" t="str">
        <f>IFERROR(VLOOKUP(AC81,Horarios!$H:$I,2,0),"")</f>
        <v/>
      </c>
      <c r="AF81" s="28" t="str">
        <f t="shared" si="52"/>
        <v>00:00</v>
      </c>
      <c r="AG81" s="29"/>
      <c r="AH81" s="27"/>
      <c r="AI81" s="27"/>
      <c r="AJ81" s="28" t="str">
        <f>IFERROR(VLOOKUP(AH81,Horarios!$H:$I,2,0),"")</f>
        <v/>
      </c>
      <c r="AK81" s="28" t="str">
        <f>IFERROR(VLOOKUP(AI81,Horarios!$H:$I,2,0),"")</f>
        <v/>
      </c>
      <c r="AL81" s="28" t="str">
        <f t="shared" si="53"/>
        <v>00:00</v>
      </c>
      <c r="AM81" s="29"/>
      <c r="AN81" s="27"/>
      <c r="AO81" s="27"/>
      <c r="AP81" s="28" t="str">
        <f>IFERROR(VLOOKUP(AN81,Horarios!$H:$I,2,0),"")</f>
        <v/>
      </c>
      <c r="AQ81" s="28" t="str">
        <f>IFERROR(VLOOKUP(AO81,Horarios!$H:$I,2,0),"")</f>
        <v/>
      </c>
      <c r="AR81" s="28" t="str">
        <f t="shared" si="54"/>
        <v>00:00</v>
      </c>
      <c r="AS81" s="29"/>
      <c r="AT81" s="31" t="str">
        <f t="shared" si="55"/>
        <v/>
      </c>
      <c r="AU81" s="27"/>
      <c r="AV81" s="27"/>
      <c r="AW81" s="28" t="str">
        <f>IFERROR(VLOOKUP(AU81,Horarios!$H:$I,2,0),"")</f>
        <v/>
      </c>
      <c r="AX81" s="28" t="str">
        <f>IFERROR(VLOOKUP(AV81,Horarios!$H:$I,2,0),"")</f>
        <v/>
      </c>
      <c r="AY81" s="28" t="str">
        <f t="shared" si="56"/>
        <v>00:00</v>
      </c>
      <c r="AZ81" s="29"/>
      <c r="BA81" s="27"/>
      <c r="BB81" s="27"/>
      <c r="BC81" s="28" t="str">
        <f>IFERROR(VLOOKUP(BA81,Horarios!$H:$I,2,0),"")</f>
        <v/>
      </c>
      <c r="BD81" s="28" t="str">
        <f>IFERROR(VLOOKUP(BB81,Horarios!$H:$I,2,0),"")</f>
        <v/>
      </c>
      <c r="BE81" s="28" t="str">
        <f t="shared" si="57"/>
        <v>00:00</v>
      </c>
      <c r="BF81" s="29"/>
      <c r="BG81" s="27"/>
      <c r="BH81" s="27"/>
      <c r="BI81" s="28" t="str">
        <f>IFERROR(VLOOKUP(BG81,Horarios!$H:$I,2,0),"")</f>
        <v/>
      </c>
      <c r="BJ81" s="28" t="str">
        <f>IFERROR(VLOOKUP(BH81,Horarios!$H:$I,2,0),"")</f>
        <v/>
      </c>
      <c r="BK81" s="28" t="str">
        <f t="shared" si="58"/>
        <v>00:00</v>
      </c>
      <c r="BL81" s="29"/>
      <c r="BM81" s="27"/>
      <c r="BN81" s="27"/>
      <c r="BO81" s="28" t="str">
        <f>IFERROR(VLOOKUP(BM81,Horarios!$H:$I,2,0),"")</f>
        <v/>
      </c>
      <c r="BP81" s="28" t="str">
        <f>IFERROR(VLOOKUP(BN81,Horarios!$H:$I,2,0),"")</f>
        <v/>
      </c>
      <c r="BQ81" s="28" t="str">
        <f t="shared" si="59"/>
        <v>00:00</v>
      </c>
      <c r="BR81" s="29"/>
      <c r="BS81" s="27"/>
      <c r="BT81" s="27"/>
      <c r="BU81" s="28" t="str">
        <f>IFERROR(VLOOKUP(BS81,Horarios!$H:$I,2,0),"")</f>
        <v/>
      </c>
      <c r="BV81" s="28" t="str">
        <f>IFERROR(VLOOKUP(BT81,Horarios!$H:$I,2,0),"")</f>
        <v/>
      </c>
      <c r="BW81" s="28" t="str">
        <f t="shared" si="60"/>
        <v>00:00</v>
      </c>
      <c r="BX81" s="29"/>
      <c r="BY81" s="27"/>
      <c r="BZ81" s="27"/>
      <c r="CA81" s="28" t="str">
        <f>IFERROR(VLOOKUP(BY81,Horarios!$H:$I,2,0),"")</f>
        <v/>
      </c>
      <c r="CB81" s="28" t="str">
        <f>IFERROR(VLOOKUP(BZ81,Horarios!$H:$I,2,0),"")</f>
        <v/>
      </c>
      <c r="CC81" s="28" t="str">
        <f t="shared" si="61"/>
        <v>00:00</v>
      </c>
      <c r="CD81" s="29"/>
      <c r="CE81" s="27"/>
      <c r="CF81" s="27"/>
      <c r="CG81" s="28" t="str">
        <f>IFERROR(VLOOKUP(CE81,Horarios!$H:$I,2,0),"")</f>
        <v/>
      </c>
      <c r="CH81" s="28" t="str">
        <f>IFERROR(VLOOKUP(CF81,Horarios!$H:$I,2,0),"")</f>
        <v/>
      </c>
      <c r="CI81" s="28" t="str">
        <f t="shared" si="62"/>
        <v>00:00</v>
      </c>
      <c r="CJ81" s="29"/>
      <c r="CK81" s="31" t="str">
        <f t="shared" si="63"/>
        <v/>
      </c>
      <c r="CL81" s="27"/>
      <c r="CM81" s="27"/>
      <c r="CN81" s="28" t="str">
        <f>IFERROR(VLOOKUP(CL81,Horarios!$H:$I,2,0),"")</f>
        <v/>
      </c>
      <c r="CO81" s="28" t="str">
        <f>IFERROR(VLOOKUP(CM81,Horarios!$H:$I,2,0),"")</f>
        <v/>
      </c>
      <c r="CP81" s="28" t="str">
        <f t="shared" si="64"/>
        <v>00:00</v>
      </c>
      <c r="CQ81" s="29"/>
      <c r="CR81" s="27"/>
      <c r="CS81" s="27"/>
      <c r="CT81" s="28" t="str">
        <f>IFERROR(VLOOKUP(CR81,Horarios!$H:$I,2,0),"")</f>
        <v/>
      </c>
      <c r="CU81" s="28" t="str">
        <f>IFERROR(VLOOKUP(CS81,Horarios!$H:$I,2,0),"")</f>
        <v/>
      </c>
      <c r="CV81" s="28" t="str">
        <f t="shared" si="65"/>
        <v>00:00</v>
      </c>
      <c r="CW81" s="29"/>
      <c r="CX81" s="27"/>
      <c r="CY81" s="27"/>
      <c r="CZ81" s="28" t="str">
        <f>IFERROR(VLOOKUP(CX81,Horarios!$H:$I,2,0),"")</f>
        <v/>
      </c>
      <c r="DA81" s="28" t="str">
        <f>IFERROR(VLOOKUP(CY81,Horarios!$H:$I,2,0),"")</f>
        <v/>
      </c>
      <c r="DB81" s="28" t="str">
        <f t="shared" si="66"/>
        <v>00:00</v>
      </c>
      <c r="DC81" s="29"/>
      <c r="DD81" s="27"/>
      <c r="DE81" s="27"/>
      <c r="DF81" s="28" t="str">
        <f>IFERROR(VLOOKUP(DD81,Horarios!$H:$I,2,0),"")</f>
        <v/>
      </c>
      <c r="DG81" s="28" t="str">
        <f>IFERROR(VLOOKUP(DE81,Horarios!$H:$I,2,0),"")</f>
        <v/>
      </c>
      <c r="DH81" s="28" t="str">
        <f t="shared" si="67"/>
        <v>00:00</v>
      </c>
      <c r="DI81" s="29"/>
      <c r="DJ81" s="27"/>
      <c r="DK81" s="27"/>
      <c r="DL81" s="28" t="str">
        <f>IFERROR(VLOOKUP(DJ81,Horarios!$H:$I,2,0),"")</f>
        <v/>
      </c>
      <c r="DM81" s="28" t="str">
        <f>IFERROR(VLOOKUP(DK81,Horarios!$H:$I,2,0),"")</f>
        <v/>
      </c>
      <c r="DN81" s="28" t="str">
        <f t="shared" si="68"/>
        <v>00:00</v>
      </c>
      <c r="DO81" s="29"/>
      <c r="DP81" s="27"/>
      <c r="DQ81" s="27"/>
      <c r="DR81" s="28" t="str">
        <f>IFERROR(VLOOKUP(DP81,Horarios!$H:$I,2,0),"")</f>
        <v/>
      </c>
      <c r="DS81" s="28" t="str">
        <f>IFERROR(VLOOKUP(DQ81,Horarios!$H:$I,2,0),"")</f>
        <v/>
      </c>
      <c r="DT81" s="28" t="str">
        <f t="shared" si="69"/>
        <v>00:00</v>
      </c>
      <c r="DU81" s="29"/>
      <c r="DV81" s="27"/>
      <c r="DW81" s="27"/>
      <c r="DX81" s="28" t="str">
        <f>IFERROR(VLOOKUP(DV81,Horarios!$H:$I,2,0),"")</f>
        <v/>
      </c>
      <c r="DY81" s="28" t="str">
        <f>IFERROR(VLOOKUP(DW81,Horarios!$H:$I,2,0),"")</f>
        <v/>
      </c>
      <c r="DZ81" s="28" t="str">
        <f t="shared" si="70"/>
        <v>00:00</v>
      </c>
      <c r="EA81" s="29"/>
      <c r="EB81" s="31" t="str">
        <f t="shared" si="71"/>
        <v/>
      </c>
      <c r="EC81" s="27"/>
      <c r="ED81" s="27"/>
      <c r="EE81" s="28" t="str">
        <f>IFERROR(VLOOKUP(EC81,Horarios!$H:$I,2,0),"")</f>
        <v/>
      </c>
      <c r="EF81" s="28" t="str">
        <f>IFERROR(VLOOKUP(ED81,Horarios!$H:$I,2,0),"")</f>
        <v/>
      </c>
      <c r="EG81" s="28" t="str">
        <f t="shared" si="72"/>
        <v>00:00</v>
      </c>
      <c r="EH81" s="29"/>
      <c r="EI81" s="27"/>
      <c r="EJ81" s="27"/>
      <c r="EK81" s="28" t="str">
        <f>IFERROR(VLOOKUP(EI81,Horarios!$H:$I,2,0),"")</f>
        <v/>
      </c>
      <c r="EL81" s="28" t="str">
        <f>IFERROR(VLOOKUP(EJ81,Horarios!$H:$I,2,0),"")</f>
        <v/>
      </c>
      <c r="EM81" s="28" t="str">
        <f t="shared" si="73"/>
        <v>00:00</v>
      </c>
      <c r="EN81" s="29"/>
      <c r="EO81" s="27"/>
      <c r="EP81" s="27"/>
      <c r="EQ81" s="28" t="str">
        <f>IFERROR(VLOOKUP(EO81,Horarios!$H:$I,2,0),"")</f>
        <v/>
      </c>
      <c r="ER81" s="28" t="str">
        <f>IFERROR(VLOOKUP(EP81,Horarios!$H:$I,2,0),"")</f>
        <v/>
      </c>
      <c r="ES81" s="28" t="str">
        <f t="shared" si="74"/>
        <v>00:00</v>
      </c>
      <c r="ET81" s="29"/>
      <c r="EU81" s="27"/>
      <c r="EV81" s="27"/>
      <c r="EW81" s="28" t="str">
        <f>IFERROR(VLOOKUP(EU81,Horarios!$H:$I,2,0),"")</f>
        <v/>
      </c>
      <c r="EX81" s="28" t="str">
        <f>IFERROR(VLOOKUP(EV81,Horarios!$H:$I,2,0),"")</f>
        <v/>
      </c>
      <c r="EY81" s="28" t="str">
        <f t="shared" si="75"/>
        <v>00:00</v>
      </c>
      <c r="EZ81" s="29"/>
      <c r="FA81" s="27"/>
      <c r="FB81" s="27"/>
      <c r="FC81" s="28" t="str">
        <f>IFERROR(VLOOKUP(FA81,Horarios!$H:$I,2,0),"")</f>
        <v/>
      </c>
      <c r="FD81" s="28" t="str">
        <f>IFERROR(VLOOKUP(FB81,Horarios!$H:$I,2,0),"")</f>
        <v/>
      </c>
      <c r="FE81" s="28" t="str">
        <f t="shared" si="76"/>
        <v>00:00</v>
      </c>
      <c r="FF81" s="29"/>
      <c r="FG81" s="27"/>
      <c r="FH81" s="27"/>
      <c r="FI81" s="28" t="str">
        <f>IFERROR(VLOOKUP(FG81,Horarios!$H:$I,2,0),"")</f>
        <v/>
      </c>
      <c r="FJ81" s="28" t="str">
        <f>IFERROR(VLOOKUP(FH81,Horarios!$H:$I,2,0),"")</f>
        <v/>
      </c>
      <c r="FK81" s="28" t="str">
        <f t="shared" si="77"/>
        <v>00:00</v>
      </c>
      <c r="FL81" s="29"/>
      <c r="FM81" s="27"/>
      <c r="FN81" s="27"/>
      <c r="FO81" s="28" t="str">
        <f>IFERROR(VLOOKUP(FM81,Horarios!$H:$I,2,0),"")</f>
        <v/>
      </c>
      <c r="FP81" s="28" t="str">
        <f>IFERROR(VLOOKUP(FN81,Horarios!$H:$I,2,0),"")</f>
        <v/>
      </c>
      <c r="FQ81" s="28" t="str">
        <f t="shared" si="78"/>
        <v>00:00</v>
      </c>
      <c r="FR81" s="29"/>
      <c r="FS81" s="31" t="str">
        <f t="shared" si="79"/>
        <v/>
      </c>
      <c r="FT81" s="27"/>
      <c r="FU81" s="27"/>
      <c r="FV81" s="28" t="str">
        <f>IFERROR(VLOOKUP(FT81,Horarios!$H:$I,2,0),"")</f>
        <v/>
      </c>
      <c r="FW81" s="28" t="str">
        <f>IFERROR(VLOOKUP(FU81,Horarios!$H:$I,2,0),"")</f>
        <v/>
      </c>
      <c r="FX81" s="28" t="str">
        <f t="shared" si="80"/>
        <v>00:00</v>
      </c>
      <c r="FY81" s="29"/>
      <c r="FZ81" s="27"/>
      <c r="GA81" s="27"/>
      <c r="GB81" s="28" t="str">
        <f>IFERROR(VLOOKUP(FZ81,Horarios!$H:$I,2,0),"")</f>
        <v/>
      </c>
      <c r="GC81" s="28" t="str">
        <f>IFERROR(VLOOKUP(GA81,Horarios!$H:$I,2,0),"")</f>
        <v/>
      </c>
      <c r="GD81" s="28" t="str">
        <f t="shared" si="81"/>
        <v>00:00</v>
      </c>
      <c r="GE81" s="29"/>
      <c r="GF81" s="27"/>
      <c r="GG81" s="27"/>
      <c r="GH81" s="28" t="str">
        <f>IFERROR(VLOOKUP(GF81,Horarios!$H:$I,2,0),"")</f>
        <v/>
      </c>
      <c r="GI81" s="28" t="str">
        <f>IFERROR(VLOOKUP(GG81,Horarios!$H:$I,2,0),"")</f>
        <v/>
      </c>
      <c r="GJ81" s="28" t="str">
        <f t="shared" si="82"/>
        <v>00:00</v>
      </c>
      <c r="GK81" s="29"/>
      <c r="GL81" s="27"/>
      <c r="GM81" s="27"/>
      <c r="GN81" s="28" t="str">
        <f>IFERROR(VLOOKUP(GL81,Horarios!$H:$I,2,0),"")</f>
        <v/>
      </c>
      <c r="GO81" s="28" t="str">
        <f>IFERROR(VLOOKUP(GM81,Horarios!$H:$I,2,0),"")</f>
        <v/>
      </c>
      <c r="GP81" s="28" t="str">
        <f t="shared" si="83"/>
        <v>00:00</v>
      </c>
      <c r="GQ81" s="29"/>
      <c r="GR81" s="27"/>
      <c r="GS81" s="27"/>
      <c r="GT81" s="28" t="str">
        <f>IFERROR(VLOOKUP(GR81,Horarios!$H:$I,2,0),"")</f>
        <v/>
      </c>
      <c r="GU81" s="28" t="str">
        <f>IFERROR(VLOOKUP(GS81,Horarios!$H:$I,2,0),"")</f>
        <v/>
      </c>
      <c r="GV81" s="28" t="str">
        <f t="shared" si="84"/>
        <v>00:00</v>
      </c>
      <c r="GW81" s="29"/>
      <c r="GX81" s="27"/>
      <c r="GY81" s="27"/>
      <c r="GZ81" s="28" t="str">
        <f>IFERROR(VLOOKUP(GX81,Horarios!$H:$I,2,0),"")</f>
        <v/>
      </c>
      <c r="HA81" s="28" t="str">
        <f>IFERROR(VLOOKUP(GY81,Horarios!$H:$I,2,0),"")</f>
        <v/>
      </c>
      <c r="HB81" s="28" t="str">
        <f t="shared" si="85"/>
        <v>00:00</v>
      </c>
      <c r="HC81" s="29"/>
      <c r="HD81" s="27"/>
      <c r="HE81" s="27"/>
      <c r="HF81" s="28" t="str">
        <f>IFERROR(VLOOKUP(HD81,Horarios!$H:$I,2,0),"")</f>
        <v/>
      </c>
      <c r="HG81" s="28" t="str">
        <f>IFERROR(VLOOKUP(HE81,Horarios!$H:$I,2,0),"")</f>
        <v/>
      </c>
      <c r="HH81" s="28" t="str">
        <f t="shared" si="86"/>
        <v>00:00</v>
      </c>
      <c r="HI81" s="29"/>
      <c r="HJ81" s="31" t="str">
        <f t="shared" si="87"/>
        <v/>
      </c>
      <c r="HK81" s="27"/>
      <c r="HL81" s="27"/>
      <c r="HM81" s="28" t="str">
        <f>IFERROR(VLOOKUP(HK81,Horarios!$H:$I,2,0),"")</f>
        <v/>
      </c>
      <c r="HN81" s="28" t="str">
        <f>IFERROR(VLOOKUP(HL81,Horarios!$H:$I,2,0),"")</f>
        <v/>
      </c>
      <c r="HO81" s="28" t="str">
        <f t="shared" si="88"/>
        <v>00:00</v>
      </c>
      <c r="HP81" s="29"/>
      <c r="HQ81" s="27"/>
      <c r="HR81" s="27"/>
      <c r="HS81" s="28" t="str">
        <f>IFERROR(VLOOKUP(HQ81,Horarios!$H:$I,2,0),"")</f>
        <v/>
      </c>
      <c r="HT81" s="28" t="str">
        <f>IFERROR(VLOOKUP(HR81,Horarios!$H:$I,2,0),"")</f>
        <v/>
      </c>
      <c r="HU81" s="28" t="str">
        <f t="shared" si="89"/>
        <v>00:00</v>
      </c>
      <c r="HV81" s="29"/>
      <c r="HW81" s="27"/>
      <c r="HX81" s="27"/>
      <c r="HY81" s="28" t="str">
        <f>IFERROR(VLOOKUP(HW81,Horarios!$H:$I,2,0),"")</f>
        <v/>
      </c>
      <c r="HZ81" s="28" t="str">
        <f>IFERROR(VLOOKUP(HX81,Horarios!$H:$I,2,0),"")</f>
        <v/>
      </c>
      <c r="IA81" s="28" t="str">
        <f t="shared" si="90"/>
        <v>00:00</v>
      </c>
      <c r="IB81" s="29"/>
      <c r="IC81" s="27"/>
      <c r="ID81" s="27"/>
      <c r="IE81" s="28" t="str">
        <f>IFERROR(VLOOKUP(IC81,Horarios!$H:$I,2,0),"")</f>
        <v/>
      </c>
      <c r="IF81" s="28" t="str">
        <f>IFERROR(VLOOKUP(ID81,Horarios!$H:$I,2,0),"")</f>
        <v/>
      </c>
      <c r="IG81" s="28" t="str">
        <f t="shared" si="91"/>
        <v>00:00</v>
      </c>
      <c r="IH81" s="29"/>
      <c r="II81" s="27"/>
      <c r="IJ81" s="27"/>
      <c r="IK81" s="28" t="str">
        <f>IFERROR(VLOOKUP(II81,Horarios!$H:$I,2,0),"")</f>
        <v/>
      </c>
      <c r="IL81" s="28" t="str">
        <f>IFERROR(VLOOKUP(IJ81,Horarios!$H:$I,2,0),"")</f>
        <v/>
      </c>
      <c r="IM81" s="28" t="str">
        <f t="shared" si="92"/>
        <v>00:00</v>
      </c>
      <c r="IN81" s="29"/>
      <c r="IO81" s="27"/>
      <c r="IP81" s="27"/>
      <c r="IQ81" s="28" t="str">
        <f>IFERROR(VLOOKUP(IO81,Horarios!$H:$I,2,0),"")</f>
        <v/>
      </c>
      <c r="IR81" s="28" t="str">
        <f>IFERROR(VLOOKUP(IP81,Horarios!$H:$I,2,0),"")</f>
        <v/>
      </c>
      <c r="IS81" s="28" t="str">
        <f t="shared" si="93"/>
        <v>00:00</v>
      </c>
      <c r="IT81" s="29"/>
      <c r="IU81" s="27"/>
      <c r="IV81" s="27"/>
      <c r="IW81" s="28" t="str">
        <f>IFERROR(VLOOKUP(IU81,Horarios!$H:$I,2,0),"")</f>
        <v/>
      </c>
      <c r="IX81" s="28" t="str">
        <f>IFERROR(VLOOKUP(IV81,Horarios!$H:$I,2,0),"")</f>
        <v/>
      </c>
      <c r="IY81" s="28" t="str">
        <f t="shared" si="94"/>
        <v>00:00</v>
      </c>
      <c r="IZ81" s="29"/>
      <c r="JA81" s="31" t="str">
        <f t="shared" si="95"/>
        <v/>
      </c>
    </row>
    <row r="82" spans="1:261" s="24" customFormat="1" ht="17.399999999999999" x14ac:dyDescent="0.25">
      <c r="A82" s="25"/>
      <c r="B82" s="26" t="str">
        <f>IFERROR(VLOOKUP(A82,BaseNombres!A:B,2,0),"")</f>
        <v/>
      </c>
      <c r="C82" s="26" t="str">
        <f>IFERROR(VLOOKUP(A82,BaseNombres!A:C,3,0),"")</f>
        <v/>
      </c>
      <c r="D82" s="27"/>
      <c r="E82" s="27"/>
      <c r="F82" s="28" t="str">
        <f>IFERROR(VLOOKUP(D82,Horarios!$H:$I,2,0),"")</f>
        <v/>
      </c>
      <c r="G82" s="28" t="str">
        <f>IFERROR(VLOOKUP(E82,Horarios!$H:$I,2,0),"")</f>
        <v/>
      </c>
      <c r="H82" s="28" t="str">
        <f t="shared" si="48"/>
        <v>00:00</v>
      </c>
      <c r="I82" s="29"/>
      <c r="J82" s="27"/>
      <c r="K82" s="27"/>
      <c r="L82" s="28" t="str">
        <f>IFERROR(VLOOKUP(J82,Horarios!$H:$I,2,0),"")</f>
        <v/>
      </c>
      <c r="M82" s="28" t="str">
        <f>IFERROR(VLOOKUP(K82,Horarios!$H:$I,2,0),"")</f>
        <v/>
      </c>
      <c r="N82" s="28" t="str">
        <f t="shared" si="49"/>
        <v>00:00</v>
      </c>
      <c r="O82" s="29"/>
      <c r="P82" s="27"/>
      <c r="Q82" s="27"/>
      <c r="R82" s="28" t="str">
        <f>IFERROR(VLOOKUP(P82,Horarios!$H:$I,2,0),"")</f>
        <v/>
      </c>
      <c r="S82" s="28" t="str">
        <f>IFERROR(VLOOKUP(Q82,Horarios!$H:$I,2,0),"")</f>
        <v/>
      </c>
      <c r="T82" s="28" t="str">
        <f t="shared" si="50"/>
        <v>00:00</v>
      </c>
      <c r="U82" s="29"/>
      <c r="V82" s="27"/>
      <c r="W82" s="27"/>
      <c r="X82" s="28" t="str">
        <f>IFERROR(VLOOKUP(V82,Horarios!$H:$I,2,0),"")</f>
        <v/>
      </c>
      <c r="Y82" s="28" t="str">
        <f>IFERROR(VLOOKUP(W82,Horarios!$H:$I,2,0),"")</f>
        <v/>
      </c>
      <c r="Z82" s="28" t="str">
        <f t="shared" si="51"/>
        <v>00:00</v>
      </c>
      <c r="AA82" s="29"/>
      <c r="AB82" s="27"/>
      <c r="AC82" s="27"/>
      <c r="AD82" s="28" t="str">
        <f>IFERROR(VLOOKUP(AB82,Horarios!$H:$I,2,0),"")</f>
        <v/>
      </c>
      <c r="AE82" s="28" t="str">
        <f>IFERROR(VLOOKUP(AC82,Horarios!$H:$I,2,0),"")</f>
        <v/>
      </c>
      <c r="AF82" s="28" t="str">
        <f t="shared" si="52"/>
        <v>00:00</v>
      </c>
      <c r="AG82" s="29"/>
      <c r="AH82" s="27"/>
      <c r="AI82" s="27"/>
      <c r="AJ82" s="28" t="str">
        <f>IFERROR(VLOOKUP(AH82,Horarios!$H:$I,2,0),"")</f>
        <v/>
      </c>
      <c r="AK82" s="28" t="str">
        <f>IFERROR(VLOOKUP(AI82,Horarios!$H:$I,2,0),"")</f>
        <v/>
      </c>
      <c r="AL82" s="28" t="str">
        <f t="shared" si="53"/>
        <v>00:00</v>
      </c>
      <c r="AM82" s="29"/>
      <c r="AN82" s="27"/>
      <c r="AO82" s="27"/>
      <c r="AP82" s="28" t="str">
        <f>IFERROR(VLOOKUP(AN82,Horarios!$H:$I,2,0),"")</f>
        <v/>
      </c>
      <c r="AQ82" s="28" t="str">
        <f>IFERROR(VLOOKUP(AO82,Horarios!$H:$I,2,0),"")</f>
        <v/>
      </c>
      <c r="AR82" s="28" t="str">
        <f t="shared" si="54"/>
        <v>00:00</v>
      </c>
      <c r="AS82" s="29"/>
      <c r="AT82" s="31" t="str">
        <f t="shared" si="55"/>
        <v/>
      </c>
      <c r="AU82" s="27"/>
      <c r="AV82" s="27"/>
      <c r="AW82" s="28" t="str">
        <f>IFERROR(VLOOKUP(AU82,Horarios!$H:$I,2,0),"")</f>
        <v/>
      </c>
      <c r="AX82" s="28" t="str">
        <f>IFERROR(VLOOKUP(AV82,Horarios!$H:$I,2,0),"")</f>
        <v/>
      </c>
      <c r="AY82" s="28" t="str">
        <f t="shared" si="56"/>
        <v>00:00</v>
      </c>
      <c r="AZ82" s="29"/>
      <c r="BA82" s="27"/>
      <c r="BB82" s="27"/>
      <c r="BC82" s="28" t="str">
        <f>IFERROR(VLOOKUP(BA82,Horarios!$H:$I,2,0),"")</f>
        <v/>
      </c>
      <c r="BD82" s="28" t="str">
        <f>IFERROR(VLOOKUP(BB82,Horarios!$H:$I,2,0),"")</f>
        <v/>
      </c>
      <c r="BE82" s="28" t="str">
        <f t="shared" si="57"/>
        <v>00:00</v>
      </c>
      <c r="BF82" s="29"/>
      <c r="BG82" s="27"/>
      <c r="BH82" s="27"/>
      <c r="BI82" s="28" t="str">
        <f>IFERROR(VLOOKUP(BG82,Horarios!$H:$I,2,0),"")</f>
        <v/>
      </c>
      <c r="BJ82" s="28" t="str">
        <f>IFERROR(VLOOKUP(BH82,Horarios!$H:$I,2,0),"")</f>
        <v/>
      </c>
      <c r="BK82" s="28" t="str">
        <f t="shared" si="58"/>
        <v>00:00</v>
      </c>
      <c r="BL82" s="29"/>
      <c r="BM82" s="27"/>
      <c r="BN82" s="27"/>
      <c r="BO82" s="28" t="str">
        <f>IFERROR(VLOOKUP(BM82,Horarios!$H:$I,2,0),"")</f>
        <v/>
      </c>
      <c r="BP82" s="28" t="str">
        <f>IFERROR(VLOOKUP(BN82,Horarios!$H:$I,2,0),"")</f>
        <v/>
      </c>
      <c r="BQ82" s="28" t="str">
        <f t="shared" si="59"/>
        <v>00:00</v>
      </c>
      <c r="BR82" s="29"/>
      <c r="BS82" s="27"/>
      <c r="BT82" s="27"/>
      <c r="BU82" s="28" t="str">
        <f>IFERROR(VLOOKUP(BS82,Horarios!$H:$I,2,0),"")</f>
        <v/>
      </c>
      <c r="BV82" s="28" t="str">
        <f>IFERROR(VLOOKUP(BT82,Horarios!$H:$I,2,0),"")</f>
        <v/>
      </c>
      <c r="BW82" s="28" t="str">
        <f t="shared" si="60"/>
        <v>00:00</v>
      </c>
      <c r="BX82" s="29"/>
      <c r="BY82" s="27"/>
      <c r="BZ82" s="27"/>
      <c r="CA82" s="28" t="str">
        <f>IFERROR(VLOOKUP(BY82,Horarios!$H:$I,2,0),"")</f>
        <v/>
      </c>
      <c r="CB82" s="28" t="str">
        <f>IFERROR(VLOOKUP(BZ82,Horarios!$H:$I,2,0),"")</f>
        <v/>
      </c>
      <c r="CC82" s="28" t="str">
        <f t="shared" si="61"/>
        <v>00:00</v>
      </c>
      <c r="CD82" s="29"/>
      <c r="CE82" s="27"/>
      <c r="CF82" s="27"/>
      <c r="CG82" s="28" t="str">
        <f>IFERROR(VLOOKUP(CE82,Horarios!$H:$I,2,0),"")</f>
        <v/>
      </c>
      <c r="CH82" s="28" t="str">
        <f>IFERROR(VLOOKUP(CF82,Horarios!$H:$I,2,0),"")</f>
        <v/>
      </c>
      <c r="CI82" s="28" t="str">
        <f t="shared" si="62"/>
        <v>00:00</v>
      </c>
      <c r="CJ82" s="29"/>
      <c r="CK82" s="31" t="str">
        <f t="shared" si="63"/>
        <v/>
      </c>
      <c r="CL82" s="27"/>
      <c r="CM82" s="27"/>
      <c r="CN82" s="28" t="str">
        <f>IFERROR(VLOOKUP(CL82,Horarios!$H:$I,2,0),"")</f>
        <v/>
      </c>
      <c r="CO82" s="28" t="str">
        <f>IFERROR(VLOOKUP(CM82,Horarios!$H:$I,2,0),"")</f>
        <v/>
      </c>
      <c r="CP82" s="28" t="str">
        <f t="shared" si="64"/>
        <v>00:00</v>
      </c>
      <c r="CQ82" s="29"/>
      <c r="CR82" s="27"/>
      <c r="CS82" s="27"/>
      <c r="CT82" s="28" t="str">
        <f>IFERROR(VLOOKUP(CR82,Horarios!$H:$I,2,0),"")</f>
        <v/>
      </c>
      <c r="CU82" s="28" t="str">
        <f>IFERROR(VLOOKUP(CS82,Horarios!$H:$I,2,0),"")</f>
        <v/>
      </c>
      <c r="CV82" s="28" t="str">
        <f t="shared" si="65"/>
        <v>00:00</v>
      </c>
      <c r="CW82" s="29"/>
      <c r="CX82" s="27"/>
      <c r="CY82" s="27"/>
      <c r="CZ82" s="28" t="str">
        <f>IFERROR(VLOOKUP(CX82,Horarios!$H:$I,2,0),"")</f>
        <v/>
      </c>
      <c r="DA82" s="28" t="str">
        <f>IFERROR(VLOOKUP(CY82,Horarios!$H:$I,2,0),"")</f>
        <v/>
      </c>
      <c r="DB82" s="28" t="str">
        <f t="shared" si="66"/>
        <v>00:00</v>
      </c>
      <c r="DC82" s="29"/>
      <c r="DD82" s="27"/>
      <c r="DE82" s="27"/>
      <c r="DF82" s="28" t="str">
        <f>IFERROR(VLOOKUP(DD82,Horarios!$H:$I,2,0),"")</f>
        <v/>
      </c>
      <c r="DG82" s="28" t="str">
        <f>IFERROR(VLOOKUP(DE82,Horarios!$H:$I,2,0),"")</f>
        <v/>
      </c>
      <c r="DH82" s="28" t="str">
        <f t="shared" si="67"/>
        <v>00:00</v>
      </c>
      <c r="DI82" s="29"/>
      <c r="DJ82" s="27"/>
      <c r="DK82" s="27"/>
      <c r="DL82" s="28" t="str">
        <f>IFERROR(VLOOKUP(DJ82,Horarios!$H:$I,2,0),"")</f>
        <v/>
      </c>
      <c r="DM82" s="28" t="str">
        <f>IFERROR(VLOOKUP(DK82,Horarios!$H:$I,2,0),"")</f>
        <v/>
      </c>
      <c r="DN82" s="28" t="str">
        <f t="shared" si="68"/>
        <v>00:00</v>
      </c>
      <c r="DO82" s="29"/>
      <c r="DP82" s="27"/>
      <c r="DQ82" s="27"/>
      <c r="DR82" s="28" t="str">
        <f>IFERROR(VLOOKUP(DP82,Horarios!$H:$I,2,0),"")</f>
        <v/>
      </c>
      <c r="DS82" s="28" t="str">
        <f>IFERROR(VLOOKUP(DQ82,Horarios!$H:$I,2,0),"")</f>
        <v/>
      </c>
      <c r="DT82" s="28" t="str">
        <f t="shared" si="69"/>
        <v>00:00</v>
      </c>
      <c r="DU82" s="29"/>
      <c r="DV82" s="27"/>
      <c r="DW82" s="27"/>
      <c r="DX82" s="28" t="str">
        <f>IFERROR(VLOOKUP(DV82,Horarios!$H:$I,2,0),"")</f>
        <v/>
      </c>
      <c r="DY82" s="28" t="str">
        <f>IFERROR(VLOOKUP(DW82,Horarios!$H:$I,2,0),"")</f>
        <v/>
      </c>
      <c r="DZ82" s="28" t="str">
        <f t="shared" si="70"/>
        <v>00:00</v>
      </c>
      <c r="EA82" s="29"/>
      <c r="EB82" s="31" t="str">
        <f t="shared" si="71"/>
        <v/>
      </c>
      <c r="EC82" s="27"/>
      <c r="ED82" s="27"/>
      <c r="EE82" s="28" t="str">
        <f>IFERROR(VLOOKUP(EC82,Horarios!$H:$I,2,0),"")</f>
        <v/>
      </c>
      <c r="EF82" s="28" t="str">
        <f>IFERROR(VLOOKUP(ED82,Horarios!$H:$I,2,0),"")</f>
        <v/>
      </c>
      <c r="EG82" s="28" t="str">
        <f t="shared" si="72"/>
        <v>00:00</v>
      </c>
      <c r="EH82" s="29"/>
      <c r="EI82" s="27"/>
      <c r="EJ82" s="27"/>
      <c r="EK82" s="28" t="str">
        <f>IFERROR(VLOOKUP(EI82,Horarios!$H:$I,2,0),"")</f>
        <v/>
      </c>
      <c r="EL82" s="28" t="str">
        <f>IFERROR(VLOOKUP(EJ82,Horarios!$H:$I,2,0),"")</f>
        <v/>
      </c>
      <c r="EM82" s="28" t="str">
        <f t="shared" si="73"/>
        <v>00:00</v>
      </c>
      <c r="EN82" s="29"/>
      <c r="EO82" s="27"/>
      <c r="EP82" s="27"/>
      <c r="EQ82" s="28" t="str">
        <f>IFERROR(VLOOKUP(EO82,Horarios!$H:$I,2,0),"")</f>
        <v/>
      </c>
      <c r="ER82" s="28" t="str">
        <f>IFERROR(VLOOKUP(EP82,Horarios!$H:$I,2,0),"")</f>
        <v/>
      </c>
      <c r="ES82" s="28" t="str">
        <f t="shared" si="74"/>
        <v>00:00</v>
      </c>
      <c r="ET82" s="29"/>
      <c r="EU82" s="27"/>
      <c r="EV82" s="27"/>
      <c r="EW82" s="28" t="str">
        <f>IFERROR(VLOOKUP(EU82,Horarios!$H:$I,2,0),"")</f>
        <v/>
      </c>
      <c r="EX82" s="28" t="str">
        <f>IFERROR(VLOOKUP(EV82,Horarios!$H:$I,2,0),"")</f>
        <v/>
      </c>
      <c r="EY82" s="28" t="str">
        <f t="shared" si="75"/>
        <v>00:00</v>
      </c>
      <c r="EZ82" s="29"/>
      <c r="FA82" s="27"/>
      <c r="FB82" s="27"/>
      <c r="FC82" s="28" t="str">
        <f>IFERROR(VLOOKUP(FA82,Horarios!$H:$I,2,0),"")</f>
        <v/>
      </c>
      <c r="FD82" s="28" t="str">
        <f>IFERROR(VLOOKUP(FB82,Horarios!$H:$I,2,0),"")</f>
        <v/>
      </c>
      <c r="FE82" s="28" t="str">
        <f t="shared" si="76"/>
        <v>00:00</v>
      </c>
      <c r="FF82" s="29"/>
      <c r="FG82" s="27"/>
      <c r="FH82" s="27"/>
      <c r="FI82" s="28" t="str">
        <f>IFERROR(VLOOKUP(FG82,Horarios!$H:$I,2,0),"")</f>
        <v/>
      </c>
      <c r="FJ82" s="28" t="str">
        <f>IFERROR(VLOOKUP(FH82,Horarios!$H:$I,2,0),"")</f>
        <v/>
      </c>
      <c r="FK82" s="28" t="str">
        <f t="shared" si="77"/>
        <v>00:00</v>
      </c>
      <c r="FL82" s="29"/>
      <c r="FM82" s="27"/>
      <c r="FN82" s="27"/>
      <c r="FO82" s="28" t="str">
        <f>IFERROR(VLOOKUP(FM82,Horarios!$H:$I,2,0),"")</f>
        <v/>
      </c>
      <c r="FP82" s="28" t="str">
        <f>IFERROR(VLOOKUP(FN82,Horarios!$H:$I,2,0),"")</f>
        <v/>
      </c>
      <c r="FQ82" s="28" t="str">
        <f t="shared" si="78"/>
        <v>00:00</v>
      </c>
      <c r="FR82" s="29"/>
      <c r="FS82" s="31" t="str">
        <f t="shared" si="79"/>
        <v/>
      </c>
      <c r="FT82" s="27"/>
      <c r="FU82" s="27"/>
      <c r="FV82" s="28" t="str">
        <f>IFERROR(VLOOKUP(FT82,Horarios!$H:$I,2,0),"")</f>
        <v/>
      </c>
      <c r="FW82" s="28" t="str">
        <f>IFERROR(VLOOKUP(FU82,Horarios!$H:$I,2,0),"")</f>
        <v/>
      </c>
      <c r="FX82" s="28" t="str">
        <f t="shared" si="80"/>
        <v>00:00</v>
      </c>
      <c r="FY82" s="29"/>
      <c r="FZ82" s="27"/>
      <c r="GA82" s="27"/>
      <c r="GB82" s="28" t="str">
        <f>IFERROR(VLOOKUP(FZ82,Horarios!$H:$I,2,0),"")</f>
        <v/>
      </c>
      <c r="GC82" s="28" t="str">
        <f>IFERROR(VLOOKUP(GA82,Horarios!$H:$I,2,0),"")</f>
        <v/>
      </c>
      <c r="GD82" s="28" t="str">
        <f t="shared" si="81"/>
        <v>00:00</v>
      </c>
      <c r="GE82" s="29"/>
      <c r="GF82" s="27"/>
      <c r="GG82" s="27"/>
      <c r="GH82" s="28" t="str">
        <f>IFERROR(VLOOKUP(GF82,Horarios!$H:$I,2,0),"")</f>
        <v/>
      </c>
      <c r="GI82" s="28" t="str">
        <f>IFERROR(VLOOKUP(GG82,Horarios!$H:$I,2,0),"")</f>
        <v/>
      </c>
      <c r="GJ82" s="28" t="str">
        <f t="shared" si="82"/>
        <v>00:00</v>
      </c>
      <c r="GK82" s="29"/>
      <c r="GL82" s="27"/>
      <c r="GM82" s="27"/>
      <c r="GN82" s="28" t="str">
        <f>IFERROR(VLOOKUP(GL82,Horarios!$H:$I,2,0),"")</f>
        <v/>
      </c>
      <c r="GO82" s="28" t="str">
        <f>IFERROR(VLOOKUP(GM82,Horarios!$H:$I,2,0),"")</f>
        <v/>
      </c>
      <c r="GP82" s="28" t="str">
        <f t="shared" si="83"/>
        <v>00:00</v>
      </c>
      <c r="GQ82" s="29"/>
      <c r="GR82" s="27"/>
      <c r="GS82" s="27"/>
      <c r="GT82" s="28" t="str">
        <f>IFERROR(VLOOKUP(GR82,Horarios!$H:$I,2,0),"")</f>
        <v/>
      </c>
      <c r="GU82" s="28" t="str">
        <f>IFERROR(VLOOKUP(GS82,Horarios!$H:$I,2,0),"")</f>
        <v/>
      </c>
      <c r="GV82" s="28" t="str">
        <f t="shared" si="84"/>
        <v>00:00</v>
      </c>
      <c r="GW82" s="29"/>
      <c r="GX82" s="27"/>
      <c r="GY82" s="27"/>
      <c r="GZ82" s="28" t="str">
        <f>IFERROR(VLOOKUP(GX82,Horarios!$H:$I,2,0),"")</f>
        <v/>
      </c>
      <c r="HA82" s="28" t="str">
        <f>IFERROR(VLOOKUP(GY82,Horarios!$H:$I,2,0),"")</f>
        <v/>
      </c>
      <c r="HB82" s="28" t="str">
        <f t="shared" si="85"/>
        <v>00:00</v>
      </c>
      <c r="HC82" s="29"/>
      <c r="HD82" s="27"/>
      <c r="HE82" s="27"/>
      <c r="HF82" s="28" t="str">
        <f>IFERROR(VLOOKUP(HD82,Horarios!$H:$I,2,0),"")</f>
        <v/>
      </c>
      <c r="HG82" s="28" t="str">
        <f>IFERROR(VLOOKUP(HE82,Horarios!$H:$I,2,0),"")</f>
        <v/>
      </c>
      <c r="HH82" s="28" t="str">
        <f t="shared" si="86"/>
        <v>00:00</v>
      </c>
      <c r="HI82" s="29"/>
      <c r="HJ82" s="31" t="str">
        <f t="shared" si="87"/>
        <v/>
      </c>
      <c r="HK82" s="27"/>
      <c r="HL82" s="27"/>
      <c r="HM82" s="28" t="str">
        <f>IFERROR(VLOOKUP(HK82,Horarios!$H:$I,2,0),"")</f>
        <v/>
      </c>
      <c r="HN82" s="28" t="str">
        <f>IFERROR(VLOOKUP(HL82,Horarios!$H:$I,2,0),"")</f>
        <v/>
      </c>
      <c r="HO82" s="28" t="str">
        <f t="shared" si="88"/>
        <v>00:00</v>
      </c>
      <c r="HP82" s="29"/>
      <c r="HQ82" s="27"/>
      <c r="HR82" s="27"/>
      <c r="HS82" s="28" t="str">
        <f>IFERROR(VLOOKUP(HQ82,Horarios!$H:$I,2,0),"")</f>
        <v/>
      </c>
      <c r="HT82" s="28" t="str">
        <f>IFERROR(VLOOKUP(HR82,Horarios!$H:$I,2,0),"")</f>
        <v/>
      </c>
      <c r="HU82" s="28" t="str">
        <f t="shared" si="89"/>
        <v>00:00</v>
      </c>
      <c r="HV82" s="29"/>
      <c r="HW82" s="27"/>
      <c r="HX82" s="27"/>
      <c r="HY82" s="28" t="str">
        <f>IFERROR(VLOOKUP(HW82,Horarios!$H:$I,2,0),"")</f>
        <v/>
      </c>
      <c r="HZ82" s="28" t="str">
        <f>IFERROR(VLOOKUP(HX82,Horarios!$H:$I,2,0),"")</f>
        <v/>
      </c>
      <c r="IA82" s="28" t="str">
        <f t="shared" si="90"/>
        <v>00:00</v>
      </c>
      <c r="IB82" s="29"/>
      <c r="IC82" s="27"/>
      <c r="ID82" s="27"/>
      <c r="IE82" s="28" t="str">
        <f>IFERROR(VLOOKUP(IC82,Horarios!$H:$I,2,0),"")</f>
        <v/>
      </c>
      <c r="IF82" s="28" t="str">
        <f>IFERROR(VLOOKUP(ID82,Horarios!$H:$I,2,0),"")</f>
        <v/>
      </c>
      <c r="IG82" s="28" t="str">
        <f t="shared" si="91"/>
        <v>00:00</v>
      </c>
      <c r="IH82" s="29"/>
      <c r="II82" s="27"/>
      <c r="IJ82" s="27"/>
      <c r="IK82" s="28" t="str">
        <f>IFERROR(VLOOKUP(II82,Horarios!$H:$I,2,0),"")</f>
        <v/>
      </c>
      <c r="IL82" s="28" t="str">
        <f>IFERROR(VLOOKUP(IJ82,Horarios!$H:$I,2,0),"")</f>
        <v/>
      </c>
      <c r="IM82" s="28" t="str">
        <f t="shared" si="92"/>
        <v>00:00</v>
      </c>
      <c r="IN82" s="29"/>
      <c r="IO82" s="27"/>
      <c r="IP82" s="27"/>
      <c r="IQ82" s="28" t="str">
        <f>IFERROR(VLOOKUP(IO82,Horarios!$H:$I,2,0),"")</f>
        <v/>
      </c>
      <c r="IR82" s="28" t="str">
        <f>IFERROR(VLOOKUP(IP82,Horarios!$H:$I,2,0),"")</f>
        <v/>
      </c>
      <c r="IS82" s="28" t="str">
        <f t="shared" si="93"/>
        <v>00:00</v>
      </c>
      <c r="IT82" s="29"/>
      <c r="IU82" s="27"/>
      <c r="IV82" s="27"/>
      <c r="IW82" s="28" t="str">
        <f>IFERROR(VLOOKUP(IU82,Horarios!$H:$I,2,0),"")</f>
        <v/>
      </c>
      <c r="IX82" s="28" t="str">
        <f>IFERROR(VLOOKUP(IV82,Horarios!$H:$I,2,0),"")</f>
        <v/>
      </c>
      <c r="IY82" s="28" t="str">
        <f t="shared" si="94"/>
        <v>00:00</v>
      </c>
      <c r="IZ82" s="29"/>
      <c r="JA82" s="31" t="str">
        <f t="shared" si="95"/>
        <v/>
      </c>
    </row>
    <row r="83" spans="1:261" s="24" customFormat="1" ht="17.399999999999999" x14ac:dyDescent="0.25">
      <c r="A83" s="25"/>
      <c r="B83" s="26" t="str">
        <f>IFERROR(VLOOKUP(A83,BaseNombres!A:B,2,0),"")</f>
        <v/>
      </c>
      <c r="C83" s="26" t="str">
        <f>IFERROR(VLOOKUP(A83,BaseNombres!A:C,3,0),"")</f>
        <v/>
      </c>
      <c r="D83" s="27"/>
      <c r="E83" s="27"/>
      <c r="F83" s="28" t="str">
        <f>IFERROR(VLOOKUP(D83,Horarios!$H:$I,2,0),"")</f>
        <v/>
      </c>
      <c r="G83" s="28" t="str">
        <f>IFERROR(VLOOKUP(E83,Horarios!$H:$I,2,0),"")</f>
        <v/>
      </c>
      <c r="H83" s="28" t="str">
        <f t="shared" si="48"/>
        <v>00:00</v>
      </c>
      <c r="I83" s="29"/>
      <c r="J83" s="27"/>
      <c r="K83" s="27"/>
      <c r="L83" s="28" t="str">
        <f>IFERROR(VLOOKUP(J83,Horarios!$H:$I,2,0),"")</f>
        <v/>
      </c>
      <c r="M83" s="28" t="str">
        <f>IFERROR(VLOOKUP(K83,Horarios!$H:$I,2,0),"")</f>
        <v/>
      </c>
      <c r="N83" s="28" t="str">
        <f t="shared" si="49"/>
        <v>00:00</v>
      </c>
      <c r="O83" s="29"/>
      <c r="P83" s="27"/>
      <c r="Q83" s="27"/>
      <c r="R83" s="28" t="str">
        <f>IFERROR(VLOOKUP(P83,Horarios!$H:$I,2,0),"")</f>
        <v/>
      </c>
      <c r="S83" s="28" t="str">
        <f>IFERROR(VLOOKUP(Q83,Horarios!$H:$I,2,0),"")</f>
        <v/>
      </c>
      <c r="T83" s="28" t="str">
        <f t="shared" si="50"/>
        <v>00:00</v>
      </c>
      <c r="U83" s="29"/>
      <c r="V83" s="27"/>
      <c r="W83" s="27"/>
      <c r="X83" s="28" t="str">
        <f>IFERROR(VLOOKUP(V83,Horarios!$H:$I,2,0),"")</f>
        <v/>
      </c>
      <c r="Y83" s="28" t="str">
        <f>IFERROR(VLOOKUP(W83,Horarios!$H:$I,2,0),"")</f>
        <v/>
      </c>
      <c r="Z83" s="28" t="str">
        <f t="shared" si="51"/>
        <v>00:00</v>
      </c>
      <c r="AA83" s="29"/>
      <c r="AB83" s="27"/>
      <c r="AC83" s="27"/>
      <c r="AD83" s="28" t="str">
        <f>IFERROR(VLOOKUP(AB83,Horarios!$H:$I,2,0),"")</f>
        <v/>
      </c>
      <c r="AE83" s="28" t="str">
        <f>IFERROR(VLOOKUP(AC83,Horarios!$H:$I,2,0),"")</f>
        <v/>
      </c>
      <c r="AF83" s="28" t="str">
        <f t="shared" si="52"/>
        <v>00:00</v>
      </c>
      <c r="AG83" s="29"/>
      <c r="AH83" s="27"/>
      <c r="AI83" s="27"/>
      <c r="AJ83" s="28" t="str">
        <f>IFERROR(VLOOKUP(AH83,Horarios!$H:$I,2,0),"")</f>
        <v/>
      </c>
      <c r="AK83" s="28" t="str">
        <f>IFERROR(VLOOKUP(AI83,Horarios!$H:$I,2,0),"")</f>
        <v/>
      </c>
      <c r="AL83" s="28" t="str">
        <f t="shared" si="53"/>
        <v>00:00</v>
      </c>
      <c r="AM83" s="29"/>
      <c r="AN83" s="27"/>
      <c r="AO83" s="27"/>
      <c r="AP83" s="28" t="str">
        <f>IFERROR(VLOOKUP(AN83,Horarios!$H:$I,2,0),"")</f>
        <v/>
      </c>
      <c r="AQ83" s="28" t="str">
        <f>IFERROR(VLOOKUP(AO83,Horarios!$H:$I,2,0),"")</f>
        <v/>
      </c>
      <c r="AR83" s="28" t="str">
        <f t="shared" si="54"/>
        <v>00:00</v>
      </c>
      <c r="AS83" s="29"/>
      <c r="AT83" s="31" t="str">
        <f t="shared" si="55"/>
        <v/>
      </c>
      <c r="AU83" s="27"/>
      <c r="AV83" s="27"/>
      <c r="AW83" s="28" t="str">
        <f>IFERROR(VLOOKUP(AU83,Horarios!$H:$I,2,0),"")</f>
        <v/>
      </c>
      <c r="AX83" s="28" t="str">
        <f>IFERROR(VLOOKUP(AV83,Horarios!$H:$I,2,0),"")</f>
        <v/>
      </c>
      <c r="AY83" s="28" t="str">
        <f t="shared" si="56"/>
        <v>00:00</v>
      </c>
      <c r="AZ83" s="29"/>
      <c r="BA83" s="27"/>
      <c r="BB83" s="27"/>
      <c r="BC83" s="28" t="str">
        <f>IFERROR(VLOOKUP(BA83,Horarios!$H:$I,2,0),"")</f>
        <v/>
      </c>
      <c r="BD83" s="28" t="str">
        <f>IFERROR(VLOOKUP(BB83,Horarios!$H:$I,2,0),"")</f>
        <v/>
      </c>
      <c r="BE83" s="28" t="str">
        <f t="shared" si="57"/>
        <v>00:00</v>
      </c>
      <c r="BF83" s="29"/>
      <c r="BG83" s="27"/>
      <c r="BH83" s="27"/>
      <c r="BI83" s="28" t="str">
        <f>IFERROR(VLOOKUP(BG83,Horarios!$H:$I,2,0),"")</f>
        <v/>
      </c>
      <c r="BJ83" s="28" t="str">
        <f>IFERROR(VLOOKUP(BH83,Horarios!$H:$I,2,0),"")</f>
        <v/>
      </c>
      <c r="BK83" s="28" t="str">
        <f t="shared" si="58"/>
        <v>00:00</v>
      </c>
      <c r="BL83" s="29"/>
      <c r="BM83" s="27"/>
      <c r="BN83" s="27"/>
      <c r="BO83" s="28" t="str">
        <f>IFERROR(VLOOKUP(BM83,Horarios!$H:$I,2,0),"")</f>
        <v/>
      </c>
      <c r="BP83" s="28" t="str">
        <f>IFERROR(VLOOKUP(BN83,Horarios!$H:$I,2,0),"")</f>
        <v/>
      </c>
      <c r="BQ83" s="28" t="str">
        <f t="shared" si="59"/>
        <v>00:00</v>
      </c>
      <c r="BR83" s="29"/>
      <c r="BS83" s="27"/>
      <c r="BT83" s="27"/>
      <c r="BU83" s="28" t="str">
        <f>IFERROR(VLOOKUP(BS83,Horarios!$H:$I,2,0),"")</f>
        <v/>
      </c>
      <c r="BV83" s="28" t="str">
        <f>IFERROR(VLOOKUP(BT83,Horarios!$H:$I,2,0),"")</f>
        <v/>
      </c>
      <c r="BW83" s="28" t="str">
        <f t="shared" si="60"/>
        <v>00:00</v>
      </c>
      <c r="BX83" s="29"/>
      <c r="BY83" s="27"/>
      <c r="BZ83" s="27"/>
      <c r="CA83" s="28" t="str">
        <f>IFERROR(VLOOKUP(BY83,Horarios!$H:$I,2,0),"")</f>
        <v/>
      </c>
      <c r="CB83" s="28" t="str">
        <f>IFERROR(VLOOKUP(BZ83,Horarios!$H:$I,2,0),"")</f>
        <v/>
      </c>
      <c r="CC83" s="28" t="str">
        <f t="shared" si="61"/>
        <v>00:00</v>
      </c>
      <c r="CD83" s="29"/>
      <c r="CE83" s="27"/>
      <c r="CF83" s="27"/>
      <c r="CG83" s="28" t="str">
        <f>IFERROR(VLOOKUP(CE83,Horarios!$H:$I,2,0),"")</f>
        <v/>
      </c>
      <c r="CH83" s="28" t="str">
        <f>IFERROR(VLOOKUP(CF83,Horarios!$H:$I,2,0),"")</f>
        <v/>
      </c>
      <c r="CI83" s="28" t="str">
        <f t="shared" si="62"/>
        <v>00:00</v>
      </c>
      <c r="CJ83" s="29"/>
      <c r="CK83" s="31" t="str">
        <f t="shared" si="63"/>
        <v/>
      </c>
      <c r="CL83" s="27"/>
      <c r="CM83" s="27"/>
      <c r="CN83" s="28" t="str">
        <f>IFERROR(VLOOKUP(CL83,Horarios!$H:$I,2,0),"")</f>
        <v/>
      </c>
      <c r="CO83" s="28" t="str">
        <f>IFERROR(VLOOKUP(CM83,Horarios!$H:$I,2,0),"")</f>
        <v/>
      </c>
      <c r="CP83" s="28" t="str">
        <f t="shared" si="64"/>
        <v>00:00</v>
      </c>
      <c r="CQ83" s="29"/>
      <c r="CR83" s="27"/>
      <c r="CS83" s="27"/>
      <c r="CT83" s="28" t="str">
        <f>IFERROR(VLOOKUP(CR83,Horarios!$H:$I,2,0),"")</f>
        <v/>
      </c>
      <c r="CU83" s="28" t="str">
        <f>IFERROR(VLOOKUP(CS83,Horarios!$H:$I,2,0),"")</f>
        <v/>
      </c>
      <c r="CV83" s="28" t="str">
        <f t="shared" si="65"/>
        <v>00:00</v>
      </c>
      <c r="CW83" s="29"/>
      <c r="CX83" s="27"/>
      <c r="CY83" s="27"/>
      <c r="CZ83" s="28" t="str">
        <f>IFERROR(VLOOKUP(CX83,Horarios!$H:$I,2,0),"")</f>
        <v/>
      </c>
      <c r="DA83" s="28" t="str">
        <f>IFERROR(VLOOKUP(CY83,Horarios!$H:$I,2,0),"")</f>
        <v/>
      </c>
      <c r="DB83" s="28" t="str">
        <f t="shared" si="66"/>
        <v>00:00</v>
      </c>
      <c r="DC83" s="29"/>
      <c r="DD83" s="27"/>
      <c r="DE83" s="27"/>
      <c r="DF83" s="28" t="str">
        <f>IFERROR(VLOOKUP(DD83,Horarios!$H:$I,2,0),"")</f>
        <v/>
      </c>
      <c r="DG83" s="28" t="str">
        <f>IFERROR(VLOOKUP(DE83,Horarios!$H:$I,2,0),"")</f>
        <v/>
      </c>
      <c r="DH83" s="28" t="str">
        <f t="shared" si="67"/>
        <v>00:00</v>
      </c>
      <c r="DI83" s="29"/>
      <c r="DJ83" s="27"/>
      <c r="DK83" s="27"/>
      <c r="DL83" s="28" t="str">
        <f>IFERROR(VLOOKUP(DJ83,Horarios!$H:$I,2,0),"")</f>
        <v/>
      </c>
      <c r="DM83" s="28" t="str">
        <f>IFERROR(VLOOKUP(DK83,Horarios!$H:$I,2,0),"")</f>
        <v/>
      </c>
      <c r="DN83" s="28" t="str">
        <f t="shared" si="68"/>
        <v>00:00</v>
      </c>
      <c r="DO83" s="29"/>
      <c r="DP83" s="27"/>
      <c r="DQ83" s="27"/>
      <c r="DR83" s="28" t="str">
        <f>IFERROR(VLOOKUP(DP83,Horarios!$H:$I,2,0),"")</f>
        <v/>
      </c>
      <c r="DS83" s="28" t="str">
        <f>IFERROR(VLOOKUP(DQ83,Horarios!$H:$I,2,0),"")</f>
        <v/>
      </c>
      <c r="DT83" s="28" t="str">
        <f t="shared" si="69"/>
        <v>00:00</v>
      </c>
      <c r="DU83" s="29"/>
      <c r="DV83" s="27"/>
      <c r="DW83" s="27"/>
      <c r="DX83" s="28" t="str">
        <f>IFERROR(VLOOKUP(DV83,Horarios!$H:$I,2,0),"")</f>
        <v/>
      </c>
      <c r="DY83" s="28" t="str">
        <f>IFERROR(VLOOKUP(DW83,Horarios!$H:$I,2,0),"")</f>
        <v/>
      </c>
      <c r="DZ83" s="28" t="str">
        <f t="shared" si="70"/>
        <v>00:00</v>
      </c>
      <c r="EA83" s="29"/>
      <c r="EB83" s="31" t="str">
        <f t="shared" si="71"/>
        <v/>
      </c>
      <c r="EC83" s="27"/>
      <c r="ED83" s="27"/>
      <c r="EE83" s="28" t="str">
        <f>IFERROR(VLOOKUP(EC83,Horarios!$H:$I,2,0),"")</f>
        <v/>
      </c>
      <c r="EF83" s="28" t="str">
        <f>IFERROR(VLOOKUP(ED83,Horarios!$H:$I,2,0),"")</f>
        <v/>
      </c>
      <c r="EG83" s="28" t="str">
        <f t="shared" si="72"/>
        <v>00:00</v>
      </c>
      <c r="EH83" s="29"/>
      <c r="EI83" s="27"/>
      <c r="EJ83" s="27"/>
      <c r="EK83" s="28" t="str">
        <f>IFERROR(VLOOKUP(EI83,Horarios!$H:$I,2,0),"")</f>
        <v/>
      </c>
      <c r="EL83" s="28" t="str">
        <f>IFERROR(VLOOKUP(EJ83,Horarios!$H:$I,2,0),"")</f>
        <v/>
      </c>
      <c r="EM83" s="28" t="str">
        <f t="shared" si="73"/>
        <v>00:00</v>
      </c>
      <c r="EN83" s="29"/>
      <c r="EO83" s="27"/>
      <c r="EP83" s="27"/>
      <c r="EQ83" s="28" t="str">
        <f>IFERROR(VLOOKUP(EO83,Horarios!$H:$I,2,0),"")</f>
        <v/>
      </c>
      <c r="ER83" s="28" t="str">
        <f>IFERROR(VLOOKUP(EP83,Horarios!$H:$I,2,0),"")</f>
        <v/>
      </c>
      <c r="ES83" s="28" t="str">
        <f t="shared" si="74"/>
        <v>00:00</v>
      </c>
      <c r="ET83" s="29"/>
      <c r="EU83" s="27"/>
      <c r="EV83" s="27"/>
      <c r="EW83" s="28" t="str">
        <f>IFERROR(VLOOKUP(EU83,Horarios!$H:$I,2,0),"")</f>
        <v/>
      </c>
      <c r="EX83" s="28" t="str">
        <f>IFERROR(VLOOKUP(EV83,Horarios!$H:$I,2,0),"")</f>
        <v/>
      </c>
      <c r="EY83" s="28" t="str">
        <f t="shared" si="75"/>
        <v>00:00</v>
      </c>
      <c r="EZ83" s="29"/>
      <c r="FA83" s="27"/>
      <c r="FB83" s="27"/>
      <c r="FC83" s="28" t="str">
        <f>IFERROR(VLOOKUP(FA83,Horarios!$H:$I,2,0),"")</f>
        <v/>
      </c>
      <c r="FD83" s="28" t="str">
        <f>IFERROR(VLOOKUP(FB83,Horarios!$H:$I,2,0),"")</f>
        <v/>
      </c>
      <c r="FE83" s="28" t="str">
        <f t="shared" si="76"/>
        <v>00:00</v>
      </c>
      <c r="FF83" s="29"/>
      <c r="FG83" s="27"/>
      <c r="FH83" s="27"/>
      <c r="FI83" s="28" t="str">
        <f>IFERROR(VLOOKUP(FG83,Horarios!$H:$I,2,0),"")</f>
        <v/>
      </c>
      <c r="FJ83" s="28" t="str">
        <f>IFERROR(VLOOKUP(FH83,Horarios!$H:$I,2,0),"")</f>
        <v/>
      </c>
      <c r="FK83" s="28" t="str">
        <f t="shared" si="77"/>
        <v>00:00</v>
      </c>
      <c r="FL83" s="29"/>
      <c r="FM83" s="27"/>
      <c r="FN83" s="27"/>
      <c r="FO83" s="28" t="str">
        <f>IFERROR(VLOOKUP(FM83,Horarios!$H:$I,2,0),"")</f>
        <v/>
      </c>
      <c r="FP83" s="28" t="str">
        <f>IFERROR(VLOOKUP(FN83,Horarios!$H:$I,2,0),"")</f>
        <v/>
      </c>
      <c r="FQ83" s="28" t="str">
        <f t="shared" si="78"/>
        <v>00:00</v>
      </c>
      <c r="FR83" s="29"/>
      <c r="FS83" s="31" t="str">
        <f t="shared" si="79"/>
        <v/>
      </c>
      <c r="FT83" s="27"/>
      <c r="FU83" s="27"/>
      <c r="FV83" s="28" t="str">
        <f>IFERROR(VLOOKUP(FT83,Horarios!$H:$I,2,0),"")</f>
        <v/>
      </c>
      <c r="FW83" s="28" t="str">
        <f>IFERROR(VLOOKUP(FU83,Horarios!$H:$I,2,0),"")</f>
        <v/>
      </c>
      <c r="FX83" s="28" t="str">
        <f t="shared" si="80"/>
        <v>00:00</v>
      </c>
      <c r="FY83" s="29"/>
      <c r="FZ83" s="27"/>
      <c r="GA83" s="27"/>
      <c r="GB83" s="28" t="str">
        <f>IFERROR(VLOOKUP(FZ83,Horarios!$H:$I,2,0),"")</f>
        <v/>
      </c>
      <c r="GC83" s="28" t="str">
        <f>IFERROR(VLOOKUP(GA83,Horarios!$H:$I,2,0),"")</f>
        <v/>
      </c>
      <c r="GD83" s="28" t="str">
        <f t="shared" si="81"/>
        <v>00:00</v>
      </c>
      <c r="GE83" s="29"/>
      <c r="GF83" s="27"/>
      <c r="GG83" s="27"/>
      <c r="GH83" s="28" t="str">
        <f>IFERROR(VLOOKUP(GF83,Horarios!$H:$I,2,0),"")</f>
        <v/>
      </c>
      <c r="GI83" s="28" t="str">
        <f>IFERROR(VLOOKUP(GG83,Horarios!$H:$I,2,0),"")</f>
        <v/>
      </c>
      <c r="GJ83" s="28" t="str">
        <f t="shared" si="82"/>
        <v>00:00</v>
      </c>
      <c r="GK83" s="29"/>
      <c r="GL83" s="27"/>
      <c r="GM83" s="27"/>
      <c r="GN83" s="28" t="str">
        <f>IFERROR(VLOOKUP(GL83,Horarios!$H:$I,2,0),"")</f>
        <v/>
      </c>
      <c r="GO83" s="28" t="str">
        <f>IFERROR(VLOOKUP(GM83,Horarios!$H:$I,2,0),"")</f>
        <v/>
      </c>
      <c r="GP83" s="28" t="str">
        <f t="shared" si="83"/>
        <v>00:00</v>
      </c>
      <c r="GQ83" s="29"/>
      <c r="GR83" s="27"/>
      <c r="GS83" s="27"/>
      <c r="GT83" s="28" t="str">
        <f>IFERROR(VLOOKUP(GR83,Horarios!$H:$I,2,0),"")</f>
        <v/>
      </c>
      <c r="GU83" s="28" t="str">
        <f>IFERROR(VLOOKUP(GS83,Horarios!$H:$I,2,0),"")</f>
        <v/>
      </c>
      <c r="GV83" s="28" t="str">
        <f t="shared" si="84"/>
        <v>00:00</v>
      </c>
      <c r="GW83" s="29"/>
      <c r="GX83" s="27"/>
      <c r="GY83" s="27"/>
      <c r="GZ83" s="28" t="str">
        <f>IFERROR(VLOOKUP(GX83,Horarios!$H:$I,2,0),"")</f>
        <v/>
      </c>
      <c r="HA83" s="28" t="str">
        <f>IFERROR(VLOOKUP(GY83,Horarios!$H:$I,2,0),"")</f>
        <v/>
      </c>
      <c r="HB83" s="28" t="str">
        <f t="shared" si="85"/>
        <v>00:00</v>
      </c>
      <c r="HC83" s="29"/>
      <c r="HD83" s="27"/>
      <c r="HE83" s="27"/>
      <c r="HF83" s="28" t="str">
        <f>IFERROR(VLOOKUP(HD83,Horarios!$H:$I,2,0),"")</f>
        <v/>
      </c>
      <c r="HG83" s="28" t="str">
        <f>IFERROR(VLOOKUP(HE83,Horarios!$H:$I,2,0),"")</f>
        <v/>
      </c>
      <c r="HH83" s="28" t="str">
        <f t="shared" si="86"/>
        <v>00:00</v>
      </c>
      <c r="HI83" s="29"/>
      <c r="HJ83" s="31" t="str">
        <f t="shared" si="87"/>
        <v/>
      </c>
      <c r="HK83" s="27"/>
      <c r="HL83" s="27"/>
      <c r="HM83" s="28" t="str">
        <f>IFERROR(VLOOKUP(HK83,Horarios!$H:$I,2,0),"")</f>
        <v/>
      </c>
      <c r="HN83" s="28" t="str">
        <f>IFERROR(VLOOKUP(HL83,Horarios!$H:$I,2,0),"")</f>
        <v/>
      </c>
      <c r="HO83" s="28" t="str">
        <f t="shared" si="88"/>
        <v>00:00</v>
      </c>
      <c r="HP83" s="29"/>
      <c r="HQ83" s="27"/>
      <c r="HR83" s="27"/>
      <c r="HS83" s="28" t="str">
        <f>IFERROR(VLOOKUP(HQ83,Horarios!$H:$I,2,0),"")</f>
        <v/>
      </c>
      <c r="HT83" s="28" t="str">
        <f>IFERROR(VLOOKUP(HR83,Horarios!$H:$I,2,0),"")</f>
        <v/>
      </c>
      <c r="HU83" s="28" t="str">
        <f t="shared" si="89"/>
        <v>00:00</v>
      </c>
      <c r="HV83" s="29"/>
      <c r="HW83" s="27"/>
      <c r="HX83" s="27"/>
      <c r="HY83" s="28" t="str">
        <f>IFERROR(VLOOKUP(HW83,Horarios!$H:$I,2,0),"")</f>
        <v/>
      </c>
      <c r="HZ83" s="28" t="str">
        <f>IFERROR(VLOOKUP(HX83,Horarios!$H:$I,2,0),"")</f>
        <v/>
      </c>
      <c r="IA83" s="28" t="str">
        <f t="shared" si="90"/>
        <v>00:00</v>
      </c>
      <c r="IB83" s="29"/>
      <c r="IC83" s="27"/>
      <c r="ID83" s="27"/>
      <c r="IE83" s="28" t="str">
        <f>IFERROR(VLOOKUP(IC83,Horarios!$H:$I,2,0),"")</f>
        <v/>
      </c>
      <c r="IF83" s="28" t="str">
        <f>IFERROR(VLOOKUP(ID83,Horarios!$H:$I,2,0),"")</f>
        <v/>
      </c>
      <c r="IG83" s="28" t="str">
        <f t="shared" si="91"/>
        <v>00:00</v>
      </c>
      <c r="IH83" s="29"/>
      <c r="II83" s="27"/>
      <c r="IJ83" s="27"/>
      <c r="IK83" s="28" t="str">
        <f>IFERROR(VLOOKUP(II83,Horarios!$H:$I,2,0),"")</f>
        <v/>
      </c>
      <c r="IL83" s="28" t="str">
        <f>IFERROR(VLOOKUP(IJ83,Horarios!$H:$I,2,0),"")</f>
        <v/>
      </c>
      <c r="IM83" s="28" t="str">
        <f t="shared" si="92"/>
        <v>00:00</v>
      </c>
      <c r="IN83" s="29"/>
      <c r="IO83" s="27"/>
      <c r="IP83" s="27"/>
      <c r="IQ83" s="28" t="str">
        <f>IFERROR(VLOOKUP(IO83,Horarios!$H:$I,2,0),"")</f>
        <v/>
      </c>
      <c r="IR83" s="28" t="str">
        <f>IFERROR(VLOOKUP(IP83,Horarios!$H:$I,2,0),"")</f>
        <v/>
      </c>
      <c r="IS83" s="28" t="str">
        <f t="shared" si="93"/>
        <v>00:00</v>
      </c>
      <c r="IT83" s="29"/>
      <c r="IU83" s="27"/>
      <c r="IV83" s="27"/>
      <c r="IW83" s="28" t="str">
        <f>IFERROR(VLOOKUP(IU83,Horarios!$H:$I,2,0),"")</f>
        <v/>
      </c>
      <c r="IX83" s="28" t="str">
        <f>IFERROR(VLOOKUP(IV83,Horarios!$H:$I,2,0),"")</f>
        <v/>
      </c>
      <c r="IY83" s="28" t="str">
        <f t="shared" si="94"/>
        <v>00:00</v>
      </c>
      <c r="IZ83" s="29"/>
      <c r="JA83" s="31" t="str">
        <f t="shared" si="95"/>
        <v/>
      </c>
    </row>
    <row r="84" spans="1:261" s="24" customFormat="1" ht="17.399999999999999" x14ac:dyDescent="0.25">
      <c r="A84" s="25"/>
      <c r="B84" s="26" t="str">
        <f>IFERROR(VLOOKUP(A84,BaseNombres!A:B,2,0),"")</f>
        <v/>
      </c>
      <c r="C84" s="26" t="str">
        <f>IFERROR(VLOOKUP(A84,BaseNombres!A:C,3,0),"")</f>
        <v/>
      </c>
      <c r="D84" s="27"/>
      <c r="E84" s="27"/>
      <c r="F84" s="28" t="str">
        <f>IFERROR(VLOOKUP(D84,Horarios!$H:$I,2,0),"")</f>
        <v/>
      </c>
      <c r="G84" s="28" t="str">
        <f>IFERROR(VLOOKUP(E84,Horarios!$H:$I,2,0),"")</f>
        <v/>
      </c>
      <c r="H84" s="28" t="str">
        <f t="shared" si="48"/>
        <v>00:00</v>
      </c>
      <c r="I84" s="29"/>
      <c r="J84" s="27"/>
      <c r="K84" s="27"/>
      <c r="L84" s="28" t="str">
        <f>IFERROR(VLOOKUP(J84,Horarios!$H:$I,2,0),"")</f>
        <v/>
      </c>
      <c r="M84" s="28" t="str">
        <f>IFERROR(VLOOKUP(K84,Horarios!$H:$I,2,0),"")</f>
        <v/>
      </c>
      <c r="N84" s="28" t="str">
        <f t="shared" si="49"/>
        <v>00:00</v>
      </c>
      <c r="O84" s="29"/>
      <c r="P84" s="27"/>
      <c r="Q84" s="27"/>
      <c r="R84" s="28" t="str">
        <f>IFERROR(VLOOKUP(P84,Horarios!$H:$I,2,0),"")</f>
        <v/>
      </c>
      <c r="S84" s="28" t="str">
        <f>IFERROR(VLOOKUP(Q84,Horarios!$H:$I,2,0),"")</f>
        <v/>
      </c>
      <c r="T84" s="28" t="str">
        <f t="shared" si="50"/>
        <v>00:00</v>
      </c>
      <c r="U84" s="29"/>
      <c r="V84" s="27"/>
      <c r="W84" s="27"/>
      <c r="X84" s="28" t="str">
        <f>IFERROR(VLOOKUP(V84,Horarios!$H:$I,2,0),"")</f>
        <v/>
      </c>
      <c r="Y84" s="28" t="str">
        <f>IFERROR(VLOOKUP(W84,Horarios!$H:$I,2,0),"")</f>
        <v/>
      </c>
      <c r="Z84" s="28" t="str">
        <f t="shared" si="51"/>
        <v>00:00</v>
      </c>
      <c r="AA84" s="29"/>
      <c r="AB84" s="27"/>
      <c r="AC84" s="27"/>
      <c r="AD84" s="28" t="str">
        <f>IFERROR(VLOOKUP(AB84,Horarios!$H:$I,2,0),"")</f>
        <v/>
      </c>
      <c r="AE84" s="28" t="str">
        <f>IFERROR(VLOOKUP(AC84,Horarios!$H:$I,2,0),"")</f>
        <v/>
      </c>
      <c r="AF84" s="28" t="str">
        <f t="shared" si="52"/>
        <v>00:00</v>
      </c>
      <c r="AG84" s="29"/>
      <c r="AH84" s="27"/>
      <c r="AI84" s="27"/>
      <c r="AJ84" s="28" t="str">
        <f>IFERROR(VLOOKUP(AH84,Horarios!$H:$I,2,0),"")</f>
        <v/>
      </c>
      <c r="AK84" s="28" t="str">
        <f>IFERROR(VLOOKUP(AI84,Horarios!$H:$I,2,0),"")</f>
        <v/>
      </c>
      <c r="AL84" s="28" t="str">
        <f t="shared" si="53"/>
        <v>00:00</v>
      </c>
      <c r="AM84" s="29"/>
      <c r="AN84" s="27"/>
      <c r="AO84" s="27"/>
      <c r="AP84" s="28" t="str">
        <f>IFERROR(VLOOKUP(AN84,Horarios!$H:$I,2,0),"")</f>
        <v/>
      </c>
      <c r="AQ84" s="28" t="str">
        <f>IFERROR(VLOOKUP(AO84,Horarios!$H:$I,2,0),"")</f>
        <v/>
      </c>
      <c r="AR84" s="28" t="str">
        <f t="shared" si="54"/>
        <v>00:00</v>
      </c>
      <c r="AS84" s="29"/>
      <c r="AT84" s="31" t="str">
        <f t="shared" si="55"/>
        <v/>
      </c>
      <c r="AU84" s="27"/>
      <c r="AV84" s="27"/>
      <c r="AW84" s="28" t="str">
        <f>IFERROR(VLOOKUP(AU84,Horarios!$H:$I,2,0),"")</f>
        <v/>
      </c>
      <c r="AX84" s="28" t="str">
        <f>IFERROR(VLOOKUP(AV84,Horarios!$H:$I,2,0),"")</f>
        <v/>
      </c>
      <c r="AY84" s="28" t="str">
        <f t="shared" si="56"/>
        <v>00:00</v>
      </c>
      <c r="AZ84" s="29"/>
      <c r="BA84" s="27"/>
      <c r="BB84" s="27"/>
      <c r="BC84" s="28" t="str">
        <f>IFERROR(VLOOKUP(BA84,Horarios!$H:$I,2,0),"")</f>
        <v/>
      </c>
      <c r="BD84" s="28" t="str">
        <f>IFERROR(VLOOKUP(BB84,Horarios!$H:$I,2,0),"")</f>
        <v/>
      </c>
      <c r="BE84" s="28" t="str">
        <f t="shared" si="57"/>
        <v>00:00</v>
      </c>
      <c r="BF84" s="29"/>
      <c r="BG84" s="27"/>
      <c r="BH84" s="27"/>
      <c r="BI84" s="28" t="str">
        <f>IFERROR(VLOOKUP(BG84,Horarios!$H:$I,2,0),"")</f>
        <v/>
      </c>
      <c r="BJ84" s="28" t="str">
        <f>IFERROR(VLOOKUP(BH84,Horarios!$H:$I,2,0),"")</f>
        <v/>
      </c>
      <c r="BK84" s="28" t="str">
        <f t="shared" si="58"/>
        <v>00:00</v>
      </c>
      <c r="BL84" s="29"/>
      <c r="BM84" s="27"/>
      <c r="BN84" s="27"/>
      <c r="BO84" s="28" t="str">
        <f>IFERROR(VLOOKUP(BM84,Horarios!$H:$I,2,0),"")</f>
        <v/>
      </c>
      <c r="BP84" s="28" t="str">
        <f>IFERROR(VLOOKUP(BN84,Horarios!$H:$I,2,0),"")</f>
        <v/>
      </c>
      <c r="BQ84" s="28" t="str">
        <f t="shared" si="59"/>
        <v>00:00</v>
      </c>
      <c r="BR84" s="29"/>
      <c r="BS84" s="27"/>
      <c r="BT84" s="27"/>
      <c r="BU84" s="28" t="str">
        <f>IFERROR(VLOOKUP(BS84,Horarios!$H:$I,2,0),"")</f>
        <v/>
      </c>
      <c r="BV84" s="28" t="str">
        <f>IFERROR(VLOOKUP(BT84,Horarios!$H:$I,2,0),"")</f>
        <v/>
      </c>
      <c r="BW84" s="28" t="str">
        <f t="shared" si="60"/>
        <v>00:00</v>
      </c>
      <c r="BX84" s="29"/>
      <c r="BY84" s="27"/>
      <c r="BZ84" s="27"/>
      <c r="CA84" s="28" t="str">
        <f>IFERROR(VLOOKUP(BY84,Horarios!$H:$I,2,0),"")</f>
        <v/>
      </c>
      <c r="CB84" s="28" t="str">
        <f>IFERROR(VLOOKUP(BZ84,Horarios!$H:$I,2,0),"")</f>
        <v/>
      </c>
      <c r="CC84" s="28" t="str">
        <f t="shared" si="61"/>
        <v>00:00</v>
      </c>
      <c r="CD84" s="29"/>
      <c r="CE84" s="27"/>
      <c r="CF84" s="27"/>
      <c r="CG84" s="28" t="str">
        <f>IFERROR(VLOOKUP(CE84,Horarios!$H:$I,2,0),"")</f>
        <v/>
      </c>
      <c r="CH84" s="28" t="str">
        <f>IFERROR(VLOOKUP(CF84,Horarios!$H:$I,2,0),"")</f>
        <v/>
      </c>
      <c r="CI84" s="28" t="str">
        <f t="shared" si="62"/>
        <v>00:00</v>
      </c>
      <c r="CJ84" s="29"/>
      <c r="CK84" s="31" t="str">
        <f t="shared" si="63"/>
        <v/>
      </c>
      <c r="CL84" s="27"/>
      <c r="CM84" s="27"/>
      <c r="CN84" s="28" t="str">
        <f>IFERROR(VLOOKUP(CL84,Horarios!$H:$I,2,0),"")</f>
        <v/>
      </c>
      <c r="CO84" s="28" t="str">
        <f>IFERROR(VLOOKUP(CM84,Horarios!$H:$I,2,0),"")</f>
        <v/>
      </c>
      <c r="CP84" s="28" t="str">
        <f t="shared" si="64"/>
        <v>00:00</v>
      </c>
      <c r="CQ84" s="29"/>
      <c r="CR84" s="27"/>
      <c r="CS84" s="27"/>
      <c r="CT84" s="28" t="str">
        <f>IFERROR(VLOOKUP(CR84,Horarios!$H:$I,2,0),"")</f>
        <v/>
      </c>
      <c r="CU84" s="28" t="str">
        <f>IFERROR(VLOOKUP(CS84,Horarios!$H:$I,2,0),"")</f>
        <v/>
      </c>
      <c r="CV84" s="28" t="str">
        <f t="shared" si="65"/>
        <v>00:00</v>
      </c>
      <c r="CW84" s="29"/>
      <c r="CX84" s="27"/>
      <c r="CY84" s="27"/>
      <c r="CZ84" s="28" t="str">
        <f>IFERROR(VLOOKUP(CX84,Horarios!$H:$I,2,0),"")</f>
        <v/>
      </c>
      <c r="DA84" s="28" t="str">
        <f>IFERROR(VLOOKUP(CY84,Horarios!$H:$I,2,0),"")</f>
        <v/>
      </c>
      <c r="DB84" s="28" t="str">
        <f t="shared" si="66"/>
        <v>00:00</v>
      </c>
      <c r="DC84" s="29"/>
      <c r="DD84" s="27"/>
      <c r="DE84" s="27"/>
      <c r="DF84" s="28" t="str">
        <f>IFERROR(VLOOKUP(DD84,Horarios!$H:$I,2,0),"")</f>
        <v/>
      </c>
      <c r="DG84" s="28" t="str">
        <f>IFERROR(VLOOKUP(DE84,Horarios!$H:$I,2,0),"")</f>
        <v/>
      </c>
      <c r="DH84" s="28" t="str">
        <f t="shared" si="67"/>
        <v>00:00</v>
      </c>
      <c r="DI84" s="29"/>
      <c r="DJ84" s="27"/>
      <c r="DK84" s="27"/>
      <c r="DL84" s="28" t="str">
        <f>IFERROR(VLOOKUP(DJ84,Horarios!$H:$I,2,0),"")</f>
        <v/>
      </c>
      <c r="DM84" s="28" t="str">
        <f>IFERROR(VLOOKUP(DK84,Horarios!$H:$I,2,0),"")</f>
        <v/>
      </c>
      <c r="DN84" s="28" t="str">
        <f t="shared" si="68"/>
        <v>00:00</v>
      </c>
      <c r="DO84" s="29"/>
      <c r="DP84" s="27"/>
      <c r="DQ84" s="27"/>
      <c r="DR84" s="28" t="str">
        <f>IFERROR(VLOOKUP(DP84,Horarios!$H:$I,2,0),"")</f>
        <v/>
      </c>
      <c r="DS84" s="28" t="str">
        <f>IFERROR(VLOOKUP(DQ84,Horarios!$H:$I,2,0),"")</f>
        <v/>
      </c>
      <c r="DT84" s="28" t="str">
        <f t="shared" si="69"/>
        <v>00:00</v>
      </c>
      <c r="DU84" s="29"/>
      <c r="DV84" s="27"/>
      <c r="DW84" s="27"/>
      <c r="DX84" s="28" t="str">
        <f>IFERROR(VLOOKUP(DV84,Horarios!$H:$I,2,0),"")</f>
        <v/>
      </c>
      <c r="DY84" s="28" t="str">
        <f>IFERROR(VLOOKUP(DW84,Horarios!$H:$I,2,0),"")</f>
        <v/>
      </c>
      <c r="DZ84" s="28" t="str">
        <f t="shared" si="70"/>
        <v>00:00</v>
      </c>
      <c r="EA84" s="29"/>
      <c r="EB84" s="31" t="str">
        <f t="shared" si="71"/>
        <v/>
      </c>
      <c r="EC84" s="27"/>
      <c r="ED84" s="27"/>
      <c r="EE84" s="28" t="str">
        <f>IFERROR(VLOOKUP(EC84,Horarios!$H:$I,2,0),"")</f>
        <v/>
      </c>
      <c r="EF84" s="28" t="str">
        <f>IFERROR(VLOOKUP(ED84,Horarios!$H:$I,2,0),"")</f>
        <v/>
      </c>
      <c r="EG84" s="28" t="str">
        <f t="shared" si="72"/>
        <v>00:00</v>
      </c>
      <c r="EH84" s="29"/>
      <c r="EI84" s="27"/>
      <c r="EJ84" s="27"/>
      <c r="EK84" s="28" t="str">
        <f>IFERROR(VLOOKUP(EI84,Horarios!$H:$I,2,0),"")</f>
        <v/>
      </c>
      <c r="EL84" s="28" t="str">
        <f>IFERROR(VLOOKUP(EJ84,Horarios!$H:$I,2,0),"")</f>
        <v/>
      </c>
      <c r="EM84" s="28" t="str">
        <f t="shared" si="73"/>
        <v>00:00</v>
      </c>
      <c r="EN84" s="29"/>
      <c r="EO84" s="27"/>
      <c r="EP84" s="27"/>
      <c r="EQ84" s="28" t="str">
        <f>IFERROR(VLOOKUP(EO84,Horarios!$H:$I,2,0),"")</f>
        <v/>
      </c>
      <c r="ER84" s="28" t="str">
        <f>IFERROR(VLOOKUP(EP84,Horarios!$H:$I,2,0),"")</f>
        <v/>
      </c>
      <c r="ES84" s="28" t="str">
        <f t="shared" si="74"/>
        <v>00:00</v>
      </c>
      <c r="ET84" s="29"/>
      <c r="EU84" s="27"/>
      <c r="EV84" s="27"/>
      <c r="EW84" s="28" t="str">
        <f>IFERROR(VLOOKUP(EU84,Horarios!$H:$I,2,0),"")</f>
        <v/>
      </c>
      <c r="EX84" s="28" t="str">
        <f>IFERROR(VLOOKUP(EV84,Horarios!$H:$I,2,0),"")</f>
        <v/>
      </c>
      <c r="EY84" s="28" t="str">
        <f t="shared" si="75"/>
        <v>00:00</v>
      </c>
      <c r="EZ84" s="29"/>
      <c r="FA84" s="27"/>
      <c r="FB84" s="27"/>
      <c r="FC84" s="28" t="str">
        <f>IFERROR(VLOOKUP(FA84,Horarios!$H:$I,2,0),"")</f>
        <v/>
      </c>
      <c r="FD84" s="28" t="str">
        <f>IFERROR(VLOOKUP(FB84,Horarios!$H:$I,2,0),"")</f>
        <v/>
      </c>
      <c r="FE84" s="28" t="str">
        <f t="shared" si="76"/>
        <v>00:00</v>
      </c>
      <c r="FF84" s="29"/>
      <c r="FG84" s="27"/>
      <c r="FH84" s="27"/>
      <c r="FI84" s="28" t="str">
        <f>IFERROR(VLOOKUP(FG84,Horarios!$H:$I,2,0),"")</f>
        <v/>
      </c>
      <c r="FJ84" s="28" t="str">
        <f>IFERROR(VLOOKUP(FH84,Horarios!$H:$I,2,0),"")</f>
        <v/>
      </c>
      <c r="FK84" s="28" t="str">
        <f t="shared" si="77"/>
        <v>00:00</v>
      </c>
      <c r="FL84" s="29"/>
      <c r="FM84" s="27"/>
      <c r="FN84" s="27"/>
      <c r="FO84" s="28" t="str">
        <f>IFERROR(VLOOKUP(FM84,Horarios!$H:$I,2,0),"")</f>
        <v/>
      </c>
      <c r="FP84" s="28" t="str">
        <f>IFERROR(VLOOKUP(FN84,Horarios!$H:$I,2,0),"")</f>
        <v/>
      </c>
      <c r="FQ84" s="28" t="str">
        <f t="shared" si="78"/>
        <v>00:00</v>
      </c>
      <c r="FR84" s="29"/>
      <c r="FS84" s="31" t="str">
        <f t="shared" si="79"/>
        <v/>
      </c>
      <c r="FT84" s="27"/>
      <c r="FU84" s="27"/>
      <c r="FV84" s="28" t="str">
        <f>IFERROR(VLOOKUP(FT84,Horarios!$H:$I,2,0),"")</f>
        <v/>
      </c>
      <c r="FW84" s="28" t="str">
        <f>IFERROR(VLOOKUP(FU84,Horarios!$H:$I,2,0),"")</f>
        <v/>
      </c>
      <c r="FX84" s="28" t="str">
        <f t="shared" si="80"/>
        <v>00:00</v>
      </c>
      <c r="FY84" s="29"/>
      <c r="FZ84" s="27"/>
      <c r="GA84" s="27"/>
      <c r="GB84" s="28" t="str">
        <f>IFERROR(VLOOKUP(FZ84,Horarios!$H:$I,2,0),"")</f>
        <v/>
      </c>
      <c r="GC84" s="28" t="str">
        <f>IFERROR(VLOOKUP(GA84,Horarios!$H:$I,2,0),"")</f>
        <v/>
      </c>
      <c r="GD84" s="28" t="str">
        <f t="shared" si="81"/>
        <v>00:00</v>
      </c>
      <c r="GE84" s="29"/>
      <c r="GF84" s="27"/>
      <c r="GG84" s="27"/>
      <c r="GH84" s="28" t="str">
        <f>IFERROR(VLOOKUP(GF84,Horarios!$H:$I,2,0),"")</f>
        <v/>
      </c>
      <c r="GI84" s="28" t="str">
        <f>IFERROR(VLOOKUP(GG84,Horarios!$H:$I,2,0),"")</f>
        <v/>
      </c>
      <c r="GJ84" s="28" t="str">
        <f t="shared" si="82"/>
        <v>00:00</v>
      </c>
      <c r="GK84" s="29"/>
      <c r="GL84" s="27"/>
      <c r="GM84" s="27"/>
      <c r="GN84" s="28" t="str">
        <f>IFERROR(VLOOKUP(GL84,Horarios!$H:$I,2,0),"")</f>
        <v/>
      </c>
      <c r="GO84" s="28" t="str">
        <f>IFERROR(VLOOKUP(GM84,Horarios!$H:$I,2,0),"")</f>
        <v/>
      </c>
      <c r="GP84" s="28" t="str">
        <f t="shared" si="83"/>
        <v>00:00</v>
      </c>
      <c r="GQ84" s="29"/>
      <c r="GR84" s="27"/>
      <c r="GS84" s="27"/>
      <c r="GT84" s="28" t="str">
        <f>IFERROR(VLOOKUP(GR84,Horarios!$H:$I,2,0),"")</f>
        <v/>
      </c>
      <c r="GU84" s="28" t="str">
        <f>IFERROR(VLOOKUP(GS84,Horarios!$H:$I,2,0),"")</f>
        <v/>
      </c>
      <c r="GV84" s="28" t="str">
        <f t="shared" si="84"/>
        <v>00:00</v>
      </c>
      <c r="GW84" s="29"/>
      <c r="GX84" s="27"/>
      <c r="GY84" s="27"/>
      <c r="GZ84" s="28" t="str">
        <f>IFERROR(VLOOKUP(GX84,Horarios!$H:$I,2,0),"")</f>
        <v/>
      </c>
      <c r="HA84" s="28" t="str">
        <f>IFERROR(VLOOKUP(GY84,Horarios!$H:$I,2,0),"")</f>
        <v/>
      </c>
      <c r="HB84" s="28" t="str">
        <f t="shared" si="85"/>
        <v>00:00</v>
      </c>
      <c r="HC84" s="29"/>
      <c r="HD84" s="27"/>
      <c r="HE84" s="27"/>
      <c r="HF84" s="28" t="str">
        <f>IFERROR(VLOOKUP(HD84,Horarios!$H:$I,2,0),"")</f>
        <v/>
      </c>
      <c r="HG84" s="28" t="str">
        <f>IFERROR(VLOOKUP(HE84,Horarios!$H:$I,2,0),"")</f>
        <v/>
      </c>
      <c r="HH84" s="28" t="str">
        <f t="shared" si="86"/>
        <v>00:00</v>
      </c>
      <c r="HI84" s="29"/>
      <c r="HJ84" s="31" t="str">
        <f t="shared" si="87"/>
        <v/>
      </c>
      <c r="HK84" s="27"/>
      <c r="HL84" s="27"/>
      <c r="HM84" s="28" t="str">
        <f>IFERROR(VLOOKUP(HK84,Horarios!$H:$I,2,0),"")</f>
        <v/>
      </c>
      <c r="HN84" s="28" t="str">
        <f>IFERROR(VLOOKUP(HL84,Horarios!$H:$I,2,0),"")</f>
        <v/>
      </c>
      <c r="HO84" s="28" t="str">
        <f t="shared" si="88"/>
        <v>00:00</v>
      </c>
      <c r="HP84" s="29"/>
      <c r="HQ84" s="27"/>
      <c r="HR84" s="27"/>
      <c r="HS84" s="28" t="str">
        <f>IFERROR(VLOOKUP(HQ84,Horarios!$H:$I,2,0),"")</f>
        <v/>
      </c>
      <c r="HT84" s="28" t="str">
        <f>IFERROR(VLOOKUP(HR84,Horarios!$H:$I,2,0),"")</f>
        <v/>
      </c>
      <c r="HU84" s="28" t="str">
        <f t="shared" si="89"/>
        <v>00:00</v>
      </c>
      <c r="HV84" s="29"/>
      <c r="HW84" s="27"/>
      <c r="HX84" s="27"/>
      <c r="HY84" s="28" t="str">
        <f>IFERROR(VLOOKUP(HW84,Horarios!$H:$I,2,0),"")</f>
        <v/>
      </c>
      <c r="HZ84" s="28" t="str">
        <f>IFERROR(VLOOKUP(HX84,Horarios!$H:$I,2,0),"")</f>
        <v/>
      </c>
      <c r="IA84" s="28" t="str">
        <f t="shared" si="90"/>
        <v>00:00</v>
      </c>
      <c r="IB84" s="29"/>
      <c r="IC84" s="27"/>
      <c r="ID84" s="27"/>
      <c r="IE84" s="28" t="str">
        <f>IFERROR(VLOOKUP(IC84,Horarios!$H:$I,2,0),"")</f>
        <v/>
      </c>
      <c r="IF84" s="28" t="str">
        <f>IFERROR(VLOOKUP(ID84,Horarios!$H:$I,2,0),"")</f>
        <v/>
      </c>
      <c r="IG84" s="28" t="str">
        <f t="shared" si="91"/>
        <v>00:00</v>
      </c>
      <c r="IH84" s="29"/>
      <c r="II84" s="27"/>
      <c r="IJ84" s="27"/>
      <c r="IK84" s="28" t="str">
        <f>IFERROR(VLOOKUP(II84,Horarios!$H:$I,2,0),"")</f>
        <v/>
      </c>
      <c r="IL84" s="28" t="str">
        <f>IFERROR(VLOOKUP(IJ84,Horarios!$H:$I,2,0),"")</f>
        <v/>
      </c>
      <c r="IM84" s="28" t="str">
        <f t="shared" si="92"/>
        <v>00:00</v>
      </c>
      <c r="IN84" s="29"/>
      <c r="IO84" s="27"/>
      <c r="IP84" s="27"/>
      <c r="IQ84" s="28" t="str">
        <f>IFERROR(VLOOKUP(IO84,Horarios!$H:$I,2,0),"")</f>
        <v/>
      </c>
      <c r="IR84" s="28" t="str">
        <f>IFERROR(VLOOKUP(IP84,Horarios!$H:$I,2,0),"")</f>
        <v/>
      </c>
      <c r="IS84" s="28" t="str">
        <f t="shared" si="93"/>
        <v>00:00</v>
      </c>
      <c r="IT84" s="29"/>
      <c r="IU84" s="27"/>
      <c r="IV84" s="27"/>
      <c r="IW84" s="28" t="str">
        <f>IFERROR(VLOOKUP(IU84,Horarios!$H:$I,2,0),"")</f>
        <v/>
      </c>
      <c r="IX84" s="28" t="str">
        <f>IFERROR(VLOOKUP(IV84,Horarios!$H:$I,2,0),"")</f>
        <v/>
      </c>
      <c r="IY84" s="28" t="str">
        <f t="shared" si="94"/>
        <v>00:00</v>
      </c>
      <c r="IZ84" s="29"/>
      <c r="JA84" s="31" t="str">
        <f t="shared" si="95"/>
        <v/>
      </c>
    </row>
    <row r="85" spans="1:261" s="24" customFormat="1" ht="17.399999999999999" x14ac:dyDescent="0.25">
      <c r="A85" s="25"/>
      <c r="B85" s="26" t="str">
        <f>IFERROR(VLOOKUP(A85,BaseNombres!A:B,2,0),"")</f>
        <v/>
      </c>
      <c r="C85" s="26" t="str">
        <f>IFERROR(VLOOKUP(A85,BaseNombres!A:C,3,0),"")</f>
        <v/>
      </c>
      <c r="D85" s="27"/>
      <c r="E85" s="27"/>
      <c r="F85" s="28" t="str">
        <f>IFERROR(VLOOKUP(D85,Horarios!$H:$I,2,0),"")</f>
        <v/>
      </c>
      <c r="G85" s="28" t="str">
        <f>IFERROR(VLOOKUP(E85,Horarios!$H:$I,2,0),"")</f>
        <v/>
      </c>
      <c r="H85" s="28" t="str">
        <f t="shared" si="48"/>
        <v>00:00</v>
      </c>
      <c r="I85" s="29"/>
      <c r="J85" s="27"/>
      <c r="K85" s="27"/>
      <c r="L85" s="28" t="str">
        <f>IFERROR(VLOOKUP(J85,Horarios!$H:$I,2,0),"")</f>
        <v/>
      </c>
      <c r="M85" s="28" t="str">
        <f>IFERROR(VLOOKUP(K85,Horarios!$H:$I,2,0),"")</f>
        <v/>
      </c>
      <c r="N85" s="28" t="str">
        <f t="shared" si="49"/>
        <v>00:00</v>
      </c>
      <c r="O85" s="29"/>
      <c r="P85" s="27"/>
      <c r="Q85" s="27"/>
      <c r="R85" s="28" t="str">
        <f>IFERROR(VLOOKUP(P85,Horarios!$H:$I,2,0),"")</f>
        <v/>
      </c>
      <c r="S85" s="28" t="str">
        <f>IFERROR(VLOOKUP(Q85,Horarios!$H:$I,2,0),"")</f>
        <v/>
      </c>
      <c r="T85" s="28" t="str">
        <f t="shared" si="50"/>
        <v>00:00</v>
      </c>
      <c r="U85" s="29"/>
      <c r="V85" s="27"/>
      <c r="W85" s="27"/>
      <c r="X85" s="28" t="str">
        <f>IFERROR(VLOOKUP(V85,Horarios!$H:$I,2,0),"")</f>
        <v/>
      </c>
      <c r="Y85" s="28" t="str">
        <f>IFERROR(VLOOKUP(W85,Horarios!$H:$I,2,0),"")</f>
        <v/>
      </c>
      <c r="Z85" s="28" t="str">
        <f t="shared" si="51"/>
        <v>00:00</v>
      </c>
      <c r="AA85" s="29"/>
      <c r="AB85" s="27"/>
      <c r="AC85" s="27"/>
      <c r="AD85" s="28" t="str">
        <f>IFERROR(VLOOKUP(AB85,Horarios!$H:$I,2,0),"")</f>
        <v/>
      </c>
      <c r="AE85" s="28" t="str">
        <f>IFERROR(VLOOKUP(AC85,Horarios!$H:$I,2,0),"")</f>
        <v/>
      </c>
      <c r="AF85" s="28" t="str">
        <f t="shared" si="52"/>
        <v>00:00</v>
      </c>
      <c r="AG85" s="29"/>
      <c r="AH85" s="27"/>
      <c r="AI85" s="27"/>
      <c r="AJ85" s="28" t="str">
        <f>IFERROR(VLOOKUP(AH85,Horarios!$H:$I,2,0),"")</f>
        <v/>
      </c>
      <c r="AK85" s="28" t="str">
        <f>IFERROR(VLOOKUP(AI85,Horarios!$H:$I,2,0),"")</f>
        <v/>
      </c>
      <c r="AL85" s="28" t="str">
        <f t="shared" si="53"/>
        <v>00:00</v>
      </c>
      <c r="AM85" s="29"/>
      <c r="AN85" s="27"/>
      <c r="AO85" s="27"/>
      <c r="AP85" s="28" t="str">
        <f>IFERROR(VLOOKUP(AN85,Horarios!$H:$I,2,0),"")</f>
        <v/>
      </c>
      <c r="AQ85" s="28" t="str">
        <f>IFERROR(VLOOKUP(AO85,Horarios!$H:$I,2,0),"")</f>
        <v/>
      </c>
      <c r="AR85" s="28" t="str">
        <f t="shared" si="54"/>
        <v>00:00</v>
      </c>
      <c r="AS85" s="29"/>
      <c r="AT85" s="31" t="str">
        <f t="shared" si="55"/>
        <v/>
      </c>
      <c r="AU85" s="27"/>
      <c r="AV85" s="27"/>
      <c r="AW85" s="28" t="str">
        <f>IFERROR(VLOOKUP(AU85,Horarios!$H:$I,2,0),"")</f>
        <v/>
      </c>
      <c r="AX85" s="28" t="str">
        <f>IFERROR(VLOOKUP(AV85,Horarios!$H:$I,2,0),"")</f>
        <v/>
      </c>
      <c r="AY85" s="28" t="str">
        <f t="shared" si="56"/>
        <v>00:00</v>
      </c>
      <c r="AZ85" s="29"/>
      <c r="BA85" s="27"/>
      <c r="BB85" s="27"/>
      <c r="BC85" s="28" t="str">
        <f>IFERROR(VLOOKUP(BA85,Horarios!$H:$I,2,0),"")</f>
        <v/>
      </c>
      <c r="BD85" s="28" t="str">
        <f>IFERROR(VLOOKUP(BB85,Horarios!$H:$I,2,0),"")</f>
        <v/>
      </c>
      <c r="BE85" s="28" t="str">
        <f t="shared" si="57"/>
        <v>00:00</v>
      </c>
      <c r="BF85" s="29"/>
      <c r="BG85" s="27"/>
      <c r="BH85" s="27"/>
      <c r="BI85" s="28" t="str">
        <f>IFERROR(VLOOKUP(BG85,Horarios!$H:$I,2,0),"")</f>
        <v/>
      </c>
      <c r="BJ85" s="28" t="str">
        <f>IFERROR(VLOOKUP(BH85,Horarios!$H:$I,2,0),"")</f>
        <v/>
      </c>
      <c r="BK85" s="28" t="str">
        <f t="shared" si="58"/>
        <v>00:00</v>
      </c>
      <c r="BL85" s="29"/>
      <c r="BM85" s="27"/>
      <c r="BN85" s="27"/>
      <c r="BO85" s="28" t="str">
        <f>IFERROR(VLOOKUP(BM85,Horarios!$H:$I,2,0),"")</f>
        <v/>
      </c>
      <c r="BP85" s="28" t="str">
        <f>IFERROR(VLOOKUP(BN85,Horarios!$H:$I,2,0),"")</f>
        <v/>
      </c>
      <c r="BQ85" s="28" t="str">
        <f t="shared" si="59"/>
        <v>00:00</v>
      </c>
      <c r="BR85" s="29"/>
      <c r="BS85" s="27"/>
      <c r="BT85" s="27"/>
      <c r="BU85" s="28" t="str">
        <f>IFERROR(VLOOKUP(BS85,Horarios!$H:$I,2,0),"")</f>
        <v/>
      </c>
      <c r="BV85" s="28" t="str">
        <f>IFERROR(VLOOKUP(BT85,Horarios!$H:$I,2,0),"")</f>
        <v/>
      </c>
      <c r="BW85" s="28" t="str">
        <f t="shared" si="60"/>
        <v>00:00</v>
      </c>
      <c r="BX85" s="29"/>
      <c r="BY85" s="27"/>
      <c r="BZ85" s="27"/>
      <c r="CA85" s="28" t="str">
        <f>IFERROR(VLOOKUP(BY85,Horarios!$H:$I,2,0),"")</f>
        <v/>
      </c>
      <c r="CB85" s="28" t="str">
        <f>IFERROR(VLOOKUP(BZ85,Horarios!$H:$I,2,0),"")</f>
        <v/>
      </c>
      <c r="CC85" s="28" t="str">
        <f t="shared" si="61"/>
        <v>00:00</v>
      </c>
      <c r="CD85" s="29"/>
      <c r="CE85" s="27"/>
      <c r="CF85" s="27"/>
      <c r="CG85" s="28" t="str">
        <f>IFERROR(VLOOKUP(CE85,Horarios!$H:$I,2,0),"")</f>
        <v/>
      </c>
      <c r="CH85" s="28" t="str">
        <f>IFERROR(VLOOKUP(CF85,Horarios!$H:$I,2,0),"")</f>
        <v/>
      </c>
      <c r="CI85" s="28" t="str">
        <f t="shared" si="62"/>
        <v>00:00</v>
      </c>
      <c r="CJ85" s="29"/>
      <c r="CK85" s="31" t="str">
        <f t="shared" si="63"/>
        <v/>
      </c>
      <c r="CL85" s="27"/>
      <c r="CM85" s="27"/>
      <c r="CN85" s="28" t="str">
        <f>IFERROR(VLOOKUP(CL85,Horarios!$H:$I,2,0),"")</f>
        <v/>
      </c>
      <c r="CO85" s="28" t="str">
        <f>IFERROR(VLOOKUP(CM85,Horarios!$H:$I,2,0),"")</f>
        <v/>
      </c>
      <c r="CP85" s="28" t="str">
        <f t="shared" si="64"/>
        <v>00:00</v>
      </c>
      <c r="CQ85" s="29"/>
      <c r="CR85" s="27"/>
      <c r="CS85" s="27"/>
      <c r="CT85" s="28" t="str">
        <f>IFERROR(VLOOKUP(CR85,Horarios!$H:$I,2,0),"")</f>
        <v/>
      </c>
      <c r="CU85" s="28" t="str">
        <f>IFERROR(VLOOKUP(CS85,Horarios!$H:$I,2,0),"")</f>
        <v/>
      </c>
      <c r="CV85" s="28" t="str">
        <f t="shared" si="65"/>
        <v>00:00</v>
      </c>
      <c r="CW85" s="29"/>
      <c r="CX85" s="27"/>
      <c r="CY85" s="27"/>
      <c r="CZ85" s="28" t="str">
        <f>IFERROR(VLOOKUP(CX85,Horarios!$H:$I,2,0),"")</f>
        <v/>
      </c>
      <c r="DA85" s="28" t="str">
        <f>IFERROR(VLOOKUP(CY85,Horarios!$H:$I,2,0),"")</f>
        <v/>
      </c>
      <c r="DB85" s="28" t="str">
        <f t="shared" si="66"/>
        <v>00:00</v>
      </c>
      <c r="DC85" s="29"/>
      <c r="DD85" s="27"/>
      <c r="DE85" s="27"/>
      <c r="DF85" s="28" t="str">
        <f>IFERROR(VLOOKUP(DD85,Horarios!$H:$I,2,0),"")</f>
        <v/>
      </c>
      <c r="DG85" s="28" t="str">
        <f>IFERROR(VLOOKUP(DE85,Horarios!$H:$I,2,0),"")</f>
        <v/>
      </c>
      <c r="DH85" s="28" t="str">
        <f t="shared" si="67"/>
        <v>00:00</v>
      </c>
      <c r="DI85" s="29"/>
      <c r="DJ85" s="27"/>
      <c r="DK85" s="27"/>
      <c r="DL85" s="28" t="str">
        <f>IFERROR(VLOOKUP(DJ85,Horarios!$H:$I,2,0),"")</f>
        <v/>
      </c>
      <c r="DM85" s="28" t="str">
        <f>IFERROR(VLOOKUP(DK85,Horarios!$H:$I,2,0),"")</f>
        <v/>
      </c>
      <c r="DN85" s="28" t="str">
        <f t="shared" si="68"/>
        <v>00:00</v>
      </c>
      <c r="DO85" s="29"/>
      <c r="DP85" s="27"/>
      <c r="DQ85" s="27"/>
      <c r="DR85" s="28" t="str">
        <f>IFERROR(VLOOKUP(DP85,Horarios!$H:$I,2,0),"")</f>
        <v/>
      </c>
      <c r="DS85" s="28" t="str">
        <f>IFERROR(VLOOKUP(DQ85,Horarios!$H:$I,2,0),"")</f>
        <v/>
      </c>
      <c r="DT85" s="28" t="str">
        <f t="shared" si="69"/>
        <v>00:00</v>
      </c>
      <c r="DU85" s="29"/>
      <c r="DV85" s="27"/>
      <c r="DW85" s="27"/>
      <c r="DX85" s="28" t="str">
        <f>IFERROR(VLOOKUP(DV85,Horarios!$H:$I,2,0),"")</f>
        <v/>
      </c>
      <c r="DY85" s="28" t="str">
        <f>IFERROR(VLOOKUP(DW85,Horarios!$H:$I,2,0),"")</f>
        <v/>
      </c>
      <c r="DZ85" s="28" t="str">
        <f t="shared" si="70"/>
        <v>00:00</v>
      </c>
      <c r="EA85" s="29"/>
      <c r="EB85" s="31" t="str">
        <f t="shared" si="71"/>
        <v/>
      </c>
      <c r="EC85" s="27"/>
      <c r="ED85" s="27"/>
      <c r="EE85" s="28" t="str">
        <f>IFERROR(VLOOKUP(EC85,Horarios!$H:$I,2,0),"")</f>
        <v/>
      </c>
      <c r="EF85" s="28" t="str">
        <f>IFERROR(VLOOKUP(ED85,Horarios!$H:$I,2,0),"")</f>
        <v/>
      </c>
      <c r="EG85" s="28" t="str">
        <f t="shared" si="72"/>
        <v>00:00</v>
      </c>
      <c r="EH85" s="29"/>
      <c r="EI85" s="27"/>
      <c r="EJ85" s="27"/>
      <c r="EK85" s="28" t="str">
        <f>IFERROR(VLOOKUP(EI85,Horarios!$H:$I,2,0),"")</f>
        <v/>
      </c>
      <c r="EL85" s="28" t="str">
        <f>IFERROR(VLOOKUP(EJ85,Horarios!$H:$I,2,0),"")</f>
        <v/>
      </c>
      <c r="EM85" s="28" t="str">
        <f t="shared" si="73"/>
        <v>00:00</v>
      </c>
      <c r="EN85" s="29"/>
      <c r="EO85" s="27"/>
      <c r="EP85" s="27"/>
      <c r="EQ85" s="28" t="str">
        <f>IFERROR(VLOOKUP(EO85,Horarios!$H:$I,2,0),"")</f>
        <v/>
      </c>
      <c r="ER85" s="28" t="str">
        <f>IFERROR(VLOOKUP(EP85,Horarios!$H:$I,2,0),"")</f>
        <v/>
      </c>
      <c r="ES85" s="28" t="str">
        <f t="shared" si="74"/>
        <v>00:00</v>
      </c>
      <c r="ET85" s="29"/>
      <c r="EU85" s="27"/>
      <c r="EV85" s="27"/>
      <c r="EW85" s="28" t="str">
        <f>IFERROR(VLOOKUP(EU85,Horarios!$H:$I,2,0),"")</f>
        <v/>
      </c>
      <c r="EX85" s="28" t="str">
        <f>IFERROR(VLOOKUP(EV85,Horarios!$H:$I,2,0),"")</f>
        <v/>
      </c>
      <c r="EY85" s="28" t="str">
        <f t="shared" si="75"/>
        <v>00:00</v>
      </c>
      <c r="EZ85" s="29"/>
      <c r="FA85" s="27"/>
      <c r="FB85" s="27"/>
      <c r="FC85" s="28" t="str">
        <f>IFERROR(VLOOKUP(FA85,Horarios!$H:$I,2,0),"")</f>
        <v/>
      </c>
      <c r="FD85" s="28" t="str">
        <f>IFERROR(VLOOKUP(FB85,Horarios!$H:$I,2,0),"")</f>
        <v/>
      </c>
      <c r="FE85" s="28" t="str">
        <f t="shared" si="76"/>
        <v>00:00</v>
      </c>
      <c r="FF85" s="29"/>
      <c r="FG85" s="27"/>
      <c r="FH85" s="27"/>
      <c r="FI85" s="28" t="str">
        <f>IFERROR(VLOOKUP(FG85,Horarios!$H:$I,2,0),"")</f>
        <v/>
      </c>
      <c r="FJ85" s="28" t="str">
        <f>IFERROR(VLOOKUP(FH85,Horarios!$H:$I,2,0),"")</f>
        <v/>
      </c>
      <c r="FK85" s="28" t="str">
        <f t="shared" si="77"/>
        <v>00:00</v>
      </c>
      <c r="FL85" s="29"/>
      <c r="FM85" s="27"/>
      <c r="FN85" s="27"/>
      <c r="FO85" s="28" t="str">
        <f>IFERROR(VLOOKUP(FM85,Horarios!$H:$I,2,0),"")</f>
        <v/>
      </c>
      <c r="FP85" s="28" t="str">
        <f>IFERROR(VLOOKUP(FN85,Horarios!$H:$I,2,0),"")</f>
        <v/>
      </c>
      <c r="FQ85" s="28" t="str">
        <f t="shared" si="78"/>
        <v>00:00</v>
      </c>
      <c r="FR85" s="29"/>
      <c r="FS85" s="31" t="str">
        <f t="shared" si="79"/>
        <v/>
      </c>
      <c r="FT85" s="27"/>
      <c r="FU85" s="27"/>
      <c r="FV85" s="28" t="str">
        <f>IFERROR(VLOOKUP(FT85,Horarios!$H:$I,2,0),"")</f>
        <v/>
      </c>
      <c r="FW85" s="28" t="str">
        <f>IFERROR(VLOOKUP(FU85,Horarios!$H:$I,2,0),"")</f>
        <v/>
      </c>
      <c r="FX85" s="28" t="str">
        <f t="shared" si="80"/>
        <v>00:00</v>
      </c>
      <c r="FY85" s="29"/>
      <c r="FZ85" s="27"/>
      <c r="GA85" s="27"/>
      <c r="GB85" s="28" t="str">
        <f>IFERROR(VLOOKUP(FZ85,Horarios!$H:$I,2,0),"")</f>
        <v/>
      </c>
      <c r="GC85" s="28" t="str">
        <f>IFERROR(VLOOKUP(GA85,Horarios!$H:$I,2,0),"")</f>
        <v/>
      </c>
      <c r="GD85" s="28" t="str">
        <f t="shared" si="81"/>
        <v>00:00</v>
      </c>
      <c r="GE85" s="29"/>
      <c r="GF85" s="27"/>
      <c r="GG85" s="27"/>
      <c r="GH85" s="28" t="str">
        <f>IFERROR(VLOOKUP(GF85,Horarios!$H:$I,2,0),"")</f>
        <v/>
      </c>
      <c r="GI85" s="28" t="str">
        <f>IFERROR(VLOOKUP(GG85,Horarios!$H:$I,2,0),"")</f>
        <v/>
      </c>
      <c r="GJ85" s="28" t="str">
        <f t="shared" si="82"/>
        <v>00:00</v>
      </c>
      <c r="GK85" s="29"/>
      <c r="GL85" s="27"/>
      <c r="GM85" s="27"/>
      <c r="GN85" s="28" t="str">
        <f>IFERROR(VLOOKUP(GL85,Horarios!$H:$I,2,0),"")</f>
        <v/>
      </c>
      <c r="GO85" s="28" t="str">
        <f>IFERROR(VLOOKUP(GM85,Horarios!$H:$I,2,0),"")</f>
        <v/>
      </c>
      <c r="GP85" s="28" t="str">
        <f t="shared" si="83"/>
        <v>00:00</v>
      </c>
      <c r="GQ85" s="29"/>
      <c r="GR85" s="27"/>
      <c r="GS85" s="27"/>
      <c r="GT85" s="28" t="str">
        <f>IFERROR(VLOOKUP(GR85,Horarios!$H:$I,2,0),"")</f>
        <v/>
      </c>
      <c r="GU85" s="28" t="str">
        <f>IFERROR(VLOOKUP(GS85,Horarios!$H:$I,2,0),"")</f>
        <v/>
      </c>
      <c r="GV85" s="28" t="str">
        <f t="shared" si="84"/>
        <v>00:00</v>
      </c>
      <c r="GW85" s="29"/>
      <c r="GX85" s="27"/>
      <c r="GY85" s="27"/>
      <c r="GZ85" s="28" t="str">
        <f>IFERROR(VLOOKUP(GX85,Horarios!$H:$I,2,0),"")</f>
        <v/>
      </c>
      <c r="HA85" s="28" t="str">
        <f>IFERROR(VLOOKUP(GY85,Horarios!$H:$I,2,0),"")</f>
        <v/>
      </c>
      <c r="HB85" s="28" t="str">
        <f t="shared" si="85"/>
        <v>00:00</v>
      </c>
      <c r="HC85" s="29"/>
      <c r="HD85" s="27"/>
      <c r="HE85" s="27"/>
      <c r="HF85" s="28" t="str">
        <f>IFERROR(VLOOKUP(HD85,Horarios!$H:$I,2,0),"")</f>
        <v/>
      </c>
      <c r="HG85" s="28" t="str">
        <f>IFERROR(VLOOKUP(HE85,Horarios!$H:$I,2,0),"")</f>
        <v/>
      </c>
      <c r="HH85" s="28" t="str">
        <f t="shared" si="86"/>
        <v>00:00</v>
      </c>
      <c r="HI85" s="29"/>
      <c r="HJ85" s="31" t="str">
        <f t="shared" si="87"/>
        <v/>
      </c>
      <c r="HK85" s="27"/>
      <c r="HL85" s="27"/>
      <c r="HM85" s="28" t="str">
        <f>IFERROR(VLOOKUP(HK85,Horarios!$H:$I,2,0),"")</f>
        <v/>
      </c>
      <c r="HN85" s="28" t="str">
        <f>IFERROR(VLOOKUP(HL85,Horarios!$H:$I,2,0),"")</f>
        <v/>
      </c>
      <c r="HO85" s="28" t="str">
        <f t="shared" si="88"/>
        <v>00:00</v>
      </c>
      <c r="HP85" s="29"/>
      <c r="HQ85" s="27"/>
      <c r="HR85" s="27"/>
      <c r="HS85" s="28" t="str">
        <f>IFERROR(VLOOKUP(HQ85,Horarios!$H:$I,2,0),"")</f>
        <v/>
      </c>
      <c r="HT85" s="28" t="str">
        <f>IFERROR(VLOOKUP(HR85,Horarios!$H:$I,2,0),"")</f>
        <v/>
      </c>
      <c r="HU85" s="28" t="str">
        <f t="shared" si="89"/>
        <v>00:00</v>
      </c>
      <c r="HV85" s="29"/>
      <c r="HW85" s="27"/>
      <c r="HX85" s="27"/>
      <c r="HY85" s="28" t="str">
        <f>IFERROR(VLOOKUP(HW85,Horarios!$H:$I,2,0),"")</f>
        <v/>
      </c>
      <c r="HZ85" s="28" t="str">
        <f>IFERROR(VLOOKUP(HX85,Horarios!$H:$I,2,0),"")</f>
        <v/>
      </c>
      <c r="IA85" s="28" t="str">
        <f t="shared" si="90"/>
        <v>00:00</v>
      </c>
      <c r="IB85" s="29"/>
      <c r="IC85" s="27"/>
      <c r="ID85" s="27"/>
      <c r="IE85" s="28" t="str">
        <f>IFERROR(VLOOKUP(IC85,Horarios!$H:$I,2,0),"")</f>
        <v/>
      </c>
      <c r="IF85" s="28" t="str">
        <f>IFERROR(VLOOKUP(ID85,Horarios!$H:$I,2,0),"")</f>
        <v/>
      </c>
      <c r="IG85" s="28" t="str">
        <f t="shared" si="91"/>
        <v>00:00</v>
      </c>
      <c r="IH85" s="29"/>
      <c r="II85" s="27"/>
      <c r="IJ85" s="27"/>
      <c r="IK85" s="28" t="str">
        <f>IFERROR(VLOOKUP(II85,Horarios!$H:$I,2,0),"")</f>
        <v/>
      </c>
      <c r="IL85" s="28" t="str">
        <f>IFERROR(VLOOKUP(IJ85,Horarios!$H:$I,2,0),"")</f>
        <v/>
      </c>
      <c r="IM85" s="28" t="str">
        <f t="shared" si="92"/>
        <v>00:00</v>
      </c>
      <c r="IN85" s="29"/>
      <c r="IO85" s="27"/>
      <c r="IP85" s="27"/>
      <c r="IQ85" s="28" t="str">
        <f>IFERROR(VLOOKUP(IO85,Horarios!$H:$I,2,0),"")</f>
        <v/>
      </c>
      <c r="IR85" s="28" t="str">
        <f>IFERROR(VLOOKUP(IP85,Horarios!$H:$I,2,0),"")</f>
        <v/>
      </c>
      <c r="IS85" s="28" t="str">
        <f t="shared" si="93"/>
        <v>00:00</v>
      </c>
      <c r="IT85" s="29"/>
      <c r="IU85" s="27"/>
      <c r="IV85" s="27"/>
      <c r="IW85" s="28" t="str">
        <f>IFERROR(VLOOKUP(IU85,Horarios!$H:$I,2,0),"")</f>
        <v/>
      </c>
      <c r="IX85" s="28" t="str">
        <f>IFERROR(VLOOKUP(IV85,Horarios!$H:$I,2,0),"")</f>
        <v/>
      </c>
      <c r="IY85" s="28" t="str">
        <f t="shared" si="94"/>
        <v>00:00</v>
      </c>
      <c r="IZ85" s="29"/>
      <c r="JA85" s="31" t="str">
        <f t="shared" si="95"/>
        <v/>
      </c>
    </row>
    <row r="86" spans="1:261" s="24" customFormat="1" ht="17.399999999999999" x14ac:dyDescent="0.25">
      <c r="A86" s="25"/>
      <c r="B86" s="26" t="str">
        <f>IFERROR(VLOOKUP(A86,BaseNombres!A:B,2,0),"")</f>
        <v/>
      </c>
      <c r="C86" s="26" t="str">
        <f>IFERROR(VLOOKUP(A86,BaseNombres!A:C,3,0),"")</f>
        <v/>
      </c>
      <c r="D86" s="27"/>
      <c r="E86" s="27"/>
      <c r="F86" s="28" t="str">
        <f>IFERROR(VLOOKUP(D86,Horarios!$H:$I,2,0),"")</f>
        <v/>
      </c>
      <c r="G86" s="28" t="str">
        <f>IFERROR(VLOOKUP(E86,Horarios!$H:$I,2,0),"")</f>
        <v/>
      </c>
      <c r="H86" s="28" t="str">
        <f t="shared" si="48"/>
        <v>00:00</v>
      </c>
      <c r="I86" s="29"/>
      <c r="J86" s="27"/>
      <c r="K86" s="27"/>
      <c r="L86" s="28" t="str">
        <f>IFERROR(VLOOKUP(J86,Horarios!$H:$I,2,0),"")</f>
        <v/>
      </c>
      <c r="M86" s="28" t="str">
        <f>IFERROR(VLOOKUP(K86,Horarios!$H:$I,2,0),"")</f>
        <v/>
      </c>
      <c r="N86" s="28" t="str">
        <f t="shared" si="49"/>
        <v>00:00</v>
      </c>
      <c r="O86" s="29"/>
      <c r="P86" s="27"/>
      <c r="Q86" s="27"/>
      <c r="R86" s="28" t="str">
        <f>IFERROR(VLOOKUP(P86,Horarios!$H:$I,2,0),"")</f>
        <v/>
      </c>
      <c r="S86" s="28" t="str">
        <f>IFERROR(VLOOKUP(Q86,Horarios!$H:$I,2,0),"")</f>
        <v/>
      </c>
      <c r="T86" s="28" t="str">
        <f t="shared" si="50"/>
        <v>00:00</v>
      </c>
      <c r="U86" s="29"/>
      <c r="V86" s="27"/>
      <c r="W86" s="27"/>
      <c r="X86" s="28" t="str">
        <f>IFERROR(VLOOKUP(V86,Horarios!$H:$I,2,0),"")</f>
        <v/>
      </c>
      <c r="Y86" s="28" t="str">
        <f>IFERROR(VLOOKUP(W86,Horarios!$H:$I,2,0),"")</f>
        <v/>
      </c>
      <c r="Z86" s="28" t="str">
        <f t="shared" si="51"/>
        <v>00:00</v>
      </c>
      <c r="AA86" s="29"/>
      <c r="AB86" s="27"/>
      <c r="AC86" s="27"/>
      <c r="AD86" s="28" t="str">
        <f>IFERROR(VLOOKUP(AB86,Horarios!$H:$I,2,0),"")</f>
        <v/>
      </c>
      <c r="AE86" s="28" t="str">
        <f>IFERROR(VLOOKUP(AC86,Horarios!$H:$I,2,0),"")</f>
        <v/>
      </c>
      <c r="AF86" s="28" t="str">
        <f t="shared" si="52"/>
        <v>00:00</v>
      </c>
      <c r="AG86" s="29"/>
      <c r="AH86" s="27"/>
      <c r="AI86" s="27"/>
      <c r="AJ86" s="28" t="str">
        <f>IFERROR(VLOOKUP(AH86,Horarios!$H:$I,2,0),"")</f>
        <v/>
      </c>
      <c r="AK86" s="28" t="str">
        <f>IFERROR(VLOOKUP(AI86,Horarios!$H:$I,2,0),"")</f>
        <v/>
      </c>
      <c r="AL86" s="28" t="str">
        <f t="shared" si="53"/>
        <v>00:00</v>
      </c>
      <c r="AM86" s="29"/>
      <c r="AN86" s="27"/>
      <c r="AO86" s="27"/>
      <c r="AP86" s="28" t="str">
        <f>IFERROR(VLOOKUP(AN86,Horarios!$H:$I,2,0),"")</f>
        <v/>
      </c>
      <c r="AQ86" s="28" t="str">
        <f>IFERROR(VLOOKUP(AO86,Horarios!$H:$I,2,0),"")</f>
        <v/>
      </c>
      <c r="AR86" s="28" t="str">
        <f t="shared" si="54"/>
        <v>00:00</v>
      </c>
      <c r="AS86" s="29"/>
      <c r="AT86" s="31" t="str">
        <f t="shared" si="55"/>
        <v/>
      </c>
      <c r="AU86" s="27"/>
      <c r="AV86" s="27"/>
      <c r="AW86" s="28" t="str">
        <f>IFERROR(VLOOKUP(AU86,Horarios!$H:$I,2,0),"")</f>
        <v/>
      </c>
      <c r="AX86" s="28" t="str">
        <f>IFERROR(VLOOKUP(AV86,Horarios!$H:$I,2,0),"")</f>
        <v/>
      </c>
      <c r="AY86" s="28" t="str">
        <f t="shared" si="56"/>
        <v>00:00</v>
      </c>
      <c r="AZ86" s="29"/>
      <c r="BA86" s="27"/>
      <c r="BB86" s="27"/>
      <c r="BC86" s="28" t="str">
        <f>IFERROR(VLOOKUP(BA86,Horarios!$H:$I,2,0),"")</f>
        <v/>
      </c>
      <c r="BD86" s="28" t="str">
        <f>IFERROR(VLOOKUP(BB86,Horarios!$H:$I,2,0),"")</f>
        <v/>
      </c>
      <c r="BE86" s="28" t="str">
        <f t="shared" si="57"/>
        <v>00:00</v>
      </c>
      <c r="BF86" s="29"/>
      <c r="BG86" s="27"/>
      <c r="BH86" s="27"/>
      <c r="BI86" s="28" t="str">
        <f>IFERROR(VLOOKUP(BG86,Horarios!$H:$I,2,0),"")</f>
        <v/>
      </c>
      <c r="BJ86" s="28" t="str">
        <f>IFERROR(VLOOKUP(BH86,Horarios!$H:$I,2,0),"")</f>
        <v/>
      </c>
      <c r="BK86" s="28" t="str">
        <f t="shared" si="58"/>
        <v>00:00</v>
      </c>
      <c r="BL86" s="29"/>
      <c r="BM86" s="27"/>
      <c r="BN86" s="27"/>
      <c r="BO86" s="28" t="str">
        <f>IFERROR(VLOOKUP(BM86,Horarios!$H:$I,2,0),"")</f>
        <v/>
      </c>
      <c r="BP86" s="28" t="str">
        <f>IFERROR(VLOOKUP(BN86,Horarios!$H:$I,2,0),"")</f>
        <v/>
      </c>
      <c r="BQ86" s="28" t="str">
        <f t="shared" si="59"/>
        <v>00:00</v>
      </c>
      <c r="BR86" s="29"/>
      <c r="BS86" s="27"/>
      <c r="BT86" s="27"/>
      <c r="BU86" s="28" t="str">
        <f>IFERROR(VLOOKUP(BS86,Horarios!$H:$I,2,0),"")</f>
        <v/>
      </c>
      <c r="BV86" s="28" t="str">
        <f>IFERROR(VLOOKUP(BT86,Horarios!$H:$I,2,0),"")</f>
        <v/>
      </c>
      <c r="BW86" s="28" t="str">
        <f t="shared" si="60"/>
        <v>00:00</v>
      </c>
      <c r="BX86" s="29"/>
      <c r="BY86" s="27"/>
      <c r="BZ86" s="27"/>
      <c r="CA86" s="28" t="str">
        <f>IFERROR(VLOOKUP(BY86,Horarios!$H:$I,2,0),"")</f>
        <v/>
      </c>
      <c r="CB86" s="28" t="str">
        <f>IFERROR(VLOOKUP(BZ86,Horarios!$H:$I,2,0),"")</f>
        <v/>
      </c>
      <c r="CC86" s="28" t="str">
        <f t="shared" si="61"/>
        <v>00:00</v>
      </c>
      <c r="CD86" s="29"/>
      <c r="CE86" s="27"/>
      <c r="CF86" s="27"/>
      <c r="CG86" s="28" t="str">
        <f>IFERROR(VLOOKUP(CE86,Horarios!$H:$I,2,0),"")</f>
        <v/>
      </c>
      <c r="CH86" s="28" t="str">
        <f>IFERROR(VLOOKUP(CF86,Horarios!$H:$I,2,0),"")</f>
        <v/>
      </c>
      <c r="CI86" s="28" t="str">
        <f t="shared" si="62"/>
        <v>00:00</v>
      </c>
      <c r="CJ86" s="29"/>
      <c r="CK86" s="31" t="str">
        <f t="shared" si="63"/>
        <v/>
      </c>
      <c r="CL86" s="27"/>
      <c r="CM86" s="27"/>
      <c r="CN86" s="28" t="str">
        <f>IFERROR(VLOOKUP(CL86,Horarios!$H:$I,2,0),"")</f>
        <v/>
      </c>
      <c r="CO86" s="28" t="str">
        <f>IFERROR(VLOOKUP(CM86,Horarios!$H:$I,2,0),"")</f>
        <v/>
      </c>
      <c r="CP86" s="28" t="str">
        <f t="shared" si="64"/>
        <v>00:00</v>
      </c>
      <c r="CQ86" s="29"/>
      <c r="CR86" s="27"/>
      <c r="CS86" s="27"/>
      <c r="CT86" s="28" t="str">
        <f>IFERROR(VLOOKUP(CR86,Horarios!$H:$I,2,0),"")</f>
        <v/>
      </c>
      <c r="CU86" s="28" t="str">
        <f>IFERROR(VLOOKUP(CS86,Horarios!$H:$I,2,0),"")</f>
        <v/>
      </c>
      <c r="CV86" s="28" t="str">
        <f t="shared" si="65"/>
        <v>00:00</v>
      </c>
      <c r="CW86" s="29"/>
      <c r="CX86" s="27"/>
      <c r="CY86" s="27"/>
      <c r="CZ86" s="28" t="str">
        <f>IFERROR(VLOOKUP(CX86,Horarios!$H:$I,2,0),"")</f>
        <v/>
      </c>
      <c r="DA86" s="28" t="str">
        <f>IFERROR(VLOOKUP(CY86,Horarios!$H:$I,2,0),"")</f>
        <v/>
      </c>
      <c r="DB86" s="28" t="str">
        <f t="shared" si="66"/>
        <v>00:00</v>
      </c>
      <c r="DC86" s="29"/>
      <c r="DD86" s="27"/>
      <c r="DE86" s="27"/>
      <c r="DF86" s="28" t="str">
        <f>IFERROR(VLOOKUP(DD86,Horarios!$H:$I,2,0),"")</f>
        <v/>
      </c>
      <c r="DG86" s="28" t="str">
        <f>IFERROR(VLOOKUP(DE86,Horarios!$H:$I,2,0),"")</f>
        <v/>
      </c>
      <c r="DH86" s="28" t="str">
        <f t="shared" si="67"/>
        <v>00:00</v>
      </c>
      <c r="DI86" s="29"/>
      <c r="DJ86" s="27"/>
      <c r="DK86" s="27"/>
      <c r="DL86" s="28" t="str">
        <f>IFERROR(VLOOKUP(DJ86,Horarios!$H:$I,2,0),"")</f>
        <v/>
      </c>
      <c r="DM86" s="28" t="str">
        <f>IFERROR(VLOOKUP(DK86,Horarios!$H:$I,2,0),"")</f>
        <v/>
      </c>
      <c r="DN86" s="28" t="str">
        <f t="shared" si="68"/>
        <v>00:00</v>
      </c>
      <c r="DO86" s="29"/>
      <c r="DP86" s="27"/>
      <c r="DQ86" s="27"/>
      <c r="DR86" s="28" t="str">
        <f>IFERROR(VLOOKUP(DP86,Horarios!$H:$I,2,0),"")</f>
        <v/>
      </c>
      <c r="DS86" s="28" t="str">
        <f>IFERROR(VLOOKUP(DQ86,Horarios!$H:$I,2,0),"")</f>
        <v/>
      </c>
      <c r="DT86" s="28" t="str">
        <f t="shared" si="69"/>
        <v>00:00</v>
      </c>
      <c r="DU86" s="29"/>
      <c r="DV86" s="27"/>
      <c r="DW86" s="27"/>
      <c r="DX86" s="28" t="str">
        <f>IFERROR(VLOOKUP(DV86,Horarios!$H:$I,2,0),"")</f>
        <v/>
      </c>
      <c r="DY86" s="28" t="str">
        <f>IFERROR(VLOOKUP(DW86,Horarios!$H:$I,2,0),"")</f>
        <v/>
      </c>
      <c r="DZ86" s="28" t="str">
        <f t="shared" si="70"/>
        <v>00:00</v>
      </c>
      <c r="EA86" s="29"/>
      <c r="EB86" s="31" t="str">
        <f t="shared" si="71"/>
        <v/>
      </c>
      <c r="EC86" s="27"/>
      <c r="ED86" s="27"/>
      <c r="EE86" s="28" t="str">
        <f>IFERROR(VLOOKUP(EC86,Horarios!$H:$I,2,0),"")</f>
        <v/>
      </c>
      <c r="EF86" s="28" t="str">
        <f>IFERROR(VLOOKUP(ED86,Horarios!$H:$I,2,0),"")</f>
        <v/>
      </c>
      <c r="EG86" s="28" t="str">
        <f t="shared" si="72"/>
        <v>00:00</v>
      </c>
      <c r="EH86" s="29"/>
      <c r="EI86" s="27"/>
      <c r="EJ86" s="27"/>
      <c r="EK86" s="28" t="str">
        <f>IFERROR(VLOOKUP(EI86,Horarios!$H:$I,2,0),"")</f>
        <v/>
      </c>
      <c r="EL86" s="28" t="str">
        <f>IFERROR(VLOOKUP(EJ86,Horarios!$H:$I,2,0),"")</f>
        <v/>
      </c>
      <c r="EM86" s="28" t="str">
        <f t="shared" si="73"/>
        <v>00:00</v>
      </c>
      <c r="EN86" s="29"/>
      <c r="EO86" s="27"/>
      <c r="EP86" s="27"/>
      <c r="EQ86" s="28" t="str">
        <f>IFERROR(VLOOKUP(EO86,Horarios!$H:$I,2,0),"")</f>
        <v/>
      </c>
      <c r="ER86" s="28" t="str">
        <f>IFERROR(VLOOKUP(EP86,Horarios!$H:$I,2,0),"")</f>
        <v/>
      </c>
      <c r="ES86" s="28" t="str">
        <f t="shared" si="74"/>
        <v>00:00</v>
      </c>
      <c r="ET86" s="29"/>
      <c r="EU86" s="27"/>
      <c r="EV86" s="27"/>
      <c r="EW86" s="28" t="str">
        <f>IFERROR(VLOOKUP(EU86,Horarios!$H:$I,2,0),"")</f>
        <v/>
      </c>
      <c r="EX86" s="28" t="str">
        <f>IFERROR(VLOOKUP(EV86,Horarios!$H:$I,2,0),"")</f>
        <v/>
      </c>
      <c r="EY86" s="28" t="str">
        <f t="shared" si="75"/>
        <v>00:00</v>
      </c>
      <c r="EZ86" s="29"/>
      <c r="FA86" s="27"/>
      <c r="FB86" s="27"/>
      <c r="FC86" s="28" t="str">
        <f>IFERROR(VLOOKUP(FA86,Horarios!$H:$I,2,0),"")</f>
        <v/>
      </c>
      <c r="FD86" s="28" t="str">
        <f>IFERROR(VLOOKUP(FB86,Horarios!$H:$I,2,0),"")</f>
        <v/>
      </c>
      <c r="FE86" s="28" t="str">
        <f t="shared" si="76"/>
        <v>00:00</v>
      </c>
      <c r="FF86" s="29"/>
      <c r="FG86" s="27"/>
      <c r="FH86" s="27"/>
      <c r="FI86" s="28" t="str">
        <f>IFERROR(VLOOKUP(FG86,Horarios!$H:$I,2,0),"")</f>
        <v/>
      </c>
      <c r="FJ86" s="28" t="str">
        <f>IFERROR(VLOOKUP(FH86,Horarios!$H:$I,2,0),"")</f>
        <v/>
      </c>
      <c r="FK86" s="28" t="str">
        <f t="shared" si="77"/>
        <v>00:00</v>
      </c>
      <c r="FL86" s="29"/>
      <c r="FM86" s="27"/>
      <c r="FN86" s="27"/>
      <c r="FO86" s="28" t="str">
        <f>IFERROR(VLOOKUP(FM86,Horarios!$H:$I,2,0),"")</f>
        <v/>
      </c>
      <c r="FP86" s="28" t="str">
        <f>IFERROR(VLOOKUP(FN86,Horarios!$H:$I,2,0),"")</f>
        <v/>
      </c>
      <c r="FQ86" s="28" t="str">
        <f t="shared" si="78"/>
        <v>00:00</v>
      </c>
      <c r="FR86" s="29"/>
      <c r="FS86" s="31" t="str">
        <f t="shared" si="79"/>
        <v/>
      </c>
      <c r="FT86" s="27"/>
      <c r="FU86" s="27"/>
      <c r="FV86" s="28" t="str">
        <f>IFERROR(VLOOKUP(FT86,Horarios!$H:$I,2,0),"")</f>
        <v/>
      </c>
      <c r="FW86" s="28" t="str">
        <f>IFERROR(VLOOKUP(FU86,Horarios!$H:$I,2,0),"")</f>
        <v/>
      </c>
      <c r="FX86" s="28" t="str">
        <f t="shared" si="80"/>
        <v>00:00</v>
      </c>
      <c r="FY86" s="29"/>
      <c r="FZ86" s="27"/>
      <c r="GA86" s="27"/>
      <c r="GB86" s="28" t="str">
        <f>IFERROR(VLOOKUP(FZ86,Horarios!$H:$I,2,0),"")</f>
        <v/>
      </c>
      <c r="GC86" s="28" t="str">
        <f>IFERROR(VLOOKUP(GA86,Horarios!$H:$I,2,0),"")</f>
        <v/>
      </c>
      <c r="GD86" s="28" t="str">
        <f t="shared" si="81"/>
        <v>00:00</v>
      </c>
      <c r="GE86" s="29"/>
      <c r="GF86" s="27"/>
      <c r="GG86" s="27"/>
      <c r="GH86" s="28" t="str">
        <f>IFERROR(VLOOKUP(GF86,Horarios!$H:$I,2,0),"")</f>
        <v/>
      </c>
      <c r="GI86" s="28" t="str">
        <f>IFERROR(VLOOKUP(GG86,Horarios!$H:$I,2,0),"")</f>
        <v/>
      </c>
      <c r="GJ86" s="28" t="str">
        <f t="shared" si="82"/>
        <v>00:00</v>
      </c>
      <c r="GK86" s="29"/>
      <c r="GL86" s="27"/>
      <c r="GM86" s="27"/>
      <c r="GN86" s="28" t="str">
        <f>IFERROR(VLOOKUP(GL86,Horarios!$H:$I,2,0),"")</f>
        <v/>
      </c>
      <c r="GO86" s="28" t="str">
        <f>IFERROR(VLOOKUP(GM86,Horarios!$H:$I,2,0),"")</f>
        <v/>
      </c>
      <c r="GP86" s="28" t="str">
        <f t="shared" si="83"/>
        <v>00:00</v>
      </c>
      <c r="GQ86" s="29"/>
      <c r="GR86" s="27"/>
      <c r="GS86" s="27"/>
      <c r="GT86" s="28" t="str">
        <f>IFERROR(VLOOKUP(GR86,Horarios!$H:$I,2,0),"")</f>
        <v/>
      </c>
      <c r="GU86" s="28" t="str">
        <f>IFERROR(VLOOKUP(GS86,Horarios!$H:$I,2,0),"")</f>
        <v/>
      </c>
      <c r="GV86" s="28" t="str">
        <f t="shared" si="84"/>
        <v>00:00</v>
      </c>
      <c r="GW86" s="29"/>
      <c r="GX86" s="27"/>
      <c r="GY86" s="27"/>
      <c r="GZ86" s="28" t="str">
        <f>IFERROR(VLOOKUP(GX86,Horarios!$H:$I,2,0),"")</f>
        <v/>
      </c>
      <c r="HA86" s="28" t="str">
        <f>IFERROR(VLOOKUP(GY86,Horarios!$H:$I,2,0),"")</f>
        <v/>
      </c>
      <c r="HB86" s="28" t="str">
        <f t="shared" si="85"/>
        <v>00:00</v>
      </c>
      <c r="HC86" s="29"/>
      <c r="HD86" s="27"/>
      <c r="HE86" s="27"/>
      <c r="HF86" s="28" t="str">
        <f>IFERROR(VLOOKUP(HD86,Horarios!$H:$I,2,0),"")</f>
        <v/>
      </c>
      <c r="HG86" s="28" t="str">
        <f>IFERROR(VLOOKUP(HE86,Horarios!$H:$I,2,0),"")</f>
        <v/>
      </c>
      <c r="HH86" s="28" t="str">
        <f t="shared" si="86"/>
        <v>00:00</v>
      </c>
      <c r="HI86" s="29"/>
      <c r="HJ86" s="31" t="str">
        <f t="shared" si="87"/>
        <v/>
      </c>
      <c r="HK86" s="27"/>
      <c r="HL86" s="27"/>
      <c r="HM86" s="28" t="str">
        <f>IFERROR(VLOOKUP(HK86,Horarios!$H:$I,2,0),"")</f>
        <v/>
      </c>
      <c r="HN86" s="28" t="str">
        <f>IFERROR(VLOOKUP(HL86,Horarios!$H:$I,2,0),"")</f>
        <v/>
      </c>
      <c r="HO86" s="28" t="str">
        <f t="shared" si="88"/>
        <v>00:00</v>
      </c>
      <c r="HP86" s="29"/>
      <c r="HQ86" s="27"/>
      <c r="HR86" s="27"/>
      <c r="HS86" s="28" t="str">
        <f>IFERROR(VLOOKUP(HQ86,Horarios!$H:$I,2,0),"")</f>
        <v/>
      </c>
      <c r="HT86" s="28" t="str">
        <f>IFERROR(VLOOKUP(HR86,Horarios!$H:$I,2,0),"")</f>
        <v/>
      </c>
      <c r="HU86" s="28" t="str">
        <f t="shared" si="89"/>
        <v>00:00</v>
      </c>
      <c r="HV86" s="29"/>
      <c r="HW86" s="27"/>
      <c r="HX86" s="27"/>
      <c r="HY86" s="28" t="str">
        <f>IFERROR(VLOOKUP(HW86,Horarios!$H:$I,2,0),"")</f>
        <v/>
      </c>
      <c r="HZ86" s="28" t="str">
        <f>IFERROR(VLOOKUP(HX86,Horarios!$H:$I,2,0),"")</f>
        <v/>
      </c>
      <c r="IA86" s="28" t="str">
        <f t="shared" si="90"/>
        <v>00:00</v>
      </c>
      <c r="IB86" s="29"/>
      <c r="IC86" s="27"/>
      <c r="ID86" s="27"/>
      <c r="IE86" s="28" t="str">
        <f>IFERROR(VLOOKUP(IC86,Horarios!$H:$I,2,0),"")</f>
        <v/>
      </c>
      <c r="IF86" s="28" t="str">
        <f>IFERROR(VLOOKUP(ID86,Horarios!$H:$I,2,0),"")</f>
        <v/>
      </c>
      <c r="IG86" s="28" t="str">
        <f t="shared" si="91"/>
        <v>00:00</v>
      </c>
      <c r="IH86" s="29"/>
      <c r="II86" s="27"/>
      <c r="IJ86" s="27"/>
      <c r="IK86" s="28" t="str">
        <f>IFERROR(VLOOKUP(II86,Horarios!$H:$I,2,0),"")</f>
        <v/>
      </c>
      <c r="IL86" s="28" t="str">
        <f>IFERROR(VLOOKUP(IJ86,Horarios!$H:$I,2,0),"")</f>
        <v/>
      </c>
      <c r="IM86" s="28" t="str">
        <f t="shared" si="92"/>
        <v>00:00</v>
      </c>
      <c r="IN86" s="29"/>
      <c r="IO86" s="27"/>
      <c r="IP86" s="27"/>
      <c r="IQ86" s="28" t="str">
        <f>IFERROR(VLOOKUP(IO86,Horarios!$H:$I,2,0),"")</f>
        <v/>
      </c>
      <c r="IR86" s="28" t="str">
        <f>IFERROR(VLOOKUP(IP86,Horarios!$H:$I,2,0),"")</f>
        <v/>
      </c>
      <c r="IS86" s="28" t="str">
        <f t="shared" si="93"/>
        <v>00:00</v>
      </c>
      <c r="IT86" s="29"/>
      <c r="IU86" s="27"/>
      <c r="IV86" s="27"/>
      <c r="IW86" s="28" t="str">
        <f>IFERROR(VLOOKUP(IU86,Horarios!$H:$I,2,0),"")</f>
        <v/>
      </c>
      <c r="IX86" s="28" t="str">
        <f>IFERROR(VLOOKUP(IV86,Horarios!$H:$I,2,0),"")</f>
        <v/>
      </c>
      <c r="IY86" s="28" t="str">
        <f t="shared" si="94"/>
        <v>00:00</v>
      </c>
      <c r="IZ86" s="29"/>
      <c r="JA86" s="31" t="str">
        <f t="shared" si="95"/>
        <v/>
      </c>
    </row>
    <row r="87" spans="1:261" s="24" customFormat="1" ht="17.399999999999999" x14ac:dyDescent="0.25">
      <c r="A87" s="25"/>
      <c r="B87" s="26" t="str">
        <f>IFERROR(VLOOKUP(A87,BaseNombres!A:B,2,0),"")</f>
        <v/>
      </c>
      <c r="C87" s="26" t="str">
        <f>IFERROR(VLOOKUP(A87,BaseNombres!A:C,3,0),"")</f>
        <v/>
      </c>
      <c r="D87" s="27"/>
      <c r="E87" s="27"/>
      <c r="F87" s="28" t="str">
        <f>IFERROR(VLOOKUP(D87,Horarios!$H:$I,2,0),"")</f>
        <v/>
      </c>
      <c r="G87" s="28" t="str">
        <f>IFERROR(VLOOKUP(E87,Horarios!$H:$I,2,0),"")</f>
        <v/>
      </c>
      <c r="H87" s="28" t="str">
        <f t="shared" si="48"/>
        <v>00:00</v>
      </c>
      <c r="I87" s="29"/>
      <c r="J87" s="27"/>
      <c r="K87" s="27"/>
      <c r="L87" s="28" t="str">
        <f>IFERROR(VLOOKUP(J87,Horarios!$H:$I,2,0),"")</f>
        <v/>
      </c>
      <c r="M87" s="28" t="str">
        <f>IFERROR(VLOOKUP(K87,Horarios!$H:$I,2,0),"")</f>
        <v/>
      </c>
      <c r="N87" s="28" t="str">
        <f t="shared" si="49"/>
        <v>00:00</v>
      </c>
      <c r="O87" s="29"/>
      <c r="P87" s="27"/>
      <c r="Q87" s="27"/>
      <c r="R87" s="28" t="str">
        <f>IFERROR(VLOOKUP(P87,Horarios!$H:$I,2,0),"")</f>
        <v/>
      </c>
      <c r="S87" s="28" t="str">
        <f>IFERROR(VLOOKUP(Q87,Horarios!$H:$I,2,0),"")</f>
        <v/>
      </c>
      <c r="T87" s="28" t="str">
        <f t="shared" si="50"/>
        <v>00:00</v>
      </c>
      <c r="U87" s="29"/>
      <c r="V87" s="27"/>
      <c r="W87" s="27"/>
      <c r="X87" s="28" t="str">
        <f>IFERROR(VLOOKUP(V87,Horarios!$H:$I,2,0),"")</f>
        <v/>
      </c>
      <c r="Y87" s="28" t="str">
        <f>IFERROR(VLOOKUP(W87,Horarios!$H:$I,2,0),"")</f>
        <v/>
      </c>
      <c r="Z87" s="28" t="str">
        <f t="shared" si="51"/>
        <v>00:00</v>
      </c>
      <c r="AA87" s="29"/>
      <c r="AB87" s="27"/>
      <c r="AC87" s="27"/>
      <c r="AD87" s="28" t="str">
        <f>IFERROR(VLOOKUP(AB87,Horarios!$H:$I,2,0),"")</f>
        <v/>
      </c>
      <c r="AE87" s="28" t="str">
        <f>IFERROR(VLOOKUP(AC87,Horarios!$H:$I,2,0),"")</f>
        <v/>
      </c>
      <c r="AF87" s="28" t="str">
        <f t="shared" si="52"/>
        <v>00:00</v>
      </c>
      <c r="AG87" s="29"/>
      <c r="AH87" s="27"/>
      <c r="AI87" s="27"/>
      <c r="AJ87" s="28" t="str">
        <f>IFERROR(VLOOKUP(AH87,Horarios!$H:$I,2,0),"")</f>
        <v/>
      </c>
      <c r="AK87" s="28" t="str">
        <f>IFERROR(VLOOKUP(AI87,Horarios!$H:$I,2,0),"")</f>
        <v/>
      </c>
      <c r="AL87" s="28" t="str">
        <f t="shared" si="53"/>
        <v>00:00</v>
      </c>
      <c r="AM87" s="29"/>
      <c r="AN87" s="27"/>
      <c r="AO87" s="27"/>
      <c r="AP87" s="28" t="str">
        <f>IFERROR(VLOOKUP(AN87,Horarios!$H:$I,2,0),"")</f>
        <v/>
      </c>
      <c r="AQ87" s="28" t="str">
        <f>IFERROR(VLOOKUP(AO87,Horarios!$H:$I,2,0),"")</f>
        <v/>
      </c>
      <c r="AR87" s="28" t="str">
        <f t="shared" si="54"/>
        <v>00:00</v>
      </c>
      <c r="AS87" s="29"/>
      <c r="AT87" s="31" t="str">
        <f t="shared" si="55"/>
        <v/>
      </c>
      <c r="AU87" s="27"/>
      <c r="AV87" s="27"/>
      <c r="AW87" s="28" t="str">
        <f>IFERROR(VLOOKUP(AU87,Horarios!$H:$I,2,0),"")</f>
        <v/>
      </c>
      <c r="AX87" s="28" t="str">
        <f>IFERROR(VLOOKUP(AV87,Horarios!$H:$I,2,0),"")</f>
        <v/>
      </c>
      <c r="AY87" s="28" t="str">
        <f t="shared" si="56"/>
        <v>00:00</v>
      </c>
      <c r="AZ87" s="29"/>
      <c r="BA87" s="27"/>
      <c r="BB87" s="27"/>
      <c r="BC87" s="28" t="str">
        <f>IFERROR(VLOOKUP(BA87,Horarios!$H:$I,2,0),"")</f>
        <v/>
      </c>
      <c r="BD87" s="28" t="str">
        <f>IFERROR(VLOOKUP(BB87,Horarios!$H:$I,2,0),"")</f>
        <v/>
      </c>
      <c r="BE87" s="28" t="str">
        <f t="shared" si="57"/>
        <v>00:00</v>
      </c>
      <c r="BF87" s="29"/>
      <c r="BG87" s="27"/>
      <c r="BH87" s="27"/>
      <c r="BI87" s="28" t="str">
        <f>IFERROR(VLOOKUP(BG87,Horarios!$H:$I,2,0),"")</f>
        <v/>
      </c>
      <c r="BJ87" s="28" t="str">
        <f>IFERROR(VLOOKUP(BH87,Horarios!$H:$I,2,0),"")</f>
        <v/>
      </c>
      <c r="BK87" s="28" t="str">
        <f t="shared" si="58"/>
        <v>00:00</v>
      </c>
      <c r="BL87" s="29"/>
      <c r="BM87" s="27"/>
      <c r="BN87" s="27"/>
      <c r="BO87" s="28" t="str">
        <f>IFERROR(VLOOKUP(BM87,Horarios!$H:$I,2,0),"")</f>
        <v/>
      </c>
      <c r="BP87" s="28" t="str">
        <f>IFERROR(VLOOKUP(BN87,Horarios!$H:$I,2,0),"")</f>
        <v/>
      </c>
      <c r="BQ87" s="28" t="str">
        <f t="shared" si="59"/>
        <v>00:00</v>
      </c>
      <c r="BR87" s="29"/>
      <c r="BS87" s="27"/>
      <c r="BT87" s="27"/>
      <c r="BU87" s="28" t="str">
        <f>IFERROR(VLOOKUP(BS87,Horarios!$H:$I,2,0),"")</f>
        <v/>
      </c>
      <c r="BV87" s="28" t="str">
        <f>IFERROR(VLOOKUP(BT87,Horarios!$H:$I,2,0),"")</f>
        <v/>
      </c>
      <c r="BW87" s="28" t="str">
        <f t="shared" si="60"/>
        <v>00:00</v>
      </c>
      <c r="BX87" s="29"/>
      <c r="BY87" s="27"/>
      <c r="BZ87" s="27"/>
      <c r="CA87" s="28" t="str">
        <f>IFERROR(VLOOKUP(BY87,Horarios!$H:$I,2,0),"")</f>
        <v/>
      </c>
      <c r="CB87" s="28" t="str">
        <f>IFERROR(VLOOKUP(BZ87,Horarios!$H:$I,2,0),"")</f>
        <v/>
      </c>
      <c r="CC87" s="28" t="str">
        <f t="shared" si="61"/>
        <v>00:00</v>
      </c>
      <c r="CD87" s="29"/>
      <c r="CE87" s="27"/>
      <c r="CF87" s="27"/>
      <c r="CG87" s="28" t="str">
        <f>IFERROR(VLOOKUP(CE87,Horarios!$H:$I,2,0),"")</f>
        <v/>
      </c>
      <c r="CH87" s="28" t="str">
        <f>IFERROR(VLOOKUP(CF87,Horarios!$H:$I,2,0),"")</f>
        <v/>
      </c>
      <c r="CI87" s="28" t="str">
        <f t="shared" si="62"/>
        <v>00:00</v>
      </c>
      <c r="CJ87" s="29"/>
      <c r="CK87" s="31" t="str">
        <f t="shared" si="63"/>
        <v/>
      </c>
      <c r="CL87" s="27"/>
      <c r="CM87" s="27"/>
      <c r="CN87" s="28" t="str">
        <f>IFERROR(VLOOKUP(CL87,Horarios!$H:$I,2,0),"")</f>
        <v/>
      </c>
      <c r="CO87" s="28" t="str">
        <f>IFERROR(VLOOKUP(CM87,Horarios!$H:$I,2,0),"")</f>
        <v/>
      </c>
      <c r="CP87" s="28" t="str">
        <f t="shared" si="64"/>
        <v>00:00</v>
      </c>
      <c r="CQ87" s="29"/>
      <c r="CR87" s="27"/>
      <c r="CS87" s="27"/>
      <c r="CT87" s="28" t="str">
        <f>IFERROR(VLOOKUP(CR87,Horarios!$H:$I,2,0),"")</f>
        <v/>
      </c>
      <c r="CU87" s="28" t="str">
        <f>IFERROR(VLOOKUP(CS87,Horarios!$H:$I,2,0),"")</f>
        <v/>
      </c>
      <c r="CV87" s="28" t="str">
        <f t="shared" si="65"/>
        <v>00:00</v>
      </c>
      <c r="CW87" s="29"/>
      <c r="CX87" s="27"/>
      <c r="CY87" s="27"/>
      <c r="CZ87" s="28" t="str">
        <f>IFERROR(VLOOKUP(CX87,Horarios!$H:$I,2,0),"")</f>
        <v/>
      </c>
      <c r="DA87" s="28" t="str">
        <f>IFERROR(VLOOKUP(CY87,Horarios!$H:$I,2,0),"")</f>
        <v/>
      </c>
      <c r="DB87" s="28" t="str">
        <f t="shared" si="66"/>
        <v>00:00</v>
      </c>
      <c r="DC87" s="29"/>
      <c r="DD87" s="27"/>
      <c r="DE87" s="27"/>
      <c r="DF87" s="28" t="str">
        <f>IFERROR(VLOOKUP(DD87,Horarios!$H:$I,2,0),"")</f>
        <v/>
      </c>
      <c r="DG87" s="28" t="str">
        <f>IFERROR(VLOOKUP(DE87,Horarios!$H:$I,2,0),"")</f>
        <v/>
      </c>
      <c r="DH87" s="28" t="str">
        <f t="shared" si="67"/>
        <v>00:00</v>
      </c>
      <c r="DI87" s="29"/>
      <c r="DJ87" s="27"/>
      <c r="DK87" s="27"/>
      <c r="DL87" s="28" t="str">
        <f>IFERROR(VLOOKUP(DJ87,Horarios!$H:$I,2,0),"")</f>
        <v/>
      </c>
      <c r="DM87" s="28" t="str">
        <f>IFERROR(VLOOKUP(DK87,Horarios!$H:$I,2,0),"")</f>
        <v/>
      </c>
      <c r="DN87" s="28" t="str">
        <f t="shared" si="68"/>
        <v>00:00</v>
      </c>
      <c r="DO87" s="29"/>
      <c r="DP87" s="27"/>
      <c r="DQ87" s="27"/>
      <c r="DR87" s="28" t="str">
        <f>IFERROR(VLOOKUP(DP87,Horarios!$H:$I,2,0),"")</f>
        <v/>
      </c>
      <c r="DS87" s="28" t="str">
        <f>IFERROR(VLOOKUP(DQ87,Horarios!$H:$I,2,0),"")</f>
        <v/>
      </c>
      <c r="DT87" s="28" t="str">
        <f t="shared" si="69"/>
        <v>00:00</v>
      </c>
      <c r="DU87" s="29"/>
      <c r="DV87" s="27"/>
      <c r="DW87" s="27"/>
      <c r="DX87" s="28" t="str">
        <f>IFERROR(VLOOKUP(DV87,Horarios!$H:$I,2,0),"")</f>
        <v/>
      </c>
      <c r="DY87" s="28" t="str">
        <f>IFERROR(VLOOKUP(DW87,Horarios!$H:$I,2,0),"")</f>
        <v/>
      </c>
      <c r="DZ87" s="28" t="str">
        <f t="shared" si="70"/>
        <v>00:00</v>
      </c>
      <c r="EA87" s="29"/>
      <c r="EB87" s="31" t="str">
        <f t="shared" si="71"/>
        <v/>
      </c>
      <c r="EC87" s="27"/>
      <c r="ED87" s="27"/>
      <c r="EE87" s="28" t="str">
        <f>IFERROR(VLOOKUP(EC87,Horarios!$H:$I,2,0),"")</f>
        <v/>
      </c>
      <c r="EF87" s="28" t="str">
        <f>IFERROR(VLOOKUP(ED87,Horarios!$H:$I,2,0),"")</f>
        <v/>
      </c>
      <c r="EG87" s="28" t="str">
        <f t="shared" si="72"/>
        <v>00:00</v>
      </c>
      <c r="EH87" s="29"/>
      <c r="EI87" s="27"/>
      <c r="EJ87" s="27"/>
      <c r="EK87" s="28" t="str">
        <f>IFERROR(VLOOKUP(EI87,Horarios!$H:$I,2,0),"")</f>
        <v/>
      </c>
      <c r="EL87" s="28" t="str">
        <f>IFERROR(VLOOKUP(EJ87,Horarios!$H:$I,2,0),"")</f>
        <v/>
      </c>
      <c r="EM87" s="28" t="str">
        <f t="shared" si="73"/>
        <v>00:00</v>
      </c>
      <c r="EN87" s="29"/>
      <c r="EO87" s="27"/>
      <c r="EP87" s="27"/>
      <c r="EQ87" s="28" t="str">
        <f>IFERROR(VLOOKUP(EO87,Horarios!$H:$I,2,0),"")</f>
        <v/>
      </c>
      <c r="ER87" s="28" t="str">
        <f>IFERROR(VLOOKUP(EP87,Horarios!$H:$I,2,0),"")</f>
        <v/>
      </c>
      <c r="ES87" s="28" t="str">
        <f t="shared" si="74"/>
        <v>00:00</v>
      </c>
      <c r="ET87" s="29"/>
      <c r="EU87" s="27"/>
      <c r="EV87" s="27"/>
      <c r="EW87" s="28" t="str">
        <f>IFERROR(VLOOKUP(EU87,Horarios!$H:$I,2,0),"")</f>
        <v/>
      </c>
      <c r="EX87" s="28" t="str">
        <f>IFERROR(VLOOKUP(EV87,Horarios!$H:$I,2,0),"")</f>
        <v/>
      </c>
      <c r="EY87" s="28" t="str">
        <f t="shared" si="75"/>
        <v>00:00</v>
      </c>
      <c r="EZ87" s="29"/>
      <c r="FA87" s="27"/>
      <c r="FB87" s="27"/>
      <c r="FC87" s="28" t="str">
        <f>IFERROR(VLOOKUP(FA87,Horarios!$H:$I,2,0),"")</f>
        <v/>
      </c>
      <c r="FD87" s="28" t="str">
        <f>IFERROR(VLOOKUP(FB87,Horarios!$H:$I,2,0),"")</f>
        <v/>
      </c>
      <c r="FE87" s="28" t="str">
        <f t="shared" si="76"/>
        <v>00:00</v>
      </c>
      <c r="FF87" s="29"/>
      <c r="FG87" s="27"/>
      <c r="FH87" s="27"/>
      <c r="FI87" s="28" t="str">
        <f>IFERROR(VLOOKUP(FG87,Horarios!$H:$I,2,0),"")</f>
        <v/>
      </c>
      <c r="FJ87" s="28" t="str">
        <f>IFERROR(VLOOKUP(FH87,Horarios!$H:$I,2,0),"")</f>
        <v/>
      </c>
      <c r="FK87" s="28" t="str">
        <f t="shared" si="77"/>
        <v>00:00</v>
      </c>
      <c r="FL87" s="29"/>
      <c r="FM87" s="27"/>
      <c r="FN87" s="27"/>
      <c r="FO87" s="28" t="str">
        <f>IFERROR(VLOOKUP(FM87,Horarios!$H:$I,2,0),"")</f>
        <v/>
      </c>
      <c r="FP87" s="28" t="str">
        <f>IFERROR(VLOOKUP(FN87,Horarios!$H:$I,2,0),"")</f>
        <v/>
      </c>
      <c r="FQ87" s="28" t="str">
        <f t="shared" si="78"/>
        <v>00:00</v>
      </c>
      <c r="FR87" s="29"/>
      <c r="FS87" s="31" t="str">
        <f t="shared" si="79"/>
        <v/>
      </c>
      <c r="FT87" s="27"/>
      <c r="FU87" s="27"/>
      <c r="FV87" s="28" t="str">
        <f>IFERROR(VLOOKUP(FT87,Horarios!$H:$I,2,0),"")</f>
        <v/>
      </c>
      <c r="FW87" s="28" t="str">
        <f>IFERROR(VLOOKUP(FU87,Horarios!$H:$I,2,0),"")</f>
        <v/>
      </c>
      <c r="FX87" s="28" t="str">
        <f t="shared" si="80"/>
        <v>00:00</v>
      </c>
      <c r="FY87" s="29"/>
      <c r="FZ87" s="27"/>
      <c r="GA87" s="27"/>
      <c r="GB87" s="28" t="str">
        <f>IFERROR(VLOOKUP(FZ87,Horarios!$H:$I,2,0),"")</f>
        <v/>
      </c>
      <c r="GC87" s="28" t="str">
        <f>IFERROR(VLOOKUP(GA87,Horarios!$H:$I,2,0),"")</f>
        <v/>
      </c>
      <c r="GD87" s="28" t="str">
        <f t="shared" si="81"/>
        <v>00:00</v>
      </c>
      <c r="GE87" s="29"/>
      <c r="GF87" s="27"/>
      <c r="GG87" s="27"/>
      <c r="GH87" s="28" t="str">
        <f>IFERROR(VLOOKUP(GF87,Horarios!$H:$I,2,0),"")</f>
        <v/>
      </c>
      <c r="GI87" s="28" t="str">
        <f>IFERROR(VLOOKUP(GG87,Horarios!$H:$I,2,0),"")</f>
        <v/>
      </c>
      <c r="GJ87" s="28" t="str">
        <f t="shared" si="82"/>
        <v>00:00</v>
      </c>
      <c r="GK87" s="29"/>
      <c r="GL87" s="27"/>
      <c r="GM87" s="27"/>
      <c r="GN87" s="28" t="str">
        <f>IFERROR(VLOOKUP(GL87,Horarios!$H:$I,2,0),"")</f>
        <v/>
      </c>
      <c r="GO87" s="28" t="str">
        <f>IFERROR(VLOOKUP(GM87,Horarios!$H:$I,2,0),"")</f>
        <v/>
      </c>
      <c r="GP87" s="28" t="str">
        <f t="shared" si="83"/>
        <v>00:00</v>
      </c>
      <c r="GQ87" s="29"/>
      <c r="GR87" s="27"/>
      <c r="GS87" s="27"/>
      <c r="GT87" s="28" t="str">
        <f>IFERROR(VLOOKUP(GR87,Horarios!$H:$I,2,0),"")</f>
        <v/>
      </c>
      <c r="GU87" s="28" t="str">
        <f>IFERROR(VLOOKUP(GS87,Horarios!$H:$I,2,0),"")</f>
        <v/>
      </c>
      <c r="GV87" s="28" t="str">
        <f t="shared" si="84"/>
        <v>00:00</v>
      </c>
      <c r="GW87" s="29"/>
      <c r="GX87" s="27"/>
      <c r="GY87" s="27"/>
      <c r="GZ87" s="28" t="str">
        <f>IFERROR(VLOOKUP(GX87,Horarios!$H:$I,2,0),"")</f>
        <v/>
      </c>
      <c r="HA87" s="28" t="str">
        <f>IFERROR(VLOOKUP(GY87,Horarios!$H:$I,2,0),"")</f>
        <v/>
      </c>
      <c r="HB87" s="28" t="str">
        <f t="shared" si="85"/>
        <v>00:00</v>
      </c>
      <c r="HC87" s="29"/>
      <c r="HD87" s="27"/>
      <c r="HE87" s="27"/>
      <c r="HF87" s="28" t="str">
        <f>IFERROR(VLOOKUP(HD87,Horarios!$H:$I,2,0),"")</f>
        <v/>
      </c>
      <c r="HG87" s="28" t="str">
        <f>IFERROR(VLOOKUP(HE87,Horarios!$H:$I,2,0),"")</f>
        <v/>
      </c>
      <c r="HH87" s="28" t="str">
        <f t="shared" si="86"/>
        <v>00:00</v>
      </c>
      <c r="HI87" s="29"/>
      <c r="HJ87" s="31" t="str">
        <f t="shared" si="87"/>
        <v/>
      </c>
      <c r="HK87" s="27"/>
      <c r="HL87" s="27"/>
      <c r="HM87" s="28" t="str">
        <f>IFERROR(VLOOKUP(HK87,Horarios!$H:$I,2,0),"")</f>
        <v/>
      </c>
      <c r="HN87" s="28" t="str">
        <f>IFERROR(VLOOKUP(HL87,Horarios!$H:$I,2,0),"")</f>
        <v/>
      </c>
      <c r="HO87" s="28" t="str">
        <f t="shared" si="88"/>
        <v>00:00</v>
      </c>
      <c r="HP87" s="29"/>
      <c r="HQ87" s="27"/>
      <c r="HR87" s="27"/>
      <c r="HS87" s="28" t="str">
        <f>IFERROR(VLOOKUP(HQ87,Horarios!$H:$I,2,0),"")</f>
        <v/>
      </c>
      <c r="HT87" s="28" t="str">
        <f>IFERROR(VLOOKUP(HR87,Horarios!$H:$I,2,0),"")</f>
        <v/>
      </c>
      <c r="HU87" s="28" t="str">
        <f t="shared" si="89"/>
        <v>00:00</v>
      </c>
      <c r="HV87" s="29"/>
      <c r="HW87" s="27"/>
      <c r="HX87" s="27"/>
      <c r="HY87" s="28" t="str">
        <f>IFERROR(VLOOKUP(HW87,Horarios!$H:$I,2,0),"")</f>
        <v/>
      </c>
      <c r="HZ87" s="28" t="str">
        <f>IFERROR(VLOOKUP(HX87,Horarios!$H:$I,2,0),"")</f>
        <v/>
      </c>
      <c r="IA87" s="28" t="str">
        <f t="shared" si="90"/>
        <v>00:00</v>
      </c>
      <c r="IB87" s="29"/>
      <c r="IC87" s="27"/>
      <c r="ID87" s="27"/>
      <c r="IE87" s="28" t="str">
        <f>IFERROR(VLOOKUP(IC87,Horarios!$H:$I,2,0),"")</f>
        <v/>
      </c>
      <c r="IF87" s="28" t="str">
        <f>IFERROR(VLOOKUP(ID87,Horarios!$H:$I,2,0),"")</f>
        <v/>
      </c>
      <c r="IG87" s="28" t="str">
        <f t="shared" si="91"/>
        <v>00:00</v>
      </c>
      <c r="IH87" s="29"/>
      <c r="II87" s="27"/>
      <c r="IJ87" s="27"/>
      <c r="IK87" s="28" t="str">
        <f>IFERROR(VLOOKUP(II87,Horarios!$H:$I,2,0),"")</f>
        <v/>
      </c>
      <c r="IL87" s="28" t="str">
        <f>IFERROR(VLOOKUP(IJ87,Horarios!$H:$I,2,0),"")</f>
        <v/>
      </c>
      <c r="IM87" s="28" t="str">
        <f t="shared" si="92"/>
        <v>00:00</v>
      </c>
      <c r="IN87" s="29"/>
      <c r="IO87" s="27"/>
      <c r="IP87" s="27"/>
      <c r="IQ87" s="28" t="str">
        <f>IFERROR(VLOOKUP(IO87,Horarios!$H:$I,2,0),"")</f>
        <v/>
      </c>
      <c r="IR87" s="28" t="str">
        <f>IFERROR(VLOOKUP(IP87,Horarios!$H:$I,2,0),"")</f>
        <v/>
      </c>
      <c r="IS87" s="28" t="str">
        <f t="shared" si="93"/>
        <v>00:00</v>
      </c>
      <c r="IT87" s="29"/>
      <c r="IU87" s="27"/>
      <c r="IV87" s="27"/>
      <c r="IW87" s="28" t="str">
        <f>IFERROR(VLOOKUP(IU87,Horarios!$H:$I,2,0),"")</f>
        <v/>
      </c>
      <c r="IX87" s="28" t="str">
        <f>IFERROR(VLOOKUP(IV87,Horarios!$H:$I,2,0),"")</f>
        <v/>
      </c>
      <c r="IY87" s="28" t="str">
        <f t="shared" si="94"/>
        <v>00:00</v>
      </c>
      <c r="IZ87" s="29"/>
      <c r="JA87" s="31" t="str">
        <f t="shared" si="95"/>
        <v/>
      </c>
    </row>
    <row r="88" spans="1:261" s="24" customFormat="1" ht="17.399999999999999" x14ac:dyDescent="0.25">
      <c r="A88" s="25"/>
      <c r="B88" s="26" t="str">
        <f>IFERROR(VLOOKUP(A88,BaseNombres!A:B,2,0),"")</f>
        <v/>
      </c>
      <c r="C88" s="26" t="str">
        <f>IFERROR(VLOOKUP(A88,BaseNombres!A:C,3,0),"")</f>
        <v/>
      </c>
      <c r="D88" s="27"/>
      <c r="E88" s="27"/>
      <c r="F88" s="28" t="str">
        <f>IFERROR(VLOOKUP(D88,Horarios!$H:$I,2,0),"")</f>
        <v/>
      </c>
      <c r="G88" s="28" t="str">
        <f>IFERROR(VLOOKUP(E88,Horarios!$H:$I,2,0),"")</f>
        <v/>
      </c>
      <c r="H88" s="28" t="str">
        <f t="shared" si="48"/>
        <v>00:00</v>
      </c>
      <c r="I88" s="29"/>
      <c r="J88" s="27"/>
      <c r="K88" s="27"/>
      <c r="L88" s="28" t="str">
        <f>IFERROR(VLOOKUP(J88,Horarios!$H:$I,2,0),"")</f>
        <v/>
      </c>
      <c r="M88" s="28" t="str">
        <f>IFERROR(VLOOKUP(K88,Horarios!$H:$I,2,0),"")</f>
        <v/>
      </c>
      <c r="N88" s="28" t="str">
        <f t="shared" si="49"/>
        <v>00:00</v>
      </c>
      <c r="O88" s="29"/>
      <c r="P88" s="27"/>
      <c r="Q88" s="27"/>
      <c r="R88" s="28" t="str">
        <f>IFERROR(VLOOKUP(P88,Horarios!$H:$I,2,0),"")</f>
        <v/>
      </c>
      <c r="S88" s="28" t="str">
        <f>IFERROR(VLOOKUP(Q88,Horarios!$H:$I,2,0),"")</f>
        <v/>
      </c>
      <c r="T88" s="28" t="str">
        <f t="shared" si="50"/>
        <v>00:00</v>
      </c>
      <c r="U88" s="29"/>
      <c r="V88" s="27"/>
      <c r="W88" s="27"/>
      <c r="X88" s="28" t="str">
        <f>IFERROR(VLOOKUP(V88,Horarios!$H:$I,2,0),"")</f>
        <v/>
      </c>
      <c r="Y88" s="28" t="str">
        <f>IFERROR(VLOOKUP(W88,Horarios!$H:$I,2,0),"")</f>
        <v/>
      </c>
      <c r="Z88" s="28" t="str">
        <f t="shared" si="51"/>
        <v>00:00</v>
      </c>
      <c r="AA88" s="29"/>
      <c r="AB88" s="27"/>
      <c r="AC88" s="27"/>
      <c r="AD88" s="28" t="str">
        <f>IFERROR(VLOOKUP(AB88,Horarios!$H:$I,2,0),"")</f>
        <v/>
      </c>
      <c r="AE88" s="28" t="str">
        <f>IFERROR(VLOOKUP(AC88,Horarios!$H:$I,2,0),"")</f>
        <v/>
      </c>
      <c r="AF88" s="28" t="str">
        <f t="shared" si="52"/>
        <v>00:00</v>
      </c>
      <c r="AG88" s="29"/>
      <c r="AH88" s="27"/>
      <c r="AI88" s="27"/>
      <c r="AJ88" s="28" t="str">
        <f>IFERROR(VLOOKUP(AH88,Horarios!$H:$I,2,0),"")</f>
        <v/>
      </c>
      <c r="AK88" s="28" t="str">
        <f>IFERROR(VLOOKUP(AI88,Horarios!$H:$I,2,0),"")</f>
        <v/>
      </c>
      <c r="AL88" s="28" t="str">
        <f t="shared" si="53"/>
        <v>00:00</v>
      </c>
      <c r="AM88" s="29"/>
      <c r="AN88" s="27"/>
      <c r="AO88" s="27"/>
      <c r="AP88" s="28" t="str">
        <f>IFERROR(VLOOKUP(AN88,Horarios!$H:$I,2,0),"")</f>
        <v/>
      </c>
      <c r="AQ88" s="28" t="str">
        <f>IFERROR(VLOOKUP(AO88,Horarios!$H:$I,2,0),"")</f>
        <v/>
      </c>
      <c r="AR88" s="28" t="str">
        <f t="shared" si="54"/>
        <v>00:00</v>
      </c>
      <c r="AS88" s="29"/>
      <c r="AT88" s="31" t="str">
        <f t="shared" si="55"/>
        <v/>
      </c>
      <c r="AU88" s="27"/>
      <c r="AV88" s="27"/>
      <c r="AW88" s="28" t="str">
        <f>IFERROR(VLOOKUP(AU88,Horarios!$H:$I,2,0),"")</f>
        <v/>
      </c>
      <c r="AX88" s="28" t="str">
        <f>IFERROR(VLOOKUP(AV88,Horarios!$H:$I,2,0),"")</f>
        <v/>
      </c>
      <c r="AY88" s="28" t="str">
        <f t="shared" si="56"/>
        <v>00:00</v>
      </c>
      <c r="AZ88" s="29"/>
      <c r="BA88" s="27"/>
      <c r="BB88" s="27"/>
      <c r="BC88" s="28" t="str">
        <f>IFERROR(VLOOKUP(BA88,Horarios!$H:$I,2,0),"")</f>
        <v/>
      </c>
      <c r="BD88" s="28" t="str">
        <f>IFERROR(VLOOKUP(BB88,Horarios!$H:$I,2,0),"")</f>
        <v/>
      </c>
      <c r="BE88" s="28" t="str">
        <f t="shared" si="57"/>
        <v>00:00</v>
      </c>
      <c r="BF88" s="29"/>
      <c r="BG88" s="27"/>
      <c r="BH88" s="27"/>
      <c r="BI88" s="28" t="str">
        <f>IFERROR(VLOOKUP(BG88,Horarios!$H:$I,2,0),"")</f>
        <v/>
      </c>
      <c r="BJ88" s="28" t="str">
        <f>IFERROR(VLOOKUP(BH88,Horarios!$H:$I,2,0),"")</f>
        <v/>
      </c>
      <c r="BK88" s="28" t="str">
        <f t="shared" si="58"/>
        <v>00:00</v>
      </c>
      <c r="BL88" s="29"/>
      <c r="BM88" s="27"/>
      <c r="BN88" s="27"/>
      <c r="BO88" s="28" t="str">
        <f>IFERROR(VLOOKUP(BM88,Horarios!$H:$I,2,0),"")</f>
        <v/>
      </c>
      <c r="BP88" s="28" t="str">
        <f>IFERROR(VLOOKUP(BN88,Horarios!$H:$I,2,0),"")</f>
        <v/>
      </c>
      <c r="BQ88" s="28" t="str">
        <f t="shared" si="59"/>
        <v>00:00</v>
      </c>
      <c r="BR88" s="29"/>
      <c r="BS88" s="27"/>
      <c r="BT88" s="27"/>
      <c r="BU88" s="28" t="str">
        <f>IFERROR(VLOOKUP(BS88,Horarios!$H:$I,2,0),"")</f>
        <v/>
      </c>
      <c r="BV88" s="28" t="str">
        <f>IFERROR(VLOOKUP(BT88,Horarios!$H:$I,2,0),"")</f>
        <v/>
      </c>
      <c r="BW88" s="28" t="str">
        <f t="shared" si="60"/>
        <v>00:00</v>
      </c>
      <c r="BX88" s="29"/>
      <c r="BY88" s="27"/>
      <c r="BZ88" s="27"/>
      <c r="CA88" s="28" t="str">
        <f>IFERROR(VLOOKUP(BY88,Horarios!$H:$I,2,0),"")</f>
        <v/>
      </c>
      <c r="CB88" s="28" t="str">
        <f>IFERROR(VLOOKUP(BZ88,Horarios!$H:$I,2,0),"")</f>
        <v/>
      </c>
      <c r="CC88" s="28" t="str">
        <f t="shared" si="61"/>
        <v>00:00</v>
      </c>
      <c r="CD88" s="29"/>
      <c r="CE88" s="27"/>
      <c r="CF88" s="27"/>
      <c r="CG88" s="28" t="str">
        <f>IFERROR(VLOOKUP(CE88,Horarios!$H:$I,2,0),"")</f>
        <v/>
      </c>
      <c r="CH88" s="28" t="str">
        <f>IFERROR(VLOOKUP(CF88,Horarios!$H:$I,2,0),"")</f>
        <v/>
      </c>
      <c r="CI88" s="28" t="str">
        <f t="shared" si="62"/>
        <v>00:00</v>
      </c>
      <c r="CJ88" s="29"/>
      <c r="CK88" s="31" t="str">
        <f t="shared" si="63"/>
        <v/>
      </c>
      <c r="CL88" s="27"/>
      <c r="CM88" s="27"/>
      <c r="CN88" s="28" t="str">
        <f>IFERROR(VLOOKUP(CL88,Horarios!$H:$I,2,0),"")</f>
        <v/>
      </c>
      <c r="CO88" s="28" t="str">
        <f>IFERROR(VLOOKUP(CM88,Horarios!$H:$I,2,0),"")</f>
        <v/>
      </c>
      <c r="CP88" s="28" t="str">
        <f t="shared" si="64"/>
        <v>00:00</v>
      </c>
      <c r="CQ88" s="29"/>
      <c r="CR88" s="27"/>
      <c r="CS88" s="27"/>
      <c r="CT88" s="28" t="str">
        <f>IFERROR(VLOOKUP(CR88,Horarios!$H:$I,2,0),"")</f>
        <v/>
      </c>
      <c r="CU88" s="28" t="str">
        <f>IFERROR(VLOOKUP(CS88,Horarios!$H:$I,2,0),"")</f>
        <v/>
      </c>
      <c r="CV88" s="28" t="str">
        <f t="shared" si="65"/>
        <v>00:00</v>
      </c>
      <c r="CW88" s="29"/>
      <c r="CX88" s="27"/>
      <c r="CY88" s="27"/>
      <c r="CZ88" s="28" t="str">
        <f>IFERROR(VLOOKUP(CX88,Horarios!$H:$I,2,0),"")</f>
        <v/>
      </c>
      <c r="DA88" s="28" t="str">
        <f>IFERROR(VLOOKUP(CY88,Horarios!$H:$I,2,0),"")</f>
        <v/>
      </c>
      <c r="DB88" s="28" t="str">
        <f t="shared" si="66"/>
        <v>00:00</v>
      </c>
      <c r="DC88" s="29"/>
      <c r="DD88" s="27"/>
      <c r="DE88" s="27"/>
      <c r="DF88" s="28" t="str">
        <f>IFERROR(VLOOKUP(DD88,Horarios!$H:$I,2,0),"")</f>
        <v/>
      </c>
      <c r="DG88" s="28" t="str">
        <f>IFERROR(VLOOKUP(DE88,Horarios!$H:$I,2,0),"")</f>
        <v/>
      </c>
      <c r="DH88" s="28" t="str">
        <f t="shared" si="67"/>
        <v>00:00</v>
      </c>
      <c r="DI88" s="29"/>
      <c r="DJ88" s="27"/>
      <c r="DK88" s="27"/>
      <c r="DL88" s="28" t="str">
        <f>IFERROR(VLOOKUP(DJ88,Horarios!$H:$I,2,0),"")</f>
        <v/>
      </c>
      <c r="DM88" s="28" t="str">
        <f>IFERROR(VLOOKUP(DK88,Horarios!$H:$I,2,0),"")</f>
        <v/>
      </c>
      <c r="DN88" s="28" t="str">
        <f t="shared" si="68"/>
        <v>00:00</v>
      </c>
      <c r="DO88" s="29"/>
      <c r="DP88" s="27"/>
      <c r="DQ88" s="27"/>
      <c r="DR88" s="28" t="str">
        <f>IFERROR(VLOOKUP(DP88,Horarios!$H:$I,2,0),"")</f>
        <v/>
      </c>
      <c r="DS88" s="28" t="str">
        <f>IFERROR(VLOOKUP(DQ88,Horarios!$H:$I,2,0),"")</f>
        <v/>
      </c>
      <c r="DT88" s="28" t="str">
        <f t="shared" si="69"/>
        <v>00:00</v>
      </c>
      <c r="DU88" s="29"/>
      <c r="DV88" s="27"/>
      <c r="DW88" s="27"/>
      <c r="DX88" s="28" t="str">
        <f>IFERROR(VLOOKUP(DV88,Horarios!$H:$I,2,0),"")</f>
        <v/>
      </c>
      <c r="DY88" s="28" t="str">
        <f>IFERROR(VLOOKUP(DW88,Horarios!$H:$I,2,0),"")</f>
        <v/>
      </c>
      <c r="DZ88" s="28" t="str">
        <f t="shared" si="70"/>
        <v>00:00</v>
      </c>
      <c r="EA88" s="29"/>
      <c r="EB88" s="31" t="str">
        <f t="shared" si="71"/>
        <v/>
      </c>
      <c r="EC88" s="27"/>
      <c r="ED88" s="27"/>
      <c r="EE88" s="28" t="str">
        <f>IFERROR(VLOOKUP(EC88,Horarios!$H:$I,2,0),"")</f>
        <v/>
      </c>
      <c r="EF88" s="28" t="str">
        <f>IFERROR(VLOOKUP(ED88,Horarios!$H:$I,2,0),"")</f>
        <v/>
      </c>
      <c r="EG88" s="28" t="str">
        <f t="shared" si="72"/>
        <v>00:00</v>
      </c>
      <c r="EH88" s="29"/>
      <c r="EI88" s="27"/>
      <c r="EJ88" s="27"/>
      <c r="EK88" s="28" t="str">
        <f>IFERROR(VLOOKUP(EI88,Horarios!$H:$I,2,0),"")</f>
        <v/>
      </c>
      <c r="EL88" s="28" t="str">
        <f>IFERROR(VLOOKUP(EJ88,Horarios!$H:$I,2,0),"")</f>
        <v/>
      </c>
      <c r="EM88" s="28" t="str">
        <f t="shared" si="73"/>
        <v>00:00</v>
      </c>
      <c r="EN88" s="29"/>
      <c r="EO88" s="27"/>
      <c r="EP88" s="27"/>
      <c r="EQ88" s="28" t="str">
        <f>IFERROR(VLOOKUP(EO88,Horarios!$H:$I,2,0),"")</f>
        <v/>
      </c>
      <c r="ER88" s="28" t="str">
        <f>IFERROR(VLOOKUP(EP88,Horarios!$H:$I,2,0),"")</f>
        <v/>
      </c>
      <c r="ES88" s="28" t="str">
        <f t="shared" si="74"/>
        <v>00:00</v>
      </c>
      <c r="ET88" s="29"/>
      <c r="EU88" s="27"/>
      <c r="EV88" s="27"/>
      <c r="EW88" s="28" t="str">
        <f>IFERROR(VLOOKUP(EU88,Horarios!$H:$I,2,0),"")</f>
        <v/>
      </c>
      <c r="EX88" s="28" t="str">
        <f>IFERROR(VLOOKUP(EV88,Horarios!$H:$I,2,0),"")</f>
        <v/>
      </c>
      <c r="EY88" s="28" t="str">
        <f t="shared" si="75"/>
        <v>00:00</v>
      </c>
      <c r="EZ88" s="29"/>
      <c r="FA88" s="27"/>
      <c r="FB88" s="27"/>
      <c r="FC88" s="28" t="str">
        <f>IFERROR(VLOOKUP(FA88,Horarios!$H:$I,2,0),"")</f>
        <v/>
      </c>
      <c r="FD88" s="28" t="str">
        <f>IFERROR(VLOOKUP(FB88,Horarios!$H:$I,2,0),"")</f>
        <v/>
      </c>
      <c r="FE88" s="28" t="str">
        <f t="shared" si="76"/>
        <v>00:00</v>
      </c>
      <c r="FF88" s="29"/>
      <c r="FG88" s="27"/>
      <c r="FH88" s="27"/>
      <c r="FI88" s="28" t="str">
        <f>IFERROR(VLOOKUP(FG88,Horarios!$H:$I,2,0),"")</f>
        <v/>
      </c>
      <c r="FJ88" s="28" t="str">
        <f>IFERROR(VLOOKUP(FH88,Horarios!$H:$I,2,0),"")</f>
        <v/>
      </c>
      <c r="FK88" s="28" t="str">
        <f t="shared" si="77"/>
        <v>00:00</v>
      </c>
      <c r="FL88" s="29"/>
      <c r="FM88" s="27"/>
      <c r="FN88" s="27"/>
      <c r="FO88" s="28" t="str">
        <f>IFERROR(VLOOKUP(FM88,Horarios!$H:$I,2,0),"")</f>
        <v/>
      </c>
      <c r="FP88" s="28" t="str">
        <f>IFERROR(VLOOKUP(FN88,Horarios!$H:$I,2,0),"")</f>
        <v/>
      </c>
      <c r="FQ88" s="28" t="str">
        <f t="shared" si="78"/>
        <v>00:00</v>
      </c>
      <c r="FR88" s="29"/>
      <c r="FS88" s="31" t="str">
        <f t="shared" si="79"/>
        <v/>
      </c>
      <c r="FT88" s="27"/>
      <c r="FU88" s="27"/>
      <c r="FV88" s="28" t="str">
        <f>IFERROR(VLOOKUP(FT88,Horarios!$H:$I,2,0),"")</f>
        <v/>
      </c>
      <c r="FW88" s="28" t="str">
        <f>IFERROR(VLOOKUP(FU88,Horarios!$H:$I,2,0),"")</f>
        <v/>
      </c>
      <c r="FX88" s="28" t="str">
        <f t="shared" si="80"/>
        <v>00:00</v>
      </c>
      <c r="FY88" s="29"/>
      <c r="FZ88" s="27"/>
      <c r="GA88" s="27"/>
      <c r="GB88" s="28" t="str">
        <f>IFERROR(VLOOKUP(FZ88,Horarios!$H:$I,2,0),"")</f>
        <v/>
      </c>
      <c r="GC88" s="28" t="str">
        <f>IFERROR(VLOOKUP(GA88,Horarios!$H:$I,2,0),"")</f>
        <v/>
      </c>
      <c r="GD88" s="28" t="str">
        <f t="shared" si="81"/>
        <v>00:00</v>
      </c>
      <c r="GE88" s="29"/>
      <c r="GF88" s="27"/>
      <c r="GG88" s="27"/>
      <c r="GH88" s="28" t="str">
        <f>IFERROR(VLOOKUP(GF88,Horarios!$H:$I,2,0),"")</f>
        <v/>
      </c>
      <c r="GI88" s="28" t="str">
        <f>IFERROR(VLOOKUP(GG88,Horarios!$H:$I,2,0),"")</f>
        <v/>
      </c>
      <c r="GJ88" s="28" t="str">
        <f t="shared" si="82"/>
        <v>00:00</v>
      </c>
      <c r="GK88" s="29"/>
      <c r="GL88" s="27"/>
      <c r="GM88" s="27"/>
      <c r="GN88" s="28" t="str">
        <f>IFERROR(VLOOKUP(GL88,Horarios!$H:$I,2,0),"")</f>
        <v/>
      </c>
      <c r="GO88" s="28" t="str">
        <f>IFERROR(VLOOKUP(GM88,Horarios!$H:$I,2,0),"")</f>
        <v/>
      </c>
      <c r="GP88" s="28" t="str">
        <f t="shared" si="83"/>
        <v>00:00</v>
      </c>
      <c r="GQ88" s="29"/>
      <c r="GR88" s="27"/>
      <c r="GS88" s="27"/>
      <c r="GT88" s="28" t="str">
        <f>IFERROR(VLOOKUP(GR88,Horarios!$H:$I,2,0),"")</f>
        <v/>
      </c>
      <c r="GU88" s="28" t="str">
        <f>IFERROR(VLOOKUP(GS88,Horarios!$H:$I,2,0),"")</f>
        <v/>
      </c>
      <c r="GV88" s="28" t="str">
        <f t="shared" si="84"/>
        <v>00:00</v>
      </c>
      <c r="GW88" s="29"/>
      <c r="GX88" s="27"/>
      <c r="GY88" s="27"/>
      <c r="GZ88" s="28" t="str">
        <f>IFERROR(VLOOKUP(GX88,Horarios!$H:$I,2,0),"")</f>
        <v/>
      </c>
      <c r="HA88" s="28" t="str">
        <f>IFERROR(VLOOKUP(GY88,Horarios!$H:$I,2,0),"")</f>
        <v/>
      </c>
      <c r="HB88" s="28" t="str">
        <f t="shared" si="85"/>
        <v>00:00</v>
      </c>
      <c r="HC88" s="29"/>
      <c r="HD88" s="27"/>
      <c r="HE88" s="27"/>
      <c r="HF88" s="28" t="str">
        <f>IFERROR(VLOOKUP(HD88,Horarios!$H:$I,2,0),"")</f>
        <v/>
      </c>
      <c r="HG88" s="28" t="str">
        <f>IFERROR(VLOOKUP(HE88,Horarios!$H:$I,2,0),"")</f>
        <v/>
      </c>
      <c r="HH88" s="28" t="str">
        <f t="shared" si="86"/>
        <v>00:00</v>
      </c>
      <c r="HI88" s="29"/>
      <c r="HJ88" s="31" t="str">
        <f t="shared" si="87"/>
        <v/>
      </c>
      <c r="HK88" s="27"/>
      <c r="HL88" s="27"/>
      <c r="HM88" s="28" t="str">
        <f>IFERROR(VLOOKUP(HK88,Horarios!$H:$I,2,0),"")</f>
        <v/>
      </c>
      <c r="HN88" s="28" t="str">
        <f>IFERROR(VLOOKUP(HL88,Horarios!$H:$I,2,0),"")</f>
        <v/>
      </c>
      <c r="HO88" s="28" t="str">
        <f t="shared" si="88"/>
        <v>00:00</v>
      </c>
      <c r="HP88" s="29"/>
      <c r="HQ88" s="27"/>
      <c r="HR88" s="27"/>
      <c r="HS88" s="28" t="str">
        <f>IFERROR(VLOOKUP(HQ88,Horarios!$H:$I,2,0),"")</f>
        <v/>
      </c>
      <c r="HT88" s="28" t="str">
        <f>IFERROR(VLOOKUP(HR88,Horarios!$H:$I,2,0),"")</f>
        <v/>
      </c>
      <c r="HU88" s="28" t="str">
        <f t="shared" si="89"/>
        <v>00:00</v>
      </c>
      <c r="HV88" s="29"/>
      <c r="HW88" s="27"/>
      <c r="HX88" s="27"/>
      <c r="HY88" s="28" t="str">
        <f>IFERROR(VLOOKUP(HW88,Horarios!$H:$I,2,0),"")</f>
        <v/>
      </c>
      <c r="HZ88" s="28" t="str">
        <f>IFERROR(VLOOKUP(HX88,Horarios!$H:$I,2,0),"")</f>
        <v/>
      </c>
      <c r="IA88" s="28" t="str">
        <f t="shared" si="90"/>
        <v>00:00</v>
      </c>
      <c r="IB88" s="29"/>
      <c r="IC88" s="27"/>
      <c r="ID88" s="27"/>
      <c r="IE88" s="28" t="str">
        <f>IFERROR(VLOOKUP(IC88,Horarios!$H:$I,2,0),"")</f>
        <v/>
      </c>
      <c r="IF88" s="28" t="str">
        <f>IFERROR(VLOOKUP(ID88,Horarios!$H:$I,2,0),"")</f>
        <v/>
      </c>
      <c r="IG88" s="28" t="str">
        <f t="shared" si="91"/>
        <v>00:00</v>
      </c>
      <c r="IH88" s="29"/>
      <c r="II88" s="27"/>
      <c r="IJ88" s="27"/>
      <c r="IK88" s="28" t="str">
        <f>IFERROR(VLOOKUP(II88,Horarios!$H:$I,2,0),"")</f>
        <v/>
      </c>
      <c r="IL88" s="28" t="str">
        <f>IFERROR(VLOOKUP(IJ88,Horarios!$H:$I,2,0),"")</f>
        <v/>
      </c>
      <c r="IM88" s="28" t="str">
        <f t="shared" si="92"/>
        <v>00:00</v>
      </c>
      <c r="IN88" s="29"/>
      <c r="IO88" s="27"/>
      <c r="IP88" s="27"/>
      <c r="IQ88" s="28" t="str">
        <f>IFERROR(VLOOKUP(IO88,Horarios!$H:$I,2,0),"")</f>
        <v/>
      </c>
      <c r="IR88" s="28" t="str">
        <f>IFERROR(VLOOKUP(IP88,Horarios!$H:$I,2,0),"")</f>
        <v/>
      </c>
      <c r="IS88" s="28" t="str">
        <f t="shared" si="93"/>
        <v>00:00</v>
      </c>
      <c r="IT88" s="29"/>
      <c r="IU88" s="27"/>
      <c r="IV88" s="27"/>
      <c r="IW88" s="28" t="str">
        <f>IFERROR(VLOOKUP(IU88,Horarios!$H:$I,2,0),"")</f>
        <v/>
      </c>
      <c r="IX88" s="28" t="str">
        <f>IFERROR(VLOOKUP(IV88,Horarios!$H:$I,2,0),"")</f>
        <v/>
      </c>
      <c r="IY88" s="28" t="str">
        <f t="shared" si="94"/>
        <v>00:00</v>
      </c>
      <c r="IZ88" s="29"/>
      <c r="JA88" s="31" t="str">
        <f t="shared" si="95"/>
        <v/>
      </c>
    </row>
    <row r="89" spans="1:261" s="24" customFormat="1" ht="17.399999999999999" x14ac:dyDescent="0.25">
      <c r="A89" s="25"/>
      <c r="B89" s="26" t="str">
        <f>IFERROR(VLOOKUP(A89,BaseNombres!A:B,2,0),"")</f>
        <v/>
      </c>
      <c r="C89" s="26" t="str">
        <f>IFERROR(VLOOKUP(A89,BaseNombres!A:C,3,0),"")</f>
        <v/>
      </c>
      <c r="D89" s="27"/>
      <c r="E89" s="27"/>
      <c r="F89" s="28" t="str">
        <f>IFERROR(VLOOKUP(D89,Horarios!$H:$I,2,0),"")</f>
        <v/>
      </c>
      <c r="G89" s="28" t="str">
        <f>IFERROR(VLOOKUP(E89,Horarios!$H:$I,2,0),"")</f>
        <v/>
      </c>
      <c r="H89" s="28" t="str">
        <f t="shared" si="48"/>
        <v>00:00</v>
      </c>
      <c r="I89" s="29"/>
      <c r="J89" s="27"/>
      <c r="K89" s="27"/>
      <c r="L89" s="28" t="str">
        <f>IFERROR(VLOOKUP(J89,Horarios!$H:$I,2,0),"")</f>
        <v/>
      </c>
      <c r="M89" s="28" t="str">
        <f>IFERROR(VLOOKUP(K89,Horarios!$H:$I,2,0),"")</f>
        <v/>
      </c>
      <c r="N89" s="28" t="str">
        <f t="shared" si="49"/>
        <v>00:00</v>
      </c>
      <c r="O89" s="29"/>
      <c r="P89" s="27"/>
      <c r="Q89" s="27"/>
      <c r="R89" s="28" t="str">
        <f>IFERROR(VLOOKUP(P89,Horarios!$H:$I,2,0),"")</f>
        <v/>
      </c>
      <c r="S89" s="28" t="str">
        <f>IFERROR(VLOOKUP(Q89,Horarios!$H:$I,2,0),"")</f>
        <v/>
      </c>
      <c r="T89" s="28" t="str">
        <f t="shared" si="50"/>
        <v>00:00</v>
      </c>
      <c r="U89" s="29"/>
      <c r="V89" s="27"/>
      <c r="W89" s="27"/>
      <c r="X89" s="28" t="str">
        <f>IFERROR(VLOOKUP(V89,Horarios!$H:$I,2,0),"")</f>
        <v/>
      </c>
      <c r="Y89" s="28" t="str">
        <f>IFERROR(VLOOKUP(W89,Horarios!$H:$I,2,0),"")</f>
        <v/>
      </c>
      <c r="Z89" s="28" t="str">
        <f t="shared" si="51"/>
        <v>00:00</v>
      </c>
      <c r="AA89" s="29"/>
      <c r="AB89" s="27"/>
      <c r="AC89" s="27"/>
      <c r="AD89" s="28" t="str">
        <f>IFERROR(VLOOKUP(AB89,Horarios!$H:$I,2,0),"")</f>
        <v/>
      </c>
      <c r="AE89" s="28" t="str">
        <f>IFERROR(VLOOKUP(AC89,Horarios!$H:$I,2,0),"")</f>
        <v/>
      </c>
      <c r="AF89" s="28" t="str">
        <f t="shared" si="52"/>
        <v>00:00</v>
      </c>
      <c r="AG89" s="29"/>
      <c r="AH89" s="27"/>
      <c r="AI89" s="27"/>
      <c r="AJ89" s="28" t="str">
        <f>IFERROR(VLOOKUP(AH89,Horarios!$H:$I,2,0),"")</f>
        <v/>
      </c>
      <c r="AK89" s="28" t="str">
        <f>IFERROR(VLOOKUP(AI89,Horarios!$H:$I,2,0),"")</f>
        <v/>
      </c>
      <c r="AL89" s="28" t="str">
        <f t="shared" si="53"/>
        <v>00:00</v>
      </c>
      <c r="AM89" s="29"/>
      <c r="AN89" s="27"/>
      <c r="AO89" s="27"/>
      <c r="AP89" s="28" t="str">
        <f>IFERROR(VLOOKUP(AN89,Horarios!$H:$I,2,0),"")</f>
        <v/>
      </c>
      <c r="AQ89" s="28" t="str">
        <f>IFERROR(VLOOKUP(AO89,Horarios!$H:$I,2,0),"")</f>
        <v/>
      </c>
      <c r="AR89" s="28" t="str">
        <f t="shared" si="54"/>
        <v>00:00</v>
      </c>
      <c r="AS89" s="29"/>
      <c r="AT89" s="31" t="str">
        <f t="shared" si="55"/>
        <v/>
      </c>
      <c r="AU89" s="27"/>
      <c r="AV89" s="27"/>
      <c r="AW89" s="28" t="str">
        <f>IFERROR(VLOOKUP(AU89,Horarios!$H:$I,2,0),"")</f>
        <v/>
      </c>
      <c r="AX89" s="28" t="str">
        <f>IFERROR(VLOOKUP(AV89,Horarios!$H:$I,2,0),"")</f>
        <v/>
      </c>
      <c r="AY89" s="28" t="str">
        <f t="shared" si="56"/>
        <v>00:00</v>
      </c>
      <c r="AZ89" s="29"/>
      <c r="BA89" s="27"/>
      <c r="BB89" s="27"/>
      <c r="BC89" s="28" t="str">
        <f>IFERROR(VLOOKUP(BA89,Horarios!$H:$I,2,0),"")</f>
        <v/>
      </c>
      <c r="BD89" s="28" t="str">
        <f>IFERROR(VLOOKUP(BB89,Horarios!$H:$I,2,0),"")</f>
        <v/>
      </c>
      <c r="BE89" s="28" t="str">
        <f t="shared" si="57"/>
        <v>00:00</v>
      </c>
      <c r="BF89" s="29"/>
      <c r="BG89" s="27"/>
      <c r="BH89" s="27"/>
      <c r="BI89" s="28" t="str">
        <f>IFERROR(VLOOKUP(BG89,Horarios!$H:$I,2,0),"")</f>
        <v/>
      </c>
      <c r="BJ89" s="28" t="str">
        <f>IFERROR(VLOOKUP(BH89,Horarios!$H:$I,2,0),"")</f>
        <v/>
      </c>
      <c r="BK89" s="28" t="str">
        <f t="shared" si="58"/>
        <v>00:00</v>
      </c>
      <c r="BL89" s="29"/>
      <c r="BM89" s="27"/>
      <c r="BN89" s="27"/>
      <c r="BO89" s="28" t="str">
        <f>IFERROR(VLOOKUP(BM89,Horarios!$H:$I,2,0),"")</f>
        <v/>
      </c>
      <c r="BP89" s="28" t="str">
        <f>IFERROR(VLOOKUP(BN89,Horarios!$H:$I,2,0),"")</f>
        <v/>
      </c>
      <c r="BQ89" s="28" t="str">
        <f t="shared" si="59"/>
        <v>00:00</v>
      </c>
      <c r="BR89" s="29"/>
      <c r="BS89" s="27"/>
      <c r="BT89" s="27"/>
      <c r="BU89" s="28" t="str">
        <f>IFERROR(VLOOKUP(BS89,Horarios!$H:$I,2,0),"")</f>
        <v/>
      </c>
      <c r="BV89" s="28" t="str">
        <f>IFERROR(VLOOKUP(BT89,Horarios!$H:$I,2,0),"")</f>
        <v/>
      </c>
      <c r="BW89" s="28" t="str">
        <f t="shared" si="60"/>
        <v>00:00</v>
      </c>
      <c r="BX89" s="29"/>
      <c r="BY89" s="27"/>
      <c r="BZ89" s="27"/>
      <c r="CA89" s="28" t="str">
        <f>IFERROR(VLOOKUP(BY89,Horarios!$H:$I,2,0),"")</f>
        <v/>
      </c>
      <c r="CB89" s="28" t="str">
        <f>IFERROR(VLOOKUP(BZ89,Horarios!$H:$I,2,0),"")</f>
        <v/>
      </c>
      <c r="CC89" s="28" t="str">
        <f t="shared" si="61"/>
        <v>00:00</v>
      </c>
      <c r="CD89" s="29"/>
      <c r="CE89" s="27"/>
      <c r="CF89" s="27"/>
      <c r="CG89" s="28" t="str">
        <f>IFERROR(VLOOKUP(CE89,Horarios!$H:$I,2,0),"")</f>
        <v/>
      </c>
      <c r="CH89" s="28" t="str">
        <f>IFERROR(VLOOKUP(CF89,Horarios!$H:$I,2,0),"")</f>
        <v/>
      </c>
      <c r="CI89" s="28" t="str">
        <f t="shared" si="62"/>
        <v>00:00</v>
      </c>
      <c r="CJ89" s="29"/>
      <c r="CK89" s="31" t="str">
        <f t="shared" si="63"/>
        <v/>
      </c>
      <c r="CL89" s="27"/>
      <c r="CM89" s="27"/>
      <c r="CN89" s="28" t="str">
        <f>IFERROR(VLOOKUP(CL89,Horarios!$H:$I,2,0),"")</f>
        <v/>
      </c>
      <c r="CO89" s="28" t="str">
        <f>IFERROR(VLOOKUP(CM89,Horarios!$H:$I,2,0),"")</f>
        <v/>
      </c>
      <c r="CP89" s="28" t="str">
        <f t="shared" si="64"/>
        <v>00:00</v>
      </c>
      <c r="CQ89" s="29"/>
      <c r="CR89" s="27"/>
      <c r="CS89" s="27"/>
      <c r="CT89" s="28" t="str">
        <f>IFERROR(VLOOKUP(CR89,Horarios!$H:$I,2,0),"")</f>
        <v/>
      </c>
      <c r="CU89" s="28" t="str">
        <f>IFERROR(VLOOKUP(CS89,Horarios!$H:$I,2,0),"")</f>
        <v/>
      </c>
      <c r="CV89" s="28" t="str">
        <f t="shared" si="65"/>
        <v>00:00</v>
      </c>
      <c r="CW89" s="29"/>
      <c r="CX89" s="27"/>
      <c r="CY89" s="27"/>
      <c r="CZ89" s="28" t="str">
        <f>IFERROR(VLOOKUP(CX89,Horarios!$H:$I,2,0),"")</f>
        <v/>
      </c>
      <c r="DA89" s="28" t="str">
        <f>IFERROR(VLOOKUP(CY89,Horarios!$H:$I,2,0),"")</f>
        <v/>
      </c>
      <c r="DB89" s="28" t="str">
        <f t="shared" si="66"/>
        <v>00:00</v>
      </c>
      <c r="DC89" s="29"/>
      <c r="DD89" s="27"/>
      <c r="DE89" s="27"/>
      <c r="DF89" s="28" t="str">
        <f>IFERROR(VLOOKUP(DD89,Horarios!$H:$I,2,0),"")</f>
        <v/>
      </c>
      <c r="DG89" s="28" t="str">
        <f>IFERROR(VLOOKUP(DE89,Horarios!$H:$I,2,0),"")</f>
        <v/>
      </c>
      <c r="DH89" s="28" t="str">
        <f t="shared" si="67"/>
        <v>00:00</v>
      </c>
      <c r="DI89" s="29"/>
      <c r="DJ89" s="27"/>
      <c r="DK89" s="27"/>
      <c r="DL89" s="28" t="str">
        <f>IFERROR(VLOOKUP(DJ89,Horarios!$H:$I,2,0),"")</f>
        <v/>
      </c>
      <c r="DM89" s="28" t="str">
        <f>IFERROR(VLOOKUP(DK89,Horarios!$H:$I,2,0),"")</f>
        <v/>
      </c>
      <c r="DN89" s="28" t="str">
        <f t="shared" si="68"/>
        <v>00:00</v>
      </c>
      <c r="DO89" s="29"/>
      <c r="DP89" s="27"/>
      <c r="DQ89" s="27"/>
      <c r="DR89" s="28" t="str">
        <f>IFERROR(VLOOKUP(DP89,Horarios!$H:$I,2,0),"")</f>
        <v/>
      </c>
      <c r="DS89" s="28" t="str">
        <f>IFERROR(VLOOKUP(DQ89,Horarios!$H:$I,2,0),"")</f>
        <v/>
      </c>
      <c r="DT89" s="28" t="str">
        <f t="shared" si="69"/>
        <v>00:00</v>
      </c>
      <c r="DU89" s="29"/>
      <c r="DV89" s="27"/>
      <c r="DW89" s="27"/>
      <c r="DX89" s="28" t="str">
        <f>IFERROR(VLOOKUP(DV89,Horarios!$H:$I,2,0),"")</f>
        <v/>
      </c>
      <c r="DY89" s="28" t="str">
        <f>IFERROR(VLOOKUP(DW89,Horarios!$H:$I,2,0),"")</f>
        <v/>
      </c>
      <c r="DZ89" s="28" t="str">
        <f t="shared" si="70"/>
        <v>00:00</v>
      </c>
      <c r="EA89" s="29"/>
      <c r="EB89" s="31" t="str">
        <f t="shared" si="71"/>
        <v/>
      </c>
      <c r="EC89" s="27"/>
      <c r="ED89" s="27"/>
      <c r="EE89" s="28" t="str">
        <f>IFERROR(VLOOKUP(EC89,Horarios!$H:$I,2,0),"")</f>
        <v/>
      </c>
      <c r="EF89" s="28" t="str">
        <f>IFERROR(VLOOKUP(ED89,Horarios!$H:$I,2,0),"")</f>
        <v/>
      </c>
      <c r="EG89" s="28" t="str">
        <f t="shared" si="72"/>
        <v>00:00</v>
      </c>
      <c r="EH89" s="29"/>
      <c r="EI89" s="27"/>
      <c r="EJ89" s="27"/>
      <c r="EK89" s="28" t="str">
        <f>IFERROR(VLOOKUP(EI89,Horarios!$H:$I,2,0),"")</f>
        <v/>
      </c>
      <c r="EL89" s="28" t="str">
        <f>IFERROR(VLOOKUP(EJ89,Horarios!$H:$I,2,0),"")</f>
        <v/>
      </c>
      <c r="EM89" s="28" t="str">
        <f t="shared" si="73"/>
        <v>00:00</v>
      </c>
      <c r="EN89" s="29"/>
      <c r="EO89" s="27"/>
      <c r="EP89" s="27"/>
      <c r="EQ89" s="28" t="str">
        <f>IFERROR(VLOOKUP(EO89,Horarios!$H:$I,2,0),"")</f>
        <v/>
      </c>
      <c r="ER89" s="28" t="str">
        <f>IFERROR(VLOOKUP(EP89,Horarios!$H:$I,2,0),"")</f>
        <v/>
      </c>
      <c r="ES89" s="28" t="str">
        <f t="shared" si="74"/>
        <v>00:00</v>
      </c>
      <c r="ET89" s="29"/>
      <c r="EU89" s="27"/>
      <c r="EV89" s="27"/>
      <c r="EW89" s="28" t="str">
        <f>IFERROR(VLOOKUP(EU89,Horarios!$H:$I,2,0),"")</f>
        <v/>
      </c>
      <c r="EX89" s="28" t="str">
        <f>IFERROR(VLOOKUP(EV89,Horarios!$H:$I,2,0),"")</f>
        <v/>
      </c>
      <c r="EY89" s="28" t="str">
        <f t="shared" si="75"/>
        <v>00:00</v>
      </c>
      <c r="EZ89" s="29"/>
      <c r="FA89" s="27"/>
      <c r="FB89" s="27"/>
      <c r="FC89" s="28" t="str">
        <f>IFERROR(VLOOKUP(FA89,Horarios!$H:$I,2,0),"")</f>
        <v/>
      </c>
      <c r="FD89" s="28" t="str">
        <f>IFERROR(VLOOKUP(FB89,Horarios!$H:$I,2,0),"")</f>
        <v/>
      </c>
      <c r="FE89" s="28" t="str">
        <f t="shared" si="76"/>
        <v>00:00</v>
      </c>
      <c r="FF89" s="29"/>
      <c r="FG89" s="27"/>
      <c r="FH89" s="27"/>
      <c r="FI89" s="28" t="str">
        <f>IFERROR(VLOOKUP(FG89,Horarios!$H:$I,2,0),"")</f>
        <v/>
      </c>
      <c r="FJ89" s="28" t="str">
        <f>IFERROR(VLOOKUP(FH89,Horarios!$H:$I,2,0),"")</f>
        <v/>
      </c>
      <c r="FK89" s="28" t="str">
        <f t="shared" si="77"/>
        <v>00:00</v>
      </c>
      <c r="FL89" s="29"/>
      <c r="FM89" s="27"/>
      <c r="FN89" s="27"/>
      <c r="FO89" s="28" t="str">
        <f>IFERROR(VLOOKUP(FM89,Horarios!$H:$I,2,0),"")</f>
        <v/>
      </c>
      <c r="FP89" s="28" t="str">
        <f>IFERROR(VLOOKUP(FN89,Horarios!$H:$I,2,0),"")</f>
        <v/>
      </c>
      <c r="FQ89" s="28" t="str">
        <f t="shared" si="78"/>
        <v>00:00</v>
      </c>
      <c r="FR89" s="29"/>
      <c r="FS89" s="31" t="str">
        <f t="shared" si="79"/>
        <v/>
      </c>
      <c r="FT89" s="27"/>
      <c r="FU89" s="27"/>
      <c r="FV89" s="28" t="str">
        <f>IFERROR(VLOOKUP(FT89,Horarios!$H:$I,2,0),"")</f>
        <v/>
      </c>
      <c r="FW89" s="28" t="str">
        <f>IFERROR(VLOOKUP(FU89,Horarios!$H:$I,2,0),"")</f>
        <v/>
      </c>
      <c r="FX89" s="28" t="str">
        <f t="shared" si="80"/>
        <v>00:00</v>
      </c>
      <c r="FY89" s="29"/>
      <c r="FZ89" s="27"/>
      <c r="GA89" s="27"/>
      <c r="GB89" s="28" t="str">
        <f>IFERROR(VLOOKUP(FZ89,Horarios!$H:$I,2,0),"")</f>
        <v/>
      </c>
      <c r="GC89" s="28" t="str">
        <f>IFERROR(VLOOKUP(GA89,Horarios!$H:$I,2,0),"")</f>
        <v/>
      </c>
      <c r="GD89" s="28" t="str">
        <f t="shared" si="81"/>
        <v>00:00</v>
      </c>
      <c r="GE89" s="29"/>
      <c r="GF89" s="27"/>
      <c r="GG89" s="27"/>
      <c r="GH89" s="28" t="str">
        <f>IFERROR(VLOOKUP(GF89,Horarios!$H:$I,2,0),"")</f>
        <v/>
      </c>
      <c r="GI89" s="28" t="str">
        <f>IFERROR(VLOOKUP(GG89,Horarios!$H:$I,2,0),"")</f>
        <v/>
      </c>
      <c r="GJ89" s="28" t="str">
        <f t="shared" si="82"/>
        <v>00:00</v>
      </c>
      <c r="GK89" s="29"/>
      <c r="GL89" s="27"/>
      <c r="GM89" s="27"/>
      <c r="GN89" s="28" t="str">
        <f>IFERROR(VLOOKUP(GL89,Horarios!$H:$I,2,0),"")</f>
        <v/>
      </c>
      <c r="GO89" s="28" t="str">
        <f>IFERROR(VLOOKUP(GM89,Horarios!$H:$I,2,0),"")</f>
        <v/>
      </c>
      <c r="GP89" s="28" t="str">
        <f t="shared" si="83"/>
        <v>00:00</v>
      </c>
      <c r="GQ89" s="29"/>
      <c r="GR89" s="27"/>
      <c r="GS89" s="27"/>
      <c r="GT89" s="28" t="str">
        <f>IFERROR(VLOOKUP(GR89,Horarios!$H:$I,2,0),"")</f>
        <v/>
      </c>
      <c r="GU89" s="28" t="str">
        <f>IFERROR(VLOOKUP(GS89,Horarios!$H:$I,2,0),"")</f>
        <v/>
      </c>
      <c r="GV89" s="28" t="str">
        <f t="shared" si="84"/>
        <v>00:00</v>
      </c>
      <c r="GW89" s="29"/>
      <c r="GX89" s="27"/>
      <c r="GY89" s="27"/>
      <c r="GZ89" s="28" t="str">
        <f>IFERROR(VLOOKUP(GX89,Horarios!$H:$I,2,0),"")</f>
        <v/>
      </c>
      <c r="HA89" s="28" t="str">
        <f>IFERROR(VLOOKUP(GY89,Horarios!$H:$I,2,0),"")</f>
        <v/>
      </c>
      <c r="HB89" s="28" t="str">
        <f t="shared" si="85"/>
        <v>00:00</v>
      </c>
      <c r="HC89" s="29"/>
      <c r="HD89" s="27"/>
      <c r="HE89" s="27"/>
      <c r="HF89" s="28" t="str">
        <f>IFERROR(VLOOKUP(HD89,Horarios!$H:$I,2,0),"")</f>
        <v/>
      </c>
      <c r="HG89" s="28" t="str">
        <f>IFERROR(VLOOKUP(HE89,Horarios!$H:$I,2,0),"")</f>
        <v/>
      </c>
      <c r="HH89" s="28" t="str">
        <f t="shared" si="86"/>
        <v>00:00</v>
      </c>
      <c r="HI89" s="29"/>
      <c r="HJ89" s="31" t="str">
        <f t="shared" si="87"/>
        <v/>
      </c>
      <c r="HK89" s="27"/>
      <c r="HL89" s="27"/>
      <c r="HM89" s="28" t="str">
        <f>IFERROR(VLOOKUP(HK89,Horarios!$H:$I,2,0),"")</f>
        <v/>
      </c>
      <c r="HN89" s="28" t="str">
        <f>IFERROR(VLOOKUP(HL89,Horarios!$H:$I,2,0),"")</f>
        <v/>
      </c>
      <c r="HO89" s="28" t="str">
        <f t="shared" si="88"/>
        <v>00:00</v>
      </c>
      <c r="HP89" s="29"/>
      <c r="HQ89" s="27"/>
      <c r="HR89" s="27"/>
      <c r="HS89" s="28" t="str">
        <f>IFERROR(VLOOKUP(HQ89,Horarios!$H:$I,2,0),"")</f>
        <v/>
      </c>
      <c r="HT89" s="28" t="str">
        <f>IFERROR(VLOOKUP(HR89,Horarios!$H:$I,2,0),"")</f>
        <v/>
      </c>
      <c r="HU89" s="28" t="str">
        <f t="shared" si="89"/>
        <v>00:00</v>
      </c>
      <c r="HV89" s="29"/>
      <c r="HW89" s="27"/>
      <c r="HX89" s="27"/>
      <c r="HY89" s="28" t="str">
        <f>IFERROR(VLOOKUP(HW89,Horarios!$H:$I,2,0),"")</f>
        <v/>
      </c>
      <c r="HZ89" s="28" t="str">
        <f>IFERROR(VLOOKUP(HX89,Horarios!$H:$I,2,0),"")</f>
        <v/>
      </c>
      <c r="IA89" s="28" t="str">
        <f t="shared" si="90"/>
        <v>00:00</v>
      </c>
      <c r="IB89" s="29"/>
      <c r="IC89" s="27"/>
      <c r="ID89" s="27"/>
      <c r="IE89" s="28" t="str">
        <f>IFERROR(VLOOKUP(IC89,Horarios!$H:$I,2,0),"")</f>
        <v/>
      </c>
      <c r="IF89" s="28" t="str">
        <f>IFERROR(VLOOKUP(ID89,Horarios!$H:$I,2,0),"")</f>
        <v/>
      </c>
      <c r="IG89" s="28" t="str">
        <f t="shared" si="91"/>
        <v>00:00</v>
      </c>
      <c r="IH89" s="29"/>
      <c r="II89" s="27"/>
      <c r="IJ89" s="27"/>
      <c r="IK89" s="28" t="str">
        <f>IFERROR(VLOOKUP(II89,Horarios!$H:$I,2,0),"")</f>
        <v/>
      </c>
      <c r="IL89" s="28" t="str">
        <f>IFERROR(VLOOKUP(IJ89,Horarios!$H:$I,2,0),"")</f>
        <v/>
      </c>
      <c r="IM89" s="28" t="str">
        <f t="shared" si="92"/>
        <v>00:00</v>
      </c>
      <c r="IN89" s="29"/>
      <c r="IO89" s="27"/>
      <c r="IP89" s="27"/>
      <c r="IQ89" s="28" t="str">
        <f>IFERROR(VLOOKUP(IO89,Horarios!$H:$I,2,0),"")</f>
        <v/>
      </c>
      <c r="IR89" s="28" t="str">
        <f>IFERROR(VLOOKUP(IP89,Horarios!$H:$I,2,0),"")</f>
        <v/>
      </c>
      <c r="IS89" s="28" t="str">
        <f t="shared" si="93"/>
        <v>00:00</v>
      </c>
      <c r="IT89" s="29"/>
      <c r="IU89" s="27"/>
      <c r="IV89" s="27"/>
      <c r="IW89" s="28" t="str">
        <f>IFERROR(VLOOKUP(IU89,Horarios!$H:$I,2,0),"")</f>
        <v/>
      </c>
      <c r="IX89" s="28" t="str">
        <f>IFERROR(VLOOKUP(IV89,Horarios!$H:$I,2,0),"")</f>
        <v/>
      </c>
      <c r="IY89" s="28" t="str">
        <f t="shared" si="94"/>
        <v>00:00</v>
      </c>
      <c r="IZ89" s="29"/>
      <c r="JA89" s="31" t="str">
        <f t="shared" si="95"/>
        <v/>
      </c>
    </row>
    <row r="90" spans="1:261" s="24" customFormat="1" ht="17.399999999999999" x14ac:dyDescent="0.25">
      <c r="A90" s="25"/>
      <c r="B90" s="26" t="str">
        <f>IFERROR(VLOOKUP(A90,BaseNombres!A:B,2,0),"")</f>
        <v/>
      </c>
      <c r="C90" s="26" t="str">
        <f>IFERROR(VLOOKUP(A90,BaseNombres!A:C,3,0),"")</f>
        <v/>
      </c>
      <c r="D90" s="27"/>
      <c r="E90" s="27"/>
      <c r="F90" s="28" t="str">
        <f>IFERROR(VLOOKUP(D90,Horarios!$H:$I,2,0),"")</f>
        <v/>
      </c>
      <c r="G90" s="28" t="str">
        <f>IFERROR(VLOOKUP(E90,Horarios!$H:$I,2,0),"")</f>
        <v/>
      </c>
      <c r="H90" s="28" t="str">
        <f t="shared" si="48"/>
        <v>00:00</v>
      </c>
      <c r="I90" s="29"/>
      <c r="J90" s="27"/>
      <c r="K90" s="27"/>
      <c r="L90" s="28" t="str">
        <f>IFERROR(VLOOKUP(J90,Horarios!$H:$I,2,0),"")</f>
        <v/>
      </c>
      <c r="M90" s="28" t="str">
        <f>IFERROR(VLOOKUP(K90,Horarios!$H:$I,2,0),"")</f>
        <v/>
      </c>
      <c r="N90" s="28" t="str">
        <f t="shared" si="49"/>
        <v>00:00</v>
      </c>
      <c r="O90" s="29"/>
      <c r="P90" s="27"/>
      <c r="Q90" s="27"/>
      <c r="R90" s="28" t="str">
        <f>IFERROR(VLOOKUP(P90,Horarios!$H:$I,2,0),"")</f>
        <v/>
      </c>
      <c r="S90" s="28" t="str">
        <f>IFERROR(VLOOKUP(Q90,Horarios!$H:$I,2,0),"")</f>
        <v/>
      </c>
      <c r="T90" s="28" t="str">
        <f t="shared" si="50"/>
        <v>00:00</v>
      </c>
      <c r="U90" s="29"/>
      <c r="V90" s="27"/>
      <c r="W90" s="27"/>
      <c r="X90" s="28" t="str">
        <f>IFERROR(VLOOKUP(V90,Horarios!$H:$I,2,0),"")</f>
        <v/>
      </c>
      <c r="Y90" s="28" t="str">
        <f>IFERROR(VLOOKUP(W90,Horarios!$H:$I,2,0),"")</f>
        <v/>
      </c>
      <c r="Z90" s="28" t="str">
        <f t="shared" si="51"/>
        <v>00:00</v>
      </c>
      <c r="AA90" s="29"/>
      <c r="AB90" s="27"/>
      <c r="AC90" s="27"/>
      <c r="AD90" s="28" t="str">
        <f>IFERROR(VLOOKUP(AB90,Horarios!$H:$I,2,0),"")</f>
        <v/>
      </c>
      <c r="AE90" s="28" t="str">
        <f>IFERROR(VLOOKUP(AC90,Horarios!$H:$I,2,0),"")</f>
        <v/>
      </c>
      <c r="AF90" s="28" t="str">
        <f t="shared" si="52"/>
        <v>00:00</v>
      </c>
      <c r="AG90" s="29"/>
      <c r="AH90" s="27"/>
      <c r="AI90" s="27"/>
      <c r="AJ90" s="28" t="str">
        <f>IFERROR(VLOOKUP(AH90,Horarios!$H:$I,2,0),"")</f>
        <v/>
      </c>
      <c r="AK90" s="28" t="str">
        <f>IFERROR(VLOOKUP(AI90,Horarios!$H:$I,2,0),"")</f>
        <v/>
      </c>
      <c r="AL90" s="28" t="str">
        <f t="shared" si="53"/>
        <v>00:00</v>
      </c>
      <c r="AM90" s="29"/>
      <c r="AN90" s="27"/>
      <c r="AO90" s="27"/>
      <c r="AP90" s="28" t="str">
        <f>IFERROR(VLOOKUP(AN90,Horarios!$H:$I,2,0),"")</f>
        <v/>
      </c>
      <c r="AQ90" s="28" t="str">
        <f>IFERROR(VLOOKUP(AO90,Horarios!$H:$I,2,0),"")</f>
        <v/>
      </c>
      <c r="AR90" s="28" t="str">
        <f t="shared" si="54"/>
        <v>00:00</v>
      </c>
      <c r="AS90" s="29"/>
      <c r="AT90" s="31" t="str">
        <f t="shared" si="55"/>
        <v/>
      </c>
      <c r="AU90" s="27"/>
      <c r="AV90" s="27"/>
      <c r="AW90" s="28" t="str">
        <f>IFERROR(VLOOKUP(AU90,Horarios!$H:$I,2,0),"")</f>
        <v/>
      </c>
      <c r="AX90" s="28" t="str">
        <f>IFERROR(VLOOKUP(AV90,Horarios!$H:$I,2,0),"")</f>
        <v/>
      </c>
      <c r="AY90" s="28" t="str">
        <f t="shared" si="56"/>
        <v>00:00</v>
      </c>
      <c r="AZ90" s="29"/>
      <c r="BA90" s="27"/>
      <c r="BB90" s="27"/>
      <c r="BC90" s="28" t="str">
        <f>IFERROR(VLOOKUP(BA90,Horarios!$H:$I,2,0),"")</f>
        <v/>
      </c>
      <c r="BD90" s="28" t="str">
        <f>IFERROR(VLOOKUP(BB90,Horarios!$H:$I,2,0),"")</f>
        <v/>
      </c>
      <c r="BE90" s="28" t="str">
        <f t="shared" si="57"/>
        <v>00:00</v>
      </c>
      <c r="BF90" s="29"/>
      <c r="BG90" s="27"/>
      <c r="BH90" s="27"/>
      <c r="BI90" s="28" t="str">
        <f>IFERROR(VLOOKUP(BG90,Horarios!$H:$I,2,0),"")</f>
        <v/>
      </c>
      <c r="BJ90" s="28" t="str">
        <f>IFERROR(VLOOKUP(BH90,Horarios!$H:$I,2,0),"")</f>
        <v/>
      </c>
      <c r="BK90" s="28" t="str">
        <f t="shared" si="58"/>
        <v>00:00</v>
      </c>
      <c r="BL90" s="29"/>
      <c r="BM90" s="27"/>
      <c r="BN90" s="27"/>
      <c r="BO90" s="28" t="str">
        <f>IFERROR(VLOOKUP(BM90,Horarios!$H:$I,2,0),"")</f>
        <v/>
      </c>
      <c r="BP90" s="28" t="str">
        <f>IFERROR(VLOOKUP(BN90,Horarios!$H:$I,2,0),"")</f>
        <v/>
      </c>
      <c r="BQ90" s="28" t="str">
        <f t="shared" si="59"/>
        <v>00:00</v>
      </c>
      <c r="BR90" s="29"/>
      <c r="BS90" s="27"/>
      <c r="BT90" s="27"/>
      <c r="BU90" s="28" t="str">
        <f>IFERROR(VLOOKUP(BS90,Horarios!$H:$I,2,0),"")</f>
        <v/>
      </c>
      <c r="BV90" s="28" t="str">
        <f>IFERROR(VLOOKUP(BT90,Horarios!$H:$I,2,0),"")</f>
        <v/>
      </c>
      <c r="BW90" s="28" t="str">
        <f t="shared" si="60"/>
        <v>00:00</v>
      </c>
      <c r="BX90" s="29"/>
      <c r="BY90" s="27"/>
      <c r="BZ90" s="27"/>
      <c r="CA90" s="28" t="str">
        <f>IFERROR(VLOOKUP(BY90,Horarios!$H:$I,2,0),"")</f>
        <v/>
      </c>
      <c r="CB90" s="28" t="str">
        <f>IFERROR(VLOOKUP(BZ90,Horarios!$H:$I,2,0),"")</f>
        <v/>
      </c>
      <c r="CC90" s="28" t="str">
        <f t="shared" si="61"/>
        <v>00:00</v>
      </c>
      <c r="CD90" s="29"/>
      <c r="CE90" s="27"/>
      <c r="CF90" s="27"/>
      <c r="CG90" s="28" t="str">
        <f>IFERROR(VLOOKUP(CE90,Horarios!$H:$I,2,0),"")</f>
        <v/>
      </c>
      <c r="CH90" s="28" t="str">
        <f>IFERROR(VLOOKUP(CF90,Horarios!$H:$I,2,0),"")</f>
        <v/>
      </c>
      <c r="CI90" s="28" t="str">
        <f t="shared" si="62"/>
        <v>00:00</v>
      </c>
      <c r="CJ90" s="29"/>
      <c r="CK90" s="31" t="str">
        <f t="shared" si="63"/>
        <v/>
      </c>
      <c r="CL90" s="27"/>
      <c r="CM90" s="27"/>
      <c r="CN90" s="28" t="str">
        <f>IFERROR(VLOOKUP(CL90,Horarios!$H:$I,2,0),"")</f>
        <v/>
      </c>
      <c r="CO90" s="28" t="str">
        <f>IFERROR(VLOOKUP(CM90,Horarios!$H:$I,2,0),"")</f>
        <v/>
      </c>
      <c r="CP90" s="28" t="str">
        <f t="shared" si="64"/>
        <v>00:00</v>
      </c>
      <c r="CQ90" s="29"/>
      <c r="CR90" s="27"/>
      <c r="CS90" s="27"/>
      <c r="CT90" s="28" t="str">
        <f>IFERROR(VLOOKUP(CR90,Horarios!$H:$I,2,0),"")</f>
        <v/>
      </c>
      <c r="CU90" s="28" t="str">
        <f>IFERROR(VLOOKUP(CS90,Horarios!$H:$I,2,0),"")</f>
        <v/>
      </c>
      <c r="CV90" s="28" t="str">
        <f t="shared" si="65"/>
        <v>00:00</v>
      </c>
      <c r="CW90" s="29"/>
      <c r="CX90" s="27"/>
      <c r="CY90" s="27"/>
      <c r="CZ90" s="28" t="str">
        <f>IFERROR(VLOOKUP(CX90,Horarios!$H:$I,2,0),"")</f>
        <v/>
      </c>
      <c r="DA90" s="28" t="str">
        <f>IFERROR(VLOOKUP(CY90,Horarios!$H:$I,2,0),"")</f>
        <v/>
      </c>
      <c r="DB90" s="28" t="str">
        <f t="shared" si="66"/>
        <v>00:00</v>
      </c>
      <c r="DC90" s="29"/>
      <c r="DD90" s="27"/>
      <c r="DE90" s="27"/>
      <c r="DF90" s="28" t="str">
        <f>IFERROR(VLOOKUP(DD90,Horarios!$H:$I,2,0),"")</f>
        <v/>
      </c>
      <c r="DG90" s="28" t="str">
        <f>IFERROR(VLOOKUP(DE90,Horarios!$H:$I,2,0),"")</f>
        <v/>
      </c>
      <c r="DH90" s="28" t="str">
        <f t="shared" si="67"/>
        <v>00:00</v>
      </c>
      <c r="DI90" s="29"/>
      <c r="DJ90" s="27"/>
      <c r="DK90" s="27"/>
      <c r="DL90" s="28" t="str">
        <f>IFERROR(VLOOKUP(DJ90,Horarios!$H:$I,2,0),"")</f>
        <v/>
      </c>
      <c r="DM90" s="28" t="str">
        <f>IFERROR(VLOOKUP(DK90,Horarios!$H:$I,2,0),"")</f>
        <v/>
      </c>
      <c r="DN90" s="28" t="str">
        <f t="shared" si="68"/>
        <v>00:00</v>
      </c>
      <c r="DO90" s="29"/>
      <c r="DP90" s="27"/>
      <c r="DQ90" s="27"/>
      <c r="DR90" s="28" t="str">
        <f>IFERROR(VLOOKUP(DP90,Horarios!$H:$I,2,0),"")</f>
        <v/>
      </c>
      <c r="DS90" s="28" t="str">
        <f>IFERROR(VLOOKUP(DQ90,Horarios!$H:$I,2,0),"")</f>
        <v/>
      </c>
      <c r="DT90" s="28" t="str">
        <f t="shared" si="69"/>
        <v>00:00</v>
      </c>
      <c r="DU90" s="29"/>
      <c r="DV90" s="27"/>
      <c r="DW90" s="27"/>
      <c r="DX90" s="28" t="str">
        <f>IFERROR(VLOOKUP(DV90,Horarios!$H:$I,2,0),"")</f>
        <v/>
      </c>
      <c r="DY90" s="28" t="str">
        <f>IFERROR(VLOOKUP(DW90,Horarios!$H:$I,2,0),"")</f>
        <v/>
      </c>
      <c r="DZ90" s="28" t="str">
        <f t="shared" si="70"/>
        <v>00:00</v>
      </c>
      <c r="EA90" s="29"/>
      <c r="EB90" s="31" t="str">
        <f t="shared" si="71"/>
        <v/>
      </c>
      <c r="EC90" s="27"/>
      <c r="ED90" s="27"/>
      <c r="EE90" s="28" t="str">
        <f>IFERROR(VLOOKUP(EC90,Horarios!$H:$I,2,0),"")</f>
        <v/>
      </c>
      <c r="EF90" s="28" t="str">
        <f>IFERROR(VLOOKUP(ED90,Horarios!$H:$I,2,0),"")</f>
        <v/>
      </c>
      <c r="EG90" s="28" t="str">
        <f t="shared" si="72"/>
        <v>00:00</v>
      </c>
      <c r="EH90" s="29"/>
      <c r="EI90" s="27"/>
      <c r="EJ90" s="27"/>
      <c r="EK90" s="28" t="str">
        <f>IFERROR(VLOOKUP(EI90,Horarios!$H:$I,2,0),"")</f>
        <v/>
      </c>
      <c r="EL90" s="28" t="str">
        <f>IFERROR(VLOOKUP(EJ90,Horarios!$H:$I,2,0),"")</f>
        <v/>
      </c>
      <c r="EM90" s="28" t="str">
        <f t="shared" si="73"/>
        <v>00:00</v>
      </c>
      <c r="EN90" s="29"/>
      <c r="EO90" s="27"/>
      <c r="EP90" s="27"/>
      <c r="EQ90" s="28" t="str">
        <f>IFERROR(VLOOKUP(EO90,Horarios!$H:$I,2,0),"")</f>
        <v/>
      </c>
      <c r="ER90" s="28" t="str">
        <f>IFERROR(VLOOKUP(EP90,Horarios!$H:$I,2,0),"")</f>
        <v/>
      </c>
      <c r="ES90" s="28" t="str">
        <f t="shared" si="74"/>
        <v>00:00</v>
      </c>
      <c r="ET90" s="29"/>
      <c r="EU90" s="27"/>
      <c r="EV90" s="27"/>
      <c r="EW90" s="28" t="str">
        <f>IFERROR(VLOOKUP(EU90,Horarios!$H:$I,2,0),"")</f>
        <v/>
      </c>
      <c r="EX90" s="28" t="str">
        <f>IFERROR(VLOOKUP(EV90,Horarios!$H:$I,2,0),"")</f>
        <v/>
      </c>
      <c r="EY90" s="28" t="str">
        <f t="shared" si="75"/>
        <v>00:00</v>
      </c>
      <c r="EZ90" s="29"/>
      <c r="FA90" s="27"/>
      <c r="FB90" s="27"/>
      <c r="FC90" s="28" t="str">
        <f>IFERROR(VLOOKUP(FA90,Horarios!$H:$I,2,0),"")</f>
        <v/>
      </c>
      <c r="FD90" s="28" t="str">
        <f>IFERROR(VLOOKUP(FB90,Horarios!$H:$I,2,0),"")</f>
        <v/>
      </c>
      <c r="FE90" s="28" t="str">
        <f t="shared" si="76"/>
        <v>00:00</v>
      </c>
      <c r="FF90" s="29"/>
      <c r="FG90" s="27"/>
      <c r="FH90" s="27"/>
      <c r="FI90" s="28" t="str">
        <f>IFERROR(VLOOKUP(FG90,Horarios!$H:$I,2,0),"")</f>
        <v/>
      </c>
      <c r="FJ90" s="28" t="str">
        <f>IFERROR(VLOOKUP(FH90,Horarios!$H:$I,2,0),"")</f>
        <v/>
      </c>
      <c r="FK90" s="28" t="str">
        <f t="shared" si="77"/>
        <v>00:00</v>
      </c>
      <c r="FL90" s="29"/>
      <c r="FM90" s="27"/>
      <c r="FN90" s="27"/>
      <c r="FO90" s="28" t="str">
        <f>IFERROR(VLOOKUP(FM90,Horarios!$H:$I,2,0),"")</f>
        <v/>
      </c>
      <c r="FP90" s="28" t="str">
        <f>IFERROR(VLOOKUP(FN90,Horarios!$H:$I,2,0),"")</f>
        <v/>
      </c>
      <c r="FQ90" s="28" t="str">
        <f t="shared" si="78"/>
        <v>00:00</v>
      </c>
      <c r="FR90" s="29"/>
      <c r="FS90" s="31" t="str">
        <f t="shared" si="79"/>
        <v/>
      </c>
      <c r="FT90" s="27"/>
      <c r="FU90" s="27"/>
      <c r="FV90" s="28" t="str">
        <f>IFERROR(VLOOKUP(FT90,Horarios!$H:$I,2,0),"")</f>
        <v/>
      </c>
      <c r="FW90" s="28" t="str">
        <f>IFERROR(VLOOKUP(FU90,Horarios!$H:$I,2,0),"")</f>
        <v/>
      </c>
      <c r="FX90" s="28" t="str">
        <f t="shared" si="80"/>
        <v>00:00</v>
      </c>
      <c r="FY90" s="29"/>
      <c r="FZ90" s="27"/>
      <c r="GA90" s="27"/>
      <c r="GB90" s="28" t="str">
        <f>IFERROR(VLOOKUP(FZ90,Horarios!$H:$I,2,0),"")</f>
        <v/>
      </c>
      <c r="GC90" s="28" t="str">
        <f>IFERROR(VLOOKUP(GA90,Horarios!$H:$I,2,0),"")</f>
        <v/>
      </c>
      <c r="GD90" s="28" t="str">
        <f t="shared" si="81"/>
        <v>00:00</v>
      </c>
      <c r="GE90" s="29"/>
      <c r="GF90" s="27"/>
      <c r="GG90" s="27"/>
      <c r="GH90" s="28" t="str">
        <f>IFERROR(VLOOKUP(GF90,Horarios!$H:$I,2,0),"")</f>
        <v/>
      </c>
      <c r="GI90" s="28" t="str">
        <f>IFERROR(VLOOKUP(GG90,Horarios!$H:$I,2,0),"")</f>
        <v/>
      </c>
      <c r="GJ90" s="28" t="str">
        <f t="shared" si="82"/>
        <v>00:00</v>
      </c>
      <c r="GK90" s="29"/>
      <c r="GL90" s="27"/>
      <c r="GM90" s="27"/>
      <c r="GN90" s="28" t="str">
        <f>IFERROR(VLOOKUP(GL90,Horarios!$H:$I,2,0),"")</f>
        <v/>
      </c>
      <c r="GO90" s="28" t="str">
        <f>IFERROR(VLOOKUP(GM90,Horarios!$H:$I,2,0),"")</f>
        <v/>
      </c>
      <c r="GP90" s="28" t="str">
        <f t="shared" si="83"/>
        <v>00:00</v>
      </c>
      <c r="GQ90" s="29"/>
      <c r="GR90" s="27"/>
      <c r="GS90" s="27"/>
      <c r="GT90" s="28" t="str">
        <f>IFERROR(VLOOKUP(GR90,Horarios!$H:$I,2,0),"")</f>
        <v/>
      </c>
      <c r="GU90" s="28" t="str">
        <f>IFERROR(VLOOKUP(GS90,Horarios!$H:$I,2,0),"")</f>
        <v/>
      </c>
      <c r="GV90" s="28" t="str">
        <f t="shared" si="84"/>
        <v>00:00</v>
      </c>
      <c r="GW90" s="29"/>
      <c r="GX90" s="27"/>
      <c r="GY90" s="27"/>
      <c r="GZ90" s="28" t="str">
        <f>IFERROR(VLOOKUP(GX90,Horarios!$H:$I,2,0),"")</f>
        <v/>
      </c>
      <c r="HA90" s="28" t="str">
        <f>IFERROR(VLOOKUP(GY90,Horarios!$H:$I,2,0),"")</f>
        <v/>
      </c>
      <c r="HB90" s="28" t="str">
        <f t="shared" si="85"/>
        <v>00:00</v>
      </c>
      <c r="HC90" s="29"/>
      <c r="HD90" s="27"/>
      <c r="HE90" s="27"/>
      <c r="HF90" s="28" t="str">
        <f>IFERROR(VLOOKUP(HD90,Horarios!$H:$I,2,0),"")</f>
        <v/>
      </c>
      <c r="HG90" s="28" t="str">
        <f>IFERROR(VLOOKUP(HE90,Horarios!$H:$I,2,0),"")</f>
        <v/>
      </c>
      <c r="HH90" s="28" t="str">
        <f t="shared" si="86"/>
        <v>00:00</v>
      </c>
      <c r="HI90" s="29"/>
      <c r="HJ90" s="31" t="str">
        <f t="shared" si="87"/>
        <v/>
      </c>
      <c r="HK90" s="27"/>
      <c r="HL90" s="27"/>
      <c r="HM90" s="28" t="str">
        <f>IFERROR(VLOOKUP(HK90,Horarios!$H:$I,2,0),"")</f>
        <v/>
      </c>
      <c r="HN90" s="28" t="str">
        <f>IFERROR(VLOOKUP(HL90,Horarios!$H:$I,2,0),"")</f>
        <v/>
      </c>
      <c r="HO90" s="28" t="str">
        <f t="shared" si="88"/>
        <v>00:00</v>
      </c>
      <c r="HP90" s="29"/>
      <c r="HQ90" s="27"/>
      <c r="HR90" s="27"/>
      <c r="HS90" s="28" t="str">
        <f>IFERROR(VLOOKUP(HQ90,Horarios!$H:$I,2,0),"")</f>
        <v/>
      </c>
      <c r="HT90" s="28" t="str">
        <f>IFERROR(VLOOKUP(HR90,Horarios!$H:$I,2,0),"")</f>
        <v/>
      </c>
      <c r="HU90" s="28" t="str">
        <f t="shared" si="89"/>
        <v>00:00</v>
      </c>
      <c r="HV90" s="29"/>
      <c r="HW90" s="27"/>
      <c r="HX90" s="27"/>
      <c r="HY90" s="28" t="str">
        <f>IFERROR(VLOOKUP(HW90,Horarios!$H:$I,2,0),"")</f>
        <v/>
      </c>
      <c r="HZ90" s="28" t="str">
        <f>IFERROR(VLOOKUP(HX90,Horarios!$H:$I,2,0),"")</f>
        <v/>
      </c>
      <c r="IA90" s="28" t="str">
        <f t="shared" si="90"/>
        <v>00:00</v>
      </c>
      <c r="IB90" s="29"/>
      <c r="IC90" s="27"/>
      <c r="ID90" s="27"/>
      <c r="IE90" s="28" t="str">
        <f>IFERROR(VLOOKUP(IC90,Horarios!$H:$I,2,0),"")</f>
        <v/>
      </c>
      <c r="IF90" s="28" t="str">
        <f>IFERROR(VLOOKUP(ID90,Horarios!$H:$I,2,0),"")</f>
        <v/>
      </c>
      <c r="IG90" s="28" t="str">
        <f t="shared" si="91"/>
        <v>00:00</v>
      </c>
      <c r="IH90" s="29"/>
      <c r="II90" s="27"/>
      <c r="IJ90" s="27"/>
      <c r="IK90" s="28" t="str">
        <f>IFERROR(VLOOKUP(II90,Horarios!$H:$I,2,0),"")</f>
        <v/>
      </c>
      <c r="IL90" s="28" t="str">
        <f>IFERROR(VLOOKUP(IJ90,Horarios!$H:$I,2,0),"")</f>
        <v/>
      </c>
      <c r="IM90" s="28" t="str">
        <f t="shared" si="92"/>
        <v>00:00</v>
      </c>
      <c r="IN90" s="29"/>
      <c r="IO90" s="27"/>
      <c r="IP90" s="27"/>
      <c r="IQ90" s="28" t="str">
        <f>IFERROR(VLOOKUP(IO90,Horarios!$H:$I,2,0),"")</f>
        <v/>
      </c>
      <c r="IR90" s="28" t="str">
        <f>IFERROR(VLOOKUP(IP90,Horarios!$H:$I,2,0),"")</f>
        <v/>
      </c>
      <c r="IS90" s="28" t="str">
        <f t="shared" si="93"/>
        <v>00:00</v>
      </c>
      <c r="IT90" s="29"/>
      <c r="IU90" s="27"/>
      <c r="IV90" s="27"/>
      <c r="IW90" s="28" t="str">
        <f>IFERROR(VLOOKUP(IU90,Horarios!$H:$I,2,0),"")</f>
        <v/>
      </c>
      <c r="IX90" s="28" t="str">
        <f>IFERROR(VLOOKUP(IV90,Horarios!$H:$I,2,0),"")</f>
        <v/>
      </c>
      <c r="IY90" s="28" t="str">
        <f t="shared" si="94"/>
        <v>00:00</v>
      </c>
      <c r="IZ90" s="29"/>
      <c r="JA90" s="31" t="str">
        <f t="shared" si="95"/>
        <v/>
      </c>
    </row>
    <row r="91" spans="1:261" s="24" customFormat="1" ht="17.399999999999999" x14ac:dyDescent="0.25">
      <c r="A91" s="25"/>
      <c r="B91" s="26" t="str">
        <f>IFERROR(VLOOKUP(A91,BaseNombres!A:B,2,0),"")</f>
        <v/>
      </c>
      <c r="C91" s="26" t="str">
        <f>IFERROR(VLOOKUP(A91,BaseNombres!A:C,3,0),"")</f>
        <v/>
      </c>
      <c r="D91" s="27"/>
      <c r="E91" s="27"/>
      <c r="F91" s="28" t="str">
        <f>IFERROR(VLOOKUP(D91,Horarios!$H:$I,2,0),"")</f>
        <v/>
      </c>
      <c r="G91" s="28" t="str">
        <f>IFERROR(VLOOKUP(E91,Horarios!$H:$I,2,0),"")</f>
        <v/>
      </c>
      <c r="H91" s="28" t="str">
        <f t="shared" si="48"/>
        <v>00:00</v>
      </c>
      <c r="I91" s="29"/>
      <c r="J91" s="27"/>
      <c r="K91" s="27"/>
      <c r="L91" s="28" t="str">
        <f>IFERROR(VLOOKUP(J91,Horarios!$H:$I,2,0),"")</f>
        <v/>
      </c>
      <c r="M91" s="28" t="str">
        <f>IFERROR(VLOOKUP(K91,Horarios!$H:$I,2,0),"")</f>
        <v/>
      </c>
      <c r="N91" s="28" t="str">
        <f t="shared" si="49"/>
        <v>00:00</v>
      </c>
      <c r="O91" s="29"/>
      <c r="P91" s="27"/>
      <c r="Q91" s="27"/>
      <c r="R91" s="28" t="str">
        <f>IFERROR(VLOOKUP(P91,Horarios!$H:$I,2,0),"")</f>
        <v/>
      </c>
      <c r="S91" s="28" t="str">
        <f>IFERROR(VLOOKUP(Q91,Horarios!$H:$I,2,0),"")</f>
        <v/>
      </c>
      <c r="T91" s="28" t="str">
        <f t="shared" si="50"/>
        <v>00:00</v>
      </c>
      <c r="U91" s="29"/>
      <c r="V91" s="27"/>
      <c r="W91" s="27"/>
      <c r="X91" s="28" t="str">
        <f>IFERROR(VLOOKUP(V91,Horarios!$H:$I,2,0),"")</f>
        <v/>
      </c>
      <c r="Y91" s="28" t="str">
        <f>IFERROR(VLOOKUP(W91,Horarios!$H:$I,2,0),"")</f>
        <v/>
      </c>
      <c r="Z91" s="28" t="str">
        <f t="shared" si="51"/>
        <v>00:00</v>
      </c>
      <c r="AA91" s="29"/>
      <c r="AB91" s="27"/>
      <c r="AC91" s="27"/>
      <c r="AD91" s="28" t="str">
        <f>IFERROR(VLOOKUP(AB91,Horarios!$H:$I,2,0),"")</f>
        <v/>
      </c>
      <c r="AE91" s="28" t="str">
        <f>IFERROR(VLOOKUP(AC91,Horarios!$H:$I,2,0),"")</f>
        <v/>
      </c>
      <c r="AF91" s="28" t="str">
        <f t="shared" si="52"/>
        <v>00:00</v>
      </c>
      <c r="AG91" s="29"/>
      <c r="AH91" s="27"/>
      <c r="AI91" s="27"/>
      <c r="AJ91" s="28" t="str">
        <f>IFERROR(VLOOKUP(AH91,Horarios!$H:$I,2,0),"")</f>
        <v/>
      </c>
      <c r="AK91" s="28" t="str">
        <f>IFERROR(VLOOKUP(AI91,Horarios!$H:$I,2,0),"")</f>
        <v/>
      </c>
      <c r="AL91" s="28" t="str">
        <f t="shared" si="53"/>
        <v>00:00</v>
      </c>
      <c r="AM91" s="29"/>
      <c r="AN91" s="27"/>
      <c r="AO91" s="27"/>
      <c r="AP91" s="28" t="str">
        <f>IFERROR(VLOOKUP(AN91,Horarios!$H:$I,2,0),"")</f>
        <v/>
      </c>
      <c r="AQ91" s="28" t="str">
        <f>IFERROR(VLOOKUP(AO91,Horarios!$H:$I,2,0),"")</f>
        <v/>
      </c>
      <c r="AR91" s="28" t="str">
        <f t="shared" si="54"/>
        <v>00:00</v>
      </c>
      <c r="AS91" s="29"/>
      <c r="AT91" s="31" t="str">
        <f t="shared" si="55"/>
        <v/>
      </c>
      <c r="AU91" s="27"/>
      <c r="AV91" s="27"/>
      <c r="AW91" s="28" t="str">
        <f>IFERROR(VLOOKUP(AU91,Horarios!$H:$I,2,0),"")</f>
        <v/>
      </c>
      <c r="AX91" s="28" t="str">
        <f>IFERROR(VLOOKUP(AV91,Horarios!$H:$I,2,0),"")</f>
        <v/>
      </c>
      <c r="AY91" s="28" t="str">
        <f t="shared" si="56"/>
        <v>00:00</v>
      </c>
      <c r="AZ91" s="29"/>
      <c r="BA91" s="27"/>
      <c r="BB91" s="27"/>
      <c r="BC91" s="28" t="str">
        <f>IFERROR(VLOOKUP(BA91,Horarios!$H:$I,2,0),"")</f>
        <v/>
      </c>
      <c r="BD91" s="28" t="str">
        <f>IFERROR(VLOOKUP(BB91,Horarios!$H:$I,2,0),"")</f>
        <v/>
      </c>
      <c r="BE91" s="28" t="str">
        <f t="shared" si="57"/>
        <v>00:00</v>
      </c>
      <c r="BF91" s="29"/>
      <c r="BG91" s="27"/>
      <c r="BH91" s="27"/>
      <c r="BI91" s="28" t="str">
        <f>IFERROR(VLOOKUP(BG91,Horarios!$H:$I,2,0),"")</f>
        <v/>
      </c>
      <c r="BJ91" s="28" t="str">
        <f>IFERROR(VLOOKUP(BH91,Horarios!$H:$I,2,0),"")</f>
        <v/>
      </c>
      <c r="BK91" s="28" t="str">
        <f t="shared" si="58"/>
        <v>00:00</v>
      </c>
      <c r="BL91" s="29"/>
      <c r="BM91" s="27"/>
      <c r="BN91" s="27"/>
      <c r="BO91" s="28" t="str">
        <f>IFERROR(VLOOKUP(BM91,Horarios!$H:$I,2,0),"")</f>
        <v/>
      </c>
      <c r="BP91" s="28" t="str">
        <f>IFERROR(VLOOKUP(BN91,Horarios!$H:$I,2,0),"")</f>
        <v/>
      </c>
      <c r="BQ91" s="28" t="str">
        <f t="shared" si="59"/>
        <v>00:00</v>
      </c>
      <c r="BR91" s="29"/>
      <c r="BS91" s="27"/>
      <c r="BT91" s="27"/>
      <c r="BU91" s="28" t="str">
        <f>IFERROR(VLOOKUP(BS91,Horarios!$H:$I,2,0),"")</f>
        <v/>
      </c>
      <c r="BV91" s="28" t="str">
        <f>IFERROR(VLOOKUP(BT91,Horarios!$H:$I,2,0),"")</f>
        <v/>
      </c>
      <c r="BW91" s="28" t="str">
        <f t="shared" si="60"/>
        <v>00:00</v>
      </c>
      <c r="BX91" s="29"/>
      <c r="BY91" s="27"/>
      <c r="BZ91" s="27"/>
      <c r="CA91" s="28" t="str">
        <f>IFERROR(VLOOKUP(BY91,Horarios!$H:$I,2,0),"")</f>
        <v/>
      </c>
      <c r="CB91" s="28" t="str">
        <f>IFERROR(VLOOKUP(BZ91,Horarios!$H:$I,2,0),"")</f>
        <v/>
      </c>
      <c r="CC91" s="28" t="str">
        <f t="shared" si="61"/>
        <v>00:00</v>
      </c>
      <c r="CD91" s="29"/>
      <c r="CE91" s="27"/>
      <c r="CF91" s="27"/>
      <c r="CG91" s="28" t="str">
        <f>IFERROR(VLOOKUP(CE91,Horarios!$H:$I,2,0),"")</f>
        <v/>
      </c>
      <c r="CH91" s="28" t="str">
        <f>IFERROR(VLOOKUP(CF91,Horarios!$H:$I,2,0),"")</f>
        <v/>
      </c>
      <c r="CI91" s="28" t="str">
        <f t="shared" si="62"/>
        <v>00:00</v>
      </c>
      <c r="CJ91" s="29"/>
      <c r="CK91" s="31" t="str">
        <f t="shared" si="63"/>
        <v/>
      </c>
      <c r="CL91" s="27"/>
      <c r="CM91" s="27"/>
      <c r="CN91" s="28" t="str">
        <f>IFERROR(VLOOKUP(CL91,Horarios!$H:$I,2,0),"")</f>
        <v/>
      </c>
      <c r="CO91" s="28" t="str">
        <f>IFERROR(VLOOKUP(CM91,Horarios!$H:$I,2,0),"")</f>
        <v/>
      </c>
      <c r="CP91" s="28" t="str">
        <f t="shared" si="64"/>
        <v>00:00</v>
      </c>
      <c r="CQ91" s="29"/>
      <c r="CR91" s="27"/>
      <c r="CS91" s="27"/>
      <c r="CT91" s="28" t="str">
        <f>IFERROR(VLOOKUP(CR91,Horarios!$H:$I,2,0),"")</f>
        <v/>
      </c>
      <c r="CU91" s="28" t="str">
        <f>IFERROR(VLOOKUP(CS91,Horarios!$H:$I,2,0),"")</f>
        <v/>
      </c>
      <c r="CV91" s="28" t="str">
        <f t="shared" si="65"/>
        <v>00:00</v>
      </c>
      <c r="CW91" s="29"/>
      <c r="CX91" s="27"/>
      <c r="CY91" s="27"/>
      <c r="CZ91" s="28" t="str">
        <f>IFERROR(VLOOKUP(CX91,Horarios!$H:$I,2,0),"")</f>
        <v/>
      </c>
      <c r="DA91" s="28" t="str">
        <f>IFERROR(VLOOKUP(CY91,Horarios!$H:$I,2,0),"")</f>
        <v/>
      </c>
      <c r="DB91" s="28" t="str">
        <f t="shared" si="66"/>
        <v>00:00</v>
      </c>
      <c r="DC91" s="29"/>
      <c r="DD91" s="27"/>
      <c r="DE91" s="27"/>
      <c r="DF91" s="28" t="str">
        <f>IFERROR(VLOOKUP(DD91,Horarios!$H:$I,2,0),"")</f>
        <v/>
      </c>
      <c r="DG91" s="28" t="str">
        <f>IFERROR(VLOOKUP(DE91,Horarios!$H:$I,2,0),"")</f>
        <v/>
      </c>
      <c r="DH91" s="28" t="str">
        <f t="shared" si="67"/>
        <v>00:00</v>
      </c>
      <c r="DI91" s="29"/>
      <c r="DJ91" s="27"/>
      <c r="DK91" s="27"/>
      <c r="DL91" s="28" t="str">
        <f>IFERROR(VLOOKUP(DJ91,Horarios!$H:$I,2,0),"")</f>
        <v/>
      </c>
      <c r="DM91" s="28" t="str">
        <f>IFERROR(VLOOKUP(DK91,Horarios!$H:$I,2,0),"")</f>
        <v/>
      </c>
      <c r="DN91" s="28" t="str">
        <f t="shared" si="68"/>
        <v>00:00</v>
      </c>
      <c r="DO91" s="29"/>
      <c r="DP91" s="27"/>
      <c r="DQ91" s="27"/>
      <c r="DR91" s="28" t="str">
        <f>IFERROR(VLOOKUP(DP91,Horarios!$H:$I,2,0),"")</f>
        <v/>
      </c>
      <c r="DS91" s="28" t="str">
        <f>IFERROR(VLOOKUP(DQ91,Horarios!$H:$I,2,0),"")</f>
        <v/>
      </c>
      <c r="DT91" s="28" t="str">
        <f t="shared" si="69"/>
        <v>00:00</v>
      </c>
      <c r="DU91" s="29"/>
      <c r="DV91" s="27"/>
      <c r="DW91" s="27"/>
      <c r="DX91" s="28" t="str">
        <f>IFERROR(VLOOKUP(DV91,Horarios!$H:$I,2,0),"")</f>
        <v/>
      </c>
      <c r="DY91" s="28" t="str">
        <f>IFERROR(VLOOKUP(DW91,Horarios!$H:$I,2,0),"")</f>
        <v/>
      </c>
      <c r="DZ91" s="28" t="str">
        <f t="shared" si="70"/>
        <v>00:00</v>
      </c>
      <c r="EA91" s="29"/>
      <c r="EB91" s="31" t="str">
        <f t="shared" si="71"/>
        <v/>
      </c>
      <c r="EC91" s="27"/>
      <c r="ED91" s="27"/>
      <c r="EE91" s="28" t="str">
        <f>IFERROR(VLOOKUP(EC91,Horarios!$H:$I,2,0),"")</f>
        <v/>
      </c>
      <c r="EF91" s="28" t="str">
        <f>IFERROR(VLOOKUP(ED91,Horarios!$H:$I,2,0),"")</f>
        <v/>
      </c>
      <c r="EG91" s="28" t="str">
        <f t="shared" si="72"/>
        <v>00:00</v>
      </c>
      <c r="EH91" s="29"/>
      <c r="EI91" s="27"/>
      <c r="EJ91" s="27"/>
      <c r="EK91" s="28" t="str">
        <f>IFERROR(VLOOKUP(EI91,Horarios!$H:$I,2,0),"")</f>
        <v/>
      </c>
      <c r="EL91" s="28" t="str">
        <f>IFERROR(VLOOKUP(EJ91,Horarios!$H:$I,2,0),"")</f>
        <v/>
      </c>
      <c r="EM91" s="28" t="str">
        <f t="shared" si="73"/>
        <v>00:00</v>
      </c>
      <c r="EN91" s="29"/>
      <c r="EO91" s="27"/>
      <c r="EP91" s="27"/>
      <c r="EQ91" s="28" t="str">
        <f>IFERROR(VLOOKUP(EO91,Horarios!$H:$I,2,0),"")</f>
        <v/>
      </c>
      <c r="ER91" s="28" t="str">
        <f>IFERROR(VLOOKUP(EP91,Horarios!$H:$I,2,0),"")</f>
        <v/>
      </c>
      <c r="ES91" s="28" t="str">
        <f t="shared" si="74"/>
        <v>00:00</v>
      </c>
      <c r="ET91" s="29"/>
      <c r="EU91" s="27"/>
      <c r="EV91" s="27"/>
      <c r="EW91" s="28" t="str">
        <f>IFERROR(VLOOKUP(EU91,Horarios!$H:$I,2,0),"")</f>
        <v/>
      </c>
      <c r="EX91" s="28" t="str">
        <f>IFERROR(VLOOKUP(EV91,Horarios!$H:$I,2,0),"")</f>
        <v/>
      </c>
      <c r="EY91" s="28" t="str">
        <f t="shared" si="75"/>
        <v>00:00</v>
      </c>
      <c r="EZ91" s="29"/>
      <c r="FA91" s="27"/>
      <c r="FB91" s="27"/>
      <c r="FC91" s="28" t="str">
        <f>IFERROR(VLOOKUP(FA91,Horarios!$H:$I,2,0),"")</f>
        <v/>
      </c>
      <c r="FD91" s="28" t="str">
        <f>IFERROR(VLOOKUP(FB91,Horarios!$H:$I,2,0),"")</f>
        <v/>
      </c>
      <c r="FE91" s="28" t="str">
        <f t="shared" si="76"/>
        <v>00:00</v>
      </c>
      <c r="FF91" s="29"/>
      <c r="FG91" s="27"/>
      <c r="FH91" s="27"/>
      <c r="FI91" s="28" t="str">
        <f>IFERROR(VLOOKUP(FG91,Horarios!$H:$I,2,0),"")</f>
        <v/>
      </c>
      <c r="FJ91" s="28" t="str">
        <f>IFERROR(VLOOKUP(FH91,Horarios!$H:$I,2,0),"")</f>
        <v/>
      </c>
      <c r="FK91" s="28" t="str">
        <f t="shared" si="77"/>
        <v>00:00</v>
      </c>
      <c r="FL91" s="29"/>
      <c r="FM91" s="27"/>
      <c r="FN91" s="27"/>
      <c r="FO91" s="28" t="str">
        <f>IFERROR(VLOOKUP(FM91,Horarios!$H:$I,2,0),"")</f>
        <v/>
      </c>
      <c r="FP91" s="28" t="str">
        <f>IFERROR(VLOOKUP(FN91,Horarios!$H:$I,2,0),"")</f>
        <v/>
      </c>
      <c r="FQ91" s="28" t="str">
        <f t="shared" si="78"/>
        <v>00:00</v>
      </c>
      <c r="FR91" s="29"/>
      <c r="FS91" s="31" t="str">
        <f t="shared" si="79"/>
        <v/>
      </c>
      <c r="FT91" s="27"/>
      <c r="FU91" s="27"/>
      <c r="FV91" s="28" t="str">
        <f>IFERROR(VLOOKUP(FT91,Horarios!$H:$I,2,0),"")</f>
        <v/>
      </c>
      <c r="FW91" s="28" t="str">
        <f>IFERROR(VLOOKUP(FU91,Horarios!$H:$I,2,0),"")</f>
        <v/>
      </c>
      <c r="FX91" s="28" t="str">
        <f t="shared" si="80"/>
        <v>00:00</v>
      </c>
      <c r="FY91" s="29"/>
      <c r="FZ91" s="27"/>
      <c r="GA91" s="27"/>
      <c r="GB91" s="28" t="str">
        <f>IFERROR(VLOOKUP(FZ91,Horarios!$H:$I,2,0),"")</f>
        <v/>
      </c>
      <c r="GC91" s="28" t="str">
        <f>IFERROR(VLOOKUP(GA91,Horarios!$H:$I,2,0),"")</f>
        <v/>
      </c>
      <c r="GD91" s="28" t="str">
        <f t="shared" si="81"/>
        <v>00:00</v>
      </c>
      <c r="GE91" s="29"/>
      <c r="GF91" s="27"/>
      <c r="GG91" s="27"/>
      <c r="GH91" s="28" t="str">
        <f>IFERROR(VLOOKUP(GF91,Horarios!$H:$I,2,0),"")</f>
        <v/>
      </c>
      <c r="GI91" s="28" t="str">
        <f>IFERROR(VLOOKUP(GG91,Horarios!$H:$I,2,0),"")</f>
        <v/>
      </c>
      <c r="GJ91" s="28" t="str">
        <f t="shared" si="82"/>
        <v>00:00</v>
      </c>
      <c r="GK91" s="29"/>
      <c r="GL91" s="27"/>
      <c r="GM91" s="27"/>
      <c r="GN91" s="28" t="str">
        <f>IFERROR(VLOOKUP(GL91,Horarios!$H:$I,2,0),"")</f>
        <v/>
      </c>
      <c r="GO91" s="28" t="str">
        <f>IFERROR(VLOOKUP(GM91,Horarios!$H:$I,2,0),"")</f>
        <v/>
      </c>
      <c r="GP91" s="28" t="str">
        <f t="shared" si="83"/>
        <v>00:00</v>
      </c>
      <c r="GQ91" s="29"/>
      <c r="GR91" s="27"/>
      <c r="GS91" s="27"/>
      <c r="GT91" s="28" t="str">
        <f>IFERROR(VLOOKUP(GR91,Horarios!$H:$I,2,0),"")</f>
        <v/>
      </c>
      <c r="GU91" s="28" t="str">
        <f>IFERROR(VLOOKUP(GS91,Horarios!$H:$I,2,0),"")</f>
        <v/>
      </c>
      <c r="GV91" s="28" t="str">
        <f t="shared" si="84"/>
        <v>00:00</v>
      </c>
      <c r="GW91" s="29"/>
      <c r="GX91" s="27"/>
      <c r="GY91" s="27"/>
      <c r="GZ91" s="28" t="str">
        <f>IFERROR(VLOOKUP(GX91,Horarios!$H:$I,2,0),"")</f>
        <v/>
      </c>
      <c r="HA91" s="28" t="str">
        <f>IFERROR(VLOOKUP(GY91,Horarios!$H:$I,2,0),"")</f>
        <v/>
      </c>
      <c r="HB91" s="28" t="str">
        <f t="shared" si="85"/>
        <v>00:00</v>
      </c>
      <c r="HC91" s="29"/>
      <c r="HD91" s="27"/>
      <c r="HE91" s="27"/>
      <c r="HF91" s="28" t="str">
        <f>IFERROR(VLOOKUP(HD91,Horarios!$H:$I,2,0),"")</f>
        <v/>
      </c>
      <c r="HG91" s="28" t="str">
        <f>IFERROR(VLOOKUP(HE91,Horarios!$H:$I,2,0),"")</f>
        <v/>
      </c>
      <c r="HH91" s="28" t="str">
        <f t="shared" si="86"/>
        <v>00:00</v>
      </c>
      <c r="HI91" s="29"/>
      <c r="HJ91" s="31" t="str">
        <f t="shared" si="87"/>
        <v/>
      </c>
      <c r="HK91" s="27"/>
      <c r="HL91" s="27"/>
      <c r="HM91" s="28" t="str">
        <f>IFERROR(VLOOKUP(HK91,Horarios!$H:$I,2,0),"")</f>
        <v/>
      </c>
      <c r="HN91" s="28" t="str">
        <f>IFERROR(VLOOKUP(HL91,Horarios!$H:$I,2,0),"")</f>
        <v/>
      </c>
      <c r="HO91" s="28" t="str">
        <f t="shared" si="88"/>
        <v>00:00</v>
      </c>
      <c r="HP91" s="29"/>
      <c r="HQ91" s="27"/>
      <c r="HR91" s="27"/>
      <c r="HS91" s="28" t="str">
        <f>IFERROR(VLOOKUP(HQ91,Horarios!$H:$I,2,0),"")</f>
        <v/>
      </c>
      <c r="HT91" s="28" t="str">
        <f>IFERROR(VLOOKUP(HR91,Horarios!$H:$I,2,0),"")</f>
        <v/>
      </c>
      <c r="HU91" s="28" t="str">
        <f t="shared" si="89"/>
        <v>00:00</v>
      </c>
      <c r="HV91" s="29"/>
      <c r="HW91" s="27"/>
      <c r="HX91" s="27"/>
      <c r="HY91" s="28" t="str">
        <f>IFERROR(VLOOKUP(HW91,Horarios!$H:$I,2,0),"")</f>
        <v/>
      </c>
      <c r="HZ91" s="28" t="str">
        <f>IFERROR(VLOOKUP(HX91,Horarios!$H:$I,2,0),"")</f>
        <v/>
      </c>
      <c r="IA91" s="28" t="str">
        <f t="shared" si="90"/>
        <v>00:00</v>
      </c>
      <c r="IB91" s="29"/>
      <c r="IC91" s="27"/>
      <c r="ID91" s="27"/>
      <c r="IE91" s="28" t="str">
        <f>IFERROR(VLOOKUP(IC91,Horarios!$H:$I,2,0),"")</f>
        <v/>
      </c>
      <c r="IF91" s="28" t="str">
        <f>IFERROR(VLOOKUP(ID91,Horarios!$H:$I,2,0),"")</f>
        <v/>
      </c>
      <c r="IG91" s="28" t="str">
        <f t="shared" si="91"/>
        <v>00:00</v>
      </c>
      <c r="IH91" s="29"/>
      <c r="II91" s="27"/>
      <c r="IJ91" s="27"/>
      <c r="IK91" s="28" t="str">
        <f>IFERROR(VLOOKUP(II91,Horarios!$H:$I,2,0),"")</f>
        <v/>
      </c>
      <c r="IL91" s="28" t="str">
        <f>IFERROR(VLOOKUP(IJ91,Horarios!$H:$I,2,0),"")</f>
        <v/>
      </c>
      <c r="IM91" s="28" t="str">
        <f t="shared" si="92"/>
        <v>00:00</v>
      </c>
      <c r="IN91" s="29"/>
      <c r="IO91" s="27"/>
      <c r="IP91" s="27"/>
      <c r="IQ91" s="28" t="str">
        <f>IFERROR(VLOOKUP(IO91,Horarios!$H:$I,2,0),"")</f>
        <v/>
      </c>
      <c r="IR91" s="28" t="str">
        <f>IFERROR(VLOOKUP(IP91,Horarios!$H:$I,2,0),"")</f>
        <v/>
      </c>
      <c r="IS91" s="28" t="str">
        <f t="shared" si="93"/>
        <v>00:00</v>
      </c>
      <c r="IT91" s="29"/>
      <c r="IU91" s="27"/>
      <c r="IV91" s="27"/>
      <c r="IW91" s="28" t="str">
        <f>IFERROR(VLOOKUP(IU91,Horarios!$H:$I,2,0),"")</f>
        <v/>
      </c>
      <c r="IX91" s="28" t="str">
        <f>IFERROR(VLOOKUP(IV91,Horarios!$H:$I,2,0),"")</f>
        <v/>
      </c>
      <c r="IY91" s="28" t="str">
        <f t="shared" si="94"/>
        <v>00:00</v>
      </c>
      <c r="IZ91" s="29"/>
      <c r="JA91" s="31" t="str">
        <f t="shared" si="95"/>
        <v/>
      </c>
    </row>
    <row r="92" spans="1:261" s="24" customFormat="1" ht="17.399999999999999" x14ac:dyDescent="0.25">
      <c r="A92" s="25"/>
      <c r="B92" s="26" t="str">
        <f>IFERROR(VLOOKUP(A92,BaseNombres!A:B,2,0),"")</f>
        <v/>
      </c>
      <c r="C92" s="26" t="str">
        <f>IFERROR(VLOOKUP(A92,BaseNombres!A:C,3,0),"")</f>
        <v/>
      </c>
      <c r="D92" s="27"/>
      <c r="E92" s="27"/>
      <c r="F92" s="28" t="str">
        <f>IFERROR(VLOOKUP(D92,Horarios!$H:$I,2,0),"")</f>
        <v/>
      </c>
      <c r="G92" s="28" t="str">
        <f>IFERROR(VLOOKUP(E92,Horarios!$H:$I,2,0),"")</f>
        <v/>
      </c>
      <c r="H92" s="28" t="str">
        <f t="shared" si="48"/>
        <v>00:00</v>
      </c>
      <c r="I92" s="29"/>
      <c r="J92" s="27"/>
      <c r="K92" s="27"/>
      <c r="L92" s="28" t="str">
        <f>IFERROR(VLOOKUP(J92,Horarios!$H:$I,2,0),"")</f>
        <v/>
      </c>
      <c r="M92" s="28" t="str">
        <f>IFERROR(VLOOKUP(K92,Horarios!$H:$I,2,0),"")</f>
        <v/>
      </c>
      <c r="N92" s="28" t="str">
        <f t="shared" si="49"/>
        <v>00:00</v>
      </c>
      <c r="O92" s="29"/>
      <c r="P92" s="27"/>
      <c r="Q92" s="27"/>
      <c r="R92" s="28" t="str">
        <f>IFERROR(VLOOKUP(P92,Horarios!$H:$I,2,0),"")</f>
        <v/>
      </c>
      <c r="S92" s="28" t="str">
        <f>IFERROR(VLOOKUP(Q92,Horarios!$H:$I,2,0),"")</f>
        <v/>
      </c>
      <c r="T92" s="28" t="str">
        <f t="shared" si="50"/>
        <v>00:00</v>
      </c>
      <c r="U92" s="29"/>
      <c r="V92" s="27"/>
      <c r="W92" s="27"/>
      <c r="X92" s="28" t="str">
        <f>IFERROR(VLOOKUP(V92,Horarios!$H:$I,2,0),"")</f>
        <v/>
      </c>
      <c r="Y92" s="28" t="str">
        <f>IFERROR(VLOOKUP(W92,Horarios!$H:$I,2,0),"")</f>
        <v/>
      </c>
      <c r="Z92" s="28" t="str">
        <f t="shared" si="51"/>
        <v>00:00</v>
      </c>
      <c r="AA92" s="29"/>
      <c r="AB92" s="27"/>
      <c r="AC92" s="27"/>
      <c r="AD92" s="28" t="str">
        <f>IFERROR(VLOOKUP(AB92,Horarios!$H:$I,2,0),"")</f>
        <v/>
      </c>
      <c r="AE92" s="28" t="str">
        <f>IFERROR(VLOOKUP(AC92,Horarios!$H:$I,2,0),"")</f>
        <v/>
      </c>
      <c r="AF92" s="28" t="str">
        <f t="shared" si="52"/>
        <v>00:00</v>
      </c>
      <c r="AG92" s="29"/>
      <c r="AH92" s="27"/>
      <c r="AI92" s="27"/>
      <c r="AJ92" s="28" t="str">
        <f>IFERROR(VLOOKUP(AH92,Horarios!$H:$I,2,0),"")</f>
        <v/>
      </c>
      <c r="AK92" s="28" t="str">
        <f>IFERROR(VLOOKUP(AI92,Horarios!$H:$I,2,0),"")</f>
        <v/>
      </c>
      <c r="AL92" s="28" t="str">
        <f t="shared" si="53"/>
        <v>00:00</v>
      </c>
      <c r="AM92" s="29"/>
      <c r="AN92" s="27"/>
      <c r="AO92" s="27"/>
      <c r="AP92" s="28" t="str">
        <f>IFERROR(VLOOKUP(AN92,Horarios!$H:$I,2,0),"")</f>
        <v/>
      </c>
      <c r="AQ92" s="28" t="str">
        <f>IFERROR(VLOOKUP(AO92,Horarios!$H:$I,2,0),"")</f>
        <v/>
      </c>
      <c r="AR92" s="28" t="str">
        <f t="shared" si="54"/>
        <v>00:00</v>
      </c>
      <c r="AS92" s="29"/>
      <c r="AT92" s="31" t="str">
        <f t="shared" si="55"/>
        <v/>
      </c>
      <c r="AU92" s="27"/>
      <c r="AV92" s="27"/>
      <c r="AW92" s="28" t="str">
        <f>IFERROR(VLOOKUP(AU92,Horarios!$H:$I,2,0),"")</f>
        <v/>
      </c>
      <c r="AX92" s="28" t="str">
        <f>IFERROR(VLOOKUP(AV92,Horarios!$H:$I,2,0),"")</f>
        <v/>
      </c>
      <c r="AY92" s="28" t="str">
        <f t="shared" si="56"/>
        <v>00:00</v>
      </c>
      <c r="AZ92" s="29"/>
      <c r="BA92" s="27"/>
      <c r="BB92" s="27"/>
      <c r="BC92" s="28" t="str">
        <f>IFERROR(VLOOKUP(BA92,Horarios!$H:$I,2,0),"")</f>
        <v/>
      </c>
      <c r="BD92" s="28" t="str">
        <f>IFERROR(VLOOKUP(BB92,Horarios!$H:$I,2,0),"")</f>
        <v/>
      </c>
      <c r="BE92" s="28" t="str">
        <f t="shared" si="57"/>
        <v>00:00</v>
      </c>
      <c r="BF92" s="29"/>
      <c r="BG92" s="27"/>
      <c r="BH92" s="27"/>
      <c r="BI92" s="28" t="str">
        <f>IFERROR(VLOOKUP(BG92,Horarios!$H:$I,2,0),"")</f>
        <v/>
      </c>
      <c r="BJ92" s="28" t="str">
        <f>IFERROR(VLOOKUP(BH92,Horarios!$H:$I,2,0),"")</f>
        <v/>
      </c>
      <c r="BK92" s="28" t="str">
        <f t="shared" si="58"/>
        <v>00:00</v>
      </c>
      <c r="BL92" s="29"/>
      <c r="BM92" s="27"/>
      <c r="BN92" s="27"/>
      <c r="BO92" s="28" t="str">
        <f>IFERROR(VLOOKUP(BM92,Horarios!$H:$I,2,0),"")</f>
        <v/>
      </c>
      <c r="BP92" s="28" t="str">
        <f>IFERROR(VLOOKUP(BN92,Horarios!$H:$I,2,0),"")</f>
        <v/>
      </c>
      <c r="BQ92" s="28" t="str">
        <f t="shared" si="59"/>
        <v>00:00</v>
      </c>
      <c r="BR92" s="29"/>
      <c r="BS92" s="27"/>
      <c r="BT92" s="27"/>
      <c r="BU92" s="28" t="str">
        <f>IFERROR(VLOOKUP(BS92,Horarios!$H:$I,2,0),"")</f>
        <v/>
      </c>
      <c r="BV92" s="28" t="str">
        <f>IFERROR(VLOOKUP(BT92,Horarios!$H:$I,2,0),"")</f>
        <v/>
      </c>
      <c r="BW92" s="28" t="str">
        <f t="shared" si="60"/>
        <v>00:00</v>
      </c>
      <c r="BX92" s="29"/>
      <c r="BY92" s="27"/>
      <c r="BZ92" s="27"/>
      <c r="CA92" s="28" t="str">
        <f>IFERROR(VLOOKUP(BY92,Horarios!$H:$I,2,0),"")</f>
        <v/>
      </c>
      <c r="CB92" s="28" t="str">
        <f>IFERROR(VLOOKUP(BZ92,Horarios!$H:$I,2,0),"")</f>
        <v/>
      </c>
      <c r="CC92" s="28" t="str">
        <f t="shared" si="61"/>
        <v>00:00</v>
      </c>
      <c r="CD92" s="29"/>
      <c r="CE92" s="27"/>
      <c r="CF92" s="27"/>
      <c r="CG92" s="28" t="str">
        <f>IFERROR(VLOOKUP(CE92,Horarios!$H:$I,2,0),"")</f>
        <v/>
      </c>
      <c r="CH92" s="28" t="str">
        <f>IFERROR(VLOOKUP(CF92,Horarios!$H:$I,2,0),"")</f>
        <v/>
      </c>
      <c r="CI92" s="28" t="str">
        <f t="shared" si="62"/>
        <v>00:00</v>
      </c>
      <c r="CJ92" s="29"/>
      <c r="CK92" s="31" t="str">
        <f t="shared" si="63"/>
        <v/>
      </c>
      <c r="CL92" s="27"/>
      <c r="CM92" s="27"/>
      <c r="CN92" s="28" t="str">
        <f>IFERROR(VLOOKUP(CL92,Horarios!$H:$I,2,0),"")</f>
        <v/>
      </c>
      <c r="CO92" s="28" t="str">
        <f>IFERROR(VLOOKUP(CM92,Horarios!$H:$I,2,0),"")</f>
        <v/>
      </c>
      <c r="CP92" s="28" t="str">
        <f t="shared" si="64"/>
        <v>00:00</v>
      </c>
      <c r="CQ92" s="29"/>
      <c r="CR92" s="27"/>
      <c r="CS92" s="27"/>
      <c r="CT92" s="28" t="str">
        <f>IFERROR(VLOOKUP(CR92,Horarios!$H:$I,2,0),"")</f>
        <v/>
      </c>
      <c r="CU92" s="28" t="str">
        <f>IFERROR(VLOOKUP(CS92,Horarios!$H:$I,2,0),"")</f>
        <v/>
      </c>
      <c r="CV92" s="28" t="str">
        <f t="shared" si="65"/>
        <v>00:00</v>
      </c>
      <c r="CW92" s="29"/>
      <c r="CX92" s="27"/>
      <c r="CY92" s="27"/>
      <c r="CZ92" s="28" t="str">
        <f>IFERROR(VLOOKUP(CX92,Horarios!$H:$I,2,0),"")</f>
        <v/>
      </c>
      <c r="DA92" s="28" t="str">
        <f>IFERROR(VLOOKUP(CY92,Horarios!$H:$I,2,0),"")</f>
        <v/>
      </c>
      <c r="DB92" s="28" t="str">
        <f t="shared" si="66"/>
        <v>00:00</v>
      </c>
      <c r="DC92" s="29"/>
      <c r="DD92" s="27"/>
      <c r="DE92" s="27"/>
      <c r="DF92" s="28" t="str">
        <f>IFERROR(VLOOKUP(DD92,Horarios!$H:$I,2,0),"")</f>
        <v/>
      </c>
      <c r="DG92" s="28" t="str">
        <f>IFERROR(VLOOKUP(DE92,Horarios!$H:$I,2,0),"")</f>
        <v/>
      </c>
      <c r="DH92" s="28" t="str">
        <f t="shared" si="67"/>
        <v>00:00</v>
      </c>
      <c r="DI92" s="29"/>
      <c r="DJ92" s="27"/>
      <c r="DK92" s="27"/>
      <c r="DL92" s="28" t="str">
        <f>IFERROR(VLOOKUP(DJ92,Horarios!$H:$I,2,0),"")</f>
        <v/>
      </c>
      <c r="DM92" s="28" t="str">
        <f>IFERROR(VLOOKUP(DK92,Horarios!$H:$I,2,0),"")</f>
        <v/>
      </c>
      <c r="DN92" s="28" t="str">
        <f t="shared" si="68"/>
        <v>00:00</v>
      </c>
      <c r="DO92" s="29"/>
      <c r="DP92" s="27"/>
      <c r="DQ92" s="27"/>
      <c r="DR92" s="28" t="str">
        <f>IFERROR(VLOOKUP(DP92,Horarios!$H:$I,2,0),"")</f>
        <v/>
      </c>
      <c r="DS92" s="28" t="str">
        <f>IFERROR(VLOOKUP(DQ92,Horarios!$H:$I,2,0),"")</f>
        <v/>
      </c>
      <c r="DT92" s="28" t="str">
        <f t="shared" si="69"/>
        <v>00:00</v>
      </c>
      <c r="DU92" s="29"/>
      <c r="DV92" s="27"/>
      <c r="DW92" s="27"/>
      <c r="DX92" s="28" t="str">
        <f>IFERROR(VLOOKUP(DV92,Horarios!$H:$I,2,0),"")</f>
        <v/>
      </c>
      <c r="DY92" s="28" t="str">
        <f>IFERROR(VLOOKUP(DW92,Horarios!$H:$I,2,0),"")</f>
        <v/>
      </c>
      <c r="DZ92" s="28" t="str">
        <f t="shared" si="70"/>
        <v>00:00</v>
      </c>
      <c r="EA92" s="29"/>
      <c r="EB92" s="31" t="str">
        <f t="shared" si="71"/>
        <v/>
      </c>
      <c r="EC92" s="27"/>
      <c r="ED92" s="27"/>
      <c r="EE92" s="28" t="str">
        <f>IFERROR(VLOOKUP(EC92,Horarios!$H:$I,2,0),"")</f>
        <v/>
      </c>
      <c r="EF92" s="28" t="str">
        <f>IFERROR(VLOOKUP(ED92,Horarios!$H:$I,2,0),"")</f>
        <v/>
      </c>
      <c r="EG92" s="28" t="str">
        <f t="shared" si="72"/>
        <v>00:00</v>
      </c>
      <c r="EH92" s="29"/>
      <c r="EI92" s="27"/>
      <c r="EJ92" s="27"/>
      <c r="EK92" s="28" t="str">
        <f>IFERROR(VLOOKUP(EI92,Horarios!$H:$I,2,0),"")</f>
        <v/>
      </c>
      <c r="EL92" s="28" t="str">
        <f>IFERROR(VLOOKUP(EJ92,Horarios!$H:$I,2,0),"")</f>
        <v/>
      </c>
      <c r="EM92" s="28" t="str">
        <f t="shared" si="73"/>
        <v>00:00</v>
      </c>
      <c r="EN92" s="29"/>
      <c r="EO92" s="27"/>
      <c r="EP92" s="27"/>
      <c r="EQ92" s="28" t="str">
        <f>IFERROR(VLOOKUP(EO92,Horarios!$H:$I,2,0),"")</f>
        <v/>
      </c>
      <c r="ER92" s="28" t="str">
        <f>IFERROR(VLOOKUP(EP92,Horarios!$H:$I,2,0),"")</f>
        <v/>
      </c>
      <c r="ES92" s="28" t="str">
        <f t="shared" si="74"/>
        <v>00:00</v>
      </c>
      <c r="ET92" s="29"/>
      <c r="EU92" s="27"/>
      <c r="EV92" s="27"/>
      <c r="EW92" s="28" t="str">
        <f>IFERROR(VLOOKUP(EU92,Horarios!$H:$I,2,0),"")</f>
        <v/>
      </c>
      <c r="EX92" s="28" t="str">
        <f>IFERROR(VLOOKUP(EV92,Horarios!$H:$I,2,0),"")</f>
        <v/>
      </c>
      <c r="EY92" s="28" t="str">
        <f t="shared" si="75"/>
        <v>00:00</v>
      </c>
      <c r="EZ92" s="29"/>
      <c r="FA92" s="27"/>
      <c r="FB92" s="27"/>
      <c r="FC92" s="28" t="str">
        <f>IFERROR(VLOOKUP(FA92,Horarios!$H:$I,2,0),"")</f>
        <v/>
      </c>
      <c r="FD92" s="28" t="str">
        <f>IFERROR(VLOOKUP(FB92,Horarios!$H:$I,2,0),"")</f>
        <v/>
      </c>
      <c r="FE92" s="28" t="str">
        <f t="shared" si="76"/>
        <v>00:00</v>
      </c>
      <c r="FF92" s="29"/>
      <c r="FG92" s="27"/>
      <c r="FH92" s="27"/>
      <c r="FI92" s="28" t="str">
        <f>IFERROR(VLOOKUP(FG92,Horarios!$H:$I,2,0),"")</f>
        <v/>
      </c>
      <c r="FJ92" s="28" t="str">
        <f>IFERROR(VLOOKUP(FH92,Horarios!$H:$I,2,0),"")</f>
        <v/>
      </c>
      <c r="FK92" s="28" t="str">
        <f t="shared" si="77"/>
        <v>00:00</v>
      </c>
      <c r="FL92" s="29"/>
      <c r="FM92" s="27"/>
      <c r="FN92" s="27"/>
      <c r="FO92" s="28" t="str">
        <f>IFERROR(VLOOKUP(FM92,Horarios!$H:$I,2,0),"")</f>
        <v/>
      </c>
      <c r="FP92" s="28" t="str">
        <f>IFERROR(VLOOKUP(FN92,Horarios!$H:$I,2,0),"")</f>
        <v/>
      </c>
      <c r="FQ92" s="28" t="str">
        <f t="shared" si="78"/>
        <v>00:00</v>
      </c>
      <c r="FR92" s="29"/>
      <c r="FS92" s="31" t="str">
        <f t="shared" si="79"/>
        <v/>
      </c>
      <c r="FT92" s="27"/>
      <c r="FU92" s="27"/>
      <c r="FV92" s="28" t="str">
        <f>IFERROR(VLOOKUP(FT92,Horarios!$H:$I,2,0),"")</f>
        <v/>
      </c>
      <c r="FW92" s="28" t="str">
        <f>IFERROR(VLOOKUP(FU92,Horarios!$H:$I,2,0),"")</f>
        <v/>
      </c>
      <c r="FX92" s="28" t="str">
        <f t="shared" si="80"/>
        <v>00:00</v>
      </c>
      <c r="FY92" s="29"/>
      <c r="FZ92" s="27"/>
      <c r="GA92" s="27"/>
      <c r="GB92" s="28" t="str">
        <f>IFERROR(VLOOKUP(FZ92,Horarios!$H:$I,2,0),"")</f>
        <v/>
      </c>
      <c r="GC92" s="28" t="str">
        <f>IFERROR(VLOOKUP(GA92,Horarios!$H:$I,2,0),"")</f>
        <v/>
      </c>
      <c r="GD92" s="28" t="str">
        <f t="shared" si="81"/>
        <v>00:00</v>
      </c>
      <c r="GE92" s="29"/>
      <c r="GF92" s="27"/>
      <c r="GG92" s="27"/>
      <c r="GH92" s="28" t="str">
        <f>IFERROR(VLOOKUP(GF92,Horarios!$H:$I,2,0),"")</f>
        <v/>
      </c>
      <c r="GI92" s="28" t="str">
        <f>IFERROR(VLOOKUP(GG92,Horarios!$H:$I,2,0),"")</f>
        <v/>
      </c>
      <c r="GJ92" s="28" t="str">
        <f t="shared" si="82"/>
        <v>00:00</v>
      </c>
      <c r="GK92" s="29"/>
      <c r="GL92" s="27"/>
      <c r="GM92" s="27"/>
      <c r="GN92" s="28" t="str">
        <f>IFERROR(VLOOKUP(GL92,Horarios!$H:$I,2,0),"")</f>
        <v/>
      </c>
      <c r="GO92" s="28" t="str">
        <f>IFERROR(VLOOKUP(GM92,Horarios!$H:$I,2,0),"")</f>
        <v/>
      </c>
      <c r="GP92" s="28" t="str">
        <f t="shared" si="83"/>
        <v>00:00</v>
      </c>
      <c r="GQ92" s="29"/>
      <c r="GR92" s="27"/>
      <c r="GS92" s="27"/>
      <c r="GT92" s="28" t="str">
        <f>IFERROR(VLOOKUP(GR92,Horarios!$H:$I,2,0),"")</f>
        <v/>
      </c>
      <c r="GU92" s="28" t="str">
        <f>IFERROR(VLOOKUP(GS92,Horarios!$H:$I,2,0),"")</f>
        <v/>
      </c>
      <c r="GV92" s="28" t="str">
        <f t="shared" si="84"/>
        <v>00:00</v>
      </c>
      <c r="GW92" s="29"/>
      <c r="GX92" s="27"/>
      <c r="GY92" s="27"/>
      <c r="GZ92" s="28" t="str">
        <f>IFERROR(VLOOKUP(GX92,Horarios!$H:$I,2,0),"")</f>
        <v/>
      </c>
      <c r="HA92" s="28" t="str">
        <f>IFERROR(VLOOKUP(GY92,Horarios!$H:$I,2,0),"")</f>
        <v/>
      </c>
      <c r="HB92" s="28" t="str">
        <f t="shared" si="85"/>
        <v>00:00</v>
      </c>
      <c r="HC92" s="29"/>
      <c r="HD92" s="27"/>
      <c r="HE92" s="27"/>
      <c r="HF92" s="28" t="str">
        <f>IFERROR(VLOOKUP(HD92,Horarios!$H:$I,2,0),"")</f>
        <v/>
      </c>
      <c r="HG92" s="28" t="str">
        <f>IFERROR(VLOOKUP(HE92,Horarios!$H:$I,2,0),"")</f>
        <v/>
      </c>
      <c r="HH92" s="28" t="str">
        <f t="shared" si="86"/>
        <v>00:00</v>
      </c>
      <c r="HI92" s="29"/>
      <c r="HJ92" s="31" t="str">
        <f t="shared" si="87"/>
        <v/>
      </c>
      <c r="HK92" s="27"/>
      <c r="HL92" s="27"/>
      <c r="HM92" s="28" t="str">
        <f>IFERROR(VLOOKUP(HK92,Horarios!$H:$I,2,0),"")</f>
        <v/>
      </c>
      <c r="HN92" s="28" t="str">
        <f>IFERROR(VLOOKUP(HL92,Horarios!$H:$I,2,0),"")</f>
        <v/>
      </c>
      <c r="HO92" s="28" t="str">
        <f t="shared" si="88"/>
        <v>00:00</v>
      </c>
      <c r="HP92" s="29"/>
      <c r="HQ92" s="27"/>
      <c r="HR92" s="27"/>
      <c r="HS92" s="28" t="str">
        <f>IFERROR(VLOOKUP(HQ92,Horarios!$H:$I,2,0),"")</f>
        <v/>
      </c>
      <c r="HT92" s="28" t="str">
        <f>IFERROR(VLOOKUP(HR92,Horarios!$H:$I,2,0),"")</f>
        <v/>
      </c>
      <c r="HU92" s="28" t="str">
        <f t="shared" si="89"/>
        <v>00:00</v>
      </c>
      <c r="HV92" s="29"/>
      <c r="HW92" s="27"/>
      <c r="HX92" s="27"/>
      <c r="HY92" s="28" t="str">
        <f>IFERROR(VLOOKUP(HW92,Horarios!$H:$I,2,0),"")</f>
        <v/>
      </c>
      <c r="HZ92" s="28" t="str">
        <f>IFERROR(VLOOKUP(HX92,Horarios!$H:$I,2,0),"")</f>
        <v/>
      </c>
      <c r="IA92" s="28" t="str">
        <f t="shared" si="90"/>
        <v>00:00</v>
      </c>
      <c r="IB92" s="29"/>
      <c r="IC92" s="27"/>
      <c r="ID92" s="27"/>
      <c r="IE92" s="28" t="str">
        <f>IFERROR(VLOOKUP(IC92,Horarios!$H:$I,2,0),"")</f>
        <v/>
      </c>
      <c r="IF92" s="28" t="str">
        <f>IFERROR(VLOOKUP(ID92,Horarios!$H:$I,2,0),"")</f>
        <v/>
      </c>
      <c r="IG92" s="28" t="str">
        <f t="shared" si="91"/>
        <v>00:00</v>
      </c>
      <c r="IH92" s="29"/>
      <c r="II92" s="27"/>
      <c r="IJ92" s="27"/>
      <c r="IK92" s="28" t="str">
        <f>IFERROR(VLOOKUP(II92,Horarios!$H:$I,2,0),"")</f>
        <v/>
      </c>
      <c r="IL92" s="28" t="str">
        <f>IFERROR(VLOOKUP(IJ92,Horarios!$H:$I,2,0),"")</f>
        <v/>
      </c>
      <c r="IM92" s="28" t="str">
        <f t="shared" si="92"/>
        <v>00:00</v>
      </c>
      <c r="IN92" s="29"/>
      <c r="IO92" s="27"/>
      <c r="IP92" s="27"/>
      <c r="IQ92" s="28" t="str">
        <f>IFERROR(VLOOKUP(IO92,Horarios!$H:$I,2,0),"")</f>
        <v/>
      </c>
      <c r="IR92" s="28" t="str">
        <f>IFERROR(VLOOKUP(IP92,Horarios!$H:$I,2,0),"")</f>
        <v/>
      </c>
      <c r="IS92" s="28" t="str">
        <f t="shared" si="93"/>
        <v>00:00</v>
      </c>
      <c r="IT92" s="29"/>
      <c r="IU92" s="27"/>
      <c r="IV92" s="27"/>
      <c r="IW92" s="28" t="str">
        <f>IFERROR(VLOOKUP(IU92,Horarios!$H:$I,2,0),"")</f>
        <v/>
      </c>
      <c r="IX92" s="28" t="str">
        <f>IFERROR(VLOOKUP(IV92,Horarios!$H:$I,2,0),"")</f>
        <v/>
      </c>
      <c r="IY92" s="28" t="str">
        <f t="shared" si="94"/>
        <v>00:00</v>
      </c>
      <c r="IZ92" s="29"/>
      <c r="JA92" s="31" t="str">
        <f t="shared" si="95"/>
        <v/>
      </c>
    </row>
    <row r="93" spans="1:261" s="24" customFormat="1" ht="17.399999999999999" x14ac:dyDescent="0.25">
      <c r="A93" s="25"/>
      <c r="B93" s="26" t="str">
        <f>IFERROR(VLOOKUP(A93,BaseNombres!A:B,2,0),"")</f>
        <v/>
      </c>
      <c r="C93" s="26" t="str">
        <f>IFERROR(VLOOKUP(A93,BaseNombres!A:C,3,0),"")</f>
        <v/>
      </c>
      <c r="D93" s="27"/>
      <c r="E93" s="27"/>
      <c r="F93" s="28" t="str">
        <f>IFERROR(VLOOKUP(D93,Horarios!$H:$I,2,0),"")</f>
        <v/>
      </c>
      <c r="G93" s="28" t="str">
        <f>IFERROR(VLOOKUP(E93,Horarios!$H:$I,2,0),"")</f>
        <v/>
      </c>
      <c r="H93" s="28" t="str">
        <f t="shared" si="48"/>
        <v>00:00</v>
      </c>
      <c r="I93" s="29"/>
      <c r="J93" s="27"/>
      <c r="K93" s="27"/>
      <c r="L93" s="28" t="str">
        <f>IFERROR(VLOOKUP(J93,Horarios!$H:$I,2,0),"")</f>
        <v/>
      </c>
      <c r="M93" s="28" t="str">
        <f>IFERROR(VLOOKUP(K93,Horarios!$H:$I,2,0),"")</f>
        <v/>
      </c>
      <c r="N93" s="28" t="str">
        <f t="shared" si="49"/>
        <v>00:00</v>
      </c>
      <c r="O93" s="29"/>
      <c r="P93" s="27"/>
      <c r="Q93" s="27"/>
      <c r="R93" s="28" t="str">
        <f>IFERROR(VLOOKUP(P93,Horarios!$H:$I,2,0),"")</f>
        <v/>
      </c>
      <c r="S93" s="28" t="str">
        <f>IFERROR(VLOOKUP(Q93,Horarios!$H:$I,2,0),"")</f>
        <v/>
      </c>
      <c r="T93" s="28" t="str">
        <f t="shared" si="50"/>
        <v>00:00</v>
      </c>
      <c r="U93" s="29"/>
      <c r="V93" s="27"/>
      <c r="W93" s="27"/>
      <c r="X93" s="28" t="str">
        <f>IFERROR(VLOOKUP(V93,Horarios!$H:$I,2,0),"")</f>
        <v/>
      </c>
      <c r="Y93" s="28" t="str">
        <f>IFERROR(VLOOKUP(W93,Horarios!$H:$I,2,0),"")</f>
        <v/>
      </c>
      <c r="Z93" s="28" t="str">
        <f t="shared" si="51"/>
        <v>00:00</v>
      </c>
      <c r="AA93" s="29"/>
      <c r="AB93" s="27"/>
      <c r="AC93" s="27"/>
      <c r="AD93" s="28" t="str">
        <f>IFERROR(VLOOKUP(AB93,Horarios!$H:$I,2,0),"")</f>
        <v/>
      </c>
      <c r="AE93" s="28" t="str">
        <f>IFERROR(VLOOKUP(AC93,Horarios!$H:$I,2,0),"")</f>
        <v/>
      </c>
      <c r="AF93" s="28" t="str">
        <f t="shared" si="52"/>
        <v>00:00</v>
      </c>
      <c r="AG93" s="29"/>
      <c r="AH93" s="27"/>
      <c r="AI93" s="27"/>
      <c r="AJ93" s="28" t="str">
        <f>IFERROR(VLOOKUP(AH93,Horarios!$H:$I,2,0),"")</f>
        <v/>
      </c>
      <c r="AK93" s="28" t="str">
        <f>IFERROR(VLOOKUP(AI93,Horarios!$H:$I,2,0),"")</f>
        <v/>
      </c>
      <c r="AL93" s="28" t="str">
        <f t="shared" si="53"/>
        <v>00:00</v>
      </c>
      <c r="AM93" s="29"/>
      <c r="AN93" s="27"/>
      <c r="AO93" s="27"/>
      <c r="AP93" s="28" t="str">
        <f>IFERROR(VLOOKUP(AN93,Horarios!$H:$I,2,0),"")</f>
        <v/>
      </c>
      <c r="AQ93" s="28" t="str">
        <f>IFERROR(VLOOKUP(AO93,Horarios!$H:$I,2,0),"")</f>
        <v/>
      </c>
      <c r="AR93" s="28" t="str">
        <f t="shared" si="54"/>
        <v>00:00</v>
      </c>
      <c r="AS93" s="29"/>
      <c r="AT93" s="31" t="str">
        <f t="shared" si="55"/>
        <v/>
      </c>
      <c r="AU93" s="27"/>
      <c r="AV93" s="27"/>
      <c r="AW93" s="28" t="str">
        <f>IFERROR(VLOOKUP(AU93,Horarios!$H:$I,2,0),"")</f>
        <v/>
      </c>
      <c r="AX93" s="28" t="str">
        <f>IFERROR(VLOOKUP(AV93,Horarios!$H:$I,2,0),"")</f>
        <v/>
      </c>
      <c r="AY93" s="28" t="str">
        <f t="shared" si="56"/>
        <v>00:00</v>
      </c>
      <c r="AZ93" s="29"/>
      <c r="BA93" s="27"/>
      <c r="BB93" s="27"/>
      <c r="BC93" s="28" t="str">
        <f>IFERROR(VLOOKUP(BA93,Horarios!$H:$I,2,0),"")</f>
        <v/>
      </c>
      <c r="BD93" s="28" t="str">
        <f>IFERROR(VLOOKUP(BB93,Horarios!$H:$I,2,0),"")</f>
        <v/>
      </c>
      <c r="BE93" s="28" t="str">
        <f t="shared" si="57"/>
        <v>00:00</v>
      </c>
      <c r="BF93" s="29"/>
      <c r="BG93" s="27"/>
      <c r="BH93" s="27"/>
      <c r="BI93" s="28" t="str">
        <f>IFERROR(VLOOKUP(BG93,Horarios!$H:$I,2,0),"")</f>
        <v/>
      </c>
      <c r="BJ93" s="28" t="str">
        <f>IFERROR(VLOOKUP(BH93,Horarios!$H:$I,2,0),"")</f>
        <v/>
      </c>
      <c r="BK93" s="28" t="str">
        <f t="shared" si="58"/>
        <v>00:00</v>
      </c>
      <c r="BL93" s="29"/>
      <c r="BM93" s="27"/>
      <c r="BN93" s="27"/>
      <c r="BO93" s="28" t="str">
        <f>IFERROR(VLOOKUP(BM93,Horarios!$H:$I,2,0),"")</f>
        <v/>
      </c>
      <c r="BP93" s="28" t="str">
        <f>IFERROR(VLOOKUP(BN93,Horarios!$H:$I,2,0),"")</f>
        <v/>
      </c>
      <c r="BQ93" s="28" t="str">
        <f t="shared" si="59"/>
        <v>00:00</v>
      </c>
      <c r="BR93" s="29"/>
      <c r="BS93" s="27"/>
      <c r="BT93" s="27"/>
      <c r="BU93" s="28" t="str">
        <f>IFERROR(VLOOKUP(BS93,Horarios!$H:$I,2,0),"")</f>
        <v/>
      </c>
      <c r="BV93" s="28" t="str">
        <f>IFERROR(VLOOKUP(BT93,Horarios!$H:$I,2,0),"")</f>
        <v/>
      </c>
      <c r="BW93" s="28" t="str">
        <f t="shared" si="60"/>
        <v>00:00</v>
      </c>
      <c r="BX93" s="29"/>
      <c r="BY93" s="27"/>
      <c r="BZ93" s="27"/>
      <c r="CA93" s="28" t="str">
        <f>IFERROR(VLOOKUP(BY93,Horarios!$H:$I,2,0),"")</f>
        <v/>
      </c>
      <c r="CB93" s="28" t="str">
        <f>IFERROR(VLOOKUP(BZ93,Horarios!$H:$I,2,0),"")</f>
        <v/>
      </c>
      <c r="CC93" s="28" t="str">
        <f t="shared" si="61"/>
        <v>00:00</v>
      </c>
      <c r="CD93" s="29"/>
      <c r="CE93" s="27"/>
      <c r="CF93" s="27"/>
      <c r="CG93" s="28" t="str">
        <f>IFERROR(VLOOKUP(CE93,Horarios!$H:$I,2,0),"")</f>
        <v/>
      </c>
      <c r="CH93" s="28" t="str">
        <f>IFERROR(VLOOKUP(CF93,Horarios!$H:$I,2,0),"")</f>
        <v/>
      </c>
      <c r="CI93" s="28" t="str">
        <f t="shared" si="62"/>
        <v>00:00</v>
      </c>
      <c r="CJ93" s="29"/>
      <c r="CK93" s="31" t="str">
        <f t="shared" si="63"/>
        <v/>
      </c>
      <c r="CL93" s="27"/>
      <c r="CM93" s="27"/>
      <c r="CN93" s="28" t="str">
        <f>IFERROR(VLOOKUP(CL93,Horarios!$H:$I,2,0),"")</f>
        <v/>
      </c>
      <c r="CO93" s="28" t="str">
        <f>IFERROR(VLOOKUP(CM93,Horarios!$H:$I,2,0),"")</f>
        <v/>
      </c>
      <c r="CP93" s="28" t="str">
        <f t="shared" si="64"/>
        <v>00:00</v>
      </c>
      <c r="CQ93" s="29"/>
      <c r="CR93" s="27"/>
      <c r="CS93" s="27"/>
      <c r="CT93" s="28" t="str">
        <f>IFERROR(VLOOKUP(CR93,Horarios!$H:$I,2,0),"")</f>
        <v/>
      </c>
      <c r="CU93" s="28" t="str">
        <f>IFERROR(VLOOKUP(CS93,Horarios!$H:$I,2,0),"")</f>
        <v/>
      </c>
      <c r="CV93" s="28" t="str">
        <f t="shared" si="65"/>
        <v>00:00</v>
      </c>
      <c r="CW93" s="29"/>
      <c r="CX93" s="27"/>
      <c r="CY93" s="27"/>
      <c r="CZ93" s="28" t="str">
        <f>IFERROR(VLOOKUP(CX93,Horarios!$H:$I,2,0),"")</f>
        <v/>
      </c>
      <c r="DA93" s="28" t="str">
        <f>IFERROR(VLOOKUP(CY93,Horarios!$H:$I,2,0),"")</f>
        <v/>
      </c>
      <c r="DB93" s="28" t="str">
        <f t="shared" si="66"/>
        <v>00:00</v>
      </c>
      <c r="DC93" s="29"/>
      <c r="DD93" s="27"/>
      <c r="DE93" s="27"/>
      <c r="DF93" s="28" t="str">
        <f>IFERROR(VLOOKUP(DD93,Horarios!$H:$I,2,0),"")</f>
        <v/>
      </c>
      <c r="DG93" s="28" t="str">
        <f>IFERROR(VLOOKUP(DE93,Horarios!$H:$I,2,0),"")</f>
        <v/>
      </c>
      <c r="DH93" s="28" t="str">
        <f t="shared" si="67"/>
        <v>00:00</v>
      </c>
      <c r="DI93" s="29"/>
      <c r="DJ93" s="27"/>
      <c r="DK93" s="27"/>
      <c r="DL93" s="28" t="str">
        <f>IFERROR(VLOOKUP(DJ93,Horarios!$H:$I,2,0),"")</f>
        <v/>
      </c>
      <c r="DM93" s="28" t="str">
        <f>IFERROR(VLOOKUP(DK93,Horarios!$H:$I,2,0),"")</f>
        <v/>
      </c>
      <c r="DN93" s="28" t="str">
        <f t="shared" si="68"/>
        <v>00:00</v>
      </c>
      <c r="DO93" s="29"/>
      <c r="DP93" s="27"/>
      <c r="DQ93" s="27"/>
      <c r="DR93" s="28" t="str">
        <f>IFERROR(VLOOKUP(DP93,Horarios!$H:$I,2,0),"")</f>
        <v/>
      </c>
      <c r="DS93" s="28" t="str">
        <f>IFERROR(VLOOKUP(DQ93,Horarios!$H:$I,2,0),"")</f>
        <v/>
      </c>
      <c r="DT93" s="28" t="str">
        <f t="shared" si="69"/>
        <v>00:00</v>
      </c>
      <c r="DU93" s="29"/>
      <c r="DV93" s="27"/>
      <c r="DW93" s="27"/>
      <c r="DX93" s="28" t="str">
        <f>IFERROR(VLOOKUP(DV93,Horarios!$H:$I,2,0),"")</f>
        <v/>
      </c>
      <c r="DY93" s="28" t="str">
        <f>IFERROR(VLOOKUP(DW93,Horarios!$H:$I,2,0),"")</f>
        <v/>
      </c>
      <c r="DZ93" s="28" t="str">
        <f t="shared" si="70"/>
        <v>00:00</v>
      </c>
      <c r="EA93" s="29"/>
      <c r="EB93" s="31" t="str">
        <f t="shared" si="71"/>
        <v/>
      </c>
      <c r="EC93" s="27"/>
      <c r="ED93" s="27"/>
      <c r="EE93" s="28" t="str">
        <f>IFERROR(VLOOKUP(EC93,Horarios!$H:$I,2,0),"")</f>
        <v/>
      </c>
      <c r="EF93" s="28" t="str">
        <f>IFERROR(VLOOKUP(ED93,Horarios!$H:$I,2,0),"")</f>
        <v/>
      </c>
      <c r="EG93" s="28" t="str">
        <f t="shared" si="72"/>
        <v>00:00</v>
      </c>
      <c r="EH93" s="29"/>
      <c r="EI93" s="27"/>
      <c r="EJ93" s="27"/>
      <c r="EK93" s="28" t="str">
        <f>IFERROR(VLOOKUP(EI93,Horarios!$H:$I,2,0),"")</f>
        <v/>
      </c>
      <c r="EL93" s="28" t="str">
        <f>IFERROR(VLOOKUP(EJ93,Horarios!$H:$I,2,0),"")</f>
        <v/>
      </c>
      <c r="EM93" s="28" t="str">
        <f t="shared" si="73"/>
        <v>00:00</v>
      </c>
      <c r="EN93" s="29"/>
      <c r="EO93" s="27"/>
      <c r="EP93" s="27"/>
      <c r="EQ93" s="28" t="str">
        <f>IFERROR(VLOOKUP(EO93,Horarios!$H:$I,2,0),"")</f>
        <v/>
      </c>
      <c r="ER93" s="28" t="str">
        <f>IFERROR(VLOOKUP(EP93,Horarios!$H:$I,2,0),"")</f>
        <v/>
      </c>
      <c r="ES93" s="28" t="str">
        <f t="shared" si="74"/>
        <v>00:00</v>
      </c>
      <c r="ET93" s="29"/>
      <c r="EU93" s="27"/>
      <c r="EV93" s="27"/>
      <c r="EW93" s="28" t="str">
        <f>IFERROR(VLOOKUP(EU93,Horarios!$H:$I,2,0),"")</f>
        <v/>
      </c>
      <c r="EX93" s="28" t="str">
        <f>IFERROR(VLOOKUP(EV93,Horarios!$H:$I,2,0),"")</f>
        <v/>
      </c>
      <c r="EY93" s="28" t="str">
        <f t="shared" si="75"/>
        <v>00:00</v>
      </c>
      <c r="EZ93" s="29"/>
      <c r="FA93" s="27"/>
      <c r="FB93" s="27"/>
      <c r="FC93" s="28" t="str">
        <f>IFERROR(VLOOKUP(FA93,Horarios!$H:$I,2,0),"")</f>
        <v/>
      </c>
      <c r="FD93" s="28" t="str">
        <f>IFERROR(VLOOKUP(FB93,Horarios!$H:$I,2,0),"")</f>
        <v/>
      </c>
      <c r="FE93" s="28" t="str">
        <f t="shared" si="76"/>
        <v>00:00</v>
      </c>
      <c r="FF93" s="29"/>
      <c r="FG93" s="27"/>
      <c r="FH93" s="27"/>
      <c r="FI93" s="28" t="str">
        <f>IFERROR(VLOOKUP(FG93,Horarios!$H:$I,2,0),"")</f>
        <v/>
      </c>
      <c r="FJ93" s="28" t="str">
        <f>IFERROR(VLOOKUP(FH93,Horarios!$H:$I,2,0),"")</f>
        <v/>
      </c>
      <c r="FK93" s="28" t="str">
        <f t="shared" si="77"/>
        <v>00:00</v>
      </c>
      <c r="FL93" s="29"/>
      <c r="FM93" s="27"/>
      <c r="FN93" s="27"/>
      <c r="FO93" s="28" t="str">
        <f>IFERROR(VLOOKUP(FM93,Horarios!$H:$I,2,0),"")</f>
        <v/>
      </c>
      <c r="FP93" s="28" t="str">
        <f>IFERROR(VLOOKUP(FN93,Horarios!$H:$I,2,0),"")</f>
        <v/>
      </c>
      <c r="FQ93" s="28" t="str">
        <f t="shared" si="78"/>
        <v>00:00</v>
      </c>
      <c r="FR93" s="29"/>
      <c r="FS93" s="31" t="str">
        <f t="shared" si="79"/>
        <v/>
      </c>
      <c r="FT93" s="27"/>
      <c r="FU93" s="27"/>
      <c r="FV93" s="28" t="str">
        <f>IFERROR(VLOOKUP(FT93,Horarios!$H:$I,2,0),"")</f>
        <v/>
      </c>
      <c r="FW93" s="28" t="str">
        <f>IFERROR(VLOOKUP(FU93,Horarios!$H:$I,2,0),"")</f>
        <v/>
      </c>
      <c r="FX93" s="28" t="str">
        <f t="shared" si="80"/>
        <v>00:00</v>
      </c>
      <c r="FY93" s="29"/>
      <c r="FZ93" s="27"/>
      <c r="GA93" s="27"/>
      <c r="GB93" s="28" t="str">
        <f>IFERROR(VLOOKUP(FZ93,Horarios!$H:$I,2,0),"")</f>
        <v/>
      </c>
      <c r="GC93" s="28" t="str">
        <f>IFERROR(VLOOKUP(GA93,Horarios!$H:$I,2,0),"")</f>
        <v/>
      </c>
      <c r="GD93" s="28" t="str">
        <f t="shared" si="81"/>
        <v>00:00</v>
      </c>
      <c r="GE93" s="29"/>
      <c r="GF93" s="27"/>
      <c r="GG93" s="27"/>
      <c r="GH93" s="28" t="str">
        <f>IFERROR(VLOOKUP(GF93,Horarios!$H:$I,2,0),"")</f>
        <v/>
      </c>
      <c r="GI93" s="28" t="str">
        <f>IFERROR(VLOOKUP(GG93,Horarios!$H:$I,2,0),"")</f>
        <v/>
      </c>
      <c r="GJ93" s="28" t="str">
        <f t="shared" si="82"/>
        <v>00:00</v>
      </c>
      <c r="GK93" s="29"/>
      <c r="GL93" s="27"/>
      <c r="GM93" s="27"/>
      <c r="GN93" s="28" t="str">
        <f>IFERROR(VLOOKUP(GL93,Horarios!$H:$I,2,0),"")</f>
        <v/>
      </c>
      <c r="GO93" s="28" t="str">
        <f>IFERROR(VLOOKUP(GM93,Horarios!$H:$I,2,0),"")</f>
        <v/>
      </c>
      <c r="GP93" s="28" t="str">
        <f t="shared" si="83"/>
        <v>00:00</v>
      </c>
      <c r="GQ93" s="29"/>
      <c r="GR93" s="27"/>
      <c r="GS93" s="27"/>
      <c r="GT93" s="28" t="str">
        <f>IFERROR(VLOOKUP(GR93,Horarios!$H:$I,2,0),"")</f>
        <v/>
      </c>
      <c r="GU93" s="28" t="str">
        <f>IFERROR(VLOOKUP(GS93,Horarios!$H:$I,2,0),"")</f>
        <v/>
      </c>
      <c r="GV93" s="28" t="str">
        <f t="shared" si="84"/>
        <v>00:00</v>
      </c>
      <c r="GW93" s="29"/>
      <c r="GX93" s="27"/>
      <c r="GY93" s="27"/>
      <c r="GZ93" s="28" t="str">
        <f>IFERROR(VLOOKUP(GX93,Horarios!$H:$I,2,0),"")</f>
        <v/>
      </c>
      <c r="HA93" s="28" t="str">
        <f>IFERROR(VLOOKUP(GY93,Horarios!$H:$I,2,0),"")</f>
        <v/>
      </c>
      <c r="HB93" s="28" t="str">
        <f t="shared" si="85"/>
        <v>00:00</v>
      </c>
      <c r="HC93" s="29"/>
      <c r="HD93" s="27"/>
      <c r="HE93" s="27"/>
      <c r="HF93" s="28" t="str">
        <f>IFERROR(VLOOKUP(HD93,Horarios!$H:$I,2,0),"")</f>
        <v/>
      </c>
      <c r="HG93" s="28" t="str">
        <f>IFERROR(VLOOKUP(HE93,Horarios!$H:$I,2,0),"")</f>
        <v/>
      </c>
      <c r="HH93" s="28" t="str">
        <f t="shared" si="86"/>
        <v>00:00</v>
      </c>
      <c r="HI93" s="29"/>
      <c r="HJ93" s="31" t="str">
        <f t="shared" si="87"/>
        <v/>
      </c>
      <c r="HK93" s="27"/>
      <c r="HL93" s="27"/>
      <c r="HM93" s="28" t="str">
        <f>IFERROR(VLOOKUP(HK93,Horarios!$H:$I,2,0),"")</f>
        <v/>
      </c>
      <c r="HN93" s="28" t="str">
        <f>IFERROR(VLOOKUP(HL93,Horarios!$H:$I,2,0),"")</f>
        <v/>
      </c>
      <c r="HO93" s="28" t="str">
        <f t="shared" si="88"/>
        <v>00:00</v>
      </c>
      <c r="HP93" s="29"/>
      <c r="HQ93" s="27"/>
      <c r="HR93" s="27"/>
      <c r="HS93" s="28" t="str">
        <f>IFERROR(VLOOKUP(HQ93,Horarios!$H:$I,2,0),"")</f>
        <v/>
      </c>
      <c r="HT93" s="28" t="str">
        <f>IFERROR(VLOOKUP(HR93,Horarios!$H:$I,2,0),"")</f>
        <v/>
      </c>
      <c r="HU93" s="28" t="str">
        <f t="shared" si="89"/>
        <v>00:00</v>
      </c>
      <c r="HV93" s="29"/>
      <c r="HW93" s="27"/>
      <c r="HX93" s="27"/>
      <c r="HY93" s="28" t="str">
        <f>IFERROR(VLOOKUP(HW93,Horarios!$H:$I,2,0),"")</f>
        <v/>
      </c>
      <c r="HZ93" s="28" t="str">
        <f>IFERROR(VLOOKUP(HX93,Horarios!$H:$I,2,0),"")</f>
        <v/>
      </c>
      <c r="IA93" s="28" t="str">
        <f t="shared" si="90"/>
        <v>00:00</v>
      </c>
      <c r="IB93" s="29"/>
      <c r="IC93" s="27"/>
      <c r="ID93" s="27"/>
      <c r="IE93" s="28" t="str">
        <f>IFERROR(VLOOKUP(IC93,Horarios!$H:$I,2,0),"")</f>
        <v/>
      </c>
      <c r="IF93" s="28" t="str">
        <f>IFERROR(VLOOKUP(ID93,Horarios!$H:$I,2,0),"")</f>
        <v/>
      </c>
      <c r="IG93" s="28" t="str">
        <f t="shared" si="91"/>
        <v>00:00</v>
      </c>
      <c r="IH93" s="29"/>
      <c r="II93" s="27"/>
      <c r="IJ93" s="27"/>
      <c r="IK93" s="28" t="str">
        <f>IFERROR(VLOOKUP(II93,Horarios!$H:$I,2,0),"")</f>
        <v/>
      </c>
      <c r="IL93" s="28" t="str">
        <f>IFERROR(VLOOKUP(IJ93,Horarios!$H:$I,2,0),"")</f>
        <v/>
      </c>
      <c r="IM93" s="28" t="str">
        <f t="shared" si="92"/>
        <v>00:00</v>
      </c>
      <c r="IN93" s="29"/>
      <c r="IO93" s="27"/>
      <c r="IP93" s="27"/>
      <c r="IQ93" s="28" t="str">
        <f>IFERROR(VLOOKUP(IO93,Horarios!$H:$I,2,0),"")</f>
        <v/>
      </c>
      <c r="IR93" s="28" t="str">
        <f>IFERROR(VLOOKUP(IP93,Horarios!$H:$I,2,0),"")</f>
        <v/>
      </c>
      <c r="IS93" s="28" t="str">
        <f t="shared" si="93"/>
        <v>00:00</v>
      </c>
      <c r="IT93" s="29"/>
      <c r="IU93" s="27"/>
      <c r="IV93" s="27"/>
      <c r="IW93" s="28" t="str">
        <f>IFERROR(VLOOKUP(IU93,Horarios!$H:$I,2,0),"")</f>
        <v/>
      </c>
      <c r="IX93" s="28" t="str">
        <f>IFERROR(VLOOKUP(IV93,Horarios!$H:$I,2,0),"")</f>
        <v/>
      </c>
      <c r="IY93" s="28" t="str">
        <f t="shared" si="94"/>
        <v>00:00</v>
      </c>
      <c r="IZ93" s="29"/>
      <c r="JA93" s="31" t="str">
        <f t="shared" si="95"/>
        <v/>
      </c>
    </row>
    <row r="94" spans="1:261" s="24" customFormat="1" ht="17.399999999999999" x14ac:dyDescent="0.25">
      <c r="A94" s="25"/>
      <c r="B94" s="26" t="str">
        <f>IFERROR(VLOOKUP(A94,BaseNombres!A:B,2,0),"")</f>
        <v/>
      </c>
      <c r="C94" s="26" t="str">
        <f>IFERROR(VLOOKUP(A94,BaseNombres!A:C,3,0),"")</f>
        <v/>
      </c>
      <c r="D94" s="27"/>
      <c r="E94" s="27"/>
      <c r="F94" s="28" t="str">
        <f>IFERROR(VLOOKUP(D94,Horarios!$H:$I,2,0),"")</f>
        <v/>
      </c>
      <c r="G94" s="28" t="str">
        <f>IFERROR(VLOOKUP(E94,Horarios!$H:$I,2,0),"")</f>
        <v/>
      </c>
      <c r="H94" s="28" t="str">
        <f t="shared" si="48"/>
        <v>00:00</v>
      </c>
      <c r="I94" s="29"/>
      <c r="J94" s="27"/>
      <c r="K94" s="27"/>
      <c r="L94" s="28" t="str">
        <f>IFERROR(VLOOKUP(J94,Horarios!$H:$I,2,0),"")</f>
        <v/>
      </c>
      <c r="M94" s="28" t="str">
        <f>IFERROR(VLOOKUP(K94,Horarios!$H:$I,2,0),"")</f>
        <v/>
      </c>
      <c r="N94" s="28" t="str">
        <f t="shared" si="49"/>
        <v>00:00</v>
      </c>
      <c r="O94" s="29"/>
      <c r="P94" s="27"/>
      <c r="Q94" s="27"/>
      <c r="R94" s="28" t="str">
        <f>IFERROR(VLOOKUP(P94,Horarios!$H:$I,2,0),"")</f>
        <v/>
      </c>
      <c r="S94" s="28" t="str">
        <f>IFERROR(VLOOKUP(Q94,Horarios!$H:$I,2,0),"")</f>
        <v/>
      </c>
      <c r="T94" s="28" t="str">
        <f t="shared" si="50"/>
        <v>00:00</v>
      </c>
      <c r="U94" s="29"/>
      <c r="V94" s="27"/>
      <c r="W94" s="27"/>
      <c r="X94" s="28" t="str">
        <f>IFERROR(VLOOKUP(V94,Horarios!$H:$I,2,0),"")</f>
        <v/>
      </c>
      <c r="Y94" s="28" t="str">
        <f>IFERROR(VLOOKUP(W94,Horarios!$H:$I,2,0),"")</f>
        <v/>
      </c>
      <c r="Z94" s="28" t="str">
        <f t="shared" si="51"/>
        <v>00:00</v>
      </c>
      <c r="AA94" s="29"/>
      <c r="AB94" s="27"/>
      <c r="AC94" s="27"/>
      <c r="AD94" s="28" t="str">
        <f>IFERROR(VLOOKUP(AB94,Horarios!$H:$I,2,0),"")</f>
        <v/>
      </c>
      <c r="AE94" s="28" t="str">
        <f>IFERROR(VLOOKUP(AC94,Horarios!$H:$I,2,0),"")</f>
        <v/>
      </c>
      <c r="AF94" s="28" t="str">
        <f t="shared" si="52"/>
        <v>00:00</v>
      </c>
      <c r="AG94" s="29"/>
      <c r="AH94" s="27"/>
      <c r="AI94" s="27"/>
      <c r="AJ94" s="28" t="str">
        <f>IFERROR(VLOOKUP(AH94,Horarios!$H:$I,2,0),"")</f>
        <v/>
      </c>
      <c r="AK94" s="28" t="str">
        <f>IFERROR(VLOOKUP(AI94,Horarios!$H:$I,2,0),"")</f>
        <v/>
      </c>
      <c r="AL94" s="28" t="str">
        <f t="shared" si="53"/>
        <v>00:00</v>
      </c>
      <c r="AM94" s="29"/>
      <c r="AN94" s="27"/>
      <c r="AO94" s="27"/>
      <c r="AP94" s="28" t="str">
        <f>IFERROR(VLOOKUP(AN94,Horarios!$H:$I,2,0),"")</f>
        <v/>
      </c>
      <c r="AQ94" s="28" t="str">
        <f>IFERROR(VLOOKUP(AO94,Horarios!$H:$I,2,0),"")</f>
        <v/>
      </c>
      <c r="AR94" s="28" t="str">
        <f t="shared" si="54"/>
        <v>00:00</v>
      </c>
      <c r="AS94" s="29"/>
      <c r="AT94" s="31" t="str">
        <f t="shared" si="55"/>
        <v/>
      </c>
      <c r="AU94" s="27"/>
      <c r="AV94" s="27"/>
      <c r="AW94" s="28" t="str">
        <f>IFERROR(VLOOKUP(AU94,Horarios!$H:$I,2,0),"")</f>
        <v/>
      </c>
      <c r="AX94" s="28" t="str">
        <f>IFERROR(VLOOKUP(AV94,Horarios!$H:$I,2,0),"")</f>
        <v/>
      </c>
      <c r="AY94" s="28" t="str">
        <f t="shared" si="56"/>
        <v>00:00</v>
      </c>
      <c r="AZ94" s="29"/>
      <c r="BA94" s="27"/>
      <c r="BB94" s="27"/>
      <c r="BC94" s="28" t="str">
        <f>IFERROR(VLOOKUP(BA94,Horarios!$H:$I,2,0),"")</f>
        <v/>
      </c>
      <c r="BD94" s="28" t="str">
        <f>IFERROR(VLOOKUP(BB94,Horarios!$H:$I,2,0),"")</f>
        <v/>
      </c>
      <c r="BE94" s="28" t="str">
        <f t="shared" si="57"/>
        <v>00:00</v>
      </c>
      <c r="BF94" s="29"/>
      <c r="BG94" s="27"/>
      <c r="BH94" s="27"/>
      <c r="BI94" s="28" t="str">
        <f>IFERROR(VLOOKUP(BG94,Horarios!$H:$I,2,0),"")</f>
        <v/>
      </c>
      <c r="BJ94" s="28" t="str">
        <f>IFERROR(VLOOKUP(BH94,Horarios!$H:$I,2,0),"")</f>
        <v/>
      </c>
      <c r="BK94" s="28" t="str">
        <f t="shared" si="58"/>
        <v>00:00</v>
      </c>
      <c r="BL94" s="29"/>
      <c r="BM94" s="27"/>
      <c r="BN94" s="27"/>
      <c r="BO94" s="28" t="str">
        <f>IFERROR(VLOOKUP(BM94,Horarios!$H:$I,2,0),"")</f>
        <v/>
      </c>
      <c r="BP94" s="28" t="str">
        <f>IFERROR(VLOOKUP(BN94,Horarios!$H:$I,2,0),"")</f>
        <v/>
      </c>
      <c r="BQ94" s="28" t="str">
        <f t="shared" si="59"/>
        <v>00:00</v>
      </c>
      <c r="BR94" s="29"/>
      <c r="BS94" s="27"/>
      <c r="BT94" s="27"/>
      <c r="BU94" s="28" t="str">
        <f>IFERROR(VLOOKUP(BS94,Horarios!$H:$I,2,0),"")</f>
        <v/>
      </c>
      <c r="BV94" s="28" t="str">
        <f>IFERROR(VLOOKUP(BT94,Horarios!$H:$I,2,0),"")</f>
        <v/>
      </c>
      <c r="BW94" s="28" t="str">
        <f t="shared" si="60"/>
        <v>00:00</v>
      </c>
      <c r="BX94" s="29"/>
      <c r="BY94" s="27"/>
      <c r="BZ94" s="27"/>
      <c r="CA94" s="28" t="str">
        <f>IFERROR(VLOOKUP(BY94,Horarios!$H:$I,2,0),"")</f>
        <v/>
      </c>
      <c r="CB94" s="28" t="str">
        <f>IFERROR(VLOOKUP(BZ94,Horarios!$H:$I,2,0),"")</f>
        <v/>
      </c>
      <c r="CC94" s="28" t="str">
        <f t="shared" si="61"/>
        <v>00:00</v>
      </c>
      <c r="CD94" s="29"/>
      <c r="CE94" s="27"/>
      <c r="CF94" s="27"/>
      <c r="CG94" s="28" t="str">
        <f>IFERROR(VLOOKUP(CE94,Horarios!$H:$I,2,0),"")</f>
        <v/>
      </c>
      <c r="CH94" s="28" t="str">
        <f>IFERROR(VLOOKUP(CF94,Horarios!$H:$I,2,0),"")</f>
        <v/>
      </c>
      <c r="CI94" s="28" t="str">
        <f t="shared" si="62"/>
        <v>00:00</v>
      </c>
      <c r="CJ94" s="29"/>
      <c r="CK94" s="31" t="str">
        <f t="shared" si="63"/>
        <v/>
      </c>
      <c r="CL94" s="27"/>
      <c r="CM94" s="27"/>
      <c r="CN94" s="28" t="str">
        <f>IFERROR(VLOOKUP(CL94,Horarios!$H:$I,2,0),"")</f>
        <v/>
      </c>
      <c r="CO94" s="28" t="str">
        <f>IFERROR(VLOOKUP(CM94,Horarios!$H:$I,2,0),"")</f>
        <v/>
      </c>
      <c r="CP94" s="28" t="str">
        <f t="shared" si="64"/>
        <v>00:00</v>
      </c>
      <c r="CQ94" s="29"/>
      <c r="CR94" s="27"/>
      <c r="CS94" s="27"/>
      <c r="CT94" s="28" t="str">
        <f>IFERROR(VLOOKUP(CR94,Horarios!$H:$I,2,0),"")</f>
        <v/>
      </c>
      <c r="CU94" s="28" t="str">
        <f>IFERROR(VLOOKUP(CS94,Horarios!$H:$I,2,0),"")</f>
        <v/>
      </c>
      <c r="CV94" s="28" t="str">
        <f t="shared" si="65"/>
        <v>00:00</v>
      </c>
      <c r="CW94" s="29"/>
      <c r="CX94" s="27"/>
      <c r="CY94" s="27"/>
      <c r="CZ94" s="28" t="str">
        <f>IFERROR(VLOOKUP(CX94,Horarios!$H:$I,2,0),"")</f>
        <v/>
      </c>
      <c r="DA94" s="28" t="str">
        <f>IFERROR(VLOOKUP(CY94,Horarios!$H:$I,2,0),"")</f>
        <v/>
      </c>
      <c r="DB94" s="28" t="str">
        <f t="shared" si="66"/>
        <v>00:00</v>
      </c>
      <c r="DC94" s="29"/>
      <c r="DD94" s="27"/>
      <c r="DE94" s="27"/>
      <c r="DF94" s="28" t="str">
        <f>IFERROR(VLOOKUP(DD94,Horarios!$H:$I,2,0),"")</f>
        <v/>
      </c>
      <c r="DG94" s="28" t="str">
        <f>IFERROR(VLOOKUP(DE94,Horarios!$H:$I,2,0),"")</f>
        <v/>
      </c>
      <c r="DH94" s="28" t="str">
        <f t="shared" si="67"/>
        <v>00:00</v>
      </c>
      <c r="DI94" s="29"/>
      <c r="DJ94" s="27"/>
      <c r="DK94" s="27"/>
      <c r="DL94" s="28" t="str">
        <f>IFERROR(VLOOKUP(DJ94,Horarios!$H:$I,2,0),"")</f>
        <v/>
      </c>
      <c r="DM94" s="28" t="str">
        <f>IFERROR(VLOOKUP(DK94,Horarios!$H:$I,2,0),"")</f>
        <v/>
      </c>
      <c r="DN94" s="28" t="str">
        <f t="shared" si="68"/>
        <v>00:00</v>
      </c>
      <c r="DO94" s="29"/>
      <c r="DP94" s="27"/>
      <c r="DQ94" s="27"/>
      <c r="DR94" s="28" t="str">
        <f>IFERROR(VLOOKUP(DP94,Horarios!$H:$I,2,0),"")</f>
        <v/>
      </c>
      <c r="DS94" s="28" t="str">
        <f>IFERROR(VLOOKUP(DQ94,Horarios!$H:$I,2,0),"")</f>
        <v/>
      </c>
      <c r="DT94" s="28" t="str">
        <f t="shared" si="69"/>
        <v>00:00</v>
      </c>
      <c r="DU94" s="29"/>
      <c r="DV94" s="27"/>
      <c r="DW94" s="27"/>
      <c r="DX94" s="28" t="str">
        <f>IFERROR(VLOOKUP(DV94,Horarios!$H:$I,2,0),"")</f>
        <v/>
      </c>
      <c r="DY94" s="28" t="str">
        <f>IFERROR(VLOOKUP(DW94,Horarios!$H:$I,2,0),"")</f>
        <v/>
      </c>
      <c r="DZ94" s="28" t="str">
        <f t="shared" si="70"/>
        <v>00:00</v>
      </c>
      <c r="EA94" s="29"/>
      <c r="EB94" s="31" t="str">
        <f t="shared" si="71"/>
        <v/>
      </c>
      <c r="EC94" s="27"/>
      <c r="ED94" s="27"/>
      <c r="EE94" s="28" t="str">
        <f>IFERROR(VLOOKUP(EC94,Horarios!$H:$I,2,0),"")</f>
        <v/>
      </c>
      <c r="EF94" s="28" t="str">
        <f>IFERROR(VLOOKUP(ED94,Horarios!$H:$I,2,0),"")</f>
        <v/>
      </c>
      <c r="EG94" s="28" t="str">
        <f t="shared" si="72"/>
        <v>00:00</v>
      </c>
      <c r="EH94" s="29"/>
      <c r="EI94" s="27"/>
      <c r="EJ94" s="27"/>
      <c r="EK94" s="28" t="str">
        <f>IFERROR(VLOOKUP(EI94,Horarios!$H:$I,2,0),"")</f>
        <v/>
      </c>
      <c r="EL94" s="28" t="str">
        <f>IFERROR(VLOOKUP(EJ94,Horarios!$H:$I,2,0),"")</f>
        <v/>
      </c>
      <c r="EM94" s="28" t="str">
        <f t="shared" si="73"/>
        <v>00:00</v>
      </c>
      <c r="EN94" s="29"/>
      <c r="EO94" s="27"/>
      <c r="EP94" s="27"/>
      <c r="EQ94" s="28" t="str">
        <f>IFERROR(VLOOKUP(EO94,Horarios!$H:$I,2,0),"")</f>
        <v/>
      </c>
      <c r="ER94" s="28" t="str">
        <f>IFERROR(VLOOKUP(EP94,Horarios!$H:$I,2,0),"")</f>
        <v/>
      </c>
      <c r="ES94" s="28" t="str">
        <f t="shared" si="74"/>
        <v>00:00</v>
      </c>
      <c r="ET94" s="29"/>
      <c r="EU94" s="27"/>
      <c r="EV94" s="27"/>
      <c r="EW94" s="28" t="str">
        <f>IFERROR(VLOOKUP(EU94,Horarios!$H:$I,2,0),"")</f>
        <v/>
      </c>
      <c r="EX94" s="28" t="str">
        <f>IFERROR(VLOOKUP(EV94,Horarios!$H:$I,2,0),"")</f>
        <v/>
      </c>
      <c r="EY94" s="28" t="str">
        <f t="shared" si="75"/>
        <v>00:00</v>
      </c>
      <c r="EZ94" s="29"/>
      <c r="FA94" s="27"/>
      <c r="FB94" s="27"/>
      <c r="FC94" s="28" t="str">
        <f>IFERROR(VLOOKUP(FA94,Horarios!$H:$I,2,0),"")</f>
        <v/>
      </c>
      <c r="FD94" s="28" t="str">
        <f>IFERROR(VLOOKUP(FB94,Horarios!$H:$I,2,0),"")</f>
        <v/>
      </c>
      <c r="FE94" s="28" t="str">
        <f t="shared" si="76"/>
        <v>00:00</v>
      </c>
      <c r="FF94" s="29"/>
      <c r="FG94" s="27"/>
      <c r="FH94" s="27"/>
      <c r="FI94" s="28" t="str">
        <f>IFERROR(VLOOKUP(FG94,Horarios!$H:$I,2,0),"")</f>
        <v/>
      </c>
      <c r="FJ94" s="28" t="str">
        <f>IFERROR(VLOOKUP(FH94,Horarios!$H:$I,2,0),"")</f>
        <v/>
      </c>
      <c r="FK94" s="28" t="str">
        <f t="shared" si="77"/>
        <v>00:00</v>
      </c>
      <c r="FL94" s="29"/>
      <c r="FM94" s="27"/>
      <c r="FN94" s="27"/>
      <c r="FO94" s="28" t="str">
        <f>IFERROR(VLOOKUP(FM94,Horarios!$H:$I,2,0),"")</f>
        <v/>
      </c>
      <c r="FP94" s="28" t="str">
        <f>IFERROR(VLOOKUP(FN94,Horarios!$H:$I,2,0),"")</f>
        <v/>
      </c>
      <c r="FQ94" s="28" t="str">
        <f t="shared" si="78"/>
        <v>00:00</v>
      </c>
      <c r="FR94" s="29"/>
      <c r="FS94" s="31" t="str">
        <f t="shared" si="79"/>
        <v/>
      </c>
      <c r="FT94" s="27"/>
      <c r="FU94" s="27"/>
      <c r="FV94" s="28" t="str">
        <f>IFERROR(VLOOKUP(FT94,Horarios!$H:$I,2,0),"")</f>
        <v/>
      </c>
      <c r="FW94" s="28" t="str">
        <f>IFERROR(VLOOKUP(FU94,Horarios!$H:$I,2,0),"")</f>
        <v/>
      </c>
      <c r="FX94" s="28" t="str">
        <f t="shared" si="80"/>
        <v>00:00</v>
      </c>
      <c r="FY94" s="29"/>
      <c r="FZ94" s="27"/>
      <c r="GA94" s="27"/>
      <c r="GB94" s="28" t="str">
        <f>IFERROR(VLOOKUP(FZ94,Horarios!$H:$I,2,0),"")</f>
        <v/>
      </c>
      <c r="GC94" s="28" t="str">
        <f>IFERROR(VLOOKUP(GA94,Horarios!$H:$I,2,0),"")</f>
        <v/>
      </c>
      <c r="GD94" s="28" t="str">
        <f t="shared" si="81"/>
        <v>00:00</v>
      </c>
      <c r="GE94" s="29"/>
      <c r="GF94" s="27"/>
      <c r="GG94" s="27"/>
      <c r="GH94" s="28" t="str">
        <f>IFERROR(VLOOKUP(GF94,Horarios!$H:$I,2,0),"")</f>
        <v/>
      </c>
      <c r="GI94" s="28" t="str">
        <f>IFERROR(VLOOKUP(GG94,Horarios!$H:$I,2,0),"")</f>
        <v/>
      </c>
      <c r="GJ94" s="28" t="str">
        <f t="shared" si="82"/>
        <v>00:00</v>
      </c>
      <c r="GK94" s="29"/>
      <c r="GL94" s="27"/>
      <c r="GM94" s="27"/>
      <c r="GN94" s="28" t="str">
        <f>IFERROR(VLOOKUP(GL94,Horarios!$H:$I,2,0),"")</f>
        <v/>
      </c>
      <c r="GO94" s="28" t="str">
        <f>IFERROR(VLOOKUP(GM94,Horarios!$H:$I,2,0),"")</f>
        <v/>
      </c>
      <c r="GP94" s="28" t="str">
        <f t="shared" si="83"/>
        <v>00:00</v>
      </c>
      <c r="GQ94" s="29"/>
      <c r="GR94" s="27"/>
      <c r="GS94" s="27"/>
      <c r="GT94" s="28" t="str">
        <f>IFERROR(VLOOKUP(GR94,Horarios!$H:$I,2,0),"")</f>
        <v/>
      </c>
      <c r="GU94" s="28" t="str">
        <f>IFERROR(VLOOKUP(GS94,Horarios!$H:$I,2,0),"")</f>
        <v/>
      </c>
      <c r="GV94" s="28" t="str">
        <f t="shared" si="84"/>
        <v>00:00</v>
      </c>
      <c r="GW94" s="29"/>
      <c r="GX94" s="27"/>
      <c r="GY94" s="27"/>
      <c r="GZ94" s="28" t="str">
        <f>IFERROR(VLOOKUP(GX94,Horarios!$H:$I,2,0),"")</f>
        <v/>
      </c>
      <c r="HA94" s="28" t="str">
        <f>IFERROR(VLOOKUP(GY94,Horarios!$H:$I,2,0),"")</f>
        <v/>
      </c>
      <c r="HB94" s="28" t="str">
        <f t="shared" si="85"/>
        <v>00:00</v>
      </c>
      <c r="HC94" s="29"/>
      <c r="HD94" s="27"/>
      <c r="HE94" s="27"/>
      <c r="HF94" s="28" t="str">
        <f>IFERROR(VLOOKUP(HD94,Horarios!$H:$I,2,0),"")</f>
        <v/>
      </c>
      <c r="HG94" s="28" t="str">
        <f>IFERROR(VLOOKUP(HE94,Horarios!$H:$I,2,0),"")</f>
        <v/>
      </c>
      <c r="HH94" s="28" t="str">
        <f t="shared" si="86"/>
        <v>00:00</v>
      </c>
      <c r="HI94" s="29"/>
      <c r="HJ94" s="31" t="str">
        <f t="shared" si="87"/>
        <v/>
      </c>
      <c r="HK94" s="27"/>
      <c r="HL94" s="27"/>
      <c r="HM94" s="28" t="str">
        <f>IFERROR(VLOOKUP(HK94,Horarios!$H:$I,2,0),"")</f>
        <v/>
      </c>
      <c r="HN94" s="28" t="str">
        <f>IFERROR(VLOOKUP(HL94,Horarios!$H:$I,2,0),"")</f>
        <v/>
      </c>
      <c r="HO94" s="28" t="str">
        <f t="shared" si="88"/>
        <v>00:00</v>
      </c>
      <c r="HP94" s="29"/>
      <c r="HQ94" s="27"/>
      <c r="HR94" s="27"/>
      <c r="HS94" s="28" t="str">
        <f>IFERROR(VLOOKUP(HQ94,Horarios!$H:$I,2,0),"")</f>
        <v/>
      </c>
      <c r="HT94" s="28" t="str">
        <f>IFERROR(VLOOKUP(HR94,Horarios!$H:$I,2,0),"")</f>
        <v/>
      </c>
      <c r="HU94" s="28" t="str">
        <f t="shared" si="89"/>
        <v>00:00</v>
      </c>
      <c r="HV94" s="29"/>
      <c r="HW94" s="27"/>
      <c r="HX94" s="27"/>
      <c r="HY94" s="28" t="str">
        <f>IFERROR(VLOOKUP(HW94,Horarios!$H:$I,2,0),"")</f>
        <v/>
      </c>
      <c r="HZ94" s="28" t="str">
        <f>IFERROR(VLOOKUP(HX94,Horarios!$H:$I,2,0),"")</f>
        <v/>
      </c>
      <c r="IA94" s="28" t="str">
        <f t="shared" si="90"/>
        <v>00:00</v>
      </c>
      <c r="IB94" s="29"/>
      <c r="IC94" s="27"/>
      <c r="ID94" s="27"/>
      <c r="IE94" s="28" t="str">
        <f>IFERROR(VLOOKUP(IC94,Horarios!$H:$I,2,0),"")</f>
        <v/>
      </c>
      <c r="IF94" s="28" t="str">
        <f>IFERROR(VLOOKUP(ID94,Horarios!$H:$I,2,0),"")</f>
        <v/>
      </c>
      <c r="IG94" s="28" t="str">
        <f t="shared" si="91"/>
        <v>00:00</v>
      </c>
      <c r="IH94" s="29"/>
      <c r="II94" s="27"/>
      <c r="IJ94" s="27"/>
      <c r="IK94" s="28" t="str">
        <f>IFERROR(VLOOKUP(II94,Horarios!$H:$I,2,0),"")</f>
        <v/>
      </c>
      <c r="IL94" s="28" t="str">
        <f>IFERROR(VLOOKUP(IJ94,Horarios!$H:$I,2,0),"")</f>
        <v/>
      </c>
      <c r="IM94" s="28" t="str">
        <f t="shared" si="92"/>
        <v>00:00</v>
      </c>
      <c r="IN94" s="29"/>
      <c r="IO94" s="27"/>
      <c r="IP94" s="27"/>
      <c r="IQ94" s="28" t="str">
        <f>IFERROR(VLOOKUP(IO94,Horarios!$H:$I,2,0),"")</f>
        <v/>
      </c>
      <c r="IR94" s="28" t="str">
        <f>IFERROR(VLOOKUP(IP94,Horarios!$H:$I,2,0),"")</f>
        <v/>
      </c>
      <c r="IS94" s="28" t="str">
        <f t="shared" si="93"/>
        <v>00:00</v>
      </c>
      <c r="IT94" s="29"/>
      <c r="IU94" s="27"/>
      <c r="IV94" s="27"/>
      <c r="IW94" s="28" t="str">
        <f>IFERROR(VLOOKUP(IU94,Horarios!$H:$I,2,0),"")</f>
        <v/>
      </c>
      <c r="IX94" s="28" t="str">
        <f>IFERROR(VLOOKUP(IV94,Horarios!$H:$I,2,0),"")</f>
        <v/>
      </c>
      <c r="IY94" s="28" t="str">
        <f t="shared" si="94"/>
        <v>00:00</v>
      </c>
      <c r="IZ94" s="29"/>
      <c r="JA94" s="31" t="str">
        <f t="shared" si="95"/>
        <v/>
      </c>
    </row>
    <row r="95" spans="1:261" s="24" customFormat="1" ht="17.399999999999999" x14ac:dyDescent="0.25">
      <c r="A95" s="25"/>
      <c r="B95" s="26" t="str">
        <f>IFERROR(VLOOKUP(A95,BaseNombres!A:B,2,0),"")</f>
        <v/>
      </c>
      <c r="C95" s="26" t="str">
        <f>IFERROR(VLOOKUP(A95,BaseNombres!A:C,3,0),"")</f>
        <v/>
      </c>
      <c r="D95" s="27"/>
      <c r="E95" s="27"/>
      <c r="F95" s="28" t="str">
        <f>IFERROR(VLOOKUP(D95,Horarios!$H:$I,2,0),"")</f>
        <v/>
      </c>
      <c r="G95" s="28" t="str">
        <f>IFERROR(VLOOKUP(E95,Horarios!$H:$I,2,0),"")</f>
        <v/>
      </c>
      <c r="H95" s="28" t="str">
        <f t="shared" si="48"/>
        <v>00:00</v>
      </c>
      <c r="I95" s="29"/>
      <c r="J95" s="27"/>
      <c r="K95" s="27"/>
      <c r="L95" s="28" t="str">
        <f>IFERROR(VLOOKUP(J95,Horarios!$H:$I,2,0),"")</f>
        <v/>
      </c>
      <c r="M95" s="28" t="str">
        <f>IFERROR(VLOOKUP(K95,Horarios!$H:$I,2,0),"")</f>
        <v/>
      </c>
      <c r="N95" s="28" t="str">
        <f t="shared" si="49"/>
        <v>00:00</v>
      </c>
      <c r="O95" s="29"/>
      <c r="P95" s="27"/>
      <c r="Q95" s="27"/>
      <c r="R95" s="28" t="str">
        <f>IFERROR(VLOOKUP(P95,Horarios!$H:$I,2,0),"")</f>
        <v/>
      </c>
      <c r="S95" s="28" t="str">
        <f>IFERROR(VLOOKUP(Q95,Horarios!$H:$I,2,0),"")</f>
        <v/>
      </c>
      <c r="T95" s="28" t="str">
        <f t="shared" si="50"/>
        <v>00:00</v>
      </c>
      <c r="U95" s="29"/>
      <c r="V95" s="27"/>
      <c r="W95" s="27"/>
      <c r="X95" s="28" t="str">
        <f>IFERROR(VLOOKUP(V95,Horarios!$H:$I,2,0),"")</f>
        <v/>
      </c>
      <c r="Y95" s="28" t="str">
        <f>IFERROR(VLOOKUP(W95,Horarios!$H:$I,2,0),"")</f>
        <v/>
      </c>
      <c r="Z95" s="28" t="str">
        <f t="shared" si="51"/>
        <v>00:00</v>
      </c>
      <c r="AA95" s="29"/>
      <c r="AB95" s="27"/>
      <c r="AC95" s="27"/>
      <c r="AD95" s="28" t="str">
        <f>IFERROR(VLOOKUP(AB95,Horarios!$H:$I,2,0),"")</f>
        <v/>
      </c>
      <c r="AE95" s="28" t="str">
        <f>IFERROR(VLOOKUP(AC95,Horarios!$H:$I,2,0),"")</f>
        <v/>
      </c>
      <c r="AF95" s="28" t="str">
        <f t="shared" si="52"/>
        <v>00:00</v>
      </c>
      <c r="AG95" s="29"/>
      <c r="AH95" s="27"/>
      <c r="AI95" s="27"/>
      <c r="AJ95" s="28" t="str">
        <f>IFERROR(VLOOKUP(AH95,Horarios!$H:$I,2,0),"")</f>
        <v/>
      </c>
      <c r="AK95" s="28" t="str">
        <f>IFERROR(VLOOKUP(AI95,Horarios!$H:$I,2,0),"")</f>
        <v/>
      </c>
      <c r="AL95" s="28" t="str">
        <f t="shared" si="53"/>
        <v>00:00</v>
      </c>
      <c r="AM95" s="29"/>
      <c r="AN95" s="27"/>
      <c r="AO95" s="27"/>
      <c r="AP95" s="28" t="str">
        <f>IFERROR(VLOOKUP(AN95,Horarios!$H:$I,2,0),"")</f>
        <v/>
      </c>
      <c r="AQ95" s="28" t="str">
        <f>IFERROR(VLOOKUP(AO95,Horarios!$H:$I,2,0),"")</f>
        <v/>
      </c>
      <c r="AR95" s="28" t="str">
        <f t="shared" si="54"/>
        <v>00:00</v>
      </c>
      <c r="AS95" s="29"/>
      <c r="AT95" s="31" t="str">
        <f t="shared" si="55"/>
        <v/>
      </c>
      <c r="AU95" s="27"/>
      <c r="AV95" s="27"/>
      <c r="AW95" s="28" t="str">
        <f>IFERROR(VLOOKUP(AU95,Horarios!$H:$I,2,0),"")</f>
        <v/>
      </c>
      <c r="AX95" s="28" t="str">
        <f>IFERROR(VLOOKUP(AV95,Horarios!$H:$I,2,0),"")</f>
        <v/>
      </c>
      <c r="AY95" s="28" t="str">
        <f t="shared" si="56"/>
        <v>00:00</v>
      </c>
      <c r="AZ95" s="29"/>
      <c r="BA95" s="27"/>
      <c r="BB95" s="27"/>
      <c r="BC95" s="28" t="str">
        <f>IFERROR(VLOOKUP(BA95,Horarios!$H:$I,2,0),"")</f>
        <v/>
      </c>
      <c r="BD95" s="28" t="str">
        <f>IFERROR(VLOOKUP(BB95,Horarios!$H:$I,2,0),"")</f>
        <v/>
      </c>
      <c r="BE95" s="28" t="str">
        <f t="shared" si="57"/>
        <v>00:00</v>
      </c>
      <c r="BF95" s="29"/>
      <c r="BG95" s="27"/>
      <c r="BH95" s="27"/>
      <c r="BI95" s="28" t="str">
        <f>IFERROR(VLOOKUP(BG95,Horarios!$H:$I,2,0),"")</f>
        <v/>
      </c>
      <c r="BJ95" s="28" t="str">
        <f>IFERROR(VLOOKUP(BH95,Horarios!$H:$I,2,0),"")</f>
        <v/>
      </c>
      <c r="BK95" s="28" t="str">
        <f t="shared" si="58"/>
        <v>00:00</v>
      </c>
      <c r="BL95" s="29"/>
      <c r="BM95" s="27"/>
      <c r="BN95" s="27"/>
      <c r="BO95" s="28" t="str">
        <f>IFERROR(VLOOKUP(BM95,Horarios!$H:$I,2,0),"")</f>
        <v/>
      </c>
      <c r="BP95" s="28" t="str">
        <f>IFERROR(VLOOKUP(BN95,Horarios!$H:$I,2,0),"")</f>
        <v/>
      </c>
      <c r="BQ95" s="28" t="str">
        <f t="shared" si="59"/>
        <v>00:00</v>
      </c>
      <c r="BR95" s="29"/>
      <c r="BS95" s="27"/>
      <c r="BT95" s="27"/>
      <c r="BU95" s="28" t="str">
        <f>IFERROR(VLOOKUP(BS95,Horarios!$H:$I,2,0),"")</f>
        <v/>
      </c>
      <c r="BV95" s="28" t="str">
        <f>IFERROR(VLOOKUP(BT95,Horarios!$H:$I,2,0),"")</f>
        <v/>
      </c>
      <c r="BW95" s="28" t="str">
        <f t="shared" si="60"/>
        <v>00:00</v>
      </c>
      <c r="BX95" s="29"/>
      <c r="BY95" s="27"/>
      <c r="BZ95" s="27"/>
      <c r="CA95" s="28" t="str">
        <f>IFERROR(VLOOKUP(BY95,Horarios!$H:$I,2,0),"")</f>
        <v/>
      </c>
      <c r="CB95" s="28" t="str">
        <f>IFERROR(VLOOKUP(BZ95,Horarios!$H:$I,2,0),"")</f>
        <v/>
      </c>
      <c r="CC95" s="28" t="str">
        <f t="shared" si="61"/>
        <v>00:00</v>
      </c>
      <c r="CD95" s="29"/>
      <c r="CE95" s="27"/>
      <c r="CF95" s="27"/>
      <c r="CG95" s="28" t="str">
        <f>IFERROR(VLOOKUP(CE95,Horarios!$H:$I,2,0),"")</f>
        <v/>
      </c>
      <c r="CH95" s="28" t="str">
        <f>IFERROR(VLOOKUP(CF95,Horarios!$H:$I,2,0),"")</f>
        <v/>
      </c>
      <c r="CI95" s="28" t="str">
        <f t="shared" si="62"/>
        <v>00:00</v>
      </c>
      <c r="CJ95" s="29"/>
      <c r="CK95" s="31" t="str">
        <f t="shared" si="63"/>
        <v/>
      </c>
      <c r="CL95" s="27"/>
      <c r="CM95" s="27"/>
      <c r="CN95" s="28" t="str">
        <f>IFERROR(VLOOKUP(CL95,Horarios!$H:$I,2,0),"")</f>
        <v/>
      </c>
      <c r="CO95" s="28" t="str">
        <f>IFERROR(VLOOKUP(CM95,Horarios!$H:$I,2,0),"")</f>
        <v/>
      </c>
      <c r="CP95" s="28" t="str">
        <f t="shared" si="64"/>
        <v>00:00</v>
      </c>
      <c r="CQ95" s="29"/>
      <c r="CR95" s="27"/>
      <c r="CS95" s="27"/>
      <c r="CT95" s="28" t="str">
        <f>IFERROR(VLOOKUP(CR95,Horarios!$H:$I,2,0),"")</f>
        <v/>
      </c>
      <c r="CU95" s="28" t="str">
        <f>IFERROR(VLOOKUP(CS95,Horarios!$H:$I,2,0),"")</f>
        <v/>
      </c>
      <c r="CV95" s="28" t="str">
        <f t="shared" si="65"/>
        <v>00:00</v>
      </c>
      <c r="CW95" s="29"/>
      <c r="CX95" s="27"/>
      <c r="CY95" s="27"/>
      <c r="CZ95" s="28" t="str">
        <f>IFERROR(VLOOKUP(CX95,Horarios!$H:$I,2,0),"")</f>
        <v/>
      </c>
      <c r="DA95" s="28" t="str">
        <f>IFERROR(VLOOKUP(CY95,Horarios!$H:$I,2,0),"")</f>
        <v/>
      </c>
      <c r="DB95" s="28" t="str">
        <f t="shared" si="66"/>
        <v>00:00</v>
      </c>
      <c r="DC95" s="29"/>
      <c r="DD95" s="27"/>
      <c r="DE95" s="27"/>
      <c r="DF95" s="28" t="str">
        <f>IFERROR(VLOOKUP(DD95,Horarios!$H:$I,2,0),"")</f>
        <v/>
      </c>
      <c r="DG95" s="28" t="str">
        <f>IFERROR(VLOOKUP(DE95,Horarios!$H:$I,2,0),"")</f>
        <v/>
      </c>
      <c r="DH95" s="28" t="str">
        <f t="shared" si="67"/>
        <v>00:00</v>
      </c>
      <c r="DI95" s="29"/>
      <c r="DJ95" s="27"/>
      <c r="DK95" s="27"/>
      <c r="DL95" s="28" t="str">
        <f>IFERROR(VLOOKUP(DJ95,Horarios!$H:$I,2,0),"")</f>
        <v/>
      </c>
      <c r="DM95" s="28" t="str">
        <f>IFERROR(VLOOKUP(DK95,Horarios!$H:$I,2,0),"")</f>
        <v/>
      </c>
      <c r="DN95" s="28" t="str">
        <f t="shared" si="68"/>
        <v>00:00</v>
      </c>
      <c r="DO95" s="29"/>
      <c r="DP95" s="27"/>
      <c r="DQ95" s="27"/>
      <c r="DR95" s="28" t="str">
        <f>IFERROR(VLOOKUP(DP95,Horarios!$H:$I,2,0),"")</f>
        <v/>
      </c>
      <c r="DS95" s="28" t="str">
        <f>IFERROR(VLOOKUP(DQ95,Horarios!$H:$I,2,0),"")</f>
        <v/>
      </c>
      <c r="DT95" s="28" t="str">
        <f t="shared" si="69"/>
        <v>00:00</v>
      </c>
      <c r="DU95" s="29"/>
      <c r="DV95" s="27"/>
      <c r="DW95" s="27"/>
      <c r="DX95" s="28" t="str">
        <f>IFERROR(VLOOKUP(DV95,Horarios!$H:$I,2,0),"")</f>
        <v/>
      </c>
      <c r="DY95" s="28" t="str">
        <f>IFERROR(VLOOKUP(DW95,Horarios!$H:$I,2,0),"")</f>
        <v/>
      </c>
      <c r="DZ95" s="28" t="str">
        <f t="shared" si="70"/>
        <v>00:00</v>
      </c>
      <c r="EA95" s="29"/>
      <c r="EB95" s="31" t="str">
        <f t="shared" si="71"/>
        <v/>
      </c>
      <c r="EC95" s="27"/>
      <c r="ED95" s="27"/>
      <c r="EE95" s="28" t="str">
        <f>IFERROR(VLOOKUP(EC95,Horarios!$H:$I,2,0),"")</f>
        <v/>
      </c>
      <c r="EF95" s="28" t="str">
        <f>IFERROR(VLOOKUP(ED95,Horarios!$H:$I,2,0),"")</f>
        <v/>
      </c>
      <c r="EG95" s="28" t="str">
        <f t="shared" si="72"/>
        <v>00:00</v>
      </c>
      <c r="EH95" s="29"/>
      <c r="EI95" s="27"/>
      <c r="EJ95" s="27"/>
      <c r="EK95" s="28" t="str">
        <f>IFERROR(VLOOKUP(EI95,Horarios!$H:$I,2,0),"")</f>
        <v/>
      </c>
      <c r="EL95" s="28" t="str">
        <f>IFERROR(VLOOKUP(EJ95,Horarios!$H:$I,2,0),"")</f>
        <v/>
      </c>
      <c r="EM95" s="28" t="str">
        <f t="shared" si="73"/>
        <v>00:00</v>
      </c>
      <c r="EN95" s="29"/>
      <c r="EO95" s="27"/>
      <c r="EP95" s="27"/>
      <c r="EQ95" s="28" t="str">
        <f>IFERROR(VLOOKUP(EO95,Horarios!$H:$I,2,0),"")</f>
        <v/>
      </c>
      <c r="ER95" s="28" t="str">
        <f>IFERROR(VLOOKUP(EP95,Horarios!$H:$I,2,0),"")</f>
        <v/>
      </c>
      <c r="ES95" s="28" t="str">
        <f t="shared" si="74"/>
        <v>00:00</v>
      </c>
      <c r="ET95" s="29"/>
      <c r="EU95" s="27"/>
      <c r="EV95" s="27"/>
      <c r="EW95" s="28" t="str">
        <f>IFERROR(VLOOKUP(EU95,Horarios!$H:$I,2,0),"")</f>
        <v/>
      </c>
      <c r="EX95" s="28" t="str">
        <f>IFERROR(VLOOKUP(EV95,Horarios!$H:$I,2,0),"")</f>
        <v/>
      </c>
      <c r="EY95" s="28" t="str">
        <f t="shared" si="75"/>
        <v>00:00</v>
      </c>
      <c r="EZ95" s="29"/>
      <c r="FA95" s="27"/>
      <c r="FB95" s="27"/>
      <c r="FC95" s="28" t="str">
        <f>IFERROR(VLOOKUP(FA95,Horarios!$H:$I,2,0),"")</f>
        <v/>
      </c>
      <c r="FD95" s="28" t="str">
        <f>IFERROR(VLOOKUP(FB95,Horarios!$H:$I,2,0),"")</f>
        <v/>
      </c>
      <c r="FE95" s="28" t="str">
        <f t="shared" si="76"/>
        <v>00:00</v>
      </c>
      <c r="FF95" s="29"/>
      <c r="FG95" s="27"/>
      <c r="FH95" s="27"/>
      <c r="FI95" s="28" t="str">
        <f>IFERROR(VLOOKUP(FG95,Horarios!$H:$I,2,0),"")</f>
        <v/>
      </c>
      <c r="FJ95" s="28" t="str">
        <f>IFERROR(VLOOKUP(FH95,Horarios!$H:$I,2,0),"")</f>
        <v/>
      </c>
      <c r="FK95" s="28" t="str">
        <f t="shared" si="77"/>
        <v>00:00</v>
      </c>
      <c r="FL95" s="29"/>
      <c r="FM95" s="27"/>
      <c r="FN95" s="27"/>
      <c r="FO95" s="28" t="str">
        <f>IFERROR(VLOOKUP(FM95,Horarios!$H:$I,2,0),"")</f>
        <v/>
      </c>
      <c r="FP95" s="28" t="str">
        <f>IFERROR(VLOOKUP(FN95,Horarios!$H:$I,2,0),"")</f>
        <v/>
      </c>
      <c r="FQ95" s="28" t="str">
        <f t="shared" si="78"/>
        <v>00:00</v>
      </c>
      <c r="FR95" s="29"/>
      <c r="FS95" s="31" t="str">
        <f t="shared" si="79"/>
        <v/>
      </c>
      <c r="FT95" s="27"/>
      <c r="FU95" s="27"/>
      <c r="FV95" s="28" t="str">
        <f>IFERROR(VLOOKUP(FT95,Horarios!$H:$I,2,0),"")</f>
        <v/>
      </c>
      <c r="FW95" s="28" t="str">
        <f>IFERROR(VLOOKUP(FU95,Horarios!$H:$I,2,0),"")</f>
        <v/>
      </c>
      <c r="FX95" s="28" t="str">
        <f t="shared" si="80"/>
        <v>00:00</v>
      </c>
      <c r="FY95" s="29"/>
      <c r="FZ95" s="27"/>
      <c r="GA95" s="27"/>
      <c r="GB95" s="28" t="str">
        <f>IFERROR(VLOOKUP(FZ95,Horarios!$H:$I,2,0),"")</f>
        <v/>
      </c>
      <c r="GC95" s="28" t="str">
        <f>IFERROR(VLOOKUP(GA95,Horarios!$H:$I,2,0),"")</f>
        <v/>
      </c>
      <c r="GD95" s="28" t="str">
        <f t="shared" si="81"/>
        <v>00:00</v>
      </c>
      <c r="GE95" s="29"/>
      <c r="GF95" s="27"/>
      <c r="GG95" s="27"/>
      <c r="GH95" s="28" t="str">
        <f>IFERROR(VLOOKUP(GF95,Horarios!$H:$I,2,0),"")</f>
        <v/>
      </c>
      <c r="GI95" s="28" t="str">
        <f>IFERROR(VLOOKUP(GG95,Horarios!$H:$I,2,0),"")</f>
        <v/>
      </c>
      <c r="GJ95" s="28" t="str">
        <f t="shared" si="82"/>
        <v>00:00</v>
      </c>
      <c r="GK95" s="29"/>
      <c r="GL95" s="27"/>
      <c r="GM95" s="27"/>
      <c r="GN95" s="28" t="str">
        <f>IFERROR(VLOOKUP(GL95,Horarios!$H:$I,2,0),"")</f>
        <v/>
      </c>
      <c r="GO95" s="28" t="str">
        <f>IFERROR(VLOOKUP(GM95,Horarios!$H:$I,2,0),"")</f>
        <v/>
      </c>
      <c r="GP95" s="28" t="str">
        <f t="shared" si="83"/>
        <v>00:00</v>
      </c>
      <c r="GQ95" s="29"/>
      <c r="GR95" s="27"/>
      <c r="GS95" s="27"/>
      <c r="GT95" s="28" t="str">
        <f>IFERROR(VLOOKUP(GR95,Horarios!$H:$I,2,0),"")</f>
        <v/>
      </c>
      <c r="GU95" s="28" t="str">
        <f>IFERROR(VLOOKUP(GS95,Horarios!$H:$I,2,0),"")</f>
        <v/>
      </c>
      <c r="GV95" s="28" t="str">
        <f t="shared" si="84"/>
        <v>00:00</v>
      </c>
      <c r="GW95" s="29"/>
      <c r="GX95" s="27"/>
      <c r="GY95" s="27"/>
      <c r="GZ95" s="28" t="str">
        <f>IFERROR(VLOOKUP(GX95,Horarios!$H:$I,2,0),"")</f>
        <v/>
      </c>
      <c r="HA95" s="28" t="str">
        <f>IFERROR(VLOOKUP(GY95,Horarios!$H:$I,2,0),"")</f>
        <v/>
      </c>
      <c r="HB95" s="28" t="str">
        <f t="shared" si="85"/>
        <v>00:00</v>
      </c>
      <c r="HC95" s="29"/>
      <c r="HD95" s="27"/>
      <c r="HE95" s="27"/>
      <c r="HF95" s="28" t="str">
        <f>IFERROR(VLOOKUP(HD95,Horarios!$H:$I,2,0),"")</f>
        <v/>
      </c>
      <c r="HG95" s="28" t="str">
        <f>IFERROR(VLOOKUP(HE95,Horarios!$H:$I,2,0),"")</f>
        <v/>
      </c>
      <c r="HH95" s="28" t="str">
        <f t="shared" si="86"/>
        <v>00:00</v>
      </c>
      <c r="HI95" s="29"/>
      <c r="HJ95" s="31" t="str">
        <f t="shared" si="87"/>
        <v/>
      </c>
      <c r="HK95" s="27"/>
      <c r="HL95" s="27"/>
      <c r="HM95" s="28" t="str">
        <f>IFERROR(VLOOKUP(HK95,Horarios!$H:$I,2,0),"")</f>
        <v/>
      </c>
      <c r="HN95" s="28" t="str">
        <f>IFERROR(VLOOKUP(HL95,Horarios!$H:$I,2,0),"")</f>
        <v/>
      </c>
      <c r="HO95" s="28" t="str">
        <f t="shared" si="88"/>
        <v>00:00</v>
      </c>
      <c r="HP95" s="29"/>
      <c r="HQ95" s="27"/>
      <c r="HR95" s="27"/>
      <c r="HS95" s="28" t="str">
        <f>IFERROR(VLOOKUP(HQ95,Horarios!$H:$I,2,0),"")</f>
        <v/>
      </c>
      <c r="HT95" s="28" t="str">
        <f>IFERROR(VLOOKUP(HR95,Horarios!$H:$I,2,0),"")</f>
        <v/>
      </c>
      <c r="HU95" s="28" t="str">
        <f t="shared" si="89"/>
        <v>00:00</v>
      </c>
      <c r="HV95" s="29"/>
      <c r="HW95" s="27"/>
      <c r="HX95" s="27"/>
      <c r="HY95" s="28" t="str">
        <f>IFERROR(VLOOKUP(HW95,Horarios!$H:$I,2,0),"")</f>
        <v/>
      </c>
      <c r="HZ95" s="28" t="str">
        <f>IFERROR(VLOOKUP(HX95,Horarios!$H:$I,2,0),"")</f>
        <v/>
      </c>
      <c r="IA95" s="28" t="str">
        <f t="shared" si="90"/>
        <v>00:00</v>
      </c>
      <c r="IB95" s="29"/>
      <c r="IC95" s="27"/>
      <c r="ID95" s="27"/>
      <c r="IE95" s="28" t="str">
        <f>IFERROR(VLOOKUP(IC95,Horarios!$H:$I,2,0),"")</f>
        <v/>
      </c>
      <c r="IF95" s="28" t="str">
        <f>IFERROR(VLOOKUP(ID95,Horarios!$H:$I,2,0),"")</f>
        <v/>
      </c>
      <c r="IG95" s="28" t="str">
        <f t="shared" si="91"/>
        <v>00:00</v>
      </c>
      <c r="IH95" s="29"/>
      <c r="II95" s="27"/>
      <c r="IJ95" s="27"/>
      <c r="IK95" s="28" t="str">
        <f>IFERROR(VLOOKUP(II95,Horarios!$H:$I,2,0),"")</f>
        <v/>
      </c>
      <c r="IL95" s="28" t="str">
        <f>IFERROR(VLOOKUP(IJ95,Horarios!$H:$I,2,0),"")</f>
        <v/>
      </c>
      <c r="IM95" s="28" t="str">
        <f t="shared" si="92"/>
        <v>00:00</v>
      </c>
      <c r="IN95" s="29"/>
      <c r="IO95" s="27"/>
      <c r="IP95" s="27"/>
      <c r="IQ95" s="28" t="str">
        <f>IFERROR(VLOOKUP(IO95,Horarios!$H:$I,2,0),"")</f>
        <v/>
      </c>
      <c r="IR95" s="28" t="str">
        <f>IFERROR(VLOOKUP(IP95,Horarios!$H:$I,2,0),"")</f>
        <v/>
      </c>
      <c r="IS95" s="28" t="str">
        <f t="shared" si="93"/>
        <v>00:00</v>
      </c>
      <c r="IT95" s="29"/>
      <c r="IU95" s="27"/>
      <c r="IV95" s="27"/>
      <c r="IW95" s="28" t="str">
        <f>IFERROR(VLOOKUP(IU95,Horarios!$H:$I,2,0),"")</f>
        <v/>
      </c>
      <c r="IX95" s="28" t="str">
        <f>IFERROR(VLOOKUP(IV95,Horarios!$H:$I,2,0),"")</f>
        <v/>
      </c>
      <c r="IY95" s="28" t="str">
        <f t="shared" si="94"/>
        <v>00:00</v>
      </c>
      <c r="IZ95" s="29"/>
      <c r="JA95" s="31" t="str">
        <f t="shared" si="95"/>
        <v/>
      </c>
    </row>
    <row r="96" spans="1:261" s="24" customFormat="1" ht="17.399999999999999" x14ac:dyDescent="0.25">
      <c r="A96" s="25"/>
      <c r="B96" s="26" t="str">
        <f>IFERROR(VLOOKUP(A96,BaseNombres!A:B,2,0),"")</f>
        <v/>
      </c>
      <c r="C96" s="26" t="str">
        <f>IFERROR(VLOOKUP(A96,BaseNombres!A:C,3,0),"")</f>
        <v/>
      </c>
      <c r="D96" s="27"/>
      <c r="E96" s="27"/>
      <c r="F96" s="28" t="str">
        <f>IFERROR(VLOOKUP(D96,Horarios!$H:$I,2,0),"")</f>
        <v/>
      </c>
      <c r="G96" s="28" t="str">
        <f>IFERROR(VLOOKUP(E96,Horarios!$H:$I,2,0),"")</f>
        <v/>
      </c>
      <c r="H96" s="28" t="str">
        <f t="shared" si="48"/>
        <v>00:00</v>
      </c>
      <c r="I96" s="29"/>
      <c r="J96" s="27"/>
      <c r="K96" s="27"/>
      <c r="L96" s="28" t="str">
        <f>IFERROR(VLOOKUP(J96,Horarios!$H:$I,2,0),"")</f>
        <v/>
      </c>
      <c r="M96" s="28" t="str">
        <f>IFERROR(VLOOKUP(K96,Horarios!$H:$I,2,0),"")</f>
        <v/>
      </c>
      <c r="N96" s="28" t="str">
        <f t="shared" si="49"/>
        <v>00:00</v>
      </c>
      <c r="O96" s="29"/>
      <c r="P96" s="27"/>
      <c r="Q96" s="27"/>
      <c r="R96" s="28" t="str">
        <f>IFERROR(VLOOKUP(P96,Horarios!$H:$I,2,0),"")</f>
        <v/>
      </c>
      <c r="S96" s="28" t="str">
        <f>IFERROR(VLOOKUP(Q96,Horarios!$H:$I,2,0),"")</f>
        <v/>
      </c>
      <c r="T96" s="28" t="str">
        <f t="shared" si="50"/>
        <v>00:00</v>
      </c>
      <c r="U96" s="29"/>
      <c r="V96" s="27"/>
      <c r="W96" s="27"/>
      <c r="X96" s="28" t="str">
        <f>IFERROR(VLOOKUP(V96,Horarios!$H:$I,2,0),"")</f>
        <v/>
      </c>
      <c r="Y96" s="28" t="str">
        <f>IFERROR(VLOOKUP(W96,Horarios!$H:$I,2,0),"")</f>
        <v/>
      </c>
      <c r="Z96" s="28" t="str">
        <f t="shared" si="51"/>
        <v>00:00</v>
      </c>
      <c r="AA96" s="29"/>
      <c r="AB96" s="27"/>
      <c r="AC96" s="27"/>
      <c r="AD96" s="28" t="str">
        <f>IFERROR(VLOOKUP(AB96,Horarios!$H:$I,2,0),"")</f>
        <v/>
      </c>
      <c r="AE96" s="28" t="str">
        <f>IFERROR(VLOOKUP(AC96,Horarios!$H:$I,2,0),"")</f>
        <v/>
      </c>
      <c r="AF96" s="28" t="str">
        <f t="shared" si="52"/>
        <v>00:00</v>
      </c>
      <c r="AG96" s="29"/>
      <c r="AH96" s="27"/>
      <c r="AI96" s="27"/>
      <c r="AJ96" s="28" t="str">
        <f>IFERROR(VLOOKUP(AH96,Horarios!$H:$I,2,0),"")</f>
        <v/>
      </c>
      <c r="AK96" s="28" t="str">
        <f>IFERROR(VLOOKUP(AI96,Horarios!$H:$I,2,0),"")</f>
        <v/>
      </c>
      <c r="AL96" s="28" t="str">
        <f t="shared" si="53"/>
        <v>00:00</v>
      </c>
      <c r="AM96" s="29"/>
      <c r="AN96" s="27"/>
      <c r="AO96" s="27"/>
      <c r="AP96" s="28" t="str">
        <f>IFERROR(VLOOKUP(AN96,Horarios!$H:$I,2,0),"")</f>
        <v/>
      </c>
      <c r="AQ96" s="28" t="str">
        <f>IFERROR(VLOOKUP(AO96,Horarios!$H:$I,2,0),"")</f>
        <v/>
      </c>
      <c r="AR96" s="28" t="str">
        <f t="shared" si="54"/>
        <v>00:00</v>
      </c>
      <c r="AS96" s="29"/>
      <c r="AT96" s="31" t="str">
        <f t="shared" si="55"/>
        <v/>
      </c>
      <c r="AU96" s="27"/>
      <c r="AV96" s="27"/>
      <c r="AW96" s="28" t="str">
        <f>IFERROR(VLOOKUP(AU96,Horarios!$H:$I,2,0),"")</f>
        <v/>
      </c>
      <c r="AX96" s="28" t="str">
        <f>IFERROR(VLOOKUP(AV96,Horarios!$H:$I,2,0),"")</f>
        <v/>
      </c>
      <c r="AY96" s="28" t="str">
        <f t="shared" si="56"/>
        <v>00:00</v>
      </c>
      <c r="AZ96" s="29"/>
      <c r="BA96" s="27"/>
      <c r="BB96" s="27"/>
      <c r="BC96" s="28" t="str">
        <f>IFERROR(VLOOKUP(BA96,Horarios!$H:$I,2,0),"")</f>
        <v/>
      </c>
      <c r="BD96" s="28" t="str">
        <f>IFERROR(VLOOKUP(BB96,Horarios!$H:$I,2,0),"")</f>
        <v/>
      </c>
      <c r="BE96" s="28" t="str">
        <f t="shared" si="57"/>
        <v>00:00</v>
      </c>
      <c r="BF96" s="29"/>
      <c r="BG96" s="27"/>
      <c r="BH96" s="27"/>
      <c r="BI96" s="28" t="str">
        <f>IFERROR(VLOOKUP(BG96,Horarios!$H:$I,2,0),"")</f>
        <v/>
      </c>
      <c r="BJ96" s="28" t="str">
        <f>IFERROR(VLOOKUP(BH96,Horarios!$H:$I,2,0),"")</f>
        <v/>
      </c>
      <c r="BK96" s="28" t="str">
        <f t="shared" si="58"/>
        <v>00:00</v>
      </c>
      <c r="BL96" s="29"/>
      <c r="BM96" s="27"/>
      <c r="BN96" s="27"/>
      <c r="BO96" s="28" t="str">
        <f>IFERROR(VLOOKUP(BM96,Horarios!$H:$I,2,0),"")</f>
        <v/>
      </c>
      <c r="BP96" s="28" t="str">
        <f>IFERROR(VLOOKUP(BN96,Horarios!$H:$I,2,0),"")</f>
        <v/>
      </c>
      <c r="BQ96" s="28" t="str">
        <f t="shared" si="59"/>
        <v>00:00</v>
      </c>
      <c r="BR96" s="29"/>
      <c r="BS96" s="27"/>
      <c r="BT96" s="27"/>
      <c r="BU96" s="28" t="str">
        <f>IFERROR(VLOOKUP(BS96,Horarios!$H:$I,2,0),"")</f>
        <v/>
      </c>
      <c r="BV96" s="28" t="str">
        <f>IFERROR(VLOOKUP(BT96,Horarios!$H:$I,2,0),"")</f>
        <v/>
      </c>
      <c r="BW96" s="28" t="str">
        <f t="shared" si="60"/>
        <v>00:00</v>
      </c>
      <c r="BX96" s="29"/>
      <c r="BY96" s="27"/>
      <c r="BZ96" s="27"/>
      <c r="CA96" s="28" t="str">
        <f>IFERROR(VLOOKUP(BY96,Horarios!$H:$I,2,0),"")</f>
        <v/>
      </c>
      <c r="CB96" s="28" t="str">
        <f>IFERROR(VLOOKUP(BZ96,Horarios!$H:$I,2,0),"")</f>
        <v/>
      </c>
      <c r="CC96" s="28" t="str">
        <f t="shared" si="61"/>
        <v>00:00</v>
      </c>
      <c r="CD96" s="29"/>
      <c r="CE96" s="27"/>
      <c r="CF96" s="27"/>
      <c r="CG96" s="28" t="str">
        <f>IFERROR(VLOOKUP(CE96,Horarios!$H:$I,2,0),"")</f>
        <v/>
      </c>
      <c r="CH96" s="28" t="str">
        <f>IFERROR(VLOOKUP(CF96,Horarios!$H:$I,2,0),"")</f>
        <v/>
      </c>
      <c r="CI96" s="28" t="str">
        <f t="shared" si="62"/>
        <v>00:00</v>
      </c>
      <c r="CJ96" s="29"/>
      <c r="CK96" s="31" t="str">
        <f t="shared" si="63"/>
        <v/>
      </c>
      <c r="CL96" s="27"/>
      <c r="CM96" s="27"/>
      <c r="CN96" s="28" t="str">
        <f>IFERROR(VLOOKUP(CL96,Horarios!$H:$I,2,0),"")</f>
        <v/>
      </c>
      <c r="CO96" s="28" t="str">
        <f>IFERROR(VLOOKUP(CM96,Horarios!$H:$I,2,0),"")</f>
        <v/>
      </c>
      <c r="CP96" s="28" t="str">
        <f t="shared" si="64"/>
        <v>00:00</v>
      </c>
      <c r="CQ96" s="29"/>
      <c r="CR96" s="27"/>
      <c r="CS96" s="27"/>
      <c r="CT96" s="28" t="str">
        <f>IFERROR(VLOOKUP(CR96,Horarios!$H:$I,2,0),"")</f>
        <v/>
      </c>
      <c r="CU96" s="28" t="str">
        <f>IFERROR(VLOOKUP(CS96,Horarios!$H:$I,2,0),"")</f>
        <v/>
      </c>
      <c r="CV96" s="28" t="str">
        <f t="shared" si="65"/>
        <v>00:00</v>
      </c>
      <c r="CW96" s="29"/>
      <c r="CX96" s="27"/>
      <c r="CY96" s="27"/>
      <c r="CZ96" s="28" t="str">
        <f>IFERROR(VLOOKUP(CX96,Horarios!$H:$I,2,0),"")</f>
        <v/>
      </c>
      <c r="DA96" s="28" t="str">
        <f>IFERROR(VLOOKUP(CY96,Horarios!$H:$I,2,0),"")</f>
        <v/>
      </c>
      <c r="DB96" s="28" t="str">
        <f t="shared" si="66"/>
        <v>00:00</v>
      </c>
      <c r="DC96" s="29"/>
      <c r="DD96" s="27"/>
      <c r="DE96" s="27"/>
      <c r="DF96" s="28" t="str">
        <f>IFERROR(VLOOKUP(DD96,Horarios!$H:$I,2,0),"")</f>
        <v/>
      </c>
      <c r="DG96" s="28" t="str">
        <f>IFERROR(VLOOKUP(DE96,Horarios!$H:$I,2,0),"")</f>
        <v/>
      </c>
      <c r="DH96" s="28" t="str">
        <f t="shared" si="67"/>
        <v>00:00</v>
      </c>
      <c r="DI96" s="29"/>
      <c r="DJ96" s="27"/>
      <c r="DK96" s="27"/>
      <c r="DL96" s="28" t="str">
        <f>IFERROR(VLOOKUP(DJ96,Horarios!$H:$I,2,0),"")</f>
        <v/>
      </c>
      <c r="DM96" s="28" t="str">
        <f>IFERROR(VLOOKUP(DK96,Horarios!$H:$I,2,0),"")</f>
        <v/>
      </c>
      <c r="DN96" s="28" t="str">
        <f t="shared" si="68"/>
        <v>00:00</v>
      </c>
      <c r="DO96" s="29"/>
      <c r="DP96" s="27"/>
      <c r="DQ96" s="27"/>
      <c r="DR96" s="28" t="str">
        <f>IFERROR(VLOOKUP(DP96,Horarios!$H:$I,2,0),"")</f>
        <v/>
      </c>
      <c r="DS96" s="28" t="str">
        <f>IFERROR(VLOOKUP(DQ96,Horarios!$H:$I,2,0),"")</f>
        <v/>
      </c>
      <c r="DT96" s="28" t="str">
        <f t="shared" si="69"/>
        <v>00:00</v>
      </c>
      <c r="DU96" s="29"/>
      <c r="DV96" s="27"/>
      <c r="DW96" s="27"/>
      <c r="DX96" s="28" t="str">
        <f>IFERROR(VLOOKUP(DV96,Horarios!$H:$I,2,0),"")</f>
        <v/>
      </c>
      <c r="DY96" s="28" t="str">
        <f>IFERROR(VLOOKUP(DW96,Horarios!$H:$I,2,0),"")</f>
        <v/>
      </c>
      <c r="DZ96" s="28" t="str">
        <f t="shared" si="70"/>
        <v>00:00</v>
      </c>
      <c r="EA96" s="29"/>
      <c r="EB96" s="31" t="str">
        <f t="shared" si="71"/>
        <v/>
      </c>
      <c r="EC96" s="27"/>
      <c r="ED96" s="27"/>
      <c r="EE96" s="28" t="str">
        <f>IFERROR(VLOOKUP(EC96,Horarios!$H:$I,2,0),"")</f>
        <v/>
      </c>
      <c r="EF96" s="28" t="str">
        <f>IFERROR(VLOOKUP(ED96,Horarios!$H:$I,2,0),"")</f>
        <v/>
      </c>
      <c r="EG96" s="28" t="str">
        <f t="shared" si="72"/>
        <v>00:00</v>
      </c>
      <c r="EH96" s="29"/>
      <c r="EI96" s="27"/>
      <c r="EJ96" s="27"/>
      <c r="EK96" s="28" t="str">
        <f>IFERROR(VLOOKUP(EI96,Horarios!$H:$I,2,0),"")</f>
        <v/>
      </c>
      <c r="EL96" s="28" t="str">
        <f>IFERROR(VLOOKUP(EJ96,Horarios!$H:$I,2,0),"")</f>
        <v/>
      </c>
      <c r="EM96" s="28" t="str">
        <f t="shared" si="73"/>
        <v>00:00</v>
      </c>
      <c r="EN96" s="29"/>
      <c r="EO96" s="27"/>
      <c r="EP96" s="27"/>
      <c r="EQ96" s="28" t="str">
        <f>IFERROR(VLOOKUP(EO96,Horarios!$H:$I,2,0),"")</f>
        <v/>
      </c>
      <c r="ER96" s="28" t="str">
        <f>IFERROR(VLOOKUP(EP96,Horarios!$H:$I,2,0),"")</f>
        <v/>
      </c>
      <c r="ES96" s="28" t="str">
        <f t="shared" si="74"/>
        <v>00:00</v>
      </c>
      <c r="ET96" s="29"/>
      <c r="EU96" s="27"/>
      <c r="EV96" s="27"/>
      <c r="EW96" s="28" t="str">
        <f>IFERROR(VLOOKUP(EU96,Horarios!$H:$I,2,0),"")</f>
        <v/>
      </c>
      <c r="EX96" s="28" t="str">
        <f>IFERROR(VLOOKUP(EV96,Horarios!$H:$I,2,0),"")</f>
        <v/>
      </c>
      <c r="EY96" s="28" t="str">
        <f t="shared" si="75"/>
        <v>00:00</v>
      </c>
      <c r="EZ96" s="29"/>
      <c r="FA96" s="27"/>
      <c r="FB96" s="27"/>
      <c r="FC96" s="28" t="str">
        <f>IFERROR(VLOOKUP(FA96,Horarios!$H:$I,2,0),"")</f>
        <v/>
      </c>
      <c r="FD96" s="28" t="str">
        <f>IFERROR(VLOOKUP(FB96,Horarios!$H:$I,2,0),"")</f>
        <v/>
      </c>
      <c r="FE96" s="28" t="str">
        <f t="shared" si="76"/>
        <v>00:00</v>
      </c>
      <c r="FF96" s="29"/>
      <c r="FG96" s="27"/>
      <c r="FH96" s="27"/>
      <c r="FI96" s="28" t="str">
        <f>IFERROR(VLOOKUP(FG96,Horarios!$H:$I,2,0),"")</f>
        <v/>
      </c>
      <c r="FJ96" s="28" t="str">
        <f>IFERROR(VLOOKUP(FH96,Horarios!$H:$I,2,0),"")</f>
        <v/>
      </c>
      <c r="FK96" s="28" t="str">
        <f t="shared" si="77"/>
        <v>00:00</v>
      </c>
      <c r="FL96" s="29"/>
      <c r="FM96" s="27"/>
      <c r="FN96" s="27"/>
      <c r="FO96" s="28" t="str">
        <f>IFERROR(VLOOKUP(FM96,Horarios!$H:$I,2,0),"")</f>
        <v/>
      </c>
      <c r="FP96" s="28" t="str">
        <f>IFERROR(VLOOKUP(FN96,Horarios!$H:$I,2,0),"")</f>
        <v/>
      </c>
      <c r="FQ96" s="28" t="str">
        <f t="shared" si="78"/>
        <v>00:00</v>
      </c>
      <c r="FR96" s="29"/>
      <c r="FS96" s="31" t="str">
        <f t="shared" si="79"/>
        <v/>
      </c>
      <c r="FT96" s="27"/>
      <c r="FU96" s="27"/>
      <c r="FV96" s="28" t="str">
        <f>IFERROR(VLOOKUP(FT96,Horarios!$H:$I,2,0),"")</f>
        <v/>
      </c>
      <c r="FW96" s="28" t="str">
        <f>IFERROR(VLOOKUP(FU96,Horarios!$H:$I,2,0),"")</f>
        <v/>
      </c>
      <c r="FX96" s="28" t="str">
        <f t="shared" si="80"/>
        <v>00:00</v>
      </c>
      <c r="FY96" s="29"/>
      <c r="FZ96" s="27"/>
      <c r="GA96" s="27"/>
      <c r="GB96" s="28" t="str">
        <f>IFERROR(VLOOKUP(FZ96,Horarios!$H:$I,2,0),"")</f>
        <v/>
      </c>
      <c r="GC96" s="28" t="str">
        <f>IFERROR(VLOOKUP(GA96,Horarios!$H:$I,2,0),"")</f>
        <v/>
      </c>
      <c r="GD96" s="28" t="str">
        <f t="shared" si="81"/>
        <v>00:00</v>
      </c>
      <c r="GE96" s="29"/>
      <c r="GF96" s="27"/>
      <c r="GG96" s="27"/>
      <c r="GH96" s="28" t="str">
        <f>IFERROR(VLOOKUP(GF96,Horarios!$H:$I,2,0),"")</f>
        <v/>
      </c>
      <c r="GI96" s="28" t="str">
        <f>IFERROR(VLOOKUP(GG96,Horarios!$H:$I,2,0),"")</f>
        <v/>
      </c>
      <c r="GJ96" s="28" t="str">
        <f t="shared" si="82"/>
        <v>00:00</v>
      </c>
      <c r="GK96" s="29"/>
      <c r="GL96" s="27"/>
      <c r="GM96" s="27"/>
      <c r="GN96" s="28" t="str">
        <f>IFERROR(VLOOKUP(GL96,Horarios!$H:$I,2,0),"")</f>
        <v/>
      </c>
      <c r="GO96" s="28" t="str">
        <f>IFERROR(VLOOKUP(GM96,Horarios!$H:$I,2,0),"")</f>
        <v/>
      </c>
      <c r="GP96" s="28" t="str">
        <f t="shared" si="83"/>
        <v>00:00</v>
      </c>
      <c r="GQ96" s="29"/>
      <c r="GR96" s="27"/>
      <c r="GS96" s="27"/>
      <c r="GT96" s="28" t="str">
        <f>IFERROR(VLOOKUP(GR96,Horarios!$H:$I,2,0),"")</f>
        <v/>
      </c>
      <c r="GU96" s="28" t="str">
        <f>IFERROR(VLOOKUP(GS96,Horarios!$H:$I,2,0),"")</f>
        <v/>
      </c>
      <c r="GV96" s="28" t="str">
        <f t="shared" si="84"/>
        <v>00:00</v>
      </c>
      <c r="GW96" s="29"/>
      <c r="GX96" s="27"/>
      <c r="GY96" s="27"/>
      <c r="GZ96" s="28" t="str">
        <f>IFERROR(VLOOKUP(GX96,Horarios!$H:$I,2,0),"")</f>
        <v/>
      </c>
      <c r="HA96" s="28" t="str">
        <f>IFERROR(VLOOKUP(GY96,Horarios!$H:$I,2,0),"")</f>
        <v/>
      </c>
      <c r="HB96" s="28" t="str">
        <f t="shared" si="85"/>
        <v>00:00</v>
      </c>
      <c r="HC96" s="29"/>
      <c r="HD96" s="27"/>
      <c r="HE96" s="27"/>
      <c r="HF96" s="28" t="str">
        <f>IFERROR(VLOOKUP(HD96,Horarios!$H:$I,2,0),"")</f>
        <v/>
      </c>
      <c r="HG96" s="28" t="str">
        <f>IFERROR(VLOOKUP(HE96,Horarios!$H:$I,2,0),"")</f>
        <v/>
      </c>
      <c r="HH96" s="28" t="str">
        <f t="shared" si="86"/>
        <v>00:00</v>
      </c>
      <c r="HI96" s="29"/>
      <c r="HJ96" s="31" t="str">
        <f t="shared" si="87"/>
        <v/>
      </c>
      <c r="HK96" s="27"/>
      <c r="HL96" s="27"/>
      <c r="HM96" s="28" t="str">
        <f>IFERROR(VLOOKUP(HK96,Horarios!$H:$I,2,0),"")</f>
        <v/>
      </c>
      <c r="HN96" s="28" t="str">
        <f>IFERROR(VLOOKUP(HL96,Horarios!$H:$I,2,0),"")</f>
        <v/>
      </c>
      <c r="HO96" s="28" t="str">
        <f t="shared" si="88"/>
        <v>00:00</v>
      </c>
      <c r="HP96" s="29"/>
      <c r="HQ96" s="27"/>
      <c r="HR96" s="27"/>
      <c r="HS96" s="28" t="str">
        <f>IFERROR(VLOOKUP(HQ96,Horarios!$H:$I,2,0),"")</f>
        <v/>
      </c>
      <c r="HT96" s="28" t="str">
        <f>IFERROR(VLOOKUP(HR96,Horarios!$H:$I,2,0),"")</f>
        <v/>
      </c>
      <c r="HU96" s="28" t="str">
        <f t="shared" si="89"/>
        <v>00:00</v>
      </c>
      <c r="HV96" s="29"/>
      <c r="HW96" s="27"/>
      <c r="HX96" s="27"/>
      <c r="HY96" s="28" t="str">
        <f>IFERROR(VLOOKUP(HW96,Horarios!$H:$I,2,0),"")</f>
        <v/>
      </c>
      <c r="HZ96" s="28" t="str">
        <f>IFERROR(VLOOKUP(HX96,Horarios!$H:$I,2,0),"")</f>
        <v/>
      </c>
      <c r="IA96" s="28" t="str">
        <f t="shared" si="90"/>
        <v>00:00</v>
      </c>
      <c r="IB96" s="29"/>
      <c r="IC96" s="27"/>
      <c r="ID96" s="27"/>
      <c r="IE96" s="28" t="str">
        <f>IFERROR(VLOOKUP(IC96,Horarios!$H:$I,2,0),"")</f>
        <v/>
      </c>
      <c r="IF96" s="28" t="str">
        <f>IFERROR(VLOOKUP(ID96,Horarios!$H:$I,2,0),"")</f>
        <v/>
      </c>
      <c r="IG96" s="28" t="str">
        <f t="shared" si="91"/>
        <v>00:00</v>
      </c>
      <c r="IH96" s="29"/>
      <c r="II96" s="27"/>
      <c r="IJ96" s="27"/>
      <c r="IK96" s="28" t="str">
        <f>IFERROR(VLOOKUP(II96,Horarios!$H:$I,2,0),"")</f>
        <v/>
      </c>
      <c r="IL96" s="28" t="str">
        <f>IFERROR(VLOOKUP(IJ96,Horarios!$H:$I,2,0),"")</f>
        <v/>
      </c>
      <c r="IM96" s="28" t="str">
        <f t="shared" si="92"/>
        <v>00:00</v>
      </c>
      <c r="IN96" s="29"/>
      <c r="IO96" s="27"/>
      <c r="IP96" s="27"/>
      <c r="IQ96" s="28" t="str">
        <f>IFERROR(VLOOKUP(IO96,Horarios!$H:$I,2,0),"")</f>
        <v/>
      </c>
      <c r="IR96" s="28" t="str">
        <f>IFERROR(VLOOKUP(IP96,Horarios!$H:$I,2,0),"")</f>
        <v/>
      </c>
      <c r="IS96" s="28" t="str">
        <f t="shared" si="93"/>
        <v>00:00</v>
      </c>
      <c r="IT96" s="29"/>
      <c r="IU96" s="27"/>
      <c r="IV96" s="27"/>
      <c r="IW96" s="28" t="str">
        <f>IFERROR(VLOOKUP(IU96,Horarios!$H:$I,2,0),"")</f>
        <v/>
      </c>
      <c r="IX96" s="28" t="str">
        <f>IFERROR(VLOOKUP(IV96,Horarios!$H:$I,2,0),"")</f>
        <v/>
      </c>
      <c r="IY96" s="28" t="str">
        <f t="shared" si="94"/>
        <v>00:00</v>
      </c>
      <c r="IZ96" s="29"/>
      <c r="JA96" s="31" t="str">
        <f t="shared" si="95"/>
        <v/>
      </c>
    </row>
    <row r="97" spans="1:261" s="24" customFormat="1" ht="17.399999999999999" x14ac:dyDescent="0.25">
      <c r="A97" s="25"/>
      <c r="B97" s="26" t="str">
        <f>IFERROR(VLOOKUP(A97,BaseNombres!A:B,2,0),"")</f>
        <v/>
      </c>
      <c r="C97" s="26" t="str">
        <f>IFERROR(VLOOKUP(A97,BaseNombres!A:C,3,0),"")</f>
        <v/>
      </c>
      <c r="D97" s="27"/>
      <c r="E97" s="27"/>
      <c r="F97" s="28" t="str">
        <f>IFERROR(VLOOKUP(D97,Horarios!$H:$I,2,0),"")</f>
        <v/>
      </c>
      <c r="G97" s="28" t="str">
        <f>IFERROR(VLOOKUP(E97,Horarios!$H:$I,2,0),"")</f>
        <v/>
      </c>
      <c r="H97" s="28" t="str">
        <f t="shared" si="48"/>
        <v>00:00</v>
      </c>
      <c r="I97" s="29"/>
      <c r="J97" s="27"/>
      <c r="K97" s="27"/>
      <c r="L97" s="28" t="str">
        <f>IFERROR(VLOOKUP(J97,Horarios!$H:$I,2,0),"")</f>
        <v/>
      </c>
      <c r="M97" s="28" t="str">
        <f>IFERROR(VLOOKUP(K97,Horarios!$H:$I,2,0),"")</f>
        <v/>
      </c>
      <c r="N97" s="28" t="str">
        <f t="shared" si="49"/>
        <v>00:00</v>
      </c>
      <c r="O97" s="29"/>
      <c r="P97" s="27"/>
      <c r="Q97" s="27"/>
      <c r="R97" s="28" t="str">
        <f>IFERROR(VLOOKUP(P97,Horarios!$H:$I,2,0),"")</f>
        <v/>
      </c>
      <c r="S97" s="28" t="str">
        <f>IFERROR(VLOOKUP(Q97,Horarios!$H:$I,2,0),"")</f>
        <v/>
      </c>
      <c r="T97" s="28" t="str">
        <f t="shared" si="50"/>
        <v>00:00</v>
      </c>
      <c r="U97" s="29"/>
      <c r="V97" s="27"/>
      <c r="W97" s="27"/>
      <c r="X97" s="28" t="str">
        <f>IFERROR(VLOOKUP(V97,Horarios!$H:$I,2,0),"")</f>
        <v/>
      </c>
      <c r="Y97" s="28" t="str">
        <f>IFERROR(VLOOKUP(W97,Horarios!$H:$I,2,0),"")</f>
        <v/>
      </c>
      <c r="Z97" s="28" t="str">
        <f t="shared" si="51"/>
        <v>00:00</v>
      </c>
      <c r="AA97" s="29"/>
      <c r="AB97" s="27"/>
      <c r="AC97" s="27"/>
      <c r="AD97" s="28" t="str">
        <f>IFERROR(VLOOKUP(AB97,Horarios!$H:$I,2,0),"")</f>
        <v/>
      </c>
      <c r="AE97" s="28" t="str">
        <f>IFERROR(VLOOKUP(AC97,Horarios!$H:$I,2,0),"")</f>
        <v/>
      </c>
      <c r="AF97" s="28" t="str">
        <f t="shared" si="52"/>
        <v>00:00</v>
      </c>
      <c r="AG97" s="29"/>
      <c r="AH97" s="27"/>
      <c r="AI97" s="27"/>
      <c r="AJ97" s="28" t="str">
        <f>IFERROR(VLOOKUP(AH97,Horarios!$H:$I,2,0),"")</f>
        <v/>
      </c>
      <c r="AK97" s="28" t="str">
        <f>IFERROR(VLOOKUP(AI97,Horarios!$H:$I,2,0),"")</f>
        <v/>
      </c>
      <c r="AL97" s="28" t="str">
        <f t="shared" si="53"/>
        <v>00:00</v>
      </c>
      <c r="AM97" s="29"/>
      <c r="AN97" s="27"/>
      <c r="AO97" s="27"/>
      <c r="AP97" s="28" t="str">
        <f>IFERROR(VLOOKUP(AN97,Horarios!$H:$I,2,0),"")</f>
        <v/>
      </c>
      <c r="AQ97" s="28" t="str">
        <f>IFERROR(VLOOKUP(AO97,Horarios!$H:$I,2,0),"")</f>
        <v/>
      </c>
      <c r="AR97" s="28" t="str">
        <f t="shared" si="54"/>
        <v>00:00</v>
      </c>
      <c r="AS97" s="29"/>
      <c r="AT97" s="31" t="str">
        <f t="shared" si="55"/>
        <v/>
      </c>
      <c r="AU97" s="27"/>
      <c r="AV97" s="27"/>
      <c r="AW97" s="28" t="str">
        <f>IFERROR(VLOOKUP(AU97,Horarios!$H:$I,2,0),"")</f>
        <v/>
      </c>
      <c r="AX97" s="28" t="str">
        <f>IFERROR(VLOOKUP(AV97,Horarios!$H:$I,2,0),"")</f>
        <v/>
      </c>
      <c r="AY97" s="28" t="str">
        <f t="shared" si="56"/>
        <v>00:00</v>
      </c>
      <c r="AZ97" s="29"/>
      <c r="BA97" s="27"/>
      <c r="BB97" s="27"/>
      <c r="BC97" s="28" t="str">
        <f>IFERROR(VLOOKUP(BA97,Horarios!$H:$I,2,0),"")</f>
        <v/>
      </c>
      <c r="BD97" s="28" t="str">
        <f>IFERROR(VLOOKUP(BB97,Horarios!$H:$I,2,0),"")</f>
        <v/>
      </c>
      <c r="BE97" s="28" t="str">
        <f t="shared" si="57"/>
        <v>00:00</v>
      </c>
      <c r="BF97" s="29"/>
      <c r="BG97" s="27"/>
      <c r="BH97" s="27"/>
      <c r="BI97" s="28" t="str">
        <f>IFERROR(VLOOKUP(BG97,Horarios!$H:$I,2,0),"")</f>
        <v/>
      </c>
      <c r="BJ97" s="28" t="str">
        <f>IFERROR(VLOOKUP(BH97,Horarios!$H:$I,2,0),"")</f>
        <v/>
      </c>
      <c r="BK97" s="28" t="str">
        <f t="shared" si="58"/>
        <v>00:00</v>
      </c>
      <c r="BL97" s="29"/>
      <c r="BM97" s="27"/>
      <c r="BN97" s="27"/>
      <c r="BO97" s="28" t="str">
        <f>IFERROR(VLOOKUP(BM97,Horarios!$H:$I,2,0),"")</f>
        <v/>
      </c>
      <c r="BP97" s="28" t="str">
        <f>IFERROR(VLOOKUP(BN97,Horarios!$H:$I,2,0),"")</f>
        <v/>
      </c>
      <c r="BQ97" s="28" t="str">
        <f t="shared" si="59"/>
        <v>00:00</v>
      </c>
      <c r="BR97" s="29"/>
      <c r="BS97" s="27"/>
      <c r="BT97" s="27"/>
      <c r="BU97" s="28" t="str">
        <f>IFERROR(VLOOKUP(BS97,Horarios!$H:$I,2,0),"")</f>
        <v/>
      </c>
      <c r="BV97" s="28" t="str">
        <f>IFERROR(VLOOKUP(BT97,Horarios!$H:$I,2,0),"")</f>
        <v/>
      </c>
      <c r="BW97" s="28" t="str">
        <f t="shared" si="60"/>
        <v>00:00</v>
      </c>
      <c r="BX97" s="29"/>
      <c r="BY97" s="27"/>
      <c r="BZ97" s="27"/>
      <c r="CA97" s="28" t="str">
        <f>IFERROR(VLOOKUP(BY97,Horarios!$H:$I,2,0),"")</f>
        <v/>
      </c>
      <c r="CB97" s="28" t="str">
        <f>IFERROR(VLOOKUP(BZ97,Horarios!$H:$I,2,0),"")</f>
        <v/>
      </c>
      <c r="CC97" s="28" t="str">
        <f t="shared" si="61"/>
        <v>00:00</v>
      </c>
      <c r="CD97" s="29"/>
      <c r="CE97" s="27"/>
      <c r="CF97" s="27"/>
      <c r="CG97" s="28" t="str">
        <f>IFERROR(VLOOKUP(CE97,Horarios!$H:$I,2,0),"")</f>
        <v/>
      </c>
      <c r="CH97" s="28" t="str">
        <f>IFERROR(VLOOKUP(CF97,Horarios!$H:$I,2,0),"")</f>
        <v/>
      </c>
      <c r="CI97" s="28" t="str">
        <f t="shared" si="62"/>
        <v>00:00</v>
      </c>
      <c r="CJ97" s="29"/>
      <c r="CK97" s="31" t="str">
        <f t="shared" si="63"/>
        <v/>
      </c>
      <c r="CL97" s="27"/>
      <c r="CM97" s="27"/>
      <c r="CN97" s="28" t="str">
        <f>IFERROR(VLOOKUP(CL97,Horarios!$H:$I,2,0),"")</f>
        <v/>
      </c>
      <c r="CO97" s="28" t="str">
        <f>IFERROR(VLOOKUP(CM97,Horarios!$H:$I,2,0),"")</f>
        <v/>
      </c>
      <c r="CP97" s="28" t="str">
        <f t="shared" si="64"/>
        <v>00:00</v>
      </c>
      <c r="CQ97" s="29"/>
      <c r="CR97" s="27"/>
      <c r="CS97" s="27"/>
      <c r="CT97" s="28" t="str">
        <f>IFERROR(VLOOKUP(CR97,Horarios!$H:$I,2,0),"")</f>
        <v/>
      </c>
      <c r="CU97" s="28" t="str">
        <f>IFERROR(VLOOKUP(CS97,Horarios!$H:$I,2,0),"")</f>
        <v/>
      </c>
      <c r="CV97" s="28" t="str">
        <f t="shared" si="65"/>
        <v>00:00</v>
      </c>
      <c r="CW97" s="29"/>
      <c r="CX97" s="27"/>
      <c r="CY97" s="27"/>
      <c r="CZ97" s="28" t="str">
        <f>IFERROR(VLOOKUP(CX97,Horarios!$H:$I,2,0),"")</f>
        <v/>
      </c>
      <c r="DA97" s="28" t="str">
        <f>IFERROR(VLOOKUP(CY97,Horarios!$H:$I,2,0),"")</f>
        <v/>
      </c>
      <c r="DB97" s="28" t="str">
        <f t="shared" si="66"/>
        <v>00:00</v>
      </c>
      <c r="DC97" s="29"/>
      <c r="DD97" s="27"/>
      <c r="DE97" s="27"/>
      <c r="DF97" s="28" t="str">
        <f>IFERROR(VLOOKUP(DD97,Horarios!$H:$I,2,0),"")</f>
        <v/>
      </c>
      <c r="DG97" s="28" t="str">
        <f>IFERROR(VLOOKUP(DE97,Horarios!$H:$I,2,0),"")</f>
        <v/>
      </c>
      <c r="DH97" s="28" t="str">
        <f t="shared" si="67"/>
        <v>00:00</v>
      </c>
      <c r="DI97" s="29"/>
      <c r="DJ97" s="27"/>
      <c r="DK97" s="27"/>
      <c r="DL97" s="28" t="str">
        <f>IFERROR(VLOOKUP(DJ97,Horarios!$H:$I,2,0),"")</f>
        <v/>
      </c>
      <c r="DM97" s="28" t="str">
        <f>IFERROR(VLOOKUP(DK97,Horarios!$H:$I,2,0),"")</f>
        <v/>
      </c>
      <c r="DN97" s="28" t="str">
        <f t="shared" si="68"/>
        <v>00:00</v>
      </c>
      <c r="DO97" s="29"/>
      <c r="DP97" s="27"/>
      <c r="DQ97" s="27"/>
      <c r="DR97" s="28" t="str">
        <f>IFERROR(VLOOKUP(DP97,Horarios!$H:$I,2,0),"")</f>
        <v/>
      </c>
      <c r="DS97" s="28" t="str">
        <f>IFERROR(VLOOKUP(DQ97,Horarios!$H:$I,2,0),"")</f>
        <v/>
      </c>
      <c r="DT97" s="28" t="str">
        <f t="shared" si="69"/>
        <v>00:00</v>
      </c>
      <c r="DU97" s="29"/>
      <c r="DV97" s="27"/>
      <c r="DW97" s="27"/>
      <c r="DX97" s="28" t="str">
        <f>IFERROR(VLOOKUP(DV97,Horarios!$H:$I,2,0),"")</f>
        <v/>
      </c>
      <c r="DY97" s="28" t="str">
        <f>IFERROR(VLOOKUP(DW97,Horarios!$H:$I,2,0),"")</f>
        <v/>
      </c>
      <c r="DZ97" s="28" t="str">
        <f t="shared" si="70"/>
        <v>00:00</v>
      </c>
      <c r="EA97" s="29"/>
      <c r="EB97" s="31" t="str">
        <f t="shared" si="71"/>
        <v/>
      </c>
      <c r="EC97" s="27"/>
      <c r="ED97" s="27"/>
      <c r="EE97" s="28" t="str">
        <f>IFERROR(VLOOKUP(EC97,Horarios!$H:$I,2,0),"")</f>
        <v/>
      </c>
      <c r="EF97" s="28" t="str">
        <f>IFERROR(VLOOKUP(ED97,Horarios!$H:$I,2,0),"")</f>
        <v/>
      </c>
      <c r="EG97" s="28" t="str">
        <f t="shared" si="72"/>
        <v>00:00</v>
      </c>
      <c r="EH97" s="29"/>
      <c r="EI97" s="27"/>
      <c r="EJ97" s="27"/>
      <c r="EK97" s="28" t="str">
        <f>IFERROR(VLOOKUP(EI97,Horarios!$H:$I,2,0),"")</f>
        <v/>
      </c>
      <c r="EL97" s="28" t="str">
        <f>IFERROR(VLOOKUP(EJ97,Horarios!$H:$I,2,0),"")</f>
        <v/>
      </c>
      <c r="EM97" s="28" t="str">
        <f t="shared" si="73"/>
        <v>00:00</v>
      </c>
      <c r="EN97" s="29"/>
      <c r="EO97" s="27"/>
      <c r="EP97" s="27"/>
      <c r="EQ97" s="28" t="str">
        <f>IFERROR(VLOOKUP(EO97,Horarios!$H:$I,2,0),"")</f>
        <v/>
      </c>
      <c r="ER97" s="28" t="str">
        <f>IFERROR(VLOOKUP(EP97,Horarios!$H:$I,2,0),"")</f>
        <v/>
      </c>
      <c r="ES97" s="28" t="str">
        <f t="shared" si="74"/>
        <v>00:00</v>
      </c>
      <c r="ET97" s="29"/>
      <c r="EU97" s="27"/>
      <c r="EV97" s="27"/>
      <c r="EW97" s="28" t="str">
        <f>IFERROR(VLOOKUP(EU97,Horarios!$H:$I,2,0),"")</f>
        <v/>
      </c>
      <c r="EX97" s="28" t="str">
        <f>IFERROR(VLOOKUP(EV97,Horarios!$H:$I,2,0),"")</f>
        <v/>
      </c>
      <c r="EY97" s="28" t="str">
        <f t="shared" si="75"/>
        <v>00:00</v>
      </c>
      <c r="EZ97" s="29"/>
      <c r="FA97" s="27"/>
      <c r="FB97" s="27"/>
      <c r="FC97" s="28" t="str">
        <f>IFERROR(VLOOKUP(FA97,Horarios!$H:$I,2,0),"")</f>
        <v/>
      </c>
      <c r="FD97" s="28" t="str">
        <f>IFERROR(VLOOKUP(FB97,Horarios!$H:$I,2,0),"")</f>
        <v/>
      </c>
      <c r="FE97" s="28" t="str">
        <f t="shared" si="76"/>
        <v>00:00</v>
      </c>
      <c r="FF97" s="29"/>
      <c r="FG97" s="27"/>
      <c r="FH97" s="27"/>
      <c r="FI97" s="28" t="str">
        <f>IFERROR(VLOOKUP(FG97,Horarios!$H:$I,2,0),"")</f>
        <v/>
      </c>
      <c r="FJ97" s="28" t="str">
        <f>IFERROR(VLOOKUP(FH97,Horarios!$H:$I,2,0),"")</f>
        <v/>
      </c>
      <c r="FK97" s="28" t="str">
        <f t="shared" si="77"/>
        <v>00:00</v>
      </c>
      <c r="FL97" s="29"/>
      <c r="FM97" s="27"/>
      <c r="FN97" s="27"/>
      <c r="FO97" s="28" t="str">
        <f>IFERROR(VLOOKUP(FM97,Horarios!$H:$I,2,0),"")</f>
        <v/>
      </c>
      <c r="FP97" s="28" t="str">
        <f>IFERROR(VLOOKUP(FN97,Horarios!$H:$I,2,0),"")</f>
        <v/>
      </c>
      <c r="FQ97" s="28" t="str">
        <f t="shared" si="78"/>
        <v>00:00</v>
      </c>
      <c r="FR97" s="29"/>
      <c r="FS97" s="31" t="str">
        <f t="shared" si="79"/>
        <v/>
      </c>
      <c r="FT97" s="27"/>
      <c r="FU97" s="27"/>
      <c r="FV97" s="28" t="str">
        <f>IFERROR(VLOOKUP(FT97,Horarios!$H:$I,2,0),"")</f>
        <v/>
      </c>
      <c r="FW97" s="28" t="str">
        <f>IFERROR(VLOOKUP(FU97,Horarios!$H:$I,2,0),"")</f>
        <v/>
      </c>
      <c r="FX97" s="28" t="str">
        <f t="shared" si="80"/>
        <v>00:00</v>
      </c>
      <c r="FY97" s="29"/>
      <c r="FZ97" s="27"/>
      <c r="GA97" s="27"/>
      <c r="GB97" s="28" t="str">
        <f>IFERROR(VLOOKUP(FZ97,Horarios!$H:$I,2,0),"")</f>
        <v/>
      </c>
      <c r="GC97" s="28" t="str">
        <f>IFERROR(VLOOKUP(GA97,Horarios!$H:$I,2,0),"")</f>
        <v/>
      </c>
      <c r="GD97" s="28" t="str">
        <f t="shared" si="81"/>
        <v>00:00</v>
      </c>
      <c r="GE97" s="29"/>
      <c r="GF97" s="27"/>
      <c r="GG97" s="27"/>
      <c r="GH97" s="28" t="str">
        <f>IFERROR(VLOOKUP(GF97,Horarios!$H:$I,2,0),"")</f>
        <v/>
      </c>
      <c r="GI97" s="28" t="str">
        <f>IFERROR(VLOOKUP(GG97,Horarios!$H:$I,2,0),"")</f>
        <v/>
      </c>
      <c r="GJ97" s="28" t="str">
        <f t="shared" si="82"/>
        <v>00:00</v>
      </c>
      <c r="GK97" s="29"/>
      <c r="GL97" s="27"/>
      <c r="GM97" s="27"/>
      <c r="GN97" s="28" t="str">
        <f>IFERROR(VLOOKUP(GL97,Horarios!$H:$I,2,0),"")</f>
        <v/>
      </c>
      <c r="GO97" s="28" t="str">
        <f>IFERROR(VLOOKUP(GM97,Horarios!$H:$I,2,0),"")</f>
        <v/>
      </c>
      <c r="GP97" s="28" t="str">
        <f t="shared" si="83"/>
        <v>00:00</v>
      </c>
      <c r="GQ97" s="29"/>
      <c r="GR97" s="27"/>
      <c r="GS97" s="27"/>
      <c r="GT97" s="28" t="str">
        <f>IFERROR(VLOOKUP(GR97,Horarios!$H:$I,2,0),"")</f>
        <v/>
      </c>
      <c r="GU97" s="28" t="str">
        <f>IFERROR(VLOOKUP(GS97,Horarios!$H:$I,2,0),"")</f>
        <v/>
      </c>
      <c r="GV97" s="28" t="str">
        <f t="shared" si="84"/>
        <v>00:00</v>
      </c>
      <c r="GW97" s="29"/>
      <c r="GX97" s="27"/>
      <c r="GY97" s="27"/>
      <c r="GZ97" s="28" t="str">
        <f>IFERROR(VLOOKUP(GX97,Horarios!$H:$I,2,0),"")</f>
        <v/>
      </c>
      <c r="HA97" s="28" t="str">
        <f>IFERROR(VLOOKUP(GY97,Horarios!$H:$I,2,0),"")</f>
        <v/>
      </c>
      <c r="HB97" s="28" t="str">
        <f t="shared" si="85"/>
        <v>00:00</v>
      </c>
      <c r="HC97" s="29"/>
      <c r="HD97" s="27"/>
      <c r="HE97" s="27"/>
      <c r="HF97" s="28" t="str">
        <f>IFERROR(VLOOKUP(HD97,Horarios!$H:$I,2,0),"")</f>
        <v/>
      </c>
      <c r="HG97" s="28" t="str">
        <f>IFERROR(VLOOKUP(HE97,Horarios!$H:$I,2,0),"")</f>
        <v/>
      </c>
      <c r="HH97" s="28" t="str">
        <f t="shared" si="86"/>
        <v>00:00</v>
      </c>
      <c r="HI97" s="29"/>
      <c r="HJ97" s="31" t="str">
        <f t="shared" si="87"/>
        <v/>
      </c>
      <c r="HK97" s="27"/>
      <c r="HL97" s="27"/>
      <c r="HM97" s="28" t="str">
        <f>IFERROR(VLOOKUP(HK97,Horarios!$H:$I,2,0),"")</f>
        <v/>
      </c>
      <c r="HN97" s="28" t="str">
        <f>IFERROR(VLOOKUP(HL97,Horarios!$H:$I,2,0),"")</f>
        <v/>
      </c>
      <c r="HO97" s="28" t="str">
        <f t="shared" si="88"/>
        <v>00:00</v>
      </c>
      <c r="HP97" s="29"/>
      <c r="HQ97" s="27"/>
      <c r="HR97" s="27"/>
      <c r="HS97" s="28" t="str">
        <f>IFERROR(VLOOKUP(HQ97,Horarios!$H:$I,2,0),"")</f>
        <v/>
      </c>
      <c r="HT97" s="28" t="str">
        <f>IFERROR(VLOOKUP(HR97,Horarios!$H:$I,2,0),"")</f>
        <v/>
      </c>
      <c r="HU97" s="28" t="str">
        <f t="shared" si="89"/>
        <v>00:00</v>
      </c>
      <c r="HV97" s="29"/>
      <c r="HW97" s="27"/>
      <c r="HX97" s="27"/>
      <c r="HY97" s="28" t="str">
        <f>IFERROR(VLOOKUP(HW97,Horarios!$H:$I,2,0),"")</f>
        <v/>
      </c>
      <c r="HZ97" s="28" t="str">
        <f>IFERROR(VLOOKUP(HX97,Horarios!$H:$I,2,0),"")</f>
        <v/>
      </c>
      <c r="IA97" s="28" t="str">
        <f t="shared" si="90"/>
        <v>00:00</v>
      </c>
      <c r="IB97" s="29"/>
      <c r="IC97" s="27"/>
      <c r="ID97" s="27"/>
      <c r="IE97" s="28" t="str">
        <f>IFERROR(VLOOKUP(IC97,Horarios!$H:$I,2,0),"")</f>
        <v/>
      </c>
      <c r="IF97" s="28" t="str">
        <f>IFERROR(VLOOKUP(ID97,Horarios!$H:$I,2,0),"")</f>
        <v/>
      </c>
      <c r="IG97" s="28" t="str">
        <f t="shared" si="91"/>
        <v>00:00</v>
      </c>
      <c r="IH97" s="29"/>
      <c r="II97" s="27"/>
      <c r="IJ97" s="27"/>
      <c r="IK97" s="28" t="str">
        <f>IFERROR(VLOOKUP(II97,Horarios!$H:$I,2,0),"")</f>
        <v/>
      </c>
      <c r="IL97" s="28" t="str">
        <f>IFERROR(VLOOKUP(IJ97,Horarios!$H:$I,2,0),"")</f>
        <v/>
      </c>
      <c r="IM97" s="28" t="str">
        <f t="shared" si="92"/>
        <v>00:00</v>
      </c>
      <c r="IN97" s="29"/>
      <c r="IO97" s="27"/>
      <c r="IP97" s="27"/>
      <c r="IQ97" s="28" t="str">
        <f>IFERROR(VLOOKUP(IO97,Horarios!$H:$I,2,0),"")</f>
        <v/>
      </c>
      <c r="IR97" s="28" t="str">
        <f>IFERROR(VLOOKUP(IP97,Horarios!$H:$I,2,0),"")</f>
        <v/>
      </c>
      <c r="IS97" s="28" t="str">
        <f t="shared" si="93"/>
        <v>00:00</v>
      </c>
      <c r="IT97" s="29"/>
      <c r="IU97" s="27"/>
      <c r="IV97" s="27"/>
      <c r="IW97" s="28" t="str">
        <f>IFERROR(VLOOKUP(IU97,Horarios!$H:$I,2,0),"")</f>
        <v/>
      </c>
      <c r="IX97" s="28" t="str">
        <f>IFERROR(VLOOKUP(IV97,Horarios!$H:$I,2,0),"")</f>
        <v/>
      </c>
      <c r="IY97" s="28" t="str">
        <f t="shared" si="94"/>
        <v>00:00</v>
      </c>
      <c r="IZ97" s="29"/>
      <c r="JA97" s="31" t="str">
        <f t="shared" si="95"/>
        <v/>
      </c>
    </row>
    <row r="98" spans="1:261" s="24" customFormat="1" ht="17.399999999999999" x14ac:dyDescent="0.25">
      <c r="A98" s="25"/>
      <c r="B98" s="26" t="str">
        <f>IFERROR(VLOOKUP(A98,BaseNombres!A:B,2,0),"")</f>
        <v/>
      </c>
      <c r="C98" s="26" t="str">
        <f>IFERROR(VLOOKUP(A98,BaseNombres!A:C,3,0),"")</f>
        <v/>
      </c>
      <c r="D98" s="27"/>
      <c r="E98" s="27"/>
      <c r="F98" s="28" t="str">
        <f>IFERROR(VLOOKUP(D98,Horarios!$H:$I,2,0),"")</f>
        <v/>
      </c>
      <c r="G98" s="28" t="str">
        <f>IFERROR(VLOOKUP(E98,Horarios!$H:$I,2,0),"")</f>
        <v/>
      </c>
      <c r="H98" s="28" t="str">
        <f t="shared" si="48"/>
        <v>00:00</v>
      </c>
      <c r="I98" s="29"/>
      <c r="J98" s="27"/>
      <c r="K98" s="27"/>
      <c r="L98" s="28" t="str">
        <f>IFERROR(VLOOKUP(J98,Horarios!$H:$I,2,0),"")</f>
        <v/>
      </c>
      <c r="M98" s="28" t="str">
        <f>IFERROR(VLOOKUP(K98,Horarios!$H:$I,2,0),"")</f>
        <v/>
      </c>
      <c r="N98" s="28" t="str">
        <f t="shared" si="49"/>
        <v>00:00</v>
      </c>
      <c r="O98" s="29"/>
      <c r="P98" s="27"/>
      <c r="Q98" s="27"/>
      <c r="R98" s="28" t="str">
        <f>IFERROR(VLOOKUP(P98,Horarios!$H:$I,2,0),"")</f>
        <v/>
      </c>
      <c r="S98" s="28" t="str">
        <f>IFERROR(VLOOKUP(Q98,Horarios!$H:$I,2,0),"")</f>
        <v/>
      </c>
      <c r="T98" s="28" t="str">
        <f t="shared" si="50"/>
        <v>00:00</v>
      </c>
      <c r="U98" s="29"/>
      <c r="V98" s="27"/>
      <c r="W98" s="27"/>
      <c r="X98" s="28" t="str">
        <f>IFERROR(VLOOKUP(V98,Horarios!$H:$I,2,0),"")</f>
        <v/>
      </c>
      <c r="Y98" s="28" t="str">
        <f>IFERROR(VLOOKUP(W98,Horarios!$H:$I,2,0),"")</f>
        <v/>
      </c>
      <c r="Z98" s="28" t="str">
        <f t="shared" si="51"/>
        <v>00:00</v>
      </c>
      <c r="AA98" s="29"/>
      <c r="AB98" s="27"/>
      <c r="AC98" s="27"/>
      <c r="AD98" s="28" t="str">
        <f>IFERROR(VLOOKUP(AB98,Horarios!$H:$I,2,0),"")</f>
        <v/>
      </c>
      <c r="AE98" s="28" t="str">
        <f>IFERROR(VLOOKUP(AC98,Horarios!$H:$I,2,0),"")</f>
        <v/>
      </c>
      <c r="AF98" s="28" t="str">
        <f t="shared" si="52"/>
        <v>00:00</v>
      </c>
      <c r="AG98" s="29"/>
      <c r="AH98" s="27"/>
      <c r="AI98" s="27"/>
      <c r="AJ98" s="28" t="str">
        <f>IFERROR(VLOOKUP(AH98,Horarios!$H:$I,2,0),"")</f>
        <v/>
      </c>
      <c r="AK98" s="28" t="str">
        <f>IFERROR(VLOOKUP(AI98,Horarios!$H:$I,2,0),"")</f>
        <v/>
      </c>
      <c r="AL98" s="28" t="str">
        <f t="shared" si="53"/>
        <v>00:00</v>
      </c>
      <c r="AM98" s="29"/>
      <c r="AN98" s="27"/>
      <c r="AO98" s="27"/>
      <c r="AP98" s="28" t="str">
        <f>IFERROR(VLOOKUP(AN98,Horarios!$H:$I,2,0),"")</f>
        <v/>
      </c>
      <c r="AQ98" s="28" t="str">
        <f>IFERROR(VLOOKUP(AO98,Horarios!$H:$I,2,0),"")</f>
        <v/>
      </c>
      <c r="AR98" s="28" t="str">
        <f t="shared" si="54"/>
        <v>00:00</v>
      </c>
      <c r="AS98" s="29"/>
      <c r="AT98" s="31" t="str">
        <f t="shared" si="55"/>
        <v/>
      </c>
      <c r="AU98" s="27"/>
      <c r="AV98" s="27"/>
      <c r="AW98" s="28" t="str">
        <f>IFERROR(VLOOKUP(AU98,Horarios!$H:$I,2,0),"")</f>
        <v/>
      </c>
      <c r="AX98" s="28" t="str">
        <f>IFERROR(VLOOKUP(AV98,Horarios!$H:$I,2,0),"")</f>
        <v/>
      </c>
      <c r="AY98" s="28" t="str">
        <f t="shared" si="56"/>
        <v>00:00</v>
      </c>
      <c r="AZ98" s="29"/>
      <c r="BA98" s="27"/>
      <c r="BB98" s="27"/>
      <c r="BC98" s="28" t="str">
        <f>IFERROR(VLOOKUP(BA98,Horarios!$H:$I,2,0),"")</f>
        <v/>
      </c>
      <c r="BD98" s="28" t="str">
        <f>IFERROR(VLOOKUP(BB98,Horarios!$H:$I,2,0),"")</f>
        <v/>
      </c>
      <c r="BE98" s="28" t="str">
        <f t="shared" si="57"/>
        <v>00:00</v>
      </c>
      <c r="BF98" s="29"/>
      <c r="BG98" s="27"/>
      <c r="BH98" s="27"/>
      <c r="BI98" s="28" t="str">
        <f>IFERROR(VLOOKUP(BG98,Horarios!$H:$I,2,0),"")</f>
        <v/>
      </c>
      <c r="BJ98" s="28" t="str">
        <f>IFERROR(VLOOKUP(BH98,Horarios!$H:$I,2,0),"")</f>
        <v/>
      </c>
      <c r="BK98" s="28" t="str">
        <f t="shared" si="58"/>
        <v>00:00</v>
      </c>
      <c r="BL98" s="29"/>
      <c r="BM98" s="27"/>
      <c r="BN98" s="27"/>
      <c r="BO98" s="28" t="str">
        <f>IFERROR(VLOOKUP(BM98,Horarios!$H:$I,2,0),"")</f>
        <v/>
      </c>
      <c r="BP98" s="28" t="str">
        <f>IFERROR(VLOOKUP(BN98,Horarios!$H:$I,2,0),"")</f>
        <v/>
      </c>
      <c r="BQ98" s="28" t="str">
        <f t="shared" si="59"/>
        <v>00:00</v>
      </c>
      <c r="BR98" s="29"/>
      <c r="BS98" s="27"/>
      <c r="BT98" s="27"/>
      <c r="BU98" s="28" t="str">
        <f>IFERROR(VLOOKUP(BS98,Horarios!$H:$I,2,0),"")</f>
        <v/>
      </c>
      <c r="BV98" s="28" t="str">
        <f>IFERROR(VLOOKUP(BT98,Horarios!$H:$I,2,0),"")</f>
        <v/>
      </c>
      <c r="BW98" s="28" t="str">
        <f t="shared" si="60"/>
        <v>00:00</v>
      </c>
      <c r="BX98" s="29"/>
      <c r="BY98" s="27"/>
      <c r="BZ98" s="27"/>
      <c r="CA98" s="28" t="str">
        <f>IFERROR(VLOOKUP(BY98,Horarios!$H:$I,2,0),"")</f>
        <v/>
      </c>
      <c r="CB98" s="28" t="str">
        <f>IFERROR(VLOOKUP(BZ98,Horarios!$H:$I,2,0),"")</f>
        <v/>
      </c>
      <c r="CC98" s="28" t="str">
        <f t="shared" si="61"/>
        <v>00:00</v>
      </c>
      <c r="CD98" s="29"/>
      <c r="CE98" s="27"/>
      <c r="CF98" s="27"/>
      <c r="CG98" s="28" t="str">
        <f>IFERROR(VLOOKUP(CE98,Horarios!$H:$I,2,0),"")</f>
        <v/>
      </c>
      <c r="CH98" s="28" t="str">
        <f>IFERROR(VLOOKUP(CF98,Horarios!$H:$I,2,0),"")</f>
        <v/>
      </c>
      <c r="CI98" s="28" t="str">
        <f t="shared" si="62"/>
        <v>00:00</v>
      </c>
      <c r="CJ98" s="29"/>
      <c r="CK98" s="31" t="str">
        <f t="shared" si="63"/>
        <v/>
      </c>
      <c r="CL98" s="27"/>
      <c r="CM98" s="27"/>
      <c r="CN98" s="28" t="str">
        <f>IFERROR(VLOOKUP(CL98,Horarios!$H:$I,2,0),"")</f>
        <v/>
      </c>
      <c r="CO98" s="28" t="str">
        <f>IFERROR(VLOOKUP(CM98,Horarios!$H:$I,2,0),"")</f>
        <v/>
      </c>
      <c r="CP98" s="28" t="str">
        <f t="shared" si="64"/>
        <v>00:00</v>
      </c>
      <c r="CQ98" s="29"/>
      <c r="CR98" s="27"/>
      <c r="CS98" s="27"/>
      <c r="CT98" s="28" t="str">
        <f>IFERROR(VLOOKUP(CR98,Horarios!$H:$I,2,0),"")</f>
        <v/>
      </c>
      <c r="CU98" s="28" t="str">
        <f>IFERROR(VLOOKUP(CS98,Horarios!$H:$I,2,0),"")</f>
        <v/>
      </c>
      <c r="CV98" s="28" t="str">
        <f t="shared" si="65"/>
        <v>00:00</v>
      </c>
      <c r="CW98" s="29"/>
      <c r="CX98" s="27"/>
      <c r="CY98" s="27"/>
      <c r="CZ98" s="28" t="str">
        <f>IFERROR(VLOOKUP(CX98,Horarios!$H:$I,2,0),"")</f>
        <v/>
      </c>
      <c r="DA98" s="28" t="str">
        <f>IFERROR(VLOOKUP(CY98,Horarios!$H:$I,2,0),"")</f>
        <v/>
      </c>
      <c r="DB98" s="28" t="str">
        <f t="shared" si="66"/>
        <v>00:00</v>
      </c>
      <c r="DC98" s="29"/>
      <c r="DD98" s="27"/>
      <c r="DE98" s="27"/>
      <c r="DF98" s="28" t="str">
        <f>IFERROR(VLOOKUP(DD98,Horarios!$H:$I,2,0),"")</f>
        <v/>
      </c>
      <c r="DG98" s="28" t="str">
        <f>IFERROR(VLOOKUP(DE98,Horarios!$H:$I,2,0),"")</f>
        <v/>
      </c>
      <c r="DH98" s="28" t="str">
        <f t="shared" si="67"/>
        <v>00:00</v>
      </c>
      <c r="DI98" s="29"/>
      <c r="DJ98" s="27"/>
      <c r="DK98" s="27"/>
      <c r="DL98" s="28" t="str">
        <f>IFERROR(VLOOKUP(DJ98,Horarios!$H:$I,2,0),"")</f>
        <v/>
      </c>
      <c r="DM98" s="28" t="str">
        <f>IFERROR(VLOOKUP(DK98,Horarios!$H:$I,2,0),"")</f>
        <v/>
      </c>
      <c r="DN98" s="28" t="str">
        <f t="shared" si="68"/>
        <v>00:00</v>
      </c>
      <c r="DO98" s="29"/>
      <c r="DP98" s="27"/>
      <c r="DQ98" s="27"/>
      <c r="DR98" s="28" t="str">
        <f>IFERROR(VLOOKUP(DP98,Horarios!$H:$I,2,0),"")</f>
        <v/>
      </c>
      <c r="DS98" s="28" t="str">
        <f>IFERROR(VLOOKUP(DQ98,Horarios!$H:$I,2,0),"")</f>
        <v/>
      </c>
      <c r="DT98" s="28" t="str">
        <f t="shared" si="69"/>
        <v>00:00</v>
      </c>
      <c r="DU98" s="29"/>
      <c r="DV98" s="27"/>
      <c r="DW98" s="27"/>
      <c r="DX98" s="28" t="str">
        <f>IFERROR(VLOOKUP(DV98,Horarios!$H:$I,2,0),"")</f>
        <v/>
      </c>
      <c r="DY98" s="28" t="str">
        <f>IFERROR(VLOOKUP(DW98,Horarios!$H:$I,2,0),"")</f>
        <v/>
      </c>
      <c r="DZ98" s="28" t="str">
        <f t="shared" si="70"/>
        <v>00:00</v>
      </c>
      <c r="EA98" s="29"/>
      <c r="EB98" s="31" t="str">
        <f t="shared" si="71"/>
        <v/>
      </c>
      <c r="EC98" s="27"/>
      <c r="ED98" s="27"/>
      <c r="EE98" s="28" t="str">
        <f>IFERROR(VLOOKUP(EC98,Horarios!$H:$I,2,0),"")</f>
        <v/>
      </c>
      <c r="EF98" s="28" t="str">
        <f>IFERROR(VLOOKUP(ED98,Horarios!$H:$I,2,0),"")</f>
        <v/>
      </c>
      <c r="EG98" s="28" t="str">
        <f t="shared" si="72"/>
        <v>00:00</v>
      </c>
      <c r="EH98" s="29"/>
      <c r="EI98" s="27"/>
      <c r="EJ98" s="27"/>
      <c r="EK98" s="28" t="str">
        <f>IFERROR(VLOOKUP(EI98,Horarios!$H:$I,2,0),"")</f>
        <v/>
      </c>
      <c r="EL98" s="28" t="str">
        <f>IFERROR(VLOOKUP(EJ98,Horarios!$H:$I,2,0),"")</f>
        <v/>
      </c>
      <c r="EM98" s="28" t="str">
        <f t="shared" si="73"/>
        <v>00:00</v>
      </c>
      <c r="EN98" s="29"/>
      <c r="EO98" s="27"/>
      <c r="EP98" s="27"/>
      <c r="EQ98" s="28" t="str">
        <f>IFERROR(VLOOKUP(EO98,Horarios!$H:$I,2,0),"")</f>
        <v/>
      </c>
      <c r="ER98" s="28" t="str">
        <f>IFERROR(VLOOKUP(EP98,Horarios!$H:$I,2,0),"")</f>
        <v/>
      </c>
      <c r="ES98" s="28" t="str">
        <f t="shared" si="74"/>
        <v>00:00</v>
      </c>
      <c r="ET98" s="29"/>
      <c r="EU98" s="27"/>
      <c r="EV98" s="27"/>
      <c r="EW98" s="28" t="str">
        <f>IFERROR(VLOOKUP(EU98,Horarios!$H:$I,2,0),"")</f>
        <v/>
      </c>
      <c r="EX98" s="28" t="str">
        <f>IFERROR(VLOOKUP(EV98,Horarios!$H:$I,2,0),"")</f>
        <v/>
      </c>
      <c r="EY98" s="28" t="str">
        <f t="shared" si="75"/>
        <v>00:00</v>
      </c>
      <c r="EZ98" s="29"/>
      <c r="FA98" s="27"/>
      <c r="FB98" s="27"/>
      <c r="FC98" s="28" t="str">
        <f>IFERROR(VLOOKUP(FA98,Horarios!$H:$I,2,0),"")</f>
        <v/>
      </c>
      <c r="FD98" s="28" t="str">
        <f>IFERROR(VLOOKUP(FB98,Horarios!$H:$I,2,0),"")</f>
        <v/>
      </c>
      <c r="FE98" s="28" t="str">
        <f t="shared" si="76"/>
        <v>00:00</v>
      </c>
      <c r="FF98" s="29"/>
      <c r="FG98" s="27"/>
      <c r="FH98" s="27"/>
      <c r="FI98" s="28" t="str">
        <f>IFERROR(VLOOKUP(FG98,Horarios!$H:$I,2,0),"")</f>
        <v/>
      </c>
      <c r="FJ98" s="28" t="str">
        <f>IFERROR(VLOOKUP(FH98,Horarios!$H:$I,2,0),"")</f>
        <v/>
      </c>
      <c r="FK98" s="28" t="str">
        <f t="shared" si="77"/>
        <v>00:00</v>
      </c>
      <c r="FL98" s="29"/>
      <c r="FM98" s="27"/>
      <c r="FN98" s="27"/>
      <c r="FO98" s="28" t="str">
        <f>IFERROR(VLOOKUP(FM98,Horarios!$H:$I,2,0),"")</f>
        <v/>
      </c>
      <c r="FP98" s="28" t="str">
        <f>IFERROR(VLOOKUP(FN98,Horarios!$H:$I,2,0),"")</f>
        <v/>
      </c>
      <c r="FQ98" s="28" t="str">
        <f t="shared" si="78"/>
        <v>00:00</v>
      </c>
      <c r="FR98" s="29"/>
      <c r="FS98" s="31" t="str">
        <f t="shared" si="79"/>
        <v/>
      </c>
      <c r="FT98" s="27"/>
      <c r="FU98" s="27"/>
      <c r="FV98" s="28" t="str">
        <f>IFERROR(VLOOKUP(FT98,Horarios!$H:$I,2,0),"")</f>
        <v/>
      </c>
      <c r="FW98" s="28" t="str">
        <f>IFERROR(VLOOKUP(FU98,Horarios!$H:$I,2,0),"")</f>
        <v/>
      </c>
      <c r="FX98" s="28" t="str">
        <f t="shared" si="80"/>
        <v>00:00</v>
      </c>
      <c r="FY98" s="29"/>
      <c r="FZ98" s="27"/>
      <c r="GA98" s="27"/>
      <c r="GB98" s="28" t="str">
        <f>IFERROR(VLOOKUP(FZ98,Horarios!$H:$I,2,0),"")</f>
        <v/>
      </c>
      <c r="GC98" s="28" t="str">
        <f>IFERROR(VLOOKUP(GA98,Horarios!$H:$I,2,0),"")</f>
        <v/>
      </c>
      <c r="GD98" s="28" t="str">
        <f t="shared" si="81"/>
        <v>00:00</v>
      </c>
      <c r="GE98" s="29"/>
      <c r="GF98" s="27"/>
      <c r="GG98" s="27"/>
      <c r="GH98" s="28" t="str">
        <f>IFERROR(VLOOKUP(GF98,Horarios!$H:$I,2,0),"")</f>
        <v/>
      </c>
      <c r="GI98" s="28" t="str">
        <f>IFERROR(VLOOKUP(GG98,Horarios!$H:$I,2,0),"")</f>
        <v/>
      </c>
      <c r="GJ98" s="28" t="str">
        <f t="shared" si="82"/>
        <v>00:00</v>
      </c>
      <c r="GK98" s="29"/>
      <c r="GL98" s="27"/>
      <c r="GM98" s="27"/>
      <c r="GN98" s="28" t="str">
        <f>IFERROR(VLOOKUP(GL98,Horarios!$H:$I,2,0),"")</f>
        <v/>
      </c>
      <c r="GO98" s="28" t="str">
        <f>IFERROR(VLOOKUP(GM98,Horarios!$H:$I,2,0),"")</f>
        <v/>
      </c>
      <c r="GP98" s="28" t="str">
        <f t="shared" si="83"/>
        <v>00:00</v>
      </c>
      <c r="GQ98" s="29"/>
      <c r="GR98" s="27"/>
      <c r="GS98" s="27"/>
      <c r="GT98" s="28" t="str">
        <f>IFERROR(VLOOKUP(GR98,Horarios!$H:$I,2,0),"")</f>
        <v/>
      </c>
      <c r="GU98" s="28" t="str">
        <f>IFERROR(VLOOKUP(GS98,Horarios!$H:$I,2,0),"")</f>
        <v/>
      </c>
      <c r="GV98" s="28" t="str">
        <f t="shared" si="84"/>
        <v>00:00</v>
      </c>
      <c r="GW98" s="29"/>
      <c r="GX98" s="27"/>
      <c r="GY98" s="27"/>
      <c r="GZ98" s="28" t="str">
        <f>IFERROR(VLOOKUP(GX98,Horarios!$H:$I,2,0),"")</f>
        <v/>
      </c>
      <c r="HA98" s="28" t="str">
        <f>IFERROR(VLOOKUP(GY98,Horarios!$H:$I,2,0),"")</f>
        <v/>
      </c>
      <c r="HB98" s="28" t="str">
        <f t="shared" si="85"/>
        <v>00:00</v>
      </c>
      <c r="HC98" s="29"/>
      <c r="HD98" s="27"/>
      <c r="HE98" s="27"/>
      <c r="HF98" s="28" t="str">
        <f>IFERROR(VLOOKUP(HD98,Horarios!$H:$I,2,0),"")</f>
        <v/>
      </c>
      <c r="HG98" s="28" t="str">
        <f>IFERROR(VLOOKUP(HE98,Horarios!$H:$I,2,0),"")</f>
        <v/>
      </c>
      <c r="HH98" s="28" t="str">
        <f t="shared" si="86"/>
        <v>00:00</v>
      </c>
      <c r="HI98" s="29"/>
      <c r="HJ98" s="31" t="str">
        <f t="shared" si="87"/>
        <v/>
      </c>
      <c r="HK98" s="27"/>
      <c r="HL98" s="27"/>
      <c r="HM98" s="28" t="str">
        <f>IFERROR(VLOOKUP(HK98,Horarios!$H:$I,2,0),"")</f>
        <v/>
      </c>
      <c r="HN98" s="28" t="str">
        <f>IFERROR(VLOOKUP(HL98,Horarios!$H:$I,2,0),"")</f>
        <v/>
      </c>
      <c r="HO98" s="28" t="str">
        <f t="shared" si="88"/>
        <v>00:00</v>
      </c>
      <c r="HP98" s="29"/>
      <c r="HQ98" s="27"/>
      <c r="HR98" s="27"/>
      <c r="HS98" s="28" t="str">
        <f>IFERROR(VLOOKUP(HQ98,Horarios!$H:$I,2,0),"")</f>
        <v/>
      </c>
      <c r="HT98" s="28" t="str">
        <f>IFERROR(VLOOKUP(HR98,Horarios!$H:$I,2,0),"")</f>
        <v/>
      </c>
      <c r="HU98" s="28" t="str">
        <f t="shared" si="89"/>
        <v>00:00</v>
      </c>
      <c r="HV98" s="29"/>
      <c r="HW98" s="27"/>
      <c r="HX98" s="27"/>
      <c r="HY98" s="28" t="str">
        <f>IFERROR(VLOOKUP(HW98,Horarios!$H:$I,2,0),"")</f>
        <v/>
      </c>
      <c r="HZ98" s="28" t="str">
        <f>IFERROR(VLOOKUP(HX98,Horarios!$H:$I,2,0),"")</f>
        <v/>
      </c>
      <c r="IA98" s="28" t="str">
        <f t="shared" si="90"/>
        <v>00:00</v>
      </c>
      <c r="IB98" s="29"/>
      <c r="IC98" s="27"/>
      <c r="ID98" s="27"/>
      <c r="IE98" s="28" t="str">
        <f>IFERROR(VLOOKUP(IC98,Horarios!$H:$I,2,0),"")</f>
        <v/>
      </c>
      <c r="IF98" s="28" t="str">
        <f>IFERROR(VLOOKUP(ID98,Horarios!$H:$I,2,0),"")</f>
        <v/>
      </c>
      <c r="IG98" s="28" t="str">
        <f t="shared" si="91"/>
        <v>00:00</v>
      </c>
      <c r="IH98" s="29"/>
      <c r="II98" s="27"/>
      <c r="IJ98" s="27"/>
      <c r="IK98" s="28" t="str">
        <f>IFERROR(VLOOKUP(II98,Horarios!$H:$I,2,0),"")</f>
        <v/>
      </c>
      <c r="IL98" s="28" t="str">
        <f>IFERROR(VLOOKUP(IJ98,Horarios!$H:$I,2,0),"")</f>
        <v/>
      </c>
      <c r="IM98" s="28" t="str">
        <f t="shared" si="92"/>
        <v>00:00</v>
      </c>
      <c r="IN98" s="29"/>
      <c r="IO98" s="27"/>
      <c r="IP98" s="27"/>
      <c r="IQ98" s="28" t="str">
        <f>IFERROR(VLOOKUP(IO98,Horarios!$H:$I,2,0),"")</f>
        <v/>
      </c>
      <c r="IR98" s="28" t="str">
        <f>IFERROR(VLOOKUP(IP98,Horarios!$H:$I,2,0),"")</f>
        <v/>
      </c>
      <c r="IS98" s="28" t="str">
        <f t="shared" si="93"/>
        <v>00:00</v>
      </c>
      <c r="IT98" s="29"/>
      <c r="IU98" s="27"/>
      <c r="IV98" s="27"/>
      <c r="IW98" s="28" t="str">
        <f>IFERROR(VLOOKUP(IU98,Horarios!$H:$I,2,0),"")</f>
        <v/>
      </c>
      <c r="IX98" s="28" t="str">
        <f>IFERROR(VLOOKUP(IV98,Horarios!$H:$I,2,0),"")</f>
        <v/>
      </c>
      <c r="IY98" s="28" t="str">
        <f t="shared" si="94"/>
        <v>00:00</v>
      </c>
      <c r="IZ98" s="29"/>
      <c r="JA98" s="31" t="str">
        <f t="shared" si="95"/>
        <v/>
      </c>
    </row>
    <row r="99" spans="1:261" s="24" customFormat="1" ht="17.399999999999999" x14ac:dyDescent="0.25">
      <c r="A99" s="25"/>
      <c r="B99" s="26" t="str">
        <f>IFERROR(VLOOKUP(A99,BaseNombres!A:B,2,0),"")</f>
        <v/>
      </c>
      <c r="C99" s="26" t="str">
        <f>IFERROR(VLOOKUP(A99,BaseNombres!A:C,3,0),"")</f>
        <v/>
      </c>
      <c r="D99" s="27"/>
      <c r="E99" s="27"/>
      <c r="F99" s="28" t="str">
        <f>IFERROR(VLOOKUP(D99,Horarios!$H:$I,2,0),"")</f>
        <v/>
      </c>
      <c r="G99" s="28" t="str">
        <f>IFERROR(VLOOKUP(E99,Horarios!$H:$I,2,0),"")</f>
        <v/>
      </c>
      <c r="H99" s="28" t="str">
        <f t="shared" si="48"/>
        <v>00:00</v>
      </c>
      <c r="I99" s="29"/>
      <c r="J99" s="27"/>
      <c r="K99" s="27"/>
      <c r="L99" s="28" t="str">
        <f>IFERROR(VLOOKUP(J99,Horarios!$H:$I,2,0),"")</f>
        <v/>
      </c>
      <c r="M99" s="28" t="str">
        <f>IFERROR(VLOOKUP(K99,Horarios!$H:$I,2,0),"")</f>
        <v/>
      </c>
      <c r="N99" s="28" t="str">
        <f t="shared" si="49"/>
        <v>00:00</v>
      </c>
      <c r="O99" s="29"/>
      <c r="P99" s="27"/>
      <c r="Q99" s="27"/>
      <c r="R99" s="28" t="str">
        <f>IFERROR(VLOOKUP(P99,Horarios!$H:$I,2,0),"")</f>
        <v/>
      </c>
      <c r="S99" s="28" t="str">
        <f>IFERROR(VLOOKUP(Q99,Horarios!$H:$I,2,0),"")</f>
        <v/>
      </c>
      <c r="T99" s="28" t="str">
        <f t="shared" si="50"/>
        <v>00:00</v>
      </c>
      <c r="U99" s="29"/>
      <c r="V99" s="27"/>
      <c r="W99" s="27"/>
      <c r="X99" s="28" t="str">
        <f>IFERROR(VLOOKUP(V99,Horarios!$H:$I,2,0),"")</f>
        <v/>
      </c>
      <c r="Y99" s="28" t="str">
        <f>IFERROR(VLOOKUP(W99,Horarios!$H:$I,2,0),"")</f>
        <v/>
      </c>
      <c r="Z99" s="28" t="str">
        <f t="shared" si="51"/>
        <v>00:00</v>
      </c>
      <c r="AA99" s="29"/>
      <c r="AB99" s="27"/>
      <c r="AC99" s="27"/>
      <c r="AD99" s="28" t="str">
        <f>IFERROR(VLOOKUP(AB99,Horarios!$H:$I,2,0),"")</f>
        <v/>
      </c>
      <c r="AE99" s="28" t="str">
        <f>IFERROR(VLOOKUP(AC99,Horarios!$H:$I,2,0),"")</f>
        <v/>
      </c>
      <c r="AF99" s="28" t="str">
        <f t="shared" si="52"/>
        <v>00:00</v>
      </c>
      <c r="AG99" s="29"/>
      <c r="AH99" s="27"/>
      <c r="AI99" s="27"/>
      <c r="AJ99" s="28" t="str">
        <f>IFERROR(VLOOKUP(AH99,Horarios!$H:$I,2,0),"")</f>
        <v/>
      </c>
      <c r="AK99" s="28" t="str">
        <f>IFERROR(VLOOKUP(AI99,Horarios!$H:$I,2,0),"")</f>
        <v/>
      </c>
      <c r="AL99" s="28" t="str">
        <f t="shared" si="53"/>
        <v>00:00</v>
      </c>
      <c r="AM99" s="29"/>
      <c r="AN99" s="27"/>
      <c r="AO99" s="27"/>
      <c r="AP99" s="28" t="str">
        <f>IFERROR(VLOOKUP(AN99,Horarios!$H:$I,2,0),"")</f>
        <v/>
      </c>
      <c r="AQ99" s="28" t="str">
        <f>IFERROR(VLOOKUP(AO99,Horarios!$H:$I,2,0),"")</f>
        <v/>
      </c>
      <c r="AR99" s="28" t="str">
        <f t="shared" si="54"/>
        <v>00:00</v>
      </c>
      <c r="AS99" s="29"/>
      <c r="AT99" s="31" t="str">
        <f t="shared" si="55"/>
        <v/>
      </c>
      <c r="AU99" s="27"/>
      <c r="AV99" s="27"/>
      <c r="AW99" s="28" t="str">
        <f>IFERROR(VLOOKUP(AU99,Horarios!$H:$I,2,0),"")</f>
        <v/>
      </c>
      <c r="AX99" s="28" t="str">
        <f>IFERROR(VLOOKUP(AV99,Horarios!$H:$I,2,0),"")</f>
        <v/>
      </c>
      <c r="AY99" s="28" t="str">
        <f t="shared" si="56"/>
        <v>00:00</v>
      </c>
      <c r="AZ99" s="29"/>
      <c r="BA99" s="27"/>
      <c r="BB99" s="27"/>
      <c r="BC99" s="28" t="str">
        <f>IFERROR(VLOOKUP(BA99,Horarios!$H:$I,2,0),"")</f>
        <v/>
      </c>
      <c r="BD99" s="28" t="str">
        <f>IFERROR(VLOOKUP(BB99,Horarios!$H:$I,2,0),"")</f>
        <v/>
      </c>
      <c r="BE99" s="28" t="str">
        <f t="shared" si="57"/>
        <v>00:00</v>
      </c>
      <c r="BF99" s="29"/>
      <c r="BG99" s="27"/>
      <c r="BH99" s="27"/>
      <c r="BI99" s="28" t="str">
        <f>IFERROR(VLOOKUP(BG99,Horarios!$H:$I,2,0),"")</f>
        <v/>
      </c>
      <c r="BJ99" s="28" t="str">
        <f>IFERROR(VLOOKUP(BH99,Horarios!$H:$I,2,0),"")</f>
        <v/>
      </c>
      <c r="BK99" s="28" t="str">
        <f t="shared" si="58"/>
        <v>00:00</v>
      </c>
      <c r="BL99" s="29"/>
      <c r="BM99" s="27"/>
      <c r="BN99" s="27"/>
      <c r="BO99" s="28" t="str">
        <f>IFERROR(VLOOKUP(BM99,Horarios!$H:$I,2,0),"")</f>
        <v/>
      </c>
      <c r="BP99" s="28" t="str">
        <f>IFERROR(VLOOKUP(BN99,Horarios!$H:$I,2,0),"")</f>
        <v/>
      </c>
      <c r="BQ99" s="28" t="str">
        <f t="shared" si="59"/>
        <v>00:00</v>
      </c>
      <c r="BR99" s="29"/>
      <c r="BS99" s="27"/>
      <c r="BT99" s="27"/>
      <c r="BU99" s="28" t="str">
        <f>IFERROR(VLOOKUP(BS99,Horarios!$H:$I,2,0),"")</f>
        <v/>
      </c>
      <c r="BV99" s="28" t="str">
        <f>IFERROR(VLOOKUP(BT99,Horarios!$H:$I,2,0),"")</f>
        <v/>
      </c>
      <c r="BW99" s="28" t="str">
        <f t="shared" si="60"/>
        <v>00:00</v>
      </c>
      <c r="BX99" s="29"/>
      <c r="BY99" s="27"/>
      <c r="BZ99" s="27"/>
      <c r="CA99" s="28" t="str">
        <f>IFERROR(VLOOKUP(BY99,Horarios!$H:$I,2,0),"")</f>
        <v/>
      </c>
      <c r="CB99" s="28" t="str">
        <f>IFERROR(VLOOKUP(BZ99,Horarios!$H:$I,2,0),"")</f>
        <v/>
      </c>
      <c r="CC99" s="28" t="str">
        <f t="shared" si="61"/>
        <v>00:00</v>
      </c>
      <c r="CD99" s="29"/>
      <c r="CE99" s="27"/>
      <c r="CF99" s="27"/>
      <c r="CG99" s="28" t="str">
        <f>IFERROR(VLOOKUP(CE99,Horarios!$H:$I,2,0),"")</f>
        <v/>
      </c>
      <c r="CH99" s="28" t="str">
        <f>IFERROR(VLOOKUP(CF99,Horarios!$H:$I,2,0),"")</f>
        <v/>
      </c>
      <c r="CI99" s="28" t="str">
        <f t="shared" si="62"/>
        <v>00:00</v>
      </c>
      <c r="CJ99" s="29"/>
      <c r="CK99" s="31" t="str">
        <f t="shared" si="63"/>
        <v/>
      </c>
      <c r="CL99" s="27"/>
      <c r="CM99" s="27"/>
      <c r="CN99" s="28" t="str">
        <f>IFERROR(VLOOKUP(CL99,Horarios!$H:$I,2,0),"")</f>
        <v/>
      </c>
      <c r="CO99" s="28" t="str">
        <f>IFERROR(VLOOKUP(CM99,Horarios!$H:$I,2,0),"")</f>
        <v/>
      </c>
      <c r="CP99" s="28" t="str">
        <f t="shared" si="64"/>
        <v>00:00</v>
      </c>
      <c r="CQ99" s="29"/>
      <c r="CR99" s="27"/>
      <c r="CS99" s="27"/>
      <c r="CT99" s="28" t="str">
        <f>IFERROR(VLOOKUP(CR99,Horarios!$H:$I,2,0),"")</f>
        <v/>
      </c>
      <c r="CU99" s="28" t="str">
        <f>IFERROR(VLOOKUP(CS99,Horarios!$H:$I,2,0),"")</f>
        <v/>
      </c>
      <c r="CV99" s="28" t="str">
        <f t="shared" si="65"/>
        <v>00:00</v>
      </c>
      <c r="CW99" s="29"/>
      <c r="CX99" s="27"/>
      <c r="CY99" s="27"/>
      <c r="CZ99" s="28" t="str">
        <f>IFERROR(VLOOKUP(CX99,Horarios!$H:$I,2,0),"")</f>
        <v/>
      </c>
      <c r="DA99" s="28" t="str">
        <f>IFERROR(VLOOKUP(CY99,Horarios!$H:$I,2,0),"")</f>
        <v/>
      </c>
      <c r="DB99" s="28" t="str">
        <f t="shared" si="66"/>
        <v>00:00</v>
      </c>
      <c r="DC99" s="29"/>
      <c r="DD99" s="27"/>
      <c r="DE99" s="27"/>
      <c r="DF99" s="28" t="str">
        <f>IFERROR(VLOOKUP(DD99,Horarios!$H:$I,2,0),"")</f>
        <v/>
      </c>
      <c r="DG99" s="28" t="str">
        <f>IFERROR(VLOOKUP(DE99,Horarios!$H:$I,2,0),"")</f>
        <v/>
      </c>
      <c r="DH99" s="28" t="str">
        <f t="shared" si="67"/>
        <v>00:00</v>
      </c>
      <c r="DI99" s="29"/>
      <c r="DJ99" s="27"/>
      <c r="DK99" s="27"/>
      <c r="DL99" s="28" t="str">
        <f>IFERROR(VLOOKUP(DJ99,Horarios!$H:$I,2,0),"")</f>
        <v/>
      </c>
      <c r="DM99" s="28" t="str">
        <f>IFERROR(VLOOKUP(DK99,Horarios!$H:$I,2,0),"")</f>
        <v/>
      </c>
      <c r="DN99" s="28" t="str">
        <f t="shared" si="68"/>
        <v>00:00</v>
      </c>
      <c r="DO99" s="29"/>
      <c r="DP99" s="27"/>
      <c r="DQ99" s="27"/>
      <c r="DR99" s="28" t="str">
        <f>IFERROR(VLOOKUP(DP99,Horarios!$H:$I,2,0),"")</f>
        <v/>
      </c>
      <c r="DS99" s="28" t="str">
        <f>IFERROR(VLOOKUP(DQ99,Horarios!$H:$I,2,0),"")</f>
        <v/>
      </c>
      <c r="DT99" s="28" t="str">
        <f t="shared" si="69"/>
        <v>00:00</v>
      </c>
      <c r="DU99" s="29"/>
      <c r="DV99" s="27"/>
      <c r="DW99" s="27"/>
      <c r="DX99" s="28" t="str">
        <f>IFERROR(VLOOKUP(DV99,Horarios!$H:$I,2,0),"")</f>
        <v/>
      </c>
      <c r="DY99" s="28" t="str">
        <f>IFERROR(VLOOKUP(DW99,Horarios!$H:$I,2,0),"")</f>
        <v/>
      </c>
      <c r="DZ99" s="28" t="str">
        <f t="shared" si="70"/>
        <v>00:00</v>
      </c>
      <c r="EA99" s="29"/>
      <c r="EB99" s="31" t="str">
        <f t="shared" si="71"/>
        <v/>
      </c>
      <c r="EC99" s="27"/>
      <c r="ED99" s="27"/>
      <c r="EE99" s="28" t="str">
        <f>IFERROR(VLOOKUP(EC99,Horarios!$H:$I,2,0),"")</f>
        <v/>
      </c>
      <c r="EF99" s="28" t="str">
        <f>IFERROR(VLOOKUP(ED99,Horarios!$H:$I,2,0),"")</f>
        <v/>
      </c>
      <c r="EG99" s="28" t="str">
        <f t="shared" si="72"/>
        <v>00:00</v>
      </c>
      <c r="EH99" s="29"/>
      <c r="EI99" s="27"/>
      <c r="EJ99" s="27"/>
      <c r="EK99" s="28" t="str">
        <f>IFERROR(VLOOKUP(EI99,Horarios!$H:$I,2,0),"")</f>
        <v/>
      </c>
      <c r="EL99" s="28" t="str">
        <f>IFERROR(VLOOKUP(EJ99,Horarios!$H:$I,2,0),"")</f>
        <v/>
      </c>
      <c r="EM99" s="28" t="str">
        <f t="shared" si="73"/>
        <v>00:00</v>
      </c>
      <c r="EN99" s="29"/>
      <c r="EO99" s="27"/>
      <c r="EP99" s="27"/>
      <c r="EQ99" s="28" t="str">
        <f>IFERROR(VLOOKUP(EO99,Horarios!$H:$I,2,0),"")</f>
        <v/>
      </c>
      <c r="ER99" s="28" t="str">
        <f>IFERROR(VLOOKUP(EP99,Horarios!$H:$I,2,0),"")</f>
        <v/>
      </c>
      <c r="ES99" s="28" t="str">
        <f t="shared" si="74"/>
        <v>00:00</v>
      </c>
      <c r="ET99" s="29"/>
      <c r="EU99" s="27"/>
      <c r="EV99" s="27"/>
      <c r="EW99" s="28" t="str">
        <f>IFERROR(VLOOKUP(EU99,Horarios!$H:$I,2,0),"")</f>
        <v/>
      </c>
      <c r="EX99" s="28" t="str">
        <f>IFERROR(VLOOKUP(EV99,Horarios!$H:$I,2,0),"")</f>
        <v/>
      </c>
      <c r="EY99" s="28" t="str">
        <f t="shared" si="75"/>
        <v>00:00</v>
      </c>
      <c r="EZ99" s="29"/>
      <c r="FA99" s="27"/>
      <c r="FB99" s="27"/>
      <c r="FC99" s="28" t="str">
        <f>IFERROR(VLOOKUP(FA99,Horarios!$H:$I,2,0),"")</f>
        <v/>
      </c>
      <c r="FD99" s="28" t="str">
        <f>IFERROR(VLOOKUP(FB99,Horarios!$H:$I,2,0),"")</f>
        <v/>
      </c>
      <c r="FE99" s="28" t="str">
        <f t="shared" si="76"/>
        <v>00:00</v>
      </c>
      <c r="FF99" s="29"/>
      <c r="FG99" s="27"/>
      <c r="FH99" s="27"/>
      <c r="FI99" s="28" t="str">
        <f>IFERROR(VLOOKUP(FG99,Horarios!$H:$I,2,0),"")</f>
        <v/>
      </c>
      <c r="FJ99" s="28" t="str">
        <f>IFERROR(VLOOKUP(FH99,Horarios!$H:$I,2,0),"")</f>
        <v/>
      </c>
      <c r="FK99" s="28" t="str">
        <f t="shared" si="77"/>
        <v>00:00</v>
      </c>
      <c r="FL99" s="29"/>
      <c r="FM99" s="27"/>
      <c r="FN99" s="27"/>
      <c r="FO99" s="28" t="str">
        <f>IFERROR(VLOOKUP(FM99,Horarios!$H:$I,2,0),"")</f>
        <v/>
      </c>
      <c r="FP99" s="28" t="str">
        <f>IFERROR(VLOOKUP(FN99,Horarios!$H:$I,2,0),"")</f>
        <v/>
      </c>
      <c r="FQ99" s="28" t="str">
        <f t="shared" si="78"/>
        <v>00:00</v>
      </c>
      <c r="FR99" s="29"/>
      <c r="FS99" s="31" t="str">
        <f t="shared" si="79"/>
        <v/>
      </c>
      <c r="FT99" s="27"/>
      <c r="FU99" s="27"/>
      <c r="FV99" s="28" t="str">
        <f>IFERROR(VLOOKUP(FT99,Horarios!$H:$I,2,0),"")</f>
        <v/>
      </c>
      <c r="FW99" s="28" t="str">
        <f>IFERROR(VLOOKUP(FU99,Horarios!$H:$I,2,0),"")</f>
        <v/>
      </c>
      <c r="FX99" s="28" t="str">
        <f t="shared" si="80"/>
        <v>00:00</v>
      </c>
      <c r="FY99" s="29"/>
      <c r="FZ99" s="27"/>
      <c r="GA99" s="27"/>
      <c r="GB99" s="28" t="str">
        <f>IFERROR(VLOOKUP(FZ99,Horarios!$H:$I,2,0),"")</f>
        <v/>
      </c>
      <c r="GC99" s="28" t="str">
        <f>IFERROR(VLOOKUP(GA99,Horarios!$H:$I,2,0),"")</f>
        <v/>
      </c>
      <c r="GD99" s="28" t="str">
        <f t="shared" si="81"/>
        <v>00:00</v>
      </c>
      <c r="GE99" s="29"/>
      <c r="GF99" s="27"/>
      <c r="GG99" s="27"/>
      <c r="GH99" s="28" t="str">
        <f>IFERROR(VLOOKUP(GF99,Horarios!$H:$I,2,0),"")</f>
        <v/>
      </c>
      <c r="GI99" s="28" t="str">
        <f>IFERROR(VLOOKUP(GG99,Horarios!$H:$I,2,0),"")</f>
        <v/>
      </c>
      <c r="GJ99" s="28" t="str">
        <f t="shared" si="82"/>
        <v>00:00</v>
      </c>
      <c r="GK99" s="29"/>
      <c r="GL99" s="27"/>
      <c r="GM99" s="27"/>
      <c r="GN99" s="28" t="str">
        <f>IFERROR(VLOOKUP(GL99,Horarios!$H:$I,2,0),"")</f>
        <v/>
      </c>
      <c r="GO99" s="28" t="str">
        <f>IFERROR(VLOOKUP(GM99,Horarios!$H:$I,2,0),"")</f>
        <v/>
      </c>
      <c r="GP99" s="28" t="str">
        <f t="shared" si="83"/>
        <v>00:00</v>
      </c>
      <c r="GQ99" s="29"/>
      <c r="GR99" s="27"/>
      <c r="GS99" s="27"/>
      <c r="GT99" s="28" t="str">
        <f>IFERROR(VLOOKUP(GR99,Horarios!$H:$I,2,0),"")</f>
        <v/>
      </c>
      <c r="GU99" s="28" t="str">
        <f>IFERROR(VLOOKUP(GS99,Horarios!$H:$I,2,0),"")</f>
        <v/>
      </c>
      <c r="GV99" s="28" t="str">
        <f t="shared" si="84"/>
        <v>00:00</v>
      </c>
      <c r="GW99" s="29"/>
      <c r="GX99" s="27"/>
      <c r="GY99" s="27"/>
      <c r="GZ99" s="28" t="str">
        <f>IFERROR(VLOOKUP(GX99,Horarios!$H:$I,2,0),"")</f>
        <v/>
      </c>
      <c r="HA99" s="28" t="str">
        <f>IFERROR(VLOOKUP(GY99,Horarios!$H:$I,2,0),"")</f>
        <v/>
      </c>
      <c r="HB99" s="28" t="str">
        <f t="shared" si="85"/>
        <v>00:00</v>
      </c>
      <c r="HC99" s="29"/>
      <c r="HD99" s="27"/>
      <c r="HE99" s="27"/>
      <c r="HF99" s="28" t="str">
        <f>IFERROR(VLOOKUP(HD99,Horarios!$H:$I,2,0),"")</f>
        <v/>
      </c>
      <c r="HG99" s="28" t="str">
        <f>IFERROR(VLOOKUP(HE99,Horarios!$H:$I,2,0),"")</f>
        <v/>
      </c>
      <c r="HH99" s="28" t="str">
        <f t="shared" si="86"/>
        <v>00:00</v>
      </c>
      <c r="HI99" s="29"/>
      <c r="HJ99" s="31" t="str">
        <f t="shared" si="87"/>
        <v/>
      </c>
      <c r="HK99" s="27"/>
      <c r="HL99" s="27"/>
      <c r="HM99" s="28" t="str">
        <f>IFERROR(VLOOKUP(HK99,Horarios!$H:$I,2,0),"")</f>
        <v/>
      </c>
      <c r="HN99" s="28" t="str">
        <f>IFERROR(VLOOKUP(HL99,Horarios!$H:$I,2,0),"")</f>
        <v/>
      </c>
      <c r="HO99" s="28" t="str">
        <f t="shared" si="88"/>
        <v>00:00</v>
      </c>
      <c r="HP99" s="29"/>
      <c r="HQ99" s="27"/>
      <c r="HR99" s="27"/>
      <c r="HS99" s="28" t="str">
        <f>IFERROR(VLOOKUP(HQ99,Horarios!$H:$I,2,0),"")</f>
        <v/>
      </c>
      <c r="HT99" s="28" t="str">
        <f>IFERROR(VLOOKUP(HR99,Horarios!$H:$I,2,0),"")</f>
        <v/>
      </c>
      <c r="HU99" s="28" t="str">
        <f t="shared" si="89"/>
        <v>00:00</v>
      </c>
      <c r="HV99" s="29"/>
      <c r="HW99" s="27"/>
      <c r="HX99" s="27"/>
      <c r="HY99" s="28" t="str">
        <f>IFERROR(VLOOKUP(HW99,Horarios!$H:$I,2,0),"")</f>
        <v/>
      </c>
      <c r="HZ99" s="28" t="str">
        <f>IFERROR(VLOOKUP(HX99,Horarios!$H:$I,2,0),"")</f>
        <v/>
      </c>
      <c r="IA99" s="28" t="str">
        <f t="shared" si="90"/>
        <v>00:00</v>
      </c>
      <c r="IB99" s="29"/>
      <c r="IC99" s="27"/>
      <c r="ID99" s="27"/>
      <c r="IE99" s="28" t="str">
        <f>IFERROR(VLOOKUP(IC99,Horarios!$H:$I,2,0),"")</f>
        <v/>
      </c>
      <c r="IF99" s="28" t="str">
        <f>IFERROR(VLOOKUP(ID99,Horarios!$H:$I,2,0),"")</f>
        <v/>
      </c>
      <c r="IG99" s="28" t="str">
        <f t="shared" si="91"/>
        <v>00:00</v>
      </c>
      <c r="IH99" s="29"/>
      <c r="II99" s="27"/>
      <c r="IJ99" s="27"/>
      <c r="IK99" s="28" t="str">
        <f>IFERROR(VLOOKUP(II99,Horarios!$H:$I,2,0),"")</f>
        <v/>
      </c>
      <c r="IL99" s="28" t="str">
        <f>IFERROR(VLOOKUP(IJ99,Horarios!$H:$I,2,0),"")</f>
        <v/>
      </c>
      <c r="IM99" s="28" t="str">
        <f t="shared" si="92"/>
        <v>00:00</v>
      </c>
      <c r="IN99" s="29"/>
      <c r="IO99" s="27"/>
      <c r="IP99" s="27"/>
      <c r="IQ99" s="28" t="str">
        <f>IFERROR(VLOOKUP(IO99,Horarios!$H:$I,2,0),"")</f>
        <v/>
      </c>
      <c r="IR99" s="28" t="str">
        <f>IFERROR(VLOOKUP(IP99,Horarios!$H:$I,2,0),"")</f>
        <v/>
      </c>
      <c r="IS99" s="28" t="str">
        <f t="shared" si="93"/>
        <v>00:00</v>
      </c>
      <c r="IT99" s="29"/>
      <c r="IU99" s="27"/>
      <c r="IV99" s="27"/>
      <c r="IW99" s="28" t="str">
        <f>IFERROR(VLOOKUP(IU99,Horarios!$H:$I,2,0),"")</f>
        <v/>
      </c>
      <c r="IX99" s="28" t="str">
        <f>IFERROR(VLOOKUP(IV99,Horarios!$H:$I,2,0),"")</f>
        <v/>
      </c>
      <c r="IY99" s="28" t="str">
        <f t="shared" si="94"/>
        <v>00:00</v>
      </c>
      <c r="IZ99" s="29"/>
      <c r="JA99" s="31" t="str">
        <f t="shared" si="95"/>
        <v/>
      </c>
    </row>
    <row r="100" spans="1:261" s="24" customFormat="1" ht="17.399999999999999" x14ac:dyDescent="0.25">
      <c r="A100" s="25"/>
      <c r="B100" s="26" t="str">
        <f>IFERROR(VLOOKUP(A100,BaseNombres!A:B,2,0),"")</f>
        <v/>
      </c>
      <c r="C100" s="26" t="str">
        <f>IFERROR(VLOOKUP(A100,BaseNombres!A:C,3,0),"")</f>
        <v/>
      </c>
      <c r="D100" s="27"/>
      <c r="E100" s="27"/>
      <c r="F100" s="28" t="str">
        <f>IFERROR(VLOOKUP(D100,Horarios!$H:$I,2,0),"")</f>
        <v/>
      </c>
      <c r="G100" s="28" t="str">
        <f>IFERROR(VLOOKUP(E100,Horarios!$H:$I,2,0),"")</f>
        <v/>
      </c>
      <c r="H100" s="28" t="str">
        <f t="shared" si="48"/>
        <v>00:00</v>
      </c>
      <c r="I100" s="29"/>
      <c r="J100" s="27"/>
      <c r="K100" s="27"/>
      <c r="L100" s="28" t="str">
        <f>IFERROR(VLOOKUP(J100,Horarios!$H:$I,2,0),"")</f>
        <v/>
      </c>
      <c r="M100" s="28" t="str">
        <f>IFERROR(VLOOKUP(K100,Horarios!$H:$I,2,0),"")</f>
        <v/>
      </c>
      <c r="N100" s="28" t="str">
        <f t="shared" si="49"/>
        <v>00:00</v>
      </c>
      <c r="O100" s="29"/>
      <c r="P100" s="27"/>
      <c r="Q100" s="27"/>
      <c r="R100" s="28" t="str">
        <f>IFERROR(VLOOKUP(P100,Horarios!$H:$I,2,0),"")</f>
        <v/>
      </c>
      <c r="S100" s="28" t="str">
        <f>IFERROR(VLOOKUP(Q100,Horarios!$H:$I,2,0),"")</f>
        <v/>
      </c>
      <c r="T100" s="28" t="str">
        <f t="shared" si="50"/>
        <v>00:00</v>
      </c>
      <c r="U100" s="29"/>
      <c r="V100" s="27"/>
      <c r="W100" s="27"/>
      <c r="X100" s="28" t="str">
        <f>IFERROR(VLOOKUP(V100,Horarios!$H:$I,2,0),"")</f>
        <v/>
      </c>
      <c r="Y100" s="28" t="str">
        <f>IFERROR(VLOOKUP(W100,Horarios!$H:$I,2,0),"")</f>
        <v/>
      </c>
      <c r="Z100" s="28" t="str">
        <f t="shared" si="51"/>
        <v>00:00</v>
      </c>
      <c r="AA100" s="29"/>
      <c r="AB100" s="27"/>
      <c r="AC100" s="27"/>
      <c r="AD100" s="28" t="str">
        <f>IFERROR(VLOOKUP(AB100,Horarios!$H:$I,2,0),"")</f>
        <v/>
      </c>
      <c r="AE100" s="28" t="str">
        <f>IFERROR(VLOOKUP(AC100,Horarios!$H:$I,2,0),"")</f>
        <v/>
      </c>
      <c r="AF100" s="28" t="str">
        <f t="shared" si="52"/>
        <v>00:00</v>
      </c>
      <c r="AG100" s="29"/>
      <c r="AH100" s="27"/>
      <c r="AI100" s="27"/>
      <c r="AJ100" s="28" t="str">
        <f>IFERROR(VLOOKUP(AH100,Horarios!$H:$I,2,0),"")</f>
        <v/>
      </c>
      <c r="AK100" s="28" t="str">
        <f>IFERROR(VLOOKUP(AI100,Horarios!$H:$I,2,0),"")</f>
        <v/>
      </c>
      <c r="AL100" s="28" t="str">
        <f t="shared" si="53"/>
        <v>00:00</v>
      </c>
      <c r="AM100" s="29"/>
      <c r="AN100" s="27"/>
      <c r="AO100" s="27"/>
      <c r="AP100" s="28" t="str">
        <f>IFERROR(VLOOKUP(AN100,Horarios!$H:$I,2,0),"")</f>
        <v/>
      </c>
      <c r="AQ100" s="28" t="str">
        <f>IFERROR(VLOOKUP(AO100,Horarios!$H:$I,2,0),"")</f>
        <v/>
      </c>
      <c r="AR100" s="28" t="str">
        <f t="shared" si="54"/>
        <v>00:00</v>
      </c>
      <c r="AS100" s="29"/>
      <c r="AT100" s="31" t="str">
        <f t="shared" si="55"/>
        <v/>
      </c>
      <c r="AU100" s="27"/>
      <c r="AV100" s="27"/>
      <c r="AW100" s="28" t="str">
        <f>IFERROR(VLOOKUP(AU100,Horarios!$H:$I,2,0),"")</f>
        <v/>
      </c>
      <c r="AX100" s="28" t="str">
        <f>IFERROR(VLOOKUP(AV100,Horarios!$H:$I,2,0),"")</f>
        <v/>
      </c>
      <c r="AY100" s="28" t="str">
        <f t="shared" si="56"/>
        <v>00:00</v>
      </c>
      <c r="AZ100" s="29"/>
      <c r="BA100" s="27"/>
      <c r="BB100" s="27"/>
      <c r="BC100" s="28" t="str">
        <f>IFERROR(VLOOKUP(BA100,Horarios!$H:$I,2,0),"")</f>
        <v/>
      </c>
      <c r="BD100" s="28" t="str">
        <f>IFERROR(VLOOKUP(BB100,Horarios!$H:$I,2,0),"")</f>
        <v/>
      </c>
      <c r="BE100" s="28" t="str">
        <f t="shared" si="57"/>
        <v>00:00</v>
      </c>
      <c r="BF100" s="29"/>
      <c r="BG100" s="27"/>
      <c r="BH100" s="27"/>
      <c r="BI100" s="28" t="str">
        <f>IFERROR(VLOOKUP(BG100,Horarios!$H:$I,2,0),"")</f>
        <v/>
      </c>
      <c r="BJ100" s="28" t="str">
        <f>IFERROR(VLOOKUP(BH100,Horarios!$H:$I,2,0),"")</f>
        <v/>
      </c>
      <c r="BK100" s="28" t="str">
        <f t="shared" si="58"/>
        <v>00:00</v>
      </c>
      <c r="BL100" s="29"/>
      <c r="BM100" s="27"/>
      <c r="BN100" s="27"/>
      <c r="BO100" s="28" t="str">
        <f>IFERROR(VLOOKUP(BM100,Horarios!$H:$I,2,0),"")</f>
        <v/>
      </c>
      <c r="BP100" s="28" t="str">
        <f>IFERROR(VLOOKUP(BN100,Horarios!$H:$I,2,0),"")</f>
        <v/>
      </c>
      <c r="BQ100" s="28" t="str">
        <f t="shared" si="59"/>
        <v>00:00</v>
      </c>
      <c r="BR100" s="29"/>
      <c r="BS100" s="27"/>
      <c r="BT100" s="27"/>
      <c r="BU100" s="28" t="str">
        <f>IFERROR(VLOOKUP(BS100,Horarios!$H:$I,2,0),"")</f>
        <v/>
      </c>
      <c r="BV100" s="28" t="str">
        <f>IFERROR(VLOOKUP(BT100,Horarios!$H:$I,2,0),"")</f>
        <v/>
      </c>
      <c r="BW100" s="28" t="str">
        <f t="shared" si="60"/>
        <v>00:00</v>
      </c>
      <c r="BX100" s="29"/>
      <c r="BY100" s="27"/>
      <c r="BZ100" s="27"/>
      <c r="CA100" s="28" t="str">
        <f>IFERROR(VLOOKUP(BY100,Horarios!$H:$I,2,0),"")</f>
        <v/>
      </c>
      <c r="CB100" s="28" t="str">
        <f>IFERROR(VLOOKUP(BZ100,Horarios!$H:$I,2,0),"")</f>
        <v/>
      </c>
      <c r="CC100" s="28" t="str">
        <f t="shared" si="61"/>
        <v>00:00</v>
      </c>
      <c r="CD100" s="29"/>
      <c r="CE100" s="27"/>
      <c r="CF100" s="27"/>
      <c r="CG100" s="28" t="str">
        <f>IFERROR(VLOOKUP(CE100,Horarios!$H:$I,2,0),"")</f>
        <v/>
      </c>
      <c r="CH100" s="28" t="str">
        <f>IFERROR(VLOOKUP(CF100,Horarios!$H:$I,2,0),"")</f>
        <v/>
      </c>
      <c r="CI100" s="28" t="str">
        <f t="shared" si="62"/>
        <v>00:00</v>
      </c>
      <c r="CJ100" s="29"/>
      <c r="CK100" s="31" t="str">
        <f t="shared" si="63"/>
        <v/>
      </c>
      <c r="CL100" s="27"/>
      <c r="CM100" s="27"/>
      <c r="CN100" s="28" t="str">
        <f>IFERROR(VLOOKUP(CL100,Horarios!$H:$I,2,0),"")</f>
        <v/>
      </c>
      <c r="CO100" s="28" t="str">
        <f>IFERROR(VLOOKUP(CM100,Horarios!$H:$I,2,0),"")</f>
        <v/>
      </c>
      <c r="CP100" s="28" t="str">
        <f t="shared" si="64"/>
        <v>00:00</v>
      </c>
      <c r="CQ100" s="29"/>
      <c r="CR100" s="27"/>
      <c r="CS100" s="27"/>
      <c r="CT100" s="28" t="str">
        <f>IFERROR(VLOOKUP(CR100,Horarios!$H:$I,2,0),"")</f>
        <v/>
      </c>
      <c r="CU100" s="28" t="str">
        <f>IFERROR(VLOOKUP(CS100,Horarios!$H:$I,2,0),"")</f>
        <v/>
      </c>
      <c r="CV100" s="28" t="str">
        <f t="shared" si="65"/>
        <v>00:00</v>
      </c>
      <c r="CW100" s="29"/>
      <c r="CX100" s="27"/>
      <c r="CY100" s="27"/>
      <c r="CZ100" s="28" t="str">
        <f>IFERROR(VLOOKUP(CX100,Horarios!$H:$I,2,0),"")</f>
        <v/>
      </c>
      <c r="DA100" s="28" t="str">
        <f>IFERROR(VLOOKUP(CY100,Horarios!$H:$I,2,0),"")</f>
        <v/>
      </c>
      <c r="DB100" s="28" t="str">
        <f t="shared" si="66"/>
        <v>00:00</v>
      </c>
      <c r="DC100" s="29"/>
      <c r="DD100" s="27"/>
      <c r="DE100" s="27"/>
      <c r="DF100" s="28" t="str">
        <f>IFERROR(VLOOKUP(DD100,Horarios!$H:$I,2,0),"")</f>
        <v/>
      </c>
      <c r="DG100" s="28" t="str">
        <f>IFERROR(VLOOKUP(DE100,Horarios!$H:$I,2,0),"")</f>
        <v/>
      </c>
      <c r="DH100" s="28" t="str">
        <f t="shared" si="67"/>
        <v>00:00</v>
      </c>
      <c r="DI100" s="29"/>
      <c r="DJ100" s="27"/>
      <c r="DK100" s="27"/>
      <c r="DL100" s="28" t="str">
        <f>IFERROR(VLOOKUP(DJ100,Horarios!$H:$I,2,0),"")</f>
        <v/>
      </c>
      <c r="DM100" s="28" t="str">
        <f>IFERROR(VLOOKUP(DK100,Horarios!$H:$I,2,0),"")</f>
        <v/>
      </c>
      <c r="DN100" s="28" t="str">
        <f t="shared" si="68"/>
        <v>00:00</v>
      </c>
      <c r="DO100" s="29"/>
      <c r="DP100" s="27"/>
      <c r="DQ100" s="27"/>
      <c r="DR100" s="28" t="str">
        <f>IFERROR(VLOOKUP(DP100,Horarios!$H:$I,2,0),"")</f>
        <v/>
      </c>
      <c r="DS100" s="28" t="str">
        <f>IFERROR(VLOOKUP(DQ100,Horarios!$H:$I,2,0),"")</f>
        <v/>
      </c>
      <c r="DT100" s="28" t="str">
        <f t="shared" si="69"/>
        <v>00:00</v>
      </c>
      <c r="DU100" s="29"/>
      <c r="DV100" s="27"/>
      <c r="DW100" s="27"/>
      <c r="DX100" s="28" t="str">
        <f>IFERROR(VLOOKUP(DV100,Horarios!$H:$I,2,0),"")</f>
        <v/>
      </c>
      <c r="DY100" s="28" t="str">
        <f>IFERROR(VLOOKUP(DW100,Horarios!$H:$I,2,0),"")</f>
        <v/>
      </c>
      <c r="DZ100" s="28" t="str">
        <f t="shared" si="70"/>
        <v>00:00</v>
      </c>
      <c r="EA100" s="29"/>
      <c r="EB100" s="31" t="str">
        <f t="shared" si="71"/>
        <v/>
      </c>
      <c r="EC100" s="27"/>
      <c r="ED100" s="27"/>
      <c r="EE100" s="28" t="str">
        <f>IFERROR(VLOOKUP(EC100,Horarios!$H:$I,2,0),"")</f>
        <v/>
      </c>
      <c r="EF100" s="28" t="str">
        <f>IFERROR(VLOOKUP(ED100,Horarios!$H:$I,2,0),"")</f>
        <v/>
      </c>
      <c r="EG100" s="28" t="str">
        <f t="shared" si="72"/>
        <v>00:00</v>
      </c>
      <c r="EH100" s="29"/>
      <c r="EI100" s="27"/>
      <c r="EJ100" s="27"/>
      <c r="EK100" s="28" t="str">
        <f>IFERROR(VLOOKUP(EI100,Horarios!$H:$I,2,0),"")</f>
        <v/>
      </c>
      <c r="EL100" s="28" t="str">
        <f>IFERROR(VLOOKUP(EJ100,Horarios!$H:$I,2,0),"")</f>
        <v/>
      </c>
      <c r="EM100" s="28" t="str">
        <f t="shared" si="73"/>
        <v>00:00</v>
      </c>
      <c r="EN100" s="29"/>
      <c r="EO100" s="27"/>
      <c r="EP100" s="27"/>
      <c r="EQ100" s="28" t="str">
        <f>IFERROR(VLOOKUP(EO100,Horarios!$H:$I,2,0),"")</f>
        <v/>
      </c>
      <c r="ER100" s="28" t="str">
        <f>IFERROR(VLOOKUP(EP100,Horarios!$H:$I,2,0),"")</f>
        <v/>
      </c>
      <c r="ES100" s="28" t="str">
        <f t="shared" si="74"/>
        <v>00:00</v>
      </c>
      <c r="ET100" s="29"/>
      <c r="EU100" s="27"/>
      <c r="EV100" s="27"/>
      <c r="EW100" s="28" t="str">
        <f>IFERROR(VLOOKUP(EU100,Horarios!$H:$I,2,0),"")</f>
        <v/>
      </c>
      <c r="EX100" s="28" t="str">
        <f>IFERROR(VLOOKUP(EV100,Horarios!$H:$I,2,0),"")</f>
        <v/>
      </c>
      <c r="EY100" s="28" t="str">
        <f t="shared" si="75"/>
        <v>00:00</v>
      </c>
      <c r="EZ100" s="29"/>
      <c r="FA100" s="27"/>
      <c r="FB100" s="27"/>
      <c r="FC100" s="28" t="str">
        <f>IFERROR(VLOOKUP(FA100,Horarios!$H:$I,2,0),"")</f>
        <v/>
      </c>
      <c r="FD100" s="28" t="str">
        <f>IFERROR(VLOOKUP(FB100,Horarios!$H:$I,2,0),"")</f>
        <v/>
      </c>
      <c r="FE100" s="28" t="str">
        <f t="shared" si="76"/>
        <v>00:00</v>
      </c>
      <c r="FF100" s="29"/>
      <c r="FG100" s="27"/>
      <c r="FH100" s="27"/>
      <c r="FI100" s="28" t="str">
        <f>IFERROR(VLOOKUP(FG100,Horarios!$H:$I,2,0),"")</f>
        <v/>
      </c>
      <c r="FJ100" s="28" t="str">
        <f>IFERROR(VLOOKUP(FH100,Horarios!$H:$I,2,0),"")</f>
        <v/>
      </c>
      <c r="FK100" s="28" t="str">
        <f t="shared" si="77"/>
        <v>00:00</v>
      </c>
      <c r="FL100" s="29"/>
      <c r="FM100" s="27"/>
      <c r="FN100" s="27"/>
      <c r="FO100" s="28" t="str">
        <f>IFERROR(VLOOKUP(FM100,Horarios!$H:$I,2,0),"")</f>
        <v/>
      </c>
      <c r="FP100" s="28" t="str">
        <f>IFERROR(VLOOKUP(FN100,Horarios!$H:$I,2,0),"")</f>
        <v/>
      </c>
      <c r="FQ100" s="28" t="str">
        <f t="shared" si="78"/>
        <v>00:00</v>
      </c>
      <c r="FR100" s="29"/>
      <c r="FS100" s="31" t="str">
        <f t="shared" si="79"/>
        <v/>
      </c>
      <c r="FT100" s="27"/>
      <c r="FU100" s="27"/>
      <c r="FV100" s="28" t="str">
        <f>IFERROR(VLOOKUP(FT100,Horarios!$H:$I,2,0),"")</f>
        <v/>
      </c>
      <c r="FW100" s="28" t="str">
        <f>IFERROR(VLOOKUP(FU100,Horarios!$H:$I,2,0),"")</f>
        <v/>
      </c>
      <c r="FX100" s="28" t="str">
        <f t="shared" si="80"/>
        <v>00:00</v>
      </c>
      <c r="FY100" s="29"/>
      <c r="FZ100" s="27"/>
      <c r="GA100" s="27"/>
      <c r="GB100" s="28" t="str">
        <f>IFERROR(VLOOKUP(FZ100,Horarios!$H:$I,2,0),"")</f>
        <v/>
      </c>
      <c r="GC100" s="28" t="str">
        <f>IFERROR(VLOOKUP(GA100,Horarios!$H:$I,2,0),"")</f>
        <v/>
      </c>
      <c r="GD100" s="28" t="str">
        <f t="shared" si="81"/>
        <v>00:00</v>
      </c>
      <c r="GE100" s="29"/>
      <c r="GF100" s="27"/>
      <c r="GG100" s="27"/>
      <c r="GH100" s="28" t="str">
        <f>IFERROR(VLOOKUP(GF100,Horarios!$H:$I,2,0),"")</f>
        <v/>
      </c>
      <c r="GI100" s="28" t="str">
        <f>IFERROR(VLOOKUP(GG100,Horarios!$H:$I,2,0),"")</f>
        <v/>
      </c>
      <c r="GJ100" s="28" t="str">
        <f t="shared" si="82"/>
        <v>00:00</v>
      </c>
      <c r="GK100" s="29"/>
      <c r="GL100" s="27"/>
      <c r="GM100" s="27"/>
      <c r="GN100" s="28" t="str">
        <f>IFERROR(VLOOKUP(GL100,Horarios!$H:$I,2,0),"")</f>
        <v/>
      </c>
      <c r="GO100" s="28" t="str">
        <f>IFERROR(VLOOKUP(GM100,Horarios!$H:$I,2,0),"")</f>
        <v/>
      </c>
      <c r="GP100" s="28" t="str">
        <f t="shared" si="83"/>
        <v>00:00</v>
      </c>
      <c r="GQ100" s="29"/>
      <c r="GR100" s="27"/>
      <c r="GS100" s="27"/>
      <c r="GT100" s="28" t="str">
        <f>IFERROR(VLOOKUP(GR100,Horarios!$H:$I,2,0),"")</f>
        <v/>
      </c>
      <c r="GU100" s="28" t="str">
        <f>IFERROR(VLOOKUP(GS100,Horarios!$H:$I,2,0),"")</f>
        <v/>
      </c>
      <c r="GV100" s="28" t="str">
        <f t="shared" si="84"/>
        <v>00:00</v>
      </c>
      <c r="GW100" s="29"/>
      <c r="GX100" s="27"/>
      <c r="GY100" s="27"/>
      <c r="GZ100" s="28" t="str">
        <f>IFERROR(VLOOKUP(GX100,Horarios!$H:$I,2,0),"")</f>
        <v/>
      </c>
      <c r="HA100" s="28" t="str">
        <f>IFERROR(VLOOKUP(GY100,Horarios!$H:$I,2,0),"")</f>
        <v/>
      </c>
      <c r="HB100" s="28" t="str">
        <f t="shared" si="85"/>
        <v>00:00</v>
      </c>
      <c r="HC100" s="29"/>
      <c r="HD100" s="27"/>
      <c r="HE100" s="27"/>
      <c r="HF100" s="28" t="str">
        <f>IFERROR(VLOOKUP(HD100,Horarios!$H:$I,2,0),"")</f>
        <v/>
      </c>
      <c r="HG100" s="28" t="str">
        <f>IFERROR(VLOOKUP(HE100,Horarios!$H:$I,2,0),"")</f>
        <v/>
      </c>
      <c r="HH100" s="28" t="str">
        <f t="shared" si="86"/>
        <v>00:00</v>
      </c>
      <c r="HI100" s="29"/>
      <c r="HJ100" s="31" t="str">
        <f t="shared" si="87"/>
        <v/>
      </c>
      <c r="HK100" s="27"/>
      <c r="HL100" s="27"/>
      <c r="HM100" s="28" t="str">
        <f>IFERROR(VLOOKUP(HK100,Horarios!$H:$I,2,0),"")</f>
        <v/>
      </c>
      <c r="HN100" s="28" t="str">
        <f>IFERROR(VLOOKUP(HL100,Horarios!$H:$I,2,0),"")</f>
        <v/>
      </c>
      <c r="HO100" s="28" t="str">
        <f t="shared" si="88"/>
        <v>00:00</v>
      </c>
      <c r="HP100" s="29"/>
      <c r="HQ100" s="27"/>
      <c r="HR100" s="27"/>
      <c r="HS100" s="28" t="str">
        <f>IFERROR(VLOOKUP(HQ100,Horarios!$H:$I,2,0),"")</f>
        <v/>
      </c>
      <c r="HT100" s="28" t="str">
        <f>IFERROR(VLOOKUP(HR100,Horarios!$H:$I,2,0),"")</f>
        <v/>
      </c>
      <c r="HU100" s="28" t="str">
        <f t="shared" si="89"/>
        <v>00:00</v>
      </c>
      <c r="HV100" s="29"/>
      <c r="HW100" s="27"/>
      <c r="HX100" s="27"/>
      <c r="HY100" s="28" t="str">
        <f>IFERROR(VLOOKUP(HW100,Horarios!$H:$I,2,0),"")</f>
        <v/>
      </c>
      <c r="HZ100" s="28" t="str">
        <f>IFERROR(VLOOKUP(HX100,Horarios!$H:$I,2,0),"")</f>
        <v/>
      </c>
      <c r="IA100" s="28" t="str">
        <f t="shared" si="90"/>
        <v>00:00</v>
      </c>
      <c r="IB100" s="29"/>
      <c r="IC100" s="27"/>
      <c r="ID100" s="27"/>
      <c r="IE100" s="28" t="str">
        <f>IFERROR(VLOOKUP(IC100,Horarios!$H:$I,2,0),"")</f>
        <v/>
      </c>
      <c r="IF100" s="28" t="str">
        <f>IFERROR(VLOOKUP(ID100,Horarios!$H:$I,2,0),"")</f>
        <v/>
      </c>
      <c r="IG100" s="28" t="str">
        <f t="shared" si="91"/>
        <v>00:00</v>
      </c>
      <c r="IH100" s="29"/>
      <c r="II100" s="27"/>
      <c r="IJ100" s="27"/>
      <c r="IK100" s="28" t="str">
        <f>IFERROR(VLOOKUP(II100,Horarios!$H:$I,2,0),"")</f>
        <v/>
      </c>
      <c r="IL100" s="28" t="str">
        <f>IFERROR(VLOOKUP(IJ100,Horarios!$H:$I,2,0),"")</f>
        <v/>
      </c>
      <c r="IM100" s="28" t="str">
        <f t="shared" si="92"/>
        <v>00:00</v>
      </c>
      <c r="IN100" s="29"/>
      <c r="IO100" s="27"/>
      <c r="IP100" s="27"/>
      <c r="IQ100" s="28" t="str">
        <f>IFERROR(VLOOKUP(IO100,Horarios!$H:$I,2,0),"")</f>
        <v/>
      </c>
      <c r="IR100" s="28" t="str">
        <f>IFERROR(VLOOKUP(IP100,Horarios!$H:$I,2,0),"")</f>
        <v/>
      </c>
      <c r="IS100" s="28" t="str">
        <f t="shared" si="93"/>
        <v>00:00</v>
      </c>
      <c r="IT100" s="29"/>
      <c r="IU100" s="27"/>
      <c r="IV100" s="27"/>
      <c r="IW100" s="28" t="str">
        <f>IFERROR(VLOOKUP(IU100,Horarios!$H:$I,2,0),"")</f>
        <v/>
      </c>
      <c r="IX100" s="28" t="str">
        <f>IFERROR(VLOOKUP(IV100,Horarios!$H:$I,2,0),"")</f>
        <v/>
      </c>
      <c r="IY100" s="28" t="str">
        <f t="shared" si="94"/>
        <v>00:00</v>
      </c>
      <c r="IZ100" s="29"/>
      <c r="JA100" s="31" t="str">
        <f t="shared" si="95"/>
        <v/>
      </c>
    </row>
    <row r="101" spans="1:261" s="24" customFormat="1" ht="17.399999999999999" x14ac:dyDescent="0.25">
      <c r="A101" s="25"/>
      <c r="B101" s="26" t="str">
        <f>IFERROR(VLOOKUP(A101,BaseNombres!A:B,2,0),"")</f>
        <v/>
      </c>
      <c r="C101" s="26" t="str">
        <f>IFERROR(VLOOKUP(A101,BaseNombres!A:C,3,0),"")</f>
        <v/>
      </c>
      <c r="D101" s="27"/>
      <c r="E101" s="27"/>
      <c r="F101" s="28" t="str">
        <f>IFERROR(VLOOKUP(D101,Horarios!$H:$I,2,0),"")</f>
        <v/>
      </c>
      <c r="G101" s="28" t="str">
        <f>IFERROR(VLOOKUP(E101,Horarios!$H:$I,2,0),"")</f>
        <v/>
      </c>
      <c r="H101" s="28" t="str">
        <f t="shared" si="48"/>
        <v>00:00</v>
      </c>
      <c r="I101" s="29"/>
      <c r="J101" s="27"/>
      <c r="K101" s="27"/>
      <c r="L101" s="28" t="str">
        <f>IFERROR(VLOOKUP(J101,Horarios!$H:$I,2,0),"")</f>
        <v/>
      </c>
      <c r="M101" s="28" t="str">
        <f>IFERROR(VLOOKUP(K101,Horarios!$H:$I,2,0),"")</f>
        <v/>
      </c>
      <c r="N101" s="28" t="str">
        <f t="shared" si="49"/>
        <v>00:00</v>
      </c>
      <c r="O101" s="29"/>
      <c r="P101" s="27"/>
      <c r="Q101" s="27"/>
      <c r="R101" s="28" t="str">
        <f>IFERROR(VLOOKUP(P101,Horarios!$H:$I,2,0),"")</f>
        <v/>
      </c>
      <c r="S101" s="28" t="str">
        <f>IFERROR(VLOOKUP(Q101,Horarios!$H:$I,2,0),"")</f>
        <v/>
      </c>
      <c r="T101" s="28" t="str">
        <f t="shared" si="50"/>
        <v>00:00</v>
      </c>
      <c r="U101" s="29"/>
      <c r="V101" s="27"/>
      <c r="W101" s="27"/>
      <c r="X101" s="28" t="str">
        <f>IFERROR(VLOOKUP(V101,Horarios!$H:$I,2,0),"")</f>
        <v/>
      </c>
      <c r="Y101" s="28" t="str">
        <f>IFERROR(VLOOKUP(W101,Horarios!$H:$I,2,0),"")</f>
        <v/>
      </c>
      <c r="Z101" s="28" t="str">
        <f t="shared" si="51"/>
        <v>00:00</v>
      </c>
      <c r="AA101" s="29"/>
      <c r="AB101" s="27"/>
      <c r="AC101" s="27"/>
      <c r="AD101" s="28" t="str">
        <f>IFERROR(VLOOKUP(AB101,Horarios!$H:$I,2,0),"")</f>
        <v/>
      </c>
      <c r="AE101" s="28" t="str">
        <f>IFERROR(VLOOKUP(AC101,Horarios!$H:$I,2,0),"")</f>
        <v/>
      </c>
      <c r="AF101" s="28" t="str">
        <f t="shared" si="52"/>
        <v>00:00</v>
      </c>
      <c r="AG101" s="29"/>
      <c r="AH101" s="27"/>
      <c r="AI101" s="27"/>
      <c r="AJ101" s="28" t="str">
        <f>IFERROR(VLOOKUP(AH101,Horarios!$H:$I,2,0),"")</f>
        <v/>
      </c>
      <c r="AK101" s="28" t="str">
        <f>IFERROR(VLOOKUP(AI101,Horarios!$H:$I,2,0),"")</f>
        <v/>
      </c>
      <c r="AL101" s="28" t="str">
        <f t="shared" si="53"/>
        <v>00:00</v>
      </c>
      <c r="AM101" s="29"/>
      <c r="AN101" s="27"/>
      <c r="AO101" s="27"/>
      <c r="AP101" s="28" t="str">
        <f>IFERROR(VLOOKUP(AN101,Horarios!$H:$I,2,0),"")</f>
        <v/>
      </c>
      <c r="AQ101" s="28" t="str">
        <f>IFERROR(VLOOKUP(AO101,Horarios!$H:$I,2,0),"")</f>
        <v/>
      </c>
      <c r="AR101" s="28" t="str">
        <f t="shared" si="54"/>
        <v>00:00</v>
      </c>
      <c r="AS101" s="29"/>
      <c r="AT101" s="31" t="str">
        <f t="shared" si="55"/>
        <v/>
      </c>
      <c r="AU101" s="27"/>
      <c r="AV101" s="27"/>
      <c r="AW101" s="28" t="str">
        <f>IFERROR(VLOOKUP(AU101,Horarios!$H:$I,2,0),"")</f>
        <v/>
      </c>
      <c r="AX101" s="28" t="str">
        <f>IFERROR(VLOOKUP(AV101,Horarios!$H:$I,2,0),"")</f>
        <v/>
      </c>
      <c r="AY101" s="28" t="str">
        <f t="shared" si="56"/>
        <v>00:00</v>
      </c>
      <c r="AZ101" s="29"/>
      <c r="BA101" s="27"/>
      <c r="BB101" s="27"/>
      <c r="BC101" s="28" t="str">
        <f>IFERROR(VLOOKUP(BA101,Horarios!$H:$I,2,0),"")</f>
        <v/>
      </c>
      <c r="BD101" s="28" t="str">
        <f>IFERROR(VLOOKUP(BB101,Horarios!$H:$I,2,0),"")</f>
        <v/>
      </c>
      <c r="BE101" s="28" t="str">
        <f t="shared" si="57"/>
        <v>00:00</v>
      </c>
      <c r="BF101" s="29"/>
      <c r="BG101" s="27"/>
      <c r="BH101" s="27"/>
      <c r="BI101" s="28" t="str">
        <f>IFERROR(VLOOKUP(BG101,Horarios!$H:$I,2,0),"")</f>
        <v/>
      </c>
      <c r="BJ101" s="28" t="str">
        <f>IFERROR(VLOOKUP(BH101,Horarios!$H:$I,2,0),"")</f>
        <v/>
      </c>
      <c r="BK101" s="28" t="str">
        <f t="shared" si="58"/>
        <v>00:00</v>
      </c>
      <c r="BL101" s="29"/>
      <c r="BM101" s="27"/>
      <c r="BN101" s="27"/>
      <c r="BO101" s="28" t="str">
        <f>IFERROR(VLOOKUP(BM101,Horarios!$H:$I,2,0),"")</f>
        <v/>
      </c>
      <c r="BP101" s="28" t="str">
        <f>IFERROR(VLOOKUP(BN101,Horarios!$H:$I,2,0),"")</f>
        <v/>
      </c>
      <c r="BQ101" s="28" t="str">
        <f t="shared" si="59"/>
        <v>00:00</v>
      </c>
      <c r="BR101" s="29"/>
      <c r="BS101" s="27"/>
      <c r="BT101" s="27"/>
      <c r="BU101" s="28" t="str">
        <f>IFERROR(VLOOKUP(BS101,Horarios!$H:$I,2,0),"")</f>
        <v/>
      </c>
      <c r="BV101" s="28" t="str">
        <f>IFERROR(VLOOKUP(BT101,Horarios!$H:$I,2,0),"")</f>
        <v/>
      </c>
      <c r="BW101" s="28" t="str">
        <f t="shared" si="60"/>
        <v>00:00</v>
      </c>
      <c r="BX101" s="29"/>
      <c r="BY101" s="27"/>
      <c r="BZ101" s="27"/>
      <c r="CA101" s="28" t="str">
        <f>IFERROR(VLOOKUP(BY101,Horarios!$H:$I,2,0),"")</f>
        <v/>
      </c>
      <c r="CB101" s="28" t="str">
        <f>IFERROR(VLOOKUP(BZ101,Horarios!$H:$I,2,0),"")</f>
        <v/>
      </c>
      <c r="CC101" s="28" t="str">
        <f t="shared" si="61"/>
        <v>00:00</v>
      </c>
      <c r="CD101" s="29"/>
      <c r="CE101" s="27"/>
      <c r="CF101" s="27"/>
      <c r="CG101" s="28" t="str">
        <f>IFERROR(VLOOKUP(CE101,Horarios!$H:$I,2,0),"")</f>
        <v/>
      </c>
      <c r="CH101" s="28" t="str">
        <f>IFERROR(VLOOKUP(CF101,Horarios!$H:$I,2,0),"")</f>
        <v/>
      </c>
      <c r="CI101" s="28" t="str">
        <f t="shared" si="62"/>
        <v>00:00</v>
      </c>
      <c r="CJ101" s="29"/>
      <c r="CK101" s="31" t="str">
        <f t="shared" si="63"/>
        <v/>
      </c>
      <c r="CL101" s="27"/>
      <c r="CM101" s="27"/>
      <c r="CN101" s="28" t="str">
        <f>IFERROR(VLOOKUP(CL101,Horarios!$H:$I,2,0),"")</f>
        <v/>
      </c>
      <c r="CO101" s="28" t="str">
        <f>IFERROR(VLOOKUP(CM101,Horarios!$H:$I,2,0),"")</f>
        <v/>
      </c>
      <c r="CP101" s="28" t="str">
        <f t="shared" si="64"/>
        <v>00:00</v>
      </c>
      <c r="CQ101" s="29"/>
      <c r="CR101" s="27"/>
      <c r="CS101" s="27"/>
      <c r="CT101" s="28" t="str">
        <f>IFERROR(VLOOKUP(CR101,Horarios!$H:$I,2,0),"")</f>
        <v/>
      </c>
      <c r="CU101" s="28" t="str">
        <f>IFERROR(VLOOKUP(CS101,Horarios!$H:$I,2,0),"")</f>
        <v/>
      </c>
      <c r="CV101" s="28" t="str">
        <f t="shared" si="65"/>
        <v>00:00</v>
      </c>
      <c r="CW101" s="29"/>
      <c r="CX101" s="27"/>
      <c r="CY101" s="27"/>
      <c r="CZ101" s="28" t="str">
        <f>IFERROR(VLOOKUP(CX101,Horarios!$H:$I,2,0),"")</f>
        <v/>
      </c>
      <c r="DA101" s="28" t="str">
        <f>IFERROR(VLOOKUP(CY101,Horarios!$H:$I,2,0),"")</f>
        <v/>
      </c>
      <c r="DB101" s="28" t="str">
        <f t="shared" si="66"/>
        <v>00:00</v>
      </c>
      <c r="DC101" s="29"/>
      <c r="DD101" s="27"/>
      <c r="DE101" s="27"/>
      <c r="DF101" s="28" t="str">
        <f>IFERROR(VLOOKUP(DD101,Horarios!$H:$I,2,0),"")</f>
        <v/>
      </c>
      <c r="DG101" s="28" t="str">
        <f>IFERROR(VLOOKUP(DE101,Horarios!$H:$I,2,0),"")</f>
        <v/>
      </c>
      <c r="DH101" s="28" t="str">
        <f t="shared" si="67"/>
        <v>00:00</v>
      </c>
      <c r="DI101" s="29"/>
      <c r="DJ101" s="27"/>
      <c r="DK101" s="27"/>
      <c r="DL101" s="28" t="str">
        <f>IFERROR(VLOOKUP(DJ101,Horarios!$H:$I,2,0),"")</f>
        <v/>
      </c>
      <c r="DM101" s="28" t="str">
        <f>IFERROR(VLOOKUP(DK101,Horarios!$H:$I,2,0),"")</f>
        <v/>
      </c>
      <c r="DN101" s="28" t="str">
        <f t="shared" si="68"/>
        <v>00:00</v>
      </c>
      <c r="DO101" s="29"/>
      <c r="DP101" s="27"/>
      <c r="DQ101" s="27"/>
      <c r="DR101" s="28" t="str">
        <f>IFERROR(VLOOKUP(DP101,Horarios!$H:$I,2,0),"")</f>
        <v/>
      </c>
      <c r="DS101" s="28" t="str">
        <f>IFERROR(VLOOKUP(DQ101,Horarios!$H:$I,2,0),"")</f>
        <v/>
      </c>
      <c r="DT101" s="28" t="str">
        <f t="shared" si="69"/>
        <v>00:00</v>
      </c>
      <c r="DU101" s="29"/>
      <c r="DV101" s="27"/>
      <c r="DW101" s="27"/>
      <c r="DX101" s="28" t="str">
        <f>IFERROR(VLOOKUP(DV101,Horarios!$H:$I,2,0),"")</f>
        <v/>
      </c>
      <c r="DY101" s="28" t="str">
        <f>IFERROR(VLOOKUP(DW101,Horarios!$H:$I,2,0),"")</f>
        <v/>
      </c>
      <c r="DZ101" s="28" t="str">
        <f t="shared" si="70"/>
        <v>00:00</v>
      </c>
      <c r="EA101" s="29"/>
      <c r="EB101" s="31" t="str">
        <f t="shared" si="71"/>
        <v/>
      </c>
      <c r="EC101" s="27"/>
      <c r="ED101" s="27"/>
      <c r="EE101" s="28" t="str">
        <f>IFERROR(VLOOKUP(EC101,Horarios!$H:$I,2,0),"")</f>
        <v/>
      </c>
      <c r="EF101" s="28" t="str">
        <f>IFERROR(VLOOKUP(ED101,Horarios!$H:$I,2,0),"")</f>
        <v/>
      </c>
      <c r="EG101" s="28" t="str">
        <f t="shared" si="72"/>
        <v>00:00</v>
      </c>
      <c r="EH101" s="29"/>
      <c r="EI101" s="27"/>
      <c r="EJ101" s="27"/>
      <c r="EK101" s="28" t="str">
        <f>IFERROR(VLOOKUP(EI101,Horarios!$H:$I,2,0),"")</f>
        <v/>
      </c>
      <c r="EL101" s="28" t="str">
        <f>IFERROR(VLOOKUP(EJ101,Horarios!$H:$I,2,0),"")</f>
        <v/>
      </c>
      <c r="EM101" s="28" t="str">
        <f t="shared" si="73"/>
        <v>00:00</v>
      </c>
      <c r="EN101" s="29"/>
      <c r="EO101" s="27"/>
      <c r="EP101" s="27"/>
      <c r="EQ101" s="28" t="str">
        <f>IFERROR(VLOOKUP(EO101,Horarios!$H:$I,2,0),"")</f>
        <v/>
      </c>
      <c r="ER101" s="28" t="str">
        <f>IFERROR(VLOOKUP(EP101,Horarios!$H:$I,2,0),"")</f>
        <v/>
      </c>
      <c r="ES101" s="28" t="str">
        <f t="shared" si="74"/>
        <v>00:00</v>
      </c>
      <c r="ET101" s="29"/>
      <c r="EU101" s="27"/>
      <c r="EV101" s="27"/>
      <c r="EW101" s="28" t="str">
        <f>IFERROR(VLOOKUP(EU101,Horarios!$H:$I,2,0),"")</f>
        <v/>
      </c>
      <c r="EX101" s="28" t="str">
        <f>IFERROR(VLOOKUP(EV101,Horarios!$H:$I,2,0),"")</f>
        <v/>
      </c>
      <c r="EY101" s="28" t="str">
        <f t="shared" si="75"/>
        <v>00:00</v>
      </c>
      <c r="EZ101" s="29"/>
      <c r="FA101" s="27"/>
      <c r="FB101" s="27"/>
      <c r="FC101" s="28" t="str">
        <f>IFERROR(VLOOKUP(FA101,Horarios!$H:$I,2,0),"")</f>
        <v/>
      </c>
      <c r="FD101" s="28" t="str">
        <f>IFERROR(VLOOKUP(FB101,Horarios!$H:$I,2,0),"")</f>
        <v/>
      </c>
      <c r="FE101" s="28" t="str">
        <f t="shared" si="76"/>
        <v>00:00</v>
      </c>
      <c r="FF101" s="29"/>
      <c r="FG101" s="27"/>
      <c r="FH101" s="27"/>
      <c r="FI101" s="28" t="str">
        <f>IFERROR(VLOOKUP(FG101,Horarios!$H:$I,2,0),"")</f>
        <v/>
      </c>
      <c r="FJ101" s="28" t="str">
        <f>IFERROR(VLOOKUP(FH101,Horarios!$H:$I,2,0),"")</f>
        <v/>
      </c>
      <c r="FK101" s="28" t="str">
        <f t="shared" si="77"/>
        <v>00:00</v>
      </c>
      <c r="FL101" s="29"/>
      <c r="FM101" s="27"/>
      <c r="FN101" s="27"/>
      <c r="FO101" s="28" t="str">
        <f>IFERROR(VLOOKUP(FM101,Horarios!$H:$I,2,0),"")</f>
        <v/>
      </c>
      <c r="FP101" s="28" t="str">
        <f>IFERROR(VLOOKUP(FN101,Horarios!$H:$I,2,0),"")</f>
        <v/>
      </c>
      <c r="FQ101" s="28" t="str">
        <f t="shared" si="78"/>
        <v>00:00</v>
      </c>
      <c r="FR101" s="29"/>
      <c r="FS101" s="31" t="str">
        <f t="shared" si="79"/>
        <v/>
      </c>
      <c r="FT101" s="27"/>
      <c r="FU101" s="27"/>
      <c r="FV101" s="28" t="str">
        <f>IFERROR(VLOOKUP(FT101,Horarios!$H:$I,2,0),"")</f>
        <v/>
      </c>
      <c r="FW101" s="28" t="str">
        <f>IFERROR(VLOOKUP(FU101,Horarios!$H:$I,2,0),"")</f>
        <v/>
      </c>
      <c r="FX101" s="28" t="str">
        <f t="shared" si="80"/>
        <v>00:00</v>
      </c>
      <c r="FY101" s="29"/>
      <c r="FZ101" s="27"/>
      <c r="GA101" s="27"/>
      <c r="GB101" s="28" t="str">
        <f>IFERROR(VLOOKUP(FZ101,Horarios!$H:$I,2,0),"")</f>
        <v/>
      </c>
      <c r="GC101" s="28" t="str">
        <f>IFERROR(VLOOKUP(GA101,Horarios!$H:$I,2,0),"")</f>
        <v/>
      </c>
      <c r="GD101" s="28" t="str">
        <f t="shared" si="81"/>
        <v>00:00</v>
      </c>
      <c r="GE101" s="29"/>
      <c r="GF101" s="27"/>
      <c r="GG101" s="27"/>
      <c r="GH101" s="28" t="str">
        <f>IFERROR(VLOOKUP(GF101,Horarios!$H:$I,2,0),"")</f>
        <v/>
      </c>
      <c r="GI101" s="28" t="str">
        <f>IFERROR(VLOOKUP(GG101,Horarios!$H:$I,2,0),"")</f>
        <v/>
      </c>
      <c r="GJ101" s="28" t="str">
        <f t="shared" si="82"/>
        <v>00:00</v>
      </c>
      <c r="GK101" s="29"/>
      <c r="GL101" s="27"/>
      <c r="GM101" s="27"/>
      <c r="GN101" s="28" t="str">
        <f>IFERROR(VLOOKUP(GL101,Horarios!$H:$I,2,0),"")</f>
        <v/>
      </c>
      <c r="GO101" s="28" t="str">
        <f>IFERROR(VLOOKUP(GM101,Horarios!$H:$I,2,0),"")</f>
        <v/>
      </c>
      <c r="GP101" s="28" t="str">
        <f t="shared" si="83"/>
        <v>00:00</v>
      </c>
      <c r="GQ101" s="29"/>
      <c r="GR101" s="27"/>
      <c r="GS101" s="27"/>
      <c r="GT101" s="28" t="str">
        <f>IFERROR(VLOOKUP(GR101,Horarios!$H:$I,2,0),"")</f>
        <v/>
      </c>
      <c r="GU101" s="28" t="str">
        <f>IFERROR(VLOOKUP(GS101,Horarios!$H:$I,2,0),"")</f>
        <v/>
      </c>
      <c r="GV101" s="28" t="str">
        <f t="shared" si="84"/>
        <v>00:00</v>
      </c>
      <c r="GW101" s="29"/>
      <c r="GX101" s="27"/>
      <c r="GY101" s="27"/>
      <c r="GZ101" s="28" t="str">
        <f>IFERROR(VLOOKUP(GX101,Horarios!$H:$I,2,0),"")</f>
        <v/>
      </c>
      <c r="HA101" s="28" t="str">
        <f>IFERROR(VLOOKUP(GY101,Horarios!$H:$I,2,0),"")</f>
        <v/>
      </c>
      <c r="HB101" s="28" t="str">
        <f t="shared" si="85"/>
        <v>00:00</v>
      </c>
      <c r="HC101" s="29"/>
      <c r="HD101" s="27"/>
      <c r="HE101" s="27"/>
      <c r="HF101" s="28" t="str">
        <f>IFERROR(VLOOKUP(HD101,Horarios!$H:$I,2,0),"")</f>
        <v/>
      </c>
      <c r="HG101" s="28" t="str">
        <f>IFERROR(VLOOKUP(HE101,Horarios!$H:$I,2,0),"")</f>
        <v/>
      </c>
      <c r="HH101" s="28" t="str">
        <f t="shared" si="86"/>
        <v>00:00</v>
      </c>
      <c r="HI101" s="29"/>
      <c r="HJ101" s="31" t="str">
        <f t="shared" si="87"/>
        <v/>
      </c>
      <c r="HK101" s="27"/>
      <c r="HL101" s="27"/>
      <c r="HM101" s="28" t="str">
        <f>IFERROR(VLOOKUP(HK101,Horarios!$H:$I,2,0),"")</f>
        <v/>
      </c>
      <c r="HN101" s="28" t="str">
        <f>IFERROR(VLOOKUP(HL101,Horarios!$H:$I,2,0),"")</f>
        <v/>
      </c>
      <c r="HO101" s="28" t="str">
        <f t="shared" si="88"/>
        <v>00:00</v>
      </c>
      <c r="HP101" s="29"/>
      <c r="HQ101" s="27"/>
      <c r="HR101" s="27"/>
      <c r="HS101" s="28" t="str">
        <f>IFERROR(VLOOKUP(HQ101,Horarios!$H:$I,2,0),"")</f>
        <v/>
      </c>
      <c r="HT101" s="28" t="str">
        <f>IFERROR(VLOOKUP(HR101,Horarios!$H:$I,2,0),"")</f>
        <v/>
      </c>
      <c r="HU101" s="28" t="str">
        <f t="shared" si="89"/>
        <v>00:00</v>
      </c>
      <c r="HV101" s="29"/>
      <c r="HW101" s="27"/>
      <c r="HX101" s="27"/>
      <c r="HY101" s="28" t="str">
        <f>IFERROR(VLOOKUP(HW101,Horarios!$H:$I,2,0),"")</f>
        <v/>
      </c>
      <c r="HZ101" s="28" t="str">
        <f>IFERROR(VLOOKUP(HX101,Horarios!$H:$I,2,0),"")</f>
        <v/>
      </c>
      <c r="IA101" s="28" t="str">
        <f t="shared" si="90"/>
        <v>00:00</v>
      </c>
      <c r="IB101" s="29"/>
      <c r="IC101" s="27"/>
      <c r="ID101" s="27"/>
      <c r="IE101" s="28" t="str">
        <f>IFERROR(VLOOKUP(IC101,Horarios!$H:$I,2,0),"")</f>
        <v/>
      </c>
      <c r="IF101" s="28" t="str">
        <f>IFERROR(VLOOKUP(ID101,Horarios!$H:$I,2,0),"")</f>
        <v/>
      </c>
      <c r="IG101" s="28" t="str">
        <f t="shared" si="91"/>
        <v>00:00</v>
      </c>
      <c r="IH101" s="29"/>
      <c r="II101" s="27"/>
      <c r="IJ101" s="27"/>
      <c r="IK101" s="28" t="str">
        <f>IFERROR(VLOOKUP(II101,Horarios!$H:$I,2,0),"")</f>
        <v/>
      </c>
      <c r="IL101" s="28" t="str">
        <f>IFERROR(VLOOKUP(IJ101,Horarios!$H:$I,2,0),"")</f>
        <v/>
      </c>
      <c r="IM101" s="28" t="str">
        <f t="shared" si="92"/>
        <v>00:00</v>
      </c>
      <c r="IN101" s="29"/>
      <c r="IO101" s="27"/>
      <c r="IP101" s="27"/>
      <c r="IQ101" s="28" t="str">
        <f>IFERROR(VLOOKUP(IO101,Horarios!$H:$I,2,0),"")</f>
        <v/>
      </c>
      <c r="IR101" s="28" t="str">
        <f>IFERROR(VLOOKUP(IP101,Horarios!$H:$I,2,0),"")</f>
        <v/>
      </c>
      <c r="IS101" s="28" t="str">
        <f t="shared" si="93"/>
        <v>00:00</v>
      </c>
      <c r="IT101" s="29"/>
      <c r="IU101" s="27"/>
      <c r="IV101" s="27"/>
      <c r="IW101" s="28" t="str">
        <f>IFERROR(VLOOKUP(IU101,Horarios!$H:$I,2,0),"")</f>
        <v/>
      </c>
      <c r="IX101" s="28" t="str">
        <f>IFERROR(VLOOKUP(IV101,Horarios!$H:$I,2,0),"")</f>
        <v/>
      </c>
      <c r="IY101" s="28" t="str">
        <f t="shared" si="94"/>
        <v>00:00</v>
      </c>
      <c r="IZ101" s="29"/>
      <c r="JA101" s="31" t="str">
        <f t="shared" si="95"/>
        <v/>
      </c>
    </row>
    <row r="102" spans="1:261" s="24" customFormat="1" ht="17.399999999999999" x14ac:dyDescent="0.25">
      <c r="A102" s="25"/>
      <c r="B102" s="26" t="str">
        <f>IFERROR(VLOOKUP(A102,BaseNombres!A:B,2,0),"")</f>
        <v/>
      </c>
      <c r="C102" s="26" t="str">
        <f>IFERROR(VLOOKUP(A102,BaseNombres!A:C,3,0),"")</f>
        <v/>
      </c>
      <c r="D102" s="27"/>
      <c r="E102" s="27"/>
      <c r="F102" s="28" t="str">
        <f>IFERROR(VLOOKUP(D102,Horarios!$H:$I,2,0),"")</f>
        <v/>
      </c>
      <c r="G102" s="28" t="str">
        <f>IFERROR(VLOOKUP(E102,Horarios!$H:$I,2,0),"")</f>
        <v/>
      </c>
      <c r="H102" s="28" t="str">
        <f t="shared" si="48"/>
        <v>00:00</v>
      </c>
      <c r="I102" s="29"/>
      <c r="J102" s="27"/>
      <c r="K102" s="27"/>
      <c r="L102" s="28" t="str">
        <f>IFERROR(VLOOKUP(J102,Horarios!$H:$I,2,0),"")</f>
        <v/>
      </c>
      <c r="M102" s="28" t="str">
        <f>IFERROR(VLOOKUP(K102,Horarios!$H:$I,2,0),"")</f>
        <v/>
      </c>
      <c r="N102" s="28" t="str">
        <f t="shared" si="49"/>
        <v>00:00</v>
      </c>
      <c r="O102" s="29"/>
      <c r="P102" s="27"/>
      <c r="Q102" s="27"/>
      <c r="R102" s="28" t="str">
        <f>IFERROR(VLOOKUP(P102,Horarios!$H:$I,2,0),"")</f>
        <v/>
      </c>
      <c r="S102" s="28" t="str">
        <f>IFERROR(VLOOKUP(Q102,Horarios!$H:$I,2,0),"")</f>
        <v/>
      </c>
      <c r="T102" s="28" t="str">
        <f t="shared" si="50"/>
        <v>00:00</v>
      </c>
      <c r="U102" s="29"/>
      <c r="V102" s="27"/>
      <c r="W102" s="27"/>
      <c r="X102" s="28" t="str">
        <f>IFERROR(VLOOKUP(V102,Horarios!$H:$I,2,0),"")</f>
        <v/>
      </c>
      <c r="Y102" s="28" t="str">
        <f>IFERROR(VLOOKUP(W102,Horarios!$H:$I,2,0),"")</f>
        <v/>
      </c>
      <c r="Z102" s="28" t="str">
        <f t="shared" si="51"/>
        <v>00:00</v>
      </c>
      <c r="AA102" s="29"/>
      <c r="AB102" s="27"/>
      <c r="AC102" s="27"/>
      <c r="AD102" s="28" t="str">
        <f>IFERROR(VLOOKUP(AB102,Horarios!$H:$I,2,0),"")</f>
        <v/>
      </c>
      <c r="AE102" s="28" t="str">
        <f>IFERROR(VLOOKUP(AC102,Horarios!$H:$I,2,0),"")</f>
        <v/>
      </c>
      <c r="AF102" s="28" t="str">
        <f t="shared" si="52"/>
        <v>00:00</v>
      </c>
      <c r="AG102" s="29"/>
      <c r="AH102" s="27"/>
      <c r="AI102" s="27"/>
      <c r="AJ102" s="28" t="str">
        <f>IFERROR(VLOOKUP(AH102,Horarios!$H:$I,2,0),"")</f>
        <v/>
      </c>
      <c r="AK102" s="28" t="str">
        <f>IFERROR(VLOOKUP(AI102,Horarios!$H:$I,2,0),"")</f>
        <v/>
      </c>
      <c r="AL102" s="28" t="str">
        <f t="shared" si="53"/>
        <v>00:00</v>
      </c>
      <c r="AM102" s="29"/>
      <c r="AN102" s="27"/>
      <c r="AO102" s="27"/>
      <c r="AP102" s="28" t="str">
        <f>IFERROR(VLOOKUP(AN102,Horarios!$H:$I,2,0),"")</f>
        <v/>
      </c>
      <c r="AQ102" s="28" t="str">
        <f>IFERROR(VLOOKUP(AO102,Horarios!$H:$I,2,0),"")</f>
        <v/>
      </c>
      <c r="AR102" s="28" t="str">
        <f t="shared" si="54"/>
        <v>00:00</v>
      </c>
      <c r="AS102" s="29"/>
      <c r="AT102" s="31" t="str">
        <f t="shared" si="55"/>
        <v/>
      </c>
      <c r="AU102" s="27"/>
      <c r="AV102" s="27"/>
      <c r="AW102" s="28" t="str">
        <f>IFERROR(VLOOKUP(AU102,Horarios!$H:$I,2,0),"")</f>
        <v/>
      </c>
      <c r="AX102" s="28" t="str">
        <f>IFERROR(VLOOKUP(AV102,Horarios!$H:$I,2,0),"")</f>
        <v/>
      </c>
      <c r="AY102" s="28" t="str">
        <f t="shared" si="56"/>
        <v>00:00</v>
      </c>
      <c r="AZ102" s="29"/>
      <c r="BA102" s="27"/>
      <c r="BB102" s="27"/>
      <c r="BC102" s="28" t="str">
        <f>IFERROR(VLOOKUP(BA102,Horarios!$H:$I,2,0),"")</f>
        <v/>
      </c>
      <c r="BD102" s="28" t="str">
        <f>IFERROR(VLOOKUP(BB102,Horarios!$H:$I,2,0),"")</f>
        <v/>
      </c>
      <c r="BE102" s="28" t="str">
        <f t="shared" si="57"/>
        <v>00:00</v>
      </c>
      <c r="BF102" s="29"/>
      <c r="BG102" s="27"/>
      <c r="BH102" s="27"/>
      <c r="BI102" s="28" t="str">
        <f>IFERROR(VLOOKUP(BG102,Horarios!$H:$I,2,0),"")</f>
        <v/>
      </c>
      <c r="BJ102" s="28" t="str">
        <f>IFERROR(VLOOKUP(BH102,Horarios!$H:$I,2,0),"")</f>
        <v/>
      </c>
      <c r="BK102" s="28" t="str">
        <f t="shared" si="58"/>
        <v>00:00</v>
      </c>
      <c r="BL102" s="29"/>
      <c r="BM102" s="27"/>
      <c r="BN102" s="27"/>
      <c r="BO102" s="28" t="str">
        <f>IFERROR(VLOOKUP(BM102,Horarios!$H:$I,2,0),"")</f>
        <v/>
      </c>
      <c r="BP102" s="28" t="str">
        <f>IFERROR(VLOOKUP(BN102,Horarios!$H:$I,2,0),"")</f>
        <v/>
      </c>
      <c r="BQ102" s="28" t="str">
        <f t="shared" si="59"/>
        <v>00:00</v>
      </c>
      <c r="BR102" s="29"/>
      <c r="BS102" s="27"/>
      <c r="BT102" s="27"/>
      <c r="BU102" s="28" t="str">
        <f>IFERROR(VLOOKUP(BS102,Horarios!$H:$I,2,0),"")</f>
        <v/>
      </c>
      <c r="BV102" s="28" t="str">
        <f>IFERROR(VLOOKUP(BT102,Horarios!$H:$I,2,0),"")</f>
        <v/>
      </c>
      <c r="BW102" s="28" t="str">
        <f t="shared" si="60"/>
        <v>00:00</v>
      </c>
      <c r="BX102" s="29"/>
      <c r="BY102" s="27"/>
      <c r="BZ102" s="27"/>
      <c r="CA102" s="28" t="str">
        <f>IFERROR(VLOOKUP(BY102,Horarios!$H:$I,2,0),"")</f>
        <v/>
      </c>
      <c r="CB102" s="28" t="str">
        <f>IFERROR(VLOOKUP(BZ102,Horarios!$H:$I,2,0),"")</f>
        <v/>
      </c>
      <c r="CC102" s="28" t="str">
        <f t="shared" si="61"/>
        <v>00:00</v>
      </c>
      <c r="CD102" s="29"/>
      <c r="CE102" s="27"/>
      <c r="CF102" s="27"/>
      <c r="CG102" s="28" t="str">
        <f>IFERROR(VLOOKUP(CE102,Horarios!$H:$I,2,0),"")</f>
        <v/>
      </c>
      <c r="CH102" s="28" t="str">
        <f>IFERROR(VLOOKUP(CF102,Horarios!$H:$I,2,0),"")</f>
        <v/>
      </c>
      <c r="CI102" s="28" t="str">
        <f t="shared" si="62"/>
        <v>00:00</v>
      </c>
      <c r="CJ102" s="29"/>
      <c r="CK102" s="31" t="str">
        <f t="shared" si="63"/>
        <v/>
      </c>
      <c r="CL102" s="27"/>
      <c r="CM102" s="27"/>
      <c r="CN102" s="28" t="str">
        <f>IFERROR(VLOOKUP(CL102,Horarios!$H:$I,2,0),"")</f>
        <v/>
      </c>
      <c r="CO102" s="28" t="str">
        <f>IFERROR(VLOOKUP(CM102,Horarios!$H:$I,2,0),"")</f>
        <v/>
      </c>
      <c r="CP102" s="28" t="str">
        <f t="shared" si="64"/>
        <v>00:00</v>
      </c>
      <c r="CQ102" s="29"/>
      <c r="CR102" s="27"/>
      <c r="CS102" s="27"/>
      <c r="CT102" s="28" t="str">
        <f>IFERROR(VLOOKUP(CR102,Horarios!$H:$I,2,0),"")</f>
        <v/>
      </c>
      <c r="CU102" s="28" t="str">
        <f>IFERROR(VLOOKUP(CS102,Horarios!$H:$I,2,0),"")</f>
        <v/>
      </c>
      <c r="CV102" s="28" t="str">
        <f t="shared" si="65"/>
        <v>00:00</v>
      </c>
      <c r="CW102" s="29"/>
      <c r="CX102" s="27"/>
      <c r="CY102" s="27"/>
      <c r="CZ102" s="28" t="str">
        <f>IFERROR(VLOOKUP(CX102,Horarios!$H:$I,2,0),"")</f>
        <v/>
      </c>
      <c r="DA102" s="28" t="str">
        <f>IFERROR(VLOOKUP(CY102,Horarios!$H:$I,2,0),"")</f>
        <v/>
      </c>
      <c r="DB102" s="28" t="str">
        <f t="shared" si="66"/>
        <v>00:00</v>
      </c>
      <c r="DC102" s="29"/>
      <c r="DD102" s="27"/>
      <c r="DE102" s="27"/>
      <c r="DF102" s="28" t="str">
        <f>IFERROR(VLOOKUP(DD102,Horarios!$H:$I,2,0),"")</f>
        <v/>
      </c>
      <c r="DG102" s="28" t="str">
        <f>IFERROR(VLOOKUP(DE102,Horarios!$H:$I,2,0),"")</f>
        <v/>
      </c>
      <c r="DH102" s="28" t="str">
        <f t="shared" si="67"/>
        <v>00:00</v>
      </c>
      <c r="DI102" s="29"/>
      <c r="DJ102" s="27"/>
      <c r="DK102" s="27"/>
      <c r="DL102" s="28" t="str">
        <f>IFERROR(VLOOKUP(DJ102,Horarios!$H:$I,2,0),"")</f>
        <v/>
      </c>
      <c r="DM102" s="28" t="str">
        <f>IFERROR(VLOOKUP(DK102,Horarios!$H:$I,2,0),"")</f>
        <v/>
      </c>
      <c r="DN102" s="28" t="str">
        <f t="shared" si="68"/>
        <v>00:00</v>
      </c>
      <c r="DO102" s="29"/>
      <c r="DP102" s="27"/>
      <c r="DQ102" s="27"/>
      <c r="DR102" s="28" t="str">
        <f>IFERROR(VLOOKUP(DP102,Horarios!$H:$I,2,0),"")</f>
        <v/>
      </c>
      <c r="DS102" s="28" t="str">
        <f>IFERROR(VLOOKUP(DQ102,Horarios!$H:$I,2,0),"")</f>
        <v/>
      </c>
      <c r="DT102" s="28" t="str">
        <f t="shared" si="69"/>
        <v>00:00</v>
      </c>
      <c r="DU102" s="29"/>
      <c r="DV102" s="27"/>
      <c r="DW102" s="27"/>
      <c r="DX102" s="28" t="str">
        <f>IFERROR(VLOOKUP(DV102,Horarios!$H:$I,2,0),"")</f>
        <v/>
      </c>
      <c r="DY102" s="28" t="str">
        <f>IFERROR(VLOOKUP(DW102,Horarios!$H:$I,2,0),"")</f>
        <v/>
      </c>
      <c r="DZ102" s="28" t="str">
        <f t="shared" si="70"/>
        <v>00:00</v>
      </c>
      <c r="EA102" s="29"/>
      <c r="EB102" s="31" t="str">
        <f t="shared" si="71"/>
        <v/>
      </c>
      <c r="EC102" s="27"/>
      <c r="ED102" s="27"/>
      <c r="EE102" s="28" t="str">
        <f>IFERROR(VLOOKUP(EC102,Horarios!$H:$I,2,0),"")</f>
        <v/>
      </c>
      <c r="EF102" s="28" t="str">
        <f>IFERROR(VLOOKUP(ED102,Horarios!$H:$I,2,0),"")</f>
        <v/>
      </c>
      <c r="EG102" s="28" t="str">
        <f t="shared" si="72"/>
        <v>00:00</v>
      </c>
      <c r="EH102" s="29"/>
      <c r="EI102" s="27"/>
      <c r="EJ102" s="27"/>
      <c r="EK102" s="28" t="str">
        <f>IFERROR(VLOOKUP(EI102,Horarios!$H:$I,2,0),"")</f>
        <v/>
      </c>
      <c r="EL102" s="28" t="str">
        <f>IFERROR(VLOOKUP(EJ102,Horarios!$H:$I,2,0),"")</f>
        <v/>
      </c>
      <c r="EM102" s="28" t="str">
        <f t="shared" si="73"/>
        <v>00:00</v>
      </c>
      <c r="EN102" s="29"/>
      <c r="EO102" s="27"/>
      <c r="EP102" s="27"/>
      <c r="EQ102" s="28" t="str">
        <f>IFERROR(VLOOKUP(EO102,Horarios!$H:$I,2,0),"")</f>
        <v/>
      </c>
      <c r="ER102" s="28" t="str">
        <f>IFERROR(VLOOKUP(EP102,Horarios!$H:$I,2,0),"")</f>
        <v/>
      </c>
      <c r="ES102" s="28" t="str">
        <f t="shared" si="74"/>
        <v>00:00</v>
      </c>
      <c r="ET102" s="29"/>
      <c r="EU102" s="27"/>
      <c r="EV102" s="27"/>
      <c r="EW102" s="28" t="str">
        <f>IFERROR(VLOOKUP(EU102,Horarios!$H:$I,2,0),"")</f>
        <v/>
      </c>
      <c r="EX102" s="28" t="str">
        <f>IFERROR(VLOOKUP(EV102,Horarios!$H:$I,2,0),"")</f>
        <v/>
      </c>
      <c r="EY102" s="28" t="str">
        <f t="shared" si="75"/>
        <v>00:00</v>
      </c>
      <c r="EZ102" s="29"/>
      <c r="FA102" s="27"/>
      <c r="FB102" s="27"/>
      <c r="FC102" s="28" t="str">
        <f>IFERROR(VLOOKUP(FA102,Horarios!$H:$I,2,0),"")</f>
        <v/>
      </c>
      <c r="FD102" s="28" t="str">
        <f>IFERROR(VLOOKUP(FB102,Horarios!$H:$I,2,0),"")</f>
        <v/>
      </c>
      <c r="FE102" s="28" t="str">
        <f t="shared" si="76"/>
        <v>00:00</v>
      </c>
      <c r="FF102" s="29"/>
      <c r="FG102" s="27"/>
      <c r="FH102" s="27"/>
      <c r="FI102" s="28" t="str">
        <f>IFERROR(VLOOKUP(FG102,Horarios!$H:$I,2,0),"")</f>
        <v/>
      </c>
      <c r="FJ102" s="28" t="str">
        <f>IFERROR(VLOOKUP(FH102,Horarios!$H:$I,2,0),"")</f>
        <v/>
      </c>
      <c r="FK102" s="28" t="str">
        <f t="shared" si="77"/>
        <v>00:00</v>
      </c>
      <c r="FL102" s="29"/>
      <c r="FM102" s="27"/>
      <c r="FN102" s="27"/>
      <c r="FO102" s="28" t="str">
        <f>IFERROR(VLOOKUP(FM102,Horarios!$H:$I,2,0),"")</f>
        <v/>
      </c>
      <c r="FP102" s="28" t="str">
        <f>IFERROR(VLOOKUP(FN102,Horarios!$H:$I,2,0),"")</f>
        <v/>
      </c>
      <c r="FQ102" s="28" t="str">
        <f t="shared" si="78"/>
        <v>00:00</v>
      </c>
      <c r="FR102" s="29"/>
      <c r="FS102" s="31" t="str">
        <f t="shared" si="79"/>
        <v/>
      </c>
      <c r="FT102" s="27"/>
      <c r="FU102" s="27"/>
      <c r="FV102" s="28" t="str">
        <f>IFERROR(VLOOKUP(FT102,Horarios!$H:$I,2,0),"")</f>
        <v/>
      </c>
      <c r="FW102" s="28" t="str">
        <f>IFERROR(VLOOKUP(FU102,Horarios!$H:$I,2,0),"")</f>
        <v/>
      </c>
      <c r="FX102" s="28" t="str">
        <f t="shared" si="80"/>
        <v>00:00</v>
      </c>
      <c r="FY102" s="29"/>
      <c r="FZ102" s="27"/>
      <c r="GA102" s="27"/>
      <c r="GB102" s="28" t="str">
        <f>IFERROR(VLOOKUP(FZ102,Horarios!$H:$I,2,0),"")</f>
        <v/>
      </c>
      <c r="GC102" s="28" t="str">
        <f>IFERROR(VLOOKUP(GA102,Horarios!$H:$I,2,0),"")</f>
        <v/>
      </c>
      <c r="GD102" s="28" t="str">
        <f t="shared" si="81"/>
        <v>00:00</v>
      </c>
      <c r="GE102" s="29"/>
      <c r="GF102" s="27"/>
      <c r="GG102" s="27"/>
      <c r="GH102" s="28" t="str">
        <f>IFERROR(VLOOKUP(GF102,Horarios!$H:$I,2,0),"")</f>
        <v/>
      </c>
      <c r="GI102" s="28" t="str">
        <f>IFERROR(VLOOKUP(GG102,Horarios!$H:$I,2,0),"")</f>
        <v/>
      </c>
      <c r="GJ102" s="28" t="str">
        <f t="shared" si="82"/>
        <v>00:00</v>
      </c>
      <c r="GK102" s="29"/>
      <c r="GL102" s="27"/>
      <c r="GM102" s="27"/>
      <c r="GN102" s="28" t="str">
        <f>IFERROR(VLOOKUP(GL102,Horarios!$H:$I,2,0),"")</f>
        <v/>
      </c>
      <c r="GO102" s="28" t="str">
        <f>IFERROR(VLOOKUP(GM102,Horarios!$H:$I,2,0),"")</f>
        <v/>
      </c>
      <c r="GP102" s="28" t="str">
        <f t="shared" si="83"/>
        <v>00:00</v>
      </c>
      <c r="GQ102" s="29"/>
      <c r="GR102" s="27"/>
      <c r="GS102" s="27"/>
      <c r="GT102" s="28" t="str">
        <f>IFERROR(VLOOKUP(GR102,Horarios!$H:$I,2,0),"")</f>
        <v/>
      </c>
      <c r="GU102" s="28" t="str">
        <f>IFERROR(VLOOKUP(GS102,Horarios!$H:$I,2,0),"")</f>
        <v/>
      </c>
      <c r="GV102" s="28" t="str">
        <f t="shared" si="84"/>
        <v>00:00</v>
      </c>
      <c r="GW102" s="29"/>
      <c r="GX102" s="27"/>
      <c r="GY102" s="27"/>
      <c r="GZ102" s="28" t="str">
        <f>IFERROR(VLOOKUP(GX102,Horarios!$H:$I,2,0),"")</f>
        <v/>
      </c>
      <c r="HA102" s="28" t="str">
        <f>IFERROR(VLOOKUP(GY102,Horarios!$H:$I,2,0),"")</f>
        <v/>
      </c>
      <c r="HB102" s="28" t="str">
        <f t="shared" si="85"/>
        <v>00:00</v>
      </c>
      <c r="HC102" s="29"/>
      <c r="HD102" s="27"/>
      <c r="HE102" s="27"/>
      <c r="HF102" s="28" t="str">
        <f>IFERROR(VLOOKUP(HD102,Horarios!$H:$I,2,0),"")</f>
        <v/>
      </c>
      <c r="HG102" s="28" t="str">
        <f>IFERROR(VLOOKUP(HE102,Horarios!$H:$I,2,0),"")</f>
        <v/>
      </c>
      <c r="HH102" s="28" t="str">
        <f t="shared" si="86"/>
        <v>00:00</v>
      </c>
      <c r="HI102" s="29"/>
      <c r="HJ102" s="31" t="str">
        <f t="shared" si="87"/>
        <v/>
      </c>
      <c r="HK102" s="27"/>
      <c r="HL102" s="27"/>
      <c r="HM102" s="28" t="str">
        <f>IFERROR(VLOOKUP(HK102,Horarios!$H:$I,2,0),"")</f>
        <v/>
      </c>
      <c r="HN102" s="28" t="str">
        <f>IFERROR(VLOOKUP(HL102,Horarios!$H:$I,2,0),"")</f>
        <v/>
      </c>
      <c r="HO102" s="28" t="str">
        <f t="shared" si="88"/>
        <v>00:00</v>
      </c>
      <c r="HP102" s="29"/>
      <c r="HQ102" s="27"/>
      <c r="HR102" s="27"/>
      <c r="HS102" s="28" t="str">
        <f>IFERROR(VLOOKUP(HQ102,Horarios!$H:$I,2,0),"")</f>
        <v/>
      </c>
      <c r="HT102" s="28" t="str">
        <f>IFERROR(VLOOKUP(HR102,Horarios!$H:$I,2,0),"")</f>
        <v/>
      </c>
      <c r="HU102" s="28" t="str">
        <f t="shared" si="89"/>
        <v>00:00</v>
      </c>
      <c r="HV102" s="29"/>
      <c r="HW102" s="27"/>
      <c r="HX102" s="27"/>
      <c r="HY102" s="28" t="str">
        <f>IFERROR(VLOOKUP(HW102,Horarios!$H:$I,2,0),"")</f>
        <v/>
      </c>
      <c r="HZ102" s="28" t="str">
        <f>IFERROR(VLOOKUP(HX102,Horarios!$H:$I,2,0),"")</f>
        <v/>
      </c>
      <c r="IA102" s="28" t="str">
        <f t="shared" si="90"/>
        <v>00:00</v>
      </c>
      <c r="IB102" s="29"/>
      <c r="IC102" s="27"/>
      <c r="ID102" s="27"/>
      <c r="IE102" s="28" t="str">
        <f>IFERROR(VLOOKUP(IC102,Horarios!$H:$I,2,0),"")</f>
        <v/>
      </c>
      <c r="IF102" s="28" t="str">
        <f>IFERROR(VLOOKUP(ID102,Horarios!$H:$I,2,0),"")</f>
        <v/>
      </c>
      <c r="IG102" s="28" t="str">
        <f t="shared" si="91"/>
        <v>00:00</v>
      </c>
      <c r="IH102" s="29"/>
      <c r="II102" s="27"/>
      <c r="IJ102" s="27"/>
      <c r="IK102" s="28" t="str">
        <f>IFERROR(VLOOKUP(II102,Horarios!$H:$I,2,0),"")</f>
        <v/>
      </c>
      <c r="IL102" s="28" t="str">
        <f>IFERROR(VLOOKUP(IJ102,Horarios!$H:$I,2,0),"")</f>
        <v/>
      </c>
      <c r="IM102" s="28" t="str">
        <f t="shared" si="92"/>
        <v>00:00</v>
      </c>
      <c r="IN102" s="29"/>
      <c r="IO102" s="27"/>
      <c r="IP102" s="27"/>
      <c r="IQ102" s="28" t="str">
        <f>IFERROR(VLOOKUP(IO102,Horarios!$H:$I,2,0),"")</f>
        <v/>
      </c>
      <c r="IR102" s="28" t="str">
        <f>IFERROR(VLOOKUP(IP102,Horarios!$H:$I,2,0),"")</f>
        <v/>
      </c>
      <c r="IS102" s="28" t="str">
        <f t="shared" si="93"/>
        <v>00:00</v>
      </c>
      <c r="IT102" s="29"/>
      <c r="IU102" s="27"/>
      <c r="IV102" s="27"/>
      <c r="IW102" s="28" t="str">
        <f>IFERROR(VLOOKUP(IU102,Horarios!$H:$I,2,0),"")</f>
        <v/>
      </c>
      <c r="IX102" s="28" t="str">
        <f>IFERROR(VLOOKUP(IV102,Horarios!$H:$I,2,0),"")</f>
        <v/>
      </c>
      <c r="IY102" s="28" t="str">
        <f t="shared" si="94"/>
        <v>00:00</v>
      </c>
      <c r="IZ102" s="29"/>
      <c r="JA102" s="31" t="str">
        <f t="shared" si="95"/>
        <v/>
      </c>
    </row>
    <row r="103" spans="1:261" s="24" customFormat="1" ht="17.399999999999999" x14ac:dyDescent="0.25">
      <c r="A103" s="25"/>
      <c r="B103" s="26" t="str">
        <f>IFERROR(VLOOKUP(A103,BaseNombres!A:B,2,0),"")</f>
        <v/>
      </c>
      <c r="C103" s="26" t="str">
        <f>IFERROR(VLOOKUP(A103,BaseNombres!A:C,3,0),"")</f>
        <v/>
      </c>
      <c r="D103" s="27"/>
      <c r="E103" s="27"/>
      <c r="F103" s="28" t="str">
        <f>IFERROR(VLOOKUP(D103,Horarios!$H:$I,2,0),"")</f>
        <v/>
      </c>
      <c r="G103" s="28" t="str">
        <f>IFERROR(VLOOKUP(E103,Horarios!$H:$I,2,0),"")</f>
        <v/>
      </c>
      <c r="H103" s="28" t="str">
        <f t="shared" si="48"/>
        <v>00:00</v>
      </c>
      <c r="I103" s="29"/>
      <c r="J103" s="27"/>
      <c r="K103" s="27"/>
      <c r="L103" s="28" t="str">
        <f>IFERROR(VLOOKUP(J103,Horarios!$H:$I,2,0),"")</f>
        <v/>
      </c>
      <c r="M103" s="28" t="str">
        <f>IFERROR(VLOOKUP(K103,Horarios!$H:$I,2,0),"")</f>
        <v/>
      </c>
      <c r="N103" s="28" t="str">
        <f t="shared" si="49"/>
        <v>00:00</v>
      </c>
      <c r="O103" s="29"/>
      <c r="P103" s="27"/>
      <c r="Q103" s="27"/>
      <c r="R103" s="28" t="str">
        <f>IFERROR(VLOOKUP(P103,Horarios!$H:$I,2,0),"")</f>
        <v/>
      </c>
      <c r="S103" s="28" t="str">
        <f>IFERROR(VLOOKUP(Q103,Horarios!$H:$I,2,0),"")</f>
        <v/>
      </c>
      <c r="T103" s="28" t="str">
        <f t="shared" si="50"/>
        <v>00:00</v>
      </c>
      <c r="U103" s="29"/>
      <c r="V103" s="27"/>
      <c r="W103" s="27"/>
      <c r="X103" s="28" t="str">
        <f>IFERROR(VLOOKUP(V103,Horarios!$H:$I,2,0),"")</f>
        <v/>
      </c>
      <c r="Y103" s="28" t="str">
        <f>IFERROR(VLOOKUP(W103,Horarios!$H:$I,2,0),"")</f>
        <v/>
      </c>
      <c r="Z103" s="28" t="str">
        <f t="shared" si="51"/>
        <v>00:00</v>
      </c>
      <c r="AA103" s="29"/>
      <c r="AB103" s="27"/>
      <c r="AC103" s="27"/>
      <c r="AD103" s="28" t="str">
        <f>IFERROR(VLOOKUP(AB103,Horarios!$H:$I,2,0),"")</f>
        <v/>
      </c>
      <c r="AE103" s="28" t="str">
        <f>IFERROR(VLOOKUP(AC103,Horarios!$H:$I,2,0),"")</f>
        <v/>
      </c>
      <c r="AF103" s="28" t="str">
        <f t="shared" si="52"/>
        <v>00:00</v>
      </c>
      <c r="AG103" s="29"/>
      <c r="AH103" s="27"/>
      <c r="AI103" s="27"/>
      <c r="AJ103" s="28" t="str">
        <f>IFERROR(VLOOKUP(AH103,Horarios!$H:$I,2,0),"")</f>
        <v/>
      </c>
      <c r="AK103" s="28" t="str">
        <f>IFERROR(VLOOKUP(AI103,Horarios!$H:$I,2,0),"")</f>
        <v/>
      </c>
      <c r="AL103" s="28" t="str">
        <f t="shared" si="53"/>
        <v>00:00</v>
      </c>
      <c r="AM103" s="29"/>
      <c r="AN103" s="27"/>
      <c r="AO103" s="27"/>
      <c r="AP103" s="28" t="str">
        <f>IFERROR(VLOOKUP(AN103,Horarios!$H:$I,2,0),"")</f>
        <v/>
      </c>
      <c r="AQ103" s="28" t="str">
        <f>IFERROR(VLOOKUP(AO103,Horarios!$H:$I,2,0),"")</f>
        <v/>
      </c>
      <c r="AR103" s="28" t="str">
        <f t="shared" si="54"/>
        <v>00:00</v>
      </c>
      <c r="AS103" s="29"/>
      <c r="AT103" s="31" t="str">
        <f t="shared" si="55"/>
        <v/>
      </c>
      <c r="AU103" s="27"/>
      <c r="AV103" s="27"/>
      <c r="AW103" s="28" t="str">
        <f>IFERROR(VLOOKUP(AU103,Horarios!$H:$I,2,0),"")</f>
        <v/>
      </c>
      <c r="AX103" s="28" t="str">
        <f>IFERROR(VLOOKUP(AV103,Horarios!$H:$I,2,0),"")</f>
        <v/>
      </c>
      <c r="AY103" s="28" t="str">
        <f t="shared" si="56"/>
        <v>00:00</v>
      </c>
      <c r="AZ103" s="29"/>
      <c r="BA103" s="27"/>
      <c r="BB103" s="27"/>
      <c r="BC103" s="28" t="str">
        <f>IFERROR(VLOOKUP(BA103,Horarios!$H:$I,2,0),"")</f>
        <v/>
      </c>
      <c r="BD103" s="28" t="str">
        <f>IFERROR(VLOOKUP(BB103,Horarios!$H:$I,2,0),"")</f>
        <v/>
      </c>
      <c r="BE103" s="28" t="str">
        <f t="shared" si="57"/>
        <v>00:00</v>
      </c>
      <c r="BF103" s="29"/>
      <c r="BG103" s="27"/>
      <c r="BH103" s="27"/>
      <c r="BI103" s="28" t="str">
        <f>IFERROR(VLOOKUP(BG103,Horarios!$H:$I,2,0),"")</f>
        <v/>
      </c>
      <c r="BJ103" s="28" t="str">
        <f>IFERROR(VLOOKUP(BH103,Horarios!$H:$I,2,0),"")</f>
        <v/>
      </c>
      <c r="BK103" s="28" t="str">
        <f t="shared" si="58"/>
        <v>00:00</v>
      </c>
      <c r="BL103" s="29"/>
      <c r="BM103" s="27"/>
      <c r="BN103" s="27"/>
      <c r="BO103" s="28" t="str">
        <f>IFERROR(VLOOKUP(BM103,Horarios!$H:$I,2,0),"")</f>
        <v/>
      </c>
      <c r="BP103" s="28" t="str">
        <f>IFERROR(VLOOKUP(BN103,Horarios!$H:$I,2,0),"")</f>
        <v/>
      </c>
      <c r="BQ103" s="28" t="str">
        <f t="shared" si="59"/>
        <v>00:00</v>
      </c>
      <c r="BR103" s="29"/>
      <c r="BS103" s="27"/>
      <c r="BT103" s="27"/>
      <c r="BU103" s="28" t="str">
        <f>IFERROR(VLOOKUP(BS103,Horarios!$H:$I,2,0),"")</f>
        <v/>
      </c>
      <c r="BV103" s="28" t="str">
        <f>IFERROR(VLOOKUP(BT103,Horarios!$H:$I,2,0),"")</f>
        <v/>
      </c>
      <c r="BW103" s="28" t="str">
        <f t="shared" si="60"/>
        <v>00:00</v>
      </c>
      <c r="BX103" s="29"/>
      <c r="BY103" s="27"/>
      <c r="BZ103" s="27"/>
      <c r="CA103" s="28" t="str">
        <f>IFERROR(VLOOKUP(BY103,Horarios!$H:$I,2,0),"")</f>
        <v/>
      </c>
      <c r="CB103" s="28" t="str">
        <f>IFERROR(VLOOKUP(BZ103,Horarios!$H:$I,2,0),"")</f>
        <v/>
      </c>
      <c r="CC103" s="28" t="str">
        <f t="shared" si="61"/>
        <v>00:00</v>
      </c>
      <c r="CD103" s="29"/>
      <c r="CE103" s="27"/>
      <c r="CF103" s="27"/>
      <c r="CG103" s="28" t="str">
        <f>IFERROR(VLOOKUP(CE103,Horarios!$H:$I,2,0),"")</f>
        <v/>
      </c>
      <c r="CH103" s="28" t="str">
        <f>IFERROR(VLOOKUP(CF103,Horarios!$H:$I,2,0),"")</f>
        <v/>
      </c>
      <c r="CI103" s="28" t="str">
        <f t="shared" si="62"/>
        <v>00:00</v>
      </c>
      <c r="CJ103" s="29"/>
      <c r="CK103" s="31" t="str">
        <f t="shared" si="63"/>
        <v/>
      </c>
      <c r="CL103" s="27"/>
      <c r="CM103" s="27"/>
      <c r="CN103" s="28" t="str">
        <f>IFERROR(VLOOKUP(CL103,Horarios!$H:$I,2,0),"")</f>
        <v/>
      </c>
      <c r="CO103" s="28" t="str">
        <f>IFERROR(VLOOKUP(CM103,Horarios!$H:$I,2,0),"")</f>
        <v/>
      </c>
      <c r="CP103" s="28" t="str">
        <f t="shared" si="64"/>
        <v>00:00</v>
      </c>
      <c r="CQ103" s="29"/>
      <c r="CR103" s="27"/>
      <c r="CS103" s="27"/>
      <c r="CT103" s="28" t="str">
        <f>IFERROR(VLOOKUP(CR103,Horarios!$H:$I,2,0),"")</f>
        <v/>
      </c>
      <c r="CU103" s="28" t="str">
        <f>IFERROR(VLOOKUP(CS103,Horarios!$H:$I,2,0),"")</f>
        <v/>
      </c>
      <c r="CV103" s="28" t="str">
        <f t="shared" si="65"/>
        <v>00:00</v>
      </c>
      <c r="CW103" s="29"/>
      <c r="CX103" s="27"/>
      <c r="CY103" s="27"/>
      <c r="CZ103" s="28" t="str">
        <f>IFERROR(VLOOKUP(CX103,Horarios!$H:$I,2,0),"")</f>
        <v/>
      </c>
      <c r="DA103" s="28" t="str">
        <f>IFERROR(VLOOKUP(CY103,Horarios!$H:$I,2,0),"")</f>
        <v/>
      </c>
      <c r="DB103" s="28" t="str">
        <f t="shared" si="66"/>
        <v>00:00</v>
      </c>
      <c r="DC103" s="29"/>
      <c r="DD103" s="27"/>
      <c r="DE103" s="27"/>
      <c r="DF103" s="28" t="str">
        <f>IFERROR(VLOOKUP(DD103,Horarios!$H:$I,2,0),"")</f>
        <v/>
      </c>
      <c r="DG103" s="28" t="str">
        <f>IFERROR(VLOOKUP(DE103,Horarios!$H:$I,2,0),"")</f>
        <v/>
      </c>
      <c r="DH103" s="28" t="str">
        <f t="shared" si="67"/>
        <v>00:00</v>
      </c>
      <c r="DI103" s="29"/>
      <c r="DJ103" s="27"/>
      <c r="DK103" s="27"/>
      <c r="DL103" s="28" t="str">
        <f>IFERROR(VLOOKUP(DJ103,Horarios!$H:$I,2,0),"")</f>
        <v/>
      </c>
      <c r="DM103" s="28" t="str">
        <f>IFERROR(VLOOKUP(DK103,Horarios!$H:$I,2,0),"")</f>
        <v/>
      </c>
      <c r="DN103" s="28" t="str">
        <f t="shared" si="68"/>
        <v>00:00</v>
      </c>
      <c r="DO103" s="29"/>
      <c r="DP103" s="27"/>
      <c r="DQ103" s="27"/>
      <c r="DR103" s="28" t="str">
        <f>IFERROR(VLOOKUP(DP103,Horarios!$H:$I,2,0),"")</f>
        <v/>
      </c>
      <c r="DS103" s="28" t="str">
        <f>IFERROR(VLOOKUP(DQ103,Horarios!$H:$I,2,0),"")</f>
        <v/>
      </c>
      <c r="DT103" s="28" t="str">
        <f t="shared" si="69"/>
        <v>00:00</v>
      </c>
      <c r="DU103" s="29"/>
      <c r="DV103" s="27"/>
      <c r="DW103" s="27"/>
      <c r="DX103" s="28" t="str">
        <f>IFERROR(VLOOKUP(DV103,Horarios!$H:$I,2,0),"")</f>
        <v/>
      </c>
      <c r="DY103" s="28" t="str">
        <f>IFERROR(VLOOKUP(DW103,Horarios!$H:$I,2,0),"")</f>
        <v/>
      </c>
      <c r="DZ103" s="28" t="str">
        <f t="shared" si="70"/>
        <v>00:00</v>
      </c>
      <c r="EA103" s="29"/>
      <c r="EB103" s="31" t="str">
        <f t="shared" si="71"/>
        <v/>
      </c>
      <c r="EC103" s="27"/>
      <c r="ED103" s="27"/>
      <c r="EE103" s="28" t="str">
        <f>IFERROR(VLOOKUP(EC103,Horarios!$H:$I,2,0),"")</f>
        <v/>
      </c>
      <c r="EF103" s="28" t="str">
        <f>IFERROR(VLOOKUP(ED103,Horarios!$H:$I,2,0),"")</f>
        <v/>
      </c>
      <c r="EG103" s="28" t="str">
        <f t="shared" si="72"/>
        <v>00:00</v>
      </c>
      <c r="EH103" s="29"/>
      <c r="EI103" s="27"/>
      <c r="EJ103" s="27"/>
      <c r="EK103" s="28" t="str">
        <f>IFERROR(VLOOKUP(EI103,Horarios!$H:$I,2,0),"")</f>
        <v/>
      </c>
      <c r="EL103" s="28" t="str">
        <f>IFERROR(VLOOKUP(EJ103,Horarios!$H:$I,2,0),"")</f>
        <v/>
      </c>
      <c r="EM103" s="28" t="str">
        <f t="shared" si="73"/>
        <v>00:00</v>
      </c>
      <c r="EN103" s="29"/>
      <c r="EO103" s="27"/>
      <c r="EP103" s="27"/>
      <c r="EQ103" s="28" t="str">
        <f>IFERROR(VLOOKUP(EO103,Horarios!$H:$I,2,0),"")</f>
        <v/>
      </c>
      <c r="ER103" s="28" t="str">
        <f>IFERROR(VLOOKUP(EP103,Horarios!$H:$I,2,0),"")</f>
        <v/>
      </c>
      <c r="ES103" s="28" t="str">
        <f t="shared" si="74"/>
        <v>00:00</v>
      </c>
      <c r="ET103" s="29"/>
      <c r="EU103" s="27"/>
      <c r="EV103" s="27"/>
      <c r="EW103" s="28" t="str">
        <f>IFERROR(VLOOKUP(EU103,Horarios!$H:$I,2,0),"")</f>
        <v/>
      </c>
      <c r="EX103" s="28" t="str">
        <f>IFERROR(VLOOKUP(EV103,Horarios!$H:$I,2,0),"")</f>
        <v/>
      </c>
      <c r="EY103" s="28" t="str">
        <f t="shared" si="75"/>
        <v>00:00</v>
      </c>
      <c r="EZ103" s="29"/>
      <c r="FA103" s="27"/>
      <c r="FB103" s="27"/>
      <c r="FC103" s="28" t="str">
        <f>IFERROR(VLOOKUP(FA103,Horarios!$H:$I,2,0),"")</f>
        <v/>
      </c>
      <c r="FD103" s="28" t="str">
        <f>IFERROR(VLOOKUP(FB103,Horarios!$H:$I,2,0),"")</f>
        <v/>
      </c>
      <c r="FE103" s="28" t="str">
        <f t="shared" si="76"/>
        <v>00:00</v>
      </c>
      <c r="FF103" s="29"/>
      <c r="FG103" s="27"/>
      <c r="FH103" s="27"/>
      <c r="FI103" s="28" t="str">
        <f>IFERROR(VLOOKUP(FG103,Horarios!$H:$I,2,0),"")</f>
        <v/>
      </c>
      <c r="FJ103" s="28" t="str">
        <f>IFERROR(VLOOKUP(FH103,Horarios!$H:$I,2,0),"")</f>
        <v/>
      </c>
      <c r="FK103" s="28" t="str">
        <f t="shared" si="77"/>
        <v>00:00</v>
      </c>
      <c r="FL103" s="29"/>
      <c r="FM103" s="27"/>
      <c r="FN103" s="27"/>
      <c r="FO103" s="28" t="str">
        <f>IFERROR(VLOOKUP(FM103,Horarios!$H:$I,2,0),"")</f>
        <v/>
      </c>
      <c r="FP103" s="28" t="str">
        <f>IFERROR(VLOOKUP(FN103,Horarios!$H:$I,2,0),"")</f>
        <v/>
      </c>
      <c r="FQ103" s="28" t="str">
        <f t="shared" si="78"/>
        <v>00:00</v>
      </c>
      <c r="FR103" s="29"/>
      <c r="FS103" s="31" t="str">
        <f t="shared" si="79"/>
        <v/>
      </c>
      <c r="FT103" s="27"/>
      <c r="FU103" s="27"/>
      <c r="FV103" s="28" t="str">
        <f>IFERROR(VLOOKUP(FT103,Horarios!$H:$I,2,0),"")</f>
        <v/>
      </c>
      <c r="FW103" s="28" t="str">
        <f>IFERROR(VLOOKUP(FU103,Horarios!$H:$I,2,0),"")</f>
        <v/>
      </c>
      <c r="FX103" s="28" t="str">
        <f t="shared" si="80"/>
        <v>00:00</v>
      </c>
      <c r="FY103" s="29"/>
      <c r="FZ103" s="27"/>
      <c r="GA103" s="27"/>
      <c r="GB103" s="28" t="str">
        <f>IFERROR(VLOOKUP(FZ103,Horarios!$H:$I,2,0),"")</f>
        <v/>
      </c>
      <c r="GC103" s="28" t="str">
        <f>IFERROR(VLOOKUP(GA103,Horarios!$H:$I,2,0),"")</f>
        <v/>
      </c>
      <c r="GD103" s="28" t="str">
        <f t="shared" si="81"/>
        <v>00:00</v>
      </c>
      <c r="GE103" s="29"/>
      <c r="GF103" s="27"/>
      <c r="GG103" s="27"/>
      <c r="GH103" s="28" t="str">
        <f>IFERROR(VLOOKUP(GF103,Horarios!$H:$I,2,0),"")</f>
        <v/>
      </c>
      <c r="GI103" s="28" t="str">
        <f>IFERROR(VLOOKUP(GG103,Horarios!$H:$I,2,0),"")</f>
        <v/>
      </c>
      <c r="GJ103" s="28" t="str">
        <f t="shared" si="82"/>
        <v>00:00</v>
      </c>
      <c r="GK103" s="29"/>
      <c r="GL103" s="27"/>
      <c r="GM103" s="27"/>
      <c r="GN103" s="28" t="str">
        <f>IFERROR(VLOOKUP(GL103,Horarios!$H:$I,2,0),"")</f>
        <v/>
      </c>
      <c r="GO103" s="28" t="str">
        <f>IFERROR(VLOOKUP(GM103,Horarios!$H:$I,2,0),"")</f>
        <v/>
      </c>
      <c r="GP103" s="28" t="str">
        <f t="shared" si="83"/>
        <v>00:00</v>
      </c>
      <c r="GQ103" s="29"/>
      <c r="GR103" s="27"/>
      <c r="GS103" s="27"/>
      <c r="GT103" s="28" t="str">
        <f>IFERROR(VLOOKUP(GR103,Horarios!$H:$I,2,0),"")</f>
        <v/>
      </c>
      <c r="GU103" s="28" t="str">
        <f>IFERROR(VLOOKUP(GS103,Horarios!$H:$I,2,0),"")</f>
        <v/>
      </c>
      <c r="GV103" s="28" t="str">
        <f t="shared" si="84"/>
        <v>00:00</v>
      </c>
      <c r="GW103" s="29"/>
      <c r="GX103" s="27"/>
      <c r="GY103" s="27"/>
      <c r="GZ103" s="28" t="str">
        <f>IFERROR(VLOOKUP(GX103,Horarios!$H:$I,2,0),"")</f>
        <v/>
      </c>
      <c r="HA103" s="28" t="str">
        <f>IFERROR(VLOOKUP(GY103,Horarios!$H:$I,2,0),"")</f>
        <v/>
      </c>
      <c r="HB103" s="28" t="str">
        <f t="shared" si="85"/>
        <v>00:00</v>
      </c>
      <c r="HC103" s="29"/>
      <c r="HD103" s="27"/>
      <c r="HE103" s="27"/>
      <c r="HF103" s="28" t="str">
        <f>IFERROR(VLOOKUP(HD103,Horarios!$H:$I,2,0),"")</f>
        <v/>
      </c>
      <c r="HG103" s="28" t="str">
        <f>IFERROR(VLOOKUP(HE103,Horarios!$H:$I,2,0),"")</f>
        <v/>
      </c>
      <c r="HH103" s="28" t="str">
        <f t="shared" si="86"/>
        <v>00:00</v>
      </c>
      <c r="HI103" s="29"/>
      <c r="HJ103" s="31" t="str">
        <f t="shared" si="87"/>
        <v/>
      </c>
      <c r="HK103" s="27"/>
      <c r="HL103" s="27"/>
      <c r="HM103" s="28" t="str">
        <f>IFERROR(VLOOKUP(HK103,Horarios!$H:$I,2,0),"")</f>
        <v/>
      </c>
      <c r="HN103" s="28" t="str">
        <f>IFERROR(VLOOKUP(HL103,Horarios!$H:$I,2,0),"")</f>
        <v/>
      </c>
      <c r="HO103" s="28" t="str">
        <f t="shared" si="88"/>
        <v>00:00</v>
      </c>
      <c r="HP103" s="29"/>
      <c r="HQ103" s="27"/>
      <c r="HR103" s="27"/>
      <c r="HS103" s="28" t="str">
        <f>IFERROR(VLOOKUP(HQ103,Horarios!$H:$I,2,0),"")</f>
        <v/>
      </c>
      <c r="HT103" s="28" t="str">
        <f>IFERROR(VLOOKUP(HR103,Horarios!$H:$I,2,0),"")</f>
        <v/>
      </c>
      <c r="HU103" s="28" t="str">
        <f t="shared" si="89"/>
        <v>00:00</v>
      </c>
      <c r="HV103" s="29"/>
      <c r="HW103" s="27"/>
      <c r="HX103" s="27"/>
      <c r="HY103" s="28" t="str">
        <f>IFERROR(VLOOKUP(HW103,Horarios!$H:$I,2,0),"")</f>
        <v/>
      </c>
      <c r="HZ103" s="28" t="str">
        <f>IFERROR(VLOOKUP(HX103,Horarios!$H:$I,2,0),"")</f>
        <v/>
      </c>
      <c r="IA103" s="28" t="str">
        <f t="shared" si="90"/>
        <v>00:00</v>
      </c>
      <c r="IB103" s="29"/>
      <c r="IC103" s="27"/>
      <c r="ID103" s="27"/>
      <c r="IE103" s="28" t="str">
        <f>IFERROR(VLOOKUP(IC103,Horarios!$H:$I,2,0),"")</f>
        <v/>
      </c>
      <c r="IF103" s="28" t="str">
        <f>IFERROR(VLOOKUP(ID103,Horarios!$H:$I,2,0),"")</f>
        <v/>
      </c>
      <c r="IG103" s="28" t="str">
        <f t="shared" si="91"/>
        <v>00:00</v>
      </c>
      <c r="IH103" s="29"/>
      <c r="II103" s="27"/>
      <c r="IJ103" s="27"/>
      <c r="IK103" s="28" t="str">
        <f>IFERROR(VLOOKUP(II103,Horarios!$H:$I,2,0),"")</f>
        <v/>
      </c>
      <c r="IL103" s="28" t="str">
        <f>IFERROR(VLOOKUP(IJ103,Horarios!$H:$I,2,0),"")</f>
        <v/>
      </c>
      <c r="IM103" s="28" t="str">
        <f t="shared" si="92"/>
        <v>00:00</v>
      </c>
      <c r="IN103" s="29"/>
      <c r="IO103" s="27"/>
      <c r="IP103" s="27"/>
      <c r="IQ103" s="28" t="str">
        <f>IFERROR(VLOOKUP(IO103,Horarios!$H:$I,2,0),"")</f>
        <v/>
      </c>
      <c r="IR103" s="28" t="str">
        <f>IFERROR(VLOOKUP(IP103,Horarios!$H:$I,2,0),"")</f>
        <v/>
      </c>
      <c r="IS103" s="28" t="str">
        <f t="shared" si="93"/>
        <v>00:00</v>
      </c>
      <c r="IT103" s="29"/>
      <c r="IU103" s="27"/>
      <c r="IV103" s="27"/>
      <c r="IW103" s="28" t="str">
        <f>IFERROR(VLOOKUP(IU103,Horarios!$H:$I,2,0),"")</f>
        <v/>
      </c>
      <c r="IX103" s="28" t="str">
        <f>IFERROR(VLOOKUP(IV103,Horarios!$H:$I,2,0),"")</f>
        <v/>
      </c>
      <c r="IY103" s="28" t="str">
        <f t="shared" si="94"/>
        <v>00:00</v>
      </c>
      <c r="IZ103" s="29"/>
      <c r="JA103" s="31" t="str">
        <f t="shared" si="95"/>
        <v/>
      </c>
    </row>
    <row r="104" spans="1:261" s="24" customFormat="1" ht="17.399999999999999" x14ac:dyDescent="0.25">
      <c r="A104" s="25"/>
      <c r="B104" s="26" t="str">
        <f>IFERROR(VLOOKUP(A104,BaseNombres!A:B,2,0),"")</f>
        <v/>
      </c>
      <c r="C104" s="26" t="str">
        <f>IFERROR(VLOOKUP(A104,BaseNombres!A:C,3,0),"")</f>
        <v/>
      </c>
      <c r="D104" s="27"/>
      <c r="E104" s="27"/>
      <c r="F104" s="28" t="str">
        <f>IFERROR(VLOOKUP(D104,Horarios!$H:$I,2,0),"")</f>
        <v/>
      </c>
      <c r="G104" s="28" t="str">
        <f>IFERROR(VLOOKUP(E104,Horarios!$H:$I,2,0),"")</f>
        <v/>
      </c>
      <c r="H104" s="28" t="str">
        <f t="shared" si="48"/>
        <v>00:00</v>
      </c>
      <c r="I104" s="29"/>
      <c r="J104" s="27"/>
      <c r="K104" s="27"/>
      <c r="L104" s="28" t="str">
        <f>IFERROR(VLOOKUP(J104,Horarios!$H:$I,2,0),"")</f>
        <v/>
      </c>
      <c r="M104" s="28" t="str">
        <f>IFERROR(VLOOKUP(K104,Horarios!$H:$I,2,0),"")</f>
        <v/>
      </c>
      <c r="N104" s="28" t="str">
        <f t="shared" si="49"/>
        <v>00:00</v>
      </c>
      <c r="O104" s="29"/>
      <c r="P104" s="27"/>
      <c r="Q104" s="27"/>
      <c r="R104" s="28" t="str">
        <f>IFERROR(VLOOKUP(P104,Horarios!$H:$I,2,0),"")</f>
        <v/>
      </c>
      <c r="S104" s="28" t="str">
        <f>IFERROR(VLOOKUP(Q104,Horarios!$H:$I,2,0),"")</f>
        <v/>
      </c>
      <c r="T104" s="28" t="str">
        <f t="shared" si="50"/>
        <v>00:00</v>
      </c>
      <c r="U104" s="29"/>
      <c r="V104" s="27"/>
      <c r="W104" s="27"/>
      <c r="X104" s="28" t="str">
        <f>IFERROR(VLOOKUP(V104,Horarios!$H:$I,2,0),"")</f>
        <v/>
      </c>
      <c r="Y104" s="28" t="str">
        <f>IFERROR(VLOOKUP(W104,Horarios!$H:$I,2,0),"")</f>
        <v/>
      </c>
      <c r="Z104" s="28" t="str">
        <f t="shared" si="51"/>
        <v>00:00</v>
      </c>
      <c r="AA104" s="29"/>
      <c r="AB104" s="27"/>
      <c r="AC104" s="27"/>
      <c r="AD104" s="28" t="str">
        <f>IFERROR(VLOOKUP(AB104,Horarios!$H:$I,2,0),"")</f>
        <v/>
      </c>
      <c r="AE104" s="28" t="str">
        <f>IFERROR(VLOOKUP(AC104,Horarios!$H:$I,2,0),"")</f>
        <v/>
      </c>
      <c r="AF104" s="28" t="str">
        <f t="shared" si="52"/>
        <v>00:00</v>
      </c>
      <c r="AG104" s="29"/>
      <c r="AH104" s="27"/>
      <c r="AI104" s="27"/>
      <c r="AJ104" s="28" t="str">
        <f>IFERROR(VLOOKUP(AH104,Horarios!$H:$I,2,0),"")</f>
        <v/>
      </c>
      <c r="AK104" s="28" t="str">
        <f>IFERROR(VLOOKUP(AI104,Horarios!$H:$I,2,0),"")</f>
        <v/>
      </c>
      <c r="AL104" s="28" t="str">
        <f t="shared" si="53"/>
        <v>00:00</v>
      </c>
      <c r="AM104" s="29"/>
      <c r="AN104" s="27"/>
      <c r="AO104" s="27"/>
      <c r="AP104" s="28" t="str">
        <f>IFERROR(VLOOKUP(AN104,Horarios!$H:$I,2,0),"")</f>
        <v/>
      </c>
      <c r="AQ104" s="28" t="str">
        <f>IFERROR(VLOOKUP(AO104,Horarios!$H:$I,2,0),"")</f>
        <v/>
      </c>
      <c r="AR104" s="28" t="str">
        <f t="shared" si="54"/>
        <v>00:00</v>
      </c>
      <c r="AS104" s="29"/>
      <c r="AT104" s="31" t="str">
        <f t="shared" si="55"/>
        <v/>
      </c>
      <c r="AU104" s="27"/>
      <c r="AV104" s="27"/>
      <c r="AW104" s="28" t="str">
        <f>IFERROR(VLOOKUP(AU104,Horarios!$H:$I,2,0),"")</f>
        <v/>
      </c>
      <c r="AX104" s="28" t="str">
        <f>IFERROR(VLOOKUP(AV104,Horarios!$H:$I,2,0),"")</f>
        <v/>
      </c>
      <c r="AY104" s="28" t="str">
        <f t="shared" si="56"/>
        <v>00:00</v>
      </c>
      <c r="AZ104" s="29"/>
      <c r="BA104" s="27"/>
      <c r="BB104" s="27"/>
      <c r="BC104" s="28" t="str">
        <f>IFERROR(VLOOKUP(BA104,Horarios!$H:$I,2,0),"")</f>
        <v/>
      </c>
      <c r="BD104" s="28" t="str">
        <f>IFERROR(VLOOKUP(BB104,Horarios!$H:$I,2,0),"")</f>
        <v/>
      </c>
      <c r="BE104" s="28" t="str">
        <f t="shared" si="57"/>
        <v>00:00</v>
      </c>
      <c r="BF104" s="29"/>
      <c r="BG104" s="27"/>
      <c r="BH104" s="27"/>
      <c r="BI104" s="28" t="str">
        <f>IFERROR(VLOOKUP(BG104,Horarios!$H:$I,2,0),"")</f>
        <v/>
      </c>
      <c r="BJ104" s="28" t="str">
        <f>IFERROR(VLOOKUP(BH104,Horarios!$H:$I,2,0),"")</f>
        <v/>
      </c>
      <c r="BK104" s="28" t="str">
        <f t="shared" si="58"/>
        <v>00:00</v>
      </c>
      <c r="BL104" s="29"/>
      <c r="BM104" s="27"/>
      <c r="BN104" s="27"/>
      <c r="BO104" s="28" t="str">
        <f>IFERROR(VLOOKUP(BM104,Horarios!$H:$I,2,0),"")</f>
        <v/>
      </c>
      <c r="BP104" s="28" t="str">
        <f>IFERROR(VLOOKUP(BN104,Horarios!$H:$I,2,0),"")</f>
        <v/>
      </c>
      <c r="BQ104" s="28" t="str">
        <f t="shared" si="59"/>
        <v>00:00</v>
      </c>
      <c r="BR104" s="29"/>
      <c r="BS104" s="27"/>
      <c r="BT104" s="27"/>
      <c r="BU104" s="28" t="str">
        <f>IFERROR(VLOOKUP(BS104,Horarios!$H:$I,2,0),"")</f>
        <v/>
      </c>
      <c r="BV104" s="28" t="str">
        <f>IFERROR(VLOOKUP(BT104,Horarios!$H:$I,2,0),"")</f>
        <v/>
      </c>
      <c r="BW104" s="28" t="str">
        <f t="shared" si="60"/>
        <v>00:00</v>
      </c>
      <c r="BX104" s="29"/>
      <c r="BY104" s="27"/>
      <c r="BZ104" s="27"/>
      <c r="CA104" s="28" t="str">
        <f>IFERROR(VLOOKUP(BY104,Horarios!$H:$I,2,0),"")</f>
        <v/>
      </c>
      <c r="CB104" s="28" t="str">
        <f>IFERROR(VLOOKUP(BZ104,Horarios!$H:$I,2,0),"")</f>
        <v/>
      </c>
      <c r="CC104" s="28" t="str">
        <f t="shared" si="61"/>
        <v>00:00</v>
      </c>
      <c r="CD104" s="29"/>
      <c r="CE104" s="27"/>
      <c r="CF104" s="27"/>
      <c r="CG104" s="28" t="str">
        <f>IFERROR(VLOOKUP(CE104,Horarios!$H:$I,2,0),"")</f>
        <v/>
      </c>
      <c r="CH104" s="28" t="str">
        <f>IFERROR(VLOOKUP(CF104,Horarios!$H:$I,2,0),"")</f>
        <v/>
      </c>
      <c r="CI104" s="28" t="str">
        <f t="shared" si="62"/>
        <v>00:00</v>
      </c>
      <c r="CJ104" s="29"/>
      <c r="CK104" s="31" t="str">
        <f t="shared" si="63"/>
        <v/>
      </c>
      <c r="CL104" s="27"/>
      <c r="CM104" s="27"/>
      <c r="CN104" s="28" t="str">
        <f>IFERROR(VLOOKUP(CL104,Horarios!$H:$I,2,0),"")</f>
        <v/>
      </c>
      <c r="CO104" s="28" t="str">
        <f>IFERROR(VLOOKUP(CM104,Horarios!$H:$I,2,0),"")</f>
        <v/>
      </c>
      <c r="CP104" s="28" t="str">
        <f t="shared" si="64"/>
        <v>00:00</v>
      </c>
      <c r="CQ104" s="29"/>
      <c r="CR104" s="27"/>
      <c r="CS104" s="27"/>
      <c r="CT104" s="28" t="str">
        <f>IFERROR(VLOOKUP(CR104,Horarios!$H:$I,2,0),"")</f>
        <v/>
      </c>
      <c r="CU104" s="28" t="str">
        <f>IFERROR(VLOOKUP(CS104,Horarios!$H:$I,2,0),"")</f>
        <v/>
      </c>
      <c r="CV104" s="28" t="str">
        <f t="shared" si="65"/>
        <v>00:00</v>
      </c>
      <c r="CW104" s="29"/>
      <c r="CX104" s="27"/>
      <c r="CY104" s="27"/>
      <c r="CZ104" s="28" t="str">
        <f>IFERROR(VLOOKUP(CX104,Horarios!$H:$I,2,0),"")</f>
        <v/>
      </c>
      <c r="DA104" s="28" t="str">
        <f>IFERROR(VLOOKUP(CY104,Horarios!$H:$I,2,0),"")</f>
        <v/>
      </c>
      <c r="DB104" s="28" t="str">
        <f t="shared" si="66"/>
        <v>00:00</v>
      </c>
      <c r="DC104" s="29"/>
      <c r="DD104" s="27"/>
      <c r="DE104" s="27"/>
      <c r="DF104" s="28" t="str">
        <f>IFERROR(VLOOKUP(DD104,Horarios!$H:$I,2,0),"")</f>
        <v/>
      </c>
      <c r="DG104" s="28" t="str">
        <f>IFERROR(VLOOKUP(DE104,Horarios!$H:$I,2,0),"")</f>
        <v/>
      </c>
      <c r="DH104" s="28" t="str">
        <f t="shared" si="67"/>
        <v>00:00</v>
      </c>
      <c r="DI104" s="29"/>
      <c r="DJ104" s="27"/>
      <c r="DK104" s="27"/>
      <c r="DL104" s="28" t="str">
        <f>IFERROR(VLOOKUP(DJ104,Horarios!$H:$I,2,0),"")</f>
        <v/>
      </c>
      <c r="DM104" s="28" t="str">
        <f>IFERROR(VLOOKUP(DK104,Horarios!$H:$I,2,0),"")</f>
        <v/>
      </c>
      <c r="DN104" s="28" t="str">
        <f t="shared" si="68"/>
        <v>00:00</v>
      </c>
      <c r="DO104" s="29"/>
      <c r="DP104" s="27"/>
      <c r="DQ104" s="27"/>
      <c r="DR104" s="28" t="str">
        <f>IFERROR(VLOOKUP(DP104,Horarios!$H:$I,2,0),"")</f>
        <v/>
      </c>
      <c r="DS104" s="28" t="str">
        <f>IFERROR(VLOOKUP(DQ104,Horarios!$H:$I,2,0),"")</f>
        <v/>
      </c>
      <c r="DT104" s="28" t="str">
        <f t="shared" si="69"/>
        <v>00:00</v>
      </c>
      <c r="DU104" s="29"/>
      <c r="DV104" s="27"/>
      <c r="DW104" s="27"/>
      <c r="DX104" s="28" t="str">
        <f>IFERROR(VLOOKUP(DV104,Horarios!$H:$I,2,0),"")</f>
        <v/>
      </c>
      <c r="DY104" s="28" t="str">
        <f>IFERROR(VLOOKUP(DW104,Horarios!$H:$I,2,0),"")</f>
        <v/>
      </c>
      <c r="DZ104" s="28" t="str">
        <f t="shared" si="70"/>
        <v>00:00</v>
      </c>
      <c r="EA104" s="29"/>
      <c r="EB104" s="31" t="str">
        <f t="shared" si="71"/>
        <v/>
      </c>
      <c r="EC104" s="27"/>
      <c r="ED104" s="27"/>
      <c r="EE104" s="28" t="str">
        <f>IFERROR(VLOOKUP(EC104,Horarios!$H:$I,2,0),"")</f>
        <v/>
      </c>
      <c r="EF104" s="28" t="str">
        <f>IFERROR(VLOOKUP(ED104,Horarios!$H:$I,2,0),"")</f>
        <v/>
      </c>
      <c r="EG104" s="28" t="str">
        <f t="shared" si="72"/>
        <v>00:00</v>
      </c>
      <c r="EH104" s="29"/>
      <c r="EI104" s="27"/>
      <c r="EJ104" s="27"/>
      <c r="EK104" s="28" t="str">
        <f>IFERROR(VLOOKUP(EI104,Horarios!$H:$I,2,0),"")</f>
        <v/>
      </c>
      <c r="EL104" s="28" t="str">
        <f>IFERROR(VLOOKUP(EJ104,Horarios!$H:$I,2,0),"")</f>
        <v/>
      </c>
      <c r="EM104" s="28" t="str">
        <f t="shared" si="73"/>
        <v>00:00</v>
      </c>
      <c r="EN104" s="29"/>
      <c r="EO104" s="27"/>
      <c r="EP104" s="27"/>
      <c r="EQ104" s="28" t="str">
        <f>IFERROR(VLOOKUP(EO104,Horarios!$H:$I,2,0),"")</f>
        <v/>
      </c>
      <c r="ER104" s="28" t="str">
        <f>IFERROR(VLOOKUP(EP104,Horarios!$H:$I,2,0),"")</f>
        <v/>
      </c>
      <c r="ES104" s="28" t="str">
        <f t="shared" si="74"/>
        <v>00:00</v>
      </c>
      <c r="ET104" s="29"/>
      <c r="EU104" s="27"/>
      <c r="EV104" s="27"/>
      <c r="EW104" s="28" t="str">
        <f>IFERROR(VLOOKUP(EU104,Horarios!$H:$I,2,0),"")</f>
        <v/>
      </c>
      <c r="EX104" s="28" t="str">
        <f>IFERROR(VLOOKUP(EV104,Horarios!$H:$I,2,0),"")</f>
        <v/>
      </c>
      <c r="EY104" s="28" t="str">
        <f t="shared" si="75"/>
        <v>00:00</v>
      </c>
      <c r="EZ104" s="29"/>
      <c r="FA104" s="27"/>
      <c r="FB104" s="27"/>
      <c r="FC104" s="28" t="str">
        <f>IFERROR(VLOOKUP(FA104,Horarios!$H:$I,2,0),"")</f>
        <v/>
      </c>
      <c r="FD104" s="28" t="str">
        <f>IFERROR(VLOOKUP(FB104,Horarios!$H:$I,2,0),"")</f>
        <v/>
      </c>
      <c r="FE104" s="28" t="str">
        <f t="shared" si="76"/>
        <v>00:00</v>
      </c>
      <c r="FF104" s="29"/>
      <c r="FG104" s="27"/>
      <c r="FH104" s="27"/>
      <c r="FI104" s="28" t="str">
        <f>IFERROR(VLOOKUP(FG104,Horarios!$H:$I,2,0),"")</f>
        <v/>
      </c>
      <c r="FJ104" s="28" t="str">
        <f>IFERROR(VLOOKUP(FH104,Horarios!$H:$I,2,0),"")</f>
        <v/>
      </c>
      <c r="FK104" s="28" t="str">
        <f t="shared" si="77"/>
        <v>00:00</v>
      </c>
      <c r="FL104" s="29"/>
      <c r="FM104" s="27"/>
      <c r="FN104" s="27"/>
      <c r="FO104" s="28" t="str">
        <f>IFERROR(VLOOKUP(FM104,Horarios!$H:$I,2,0),"")</f>
        <v/>
      </c>
      <c r="FP104" s="28" t="str">
        <f>IFERROR(VLOOKUP(FN104,Horarios!$H:$I,2,0),"")</f>
        <v/>
      </c>
      <c r="FQ104" s="28" t="str">
        <f t="shared" si="78"/>
        <v>00:00</v>
      </c>
      <c r="FR104" s="29"/>
      <c r="FS104" s="31" t="str">
        <f t="shared" si="79"/>
        <v/>
      </c>
      <c r="FT104" s="27"/>
      <c r="FU104" s="27"/>
      <c r="FV104" s="28" t="str">
        <f>IFERROR(VLOOKUP(FT104,Horarios!$H:$I,2,0),"")</f>
        <v/>
      </c>
      <c r="FW104" s="28" t="str">
        <f>IFERROR(VLOOKUP(FU104,Horarios!$H:$I,2,0),"")</f>
        <v/>
      </c>
      <c r="FX104" s="28" t="str">
        <f t="shared" si="80"/>
        <v>00:00</v>
      </c>
      <c r="FY104" s="29"/>
      <c r="FZ104" s="27"/>
      <c r="GA104" s="27"/>
      <c r="GB104" s="28" t="str">
        <f>IFERROR(VLOOKUP(FZ104,Horarios!$H:$I,2,0),"")</f>
        <v/>
      </c>
      <c r="GC104" s="28" t="str">
        <f>IFERROR(VLOOKUP(GA104,Horarios!$H:$I,2,0),"")</f>
        <v/>
      </c>
      <c r="GD104" s="28" t="str">
        <f t="shared" si="81"/>
        <v>00:00</v>
      </c>
      <c r="GE104" s="29"/>
      <c r="GF104" s="27"/>
      <c r="GG104" s="27"/>
      <c r="GH104" s="28" t="str">
        <f>IFERROR(VLOOKUP(GF104,Horarios!$H:$I,2,0),"")</f>
        <v/>
      </c>
      <c r="GI104" s="28" t="str">
        <f>IFERROR(VLOOKUP(GG104,Horarios!$H:$I,2,0),"")</f>
        <v/>
      </c>
      <c r="GJ104" s="28" t="str">
        <f t="shared" si="82"/>
        <v>00:00</v>
      </c>
      <c r="GK104" s="29"/>
      <c r="GL104" s="27"/>
      <c r="GM104" s="27"/>
      <c r="GN104" s="28" t="str">
        <f>IFERROR(VLOOKUP(GL104,Horarios!$H:$I,2,0),"")</f>
        <v/>
      </c>
      <c r="GO104" s="28" t="str">
        <f>IFERROR(VLOOKUP(GM104,Horarios!$H:$I,2,0),"")</f>
        <v/>
      </c>
      <c r="GP104" s="28" t="str">
        <f t="shared" si="83"/>
        <v>00:00</v>
      </c>
      <c r="GQ104" s="29"/>
      <c r="GR104" s="27"/>
      <c r="GS104" s="27"/>
      <c r="GT104" s="28" t="str">
        <f>IFERROR(VLOOKUP(GR104,Horarios!$H:$I,2,0),"")</f>
        <v/>
      </c>
      <c r="GU104" s="28" t="str">
        <f>IFERROR(VLOOKUP(GS104,Horarios!$H:$I,2,0),"")</f>
        <v/>
      </c>
      <c r="GV104" s="28" t="str">
        <f t="shared" si="84"/>
        <v>00:00</v>
      </c>
      <c r="GW104" s="29"/>
      <c r="GX104" s="27"/>
      <c r="GY104" s="27"/>
      <c r="GZ104" s="28" t="str">
        <f>IFERROR(VLOOKUP(GX104,Horarios!$H:$I,2,0),"")</f>
        <v/>
      </c>
      <c r="HA104" s="28" t="str">
        <f>IFERROR(VLOOKUP(GY104,Horarios!$H:$I,2,0),"")</f>
        <v/>
      </c>
      <c r="HB104" s="28" t="str">
        <f t="shared" si="85"/>
        <v>00:00</v>
      </c>
      <c r="HC104" s="29"/>
      <c r="HD104" s="27"/>
      <c r="HE104" s="27"/>
      <c r="HF104" s="28" t="str">
        <f>IFERROR(VLOOKUP(HD104,Horarios!$H:$I,2,0),"")</f>
        <v/>
      </c>
      <c r="HG104" s="28" t="str">
        <f>IFERROR(VLOOKUP(HE104,Horarios!$H:$I,2,0),"")</f>
        <v/>
      </c>
      <c r="HH104" s="28" t="str">
        <f t="shared" si="86"/>
        <v>00:00</v>
      </c>
      <c r="HI104" s="29"/>
      <c r="HJ104" s="31" t="str">
        <f t="shared" si="87"/>
        <v/>
      </c>
      <c r="HK104" s="27"/>
      <c r="HL104" s="27"/>
      <c r="HM104" s="28" t="str">
        <f>IFERROR(VLOOKUP(HK104,Horarios!$H:$I,2,0),"")</f>
        <v/>
      </c>
      <c r="HN104" s="28" t="str">
        <f>IFERROR(VLOOKUP(HL104,Horarios!$H:$I,2,0),"")</f>
        <v/>
      </c>
      <c r="HO104" s="28" t="str">
        <f t="shared" si="88"/>
        <v>00:00</v>
      </c>
      <c r="HP104" s="29"/>
      <c r="HQ104" s="27"/>
      <c r="HR104" s="27"/>
      <c r="HS104" s="28" t="str">
        <f>IFERROR(VLOOKUP(HQ104,Horarios!$H:$I,2,0),"")</f>
        <v/>
      </c>
      <c r="HT104" s="28" t="str">
        <f>IFERROR(VLOOKUP(HR104,Horarios!$H:$I,2,0),"")</f>
        <v/>
      </c>
      <c r="HU104" s="28" t="str">
        <f t="shared" si="89"/>
        <v>00:00</v>
      </c>
      <c r="HV104" s="29"/>
      <c r="HW104" s="27"/>
      <c r="HX104" s="27"/>
      <c r="HY104" s="28" t="str">
        <f>IFERROR(VLOOKUP(HW104,Horarios!$H:$I,2,0),"")</f>
        <v/>
      </c>
      <c r="HZ104" s="28" t="str">
        <f>IFERROR(VLOOKUP(HX104,Horarios!$H:$I,2,0),"")</f>
        <v/>
      </c>
      <c r="IA104" s="28" t="str">
        <f t="shared" si="90"/>
        <v>00:00</v>
      </c>
      <c r="IB104" s="29"/>
      <c r="IC104" s="27"/>
      <c r="ID104" s="27"/>
      <c r="IE104" s="28" t="str">
        <f>IFERROR(VLOOKUP(IC104,Horarios!$H:$I,2,0),"")</f>
        <v/>
      </c>
      <c r="IF104" s="28" t="str">
        <f>IFERROR(VLOOKUP(ID104,Horarios!$H:$I,2,0),"")</f>
        <v/>
      </c>
      <c r="IG104" s="28" t="str">
        <f t="shared" si="91"/>
        <v>00:00</v>
      </c>
      <c r="IH104" s="29"/>
      <c r="II104" s="27"/>
      <c r="IJ104" s="27"/>
      <c r="IK104" s="28" t="str">
        <f>IFERROR(VLOOKUP(II104,Horarios!$H:$I,2,0),"")</f>
        <v/>
      </c>
      <c r="IL104" s="28" t="str">
        <f>IFERROR(VLOOKUP(IJ104,Horarios!$H:$I,2,0),"")</f>
        <v/>
      </c>
      <c r="IM104" s="28" t="str">
        <f t="shared" si="92"/>
        <v>00:00</v>
      </c>
      <c r="IN104" s="29"/>
      <c r="IO104" s="27"/>
      <c r="IP104" s="27"/>
      <c r="IQ104" s="28" t="str">
        <f>IFERROR(VLOOKUP(IO104,Horarios!$H:$I,2,0),"")</f>
        <v/>
      </c>
      <c r="IR104" s="28" t="str">
        <f>IFERROR(VLOOKUP(IP104,Horarios!$H:$I,2,0),"")</f>
        <v/>
      </c>
      <c r="IS104" s="28" t="str">
        <f t="shared" si="93"/>
        <v>00:00</v>
      </c>
      <c r="IT104" s="29"/>
      <c r="IU104" s="27"/>
      <c r="IV104" s="27"/>
      <c r="IW104" s="28" t="str">
        <f>IFERROR(VLOOKUP(IU104,Horarios!$H:$I,2,0),"")</f>
        <v/>
      </c>
      <c r="IX104" s="28" t="str">
        <f>IFERROR(VLOOKUP(IV104,Horarios!$H:$I,2,0),"")</f>
        <v/>
      </c>
      <c r="IY104" s="28" t="str">
        <f t="shared" si="94"/>
        <v>00:00</v>
      </c>
      <c r="IZ104" s="29"/>
      <c r="JA104" s="31" t="str">
        <f t="shared" si="95"/>
        <v/>
      </c>
    </row>
    <row r="105" spans="1:261" s="24" customFormat="1" ht="17.399999999999999" x14ac:dyDescent="0.25">
      <c r="A105" s="25"/>
      <c r="B105" s="26" t="str">
        <f>IFERROR(VLOOKUP(A105,BaseNombres!A:B,2,0),"")</f>
        <v/>
      </c>
      <c r="C105" s="26" t="str">
        <f>IFERROR(VLOOKUP(A105,BaseNombres!A:C,3,0),"")</f>
        <v/>
      </c>
      <c r="D105" s="27"/>
      <c r="E105" s="27"/>
      <c r="F105" s="28" t="str">
        <f>IFERROR(VLOOKUP(D105,Horarios!$H:$I,2,0),"")</f>
        <v/>
      </c>
      <c r="G105" s="28" t="str">
        <f>IFERROR(VLOOKUP(E105,Horarios!$H:$I,2,0),"")</f>
        <v/>
      </c>
      <c r="H105" s="28" t="str">
        <f t="shared" si="48"/>
        <v>00:00</v>
      </c>
      <c r="I105" s="29"/>
      <c r="J105" s="27"/>
      <c r="K105" s="27"/>
      <c r="L105" s="28" t="str">
        <f>IFERROR(VLOOKUP(J105,Horarios!$H:$I,2,0),"")</f>
        <v/>
      </c>
      <c r="M105" s="28" t="str">
        <f>IFERROR(VLOOKUP(K105,Horarios!$H:$I,2,0),"")</f>
        <v/>
      </c>
      <c r="N105" s="28" t="str">
        <f t="shared" si="49"/>
        <v>00:00</v>
      </c>
      <c r="O105" s="29"/>
      <c r="P105" s="27"/>
      <c r="Q105" s="27"/>
      <c r="R105" s="28" t="str">
        <f>IFERROR(VLOOKUP(P105,Horarios!$H:$I,2,0),"")</f>
        <v/>
      </c>
      <c r="S105" s="28" t="str">
        <f>IFERROR(VLOOKUP(Q105,Horarios!$H:$I,2,0),"")</f>
        <v/>
      </c>
      <c r="T105" s="28" t="str">
        <f t="shared" si="50"/>
        <v>00:00</v>
      </c>
      <c r="U105" s="29"/>
      <c r="V105" s="27"/>
      <c r="W105" s="27"/>
      <c r="X105" s="28" t="str">
        <f>IFERROR(VLOOKUP(V105,Horarios!$H:$I,2,0),"")</f>
        <v/>
      </c>
      <c r="Y105" s="28" t="str">
        <f>IFERROR(VLOOKUP(W105,Horarios!$H:$I,2,0),"")</f>
        <v/>
      </c>
      <c r="Z105" s="28" t="str">
        <f t="shared" si="51"/>
        <v>00:00</v>
      </c>
      <c r="AA105" s="29"/>
      <c r="AB105" s="27"/>
      <c r="AC105" s="27"/>
      <c r="AD105" s="28" t="str">
        <f>IFERROR(VLOOKUP(AB105,Horarios!$H:$I,2,0),"")</f>
        <v/>
      </c>
      <c r="AE105" s="28" t="str">
        <f>IFERROR(VLOOKUP(AC105,Horarios!$H:$I,2,0),"")</f>
        <v/>
      </c>
      <c r="AF105" s="28" t="str">
        <f t="shared" si="52"/>
        <v>00:00</v>
      </c>
      <c r="AG105" s="29"/>
      <c r="AH105" s="27"/>
      <c r="AI105" s="27"/>
      <c r="AJ105" s="28" t="str">
        <f>IFERROR(VLOOKUP(AH105,Horarios!$H:$I,2,0),"")</f>
        <v/>
      </c>
      <c r="AK105" s="28" t="str">
        <f>IFERROR(VLOOKUP(AI105,Horarios!$H:$I,2,0),"")</f>
        <v/>
      </c>
      <c r="AL105" s="28" t="str">
        <f t="shared" si="53"/>
        <v>00:00</v>
      </c>
      <c r="AM105" s="29"/>
      <c r="AN105" s="27"/>
      <c r="AO105" s="27"/>
      <c r="AP105" s="28" t="str">
        <f>IFERROR(VLOOKUP(AN105,Horarios!$H:$I,2,0),"")</f>
        <v/>
      </c>
      <c r="AQ105" s="28" t="str">
        <f>IFERROR(VLOOKUP(AO105,Horarios!$H:$I,2,0),"")</f>
        <v/>
      </c>
      <c r="AR105" s="28" t="str">
        <f t="shared" si="54"/>
        <v>00:00</v>
      </c>
      <c r="AS105" s="29"/>
      <c r="AT105" s="31" t="str">
        <f t="shared" si="55"/>
        <v/>
      </c>
      <c r="AU105" s="27"/>
      <c r="AV105" s="27"/>
      <c r="AW105" s="28" t="str">
        <f>IFERROR(VLOOKUP(AU105,Horarios!$H:$I,2,0),"")</f>
        <v/>
      </c>
      <c r="AX105" s="28" t="str">
        <f>IFERROR(VLOOKUP(AV105,Horarios!$H:$I,2,0),"")</f>
        <v/>
      </c>
      <c r="AY105" s="28" t="str">
        <f t="shared" si="56"/>
        <v>00:00</v>
      </c>
      <c r="AZ105" s="29"/>
      <c r="BA105" s="27"/>
      <c r="BB105" s="27"/>
      <c r="BC105" s="28" t="str">
        <f>IFERROR(VLOOKUP(BA105,Horarios!$H:$I,2,0),"")</f>
        <v/>
      </c>
      <c r="BD105" s="28" t="str">
        <f>IFERROR(VLOOKUP(BB105,Horarios!$H:$I,2,0),"")</f>
        <v/>
      </c>
      <c r="BE105" s="28" t="str">
        <f t="shared" si="57"/>
        <v>00:00</v>
      </c>
      <c r="BF105" s="29"/>
      <c r="BG105" s="27"/>
      <c r="BH105" s="27"/>
      <c r="BI105" s="28" t="str">
        <f>IFERROR(VLOOKUP(BG105,Horarios!$H:$I,2,0),"")</f>
        <v/>
      </c>
      <c r="BJ105" s="28" t="str">
        <f>IFERROR(VLOOKUP(BH105,Horarios!$H:$I,2,0),"")</f>
        <v/>
      </c>
      <c r="BK105" s="28" t="str">
        <f t="shared" si="58"/>
        <v>00:00</v>
      </c>
      <c r="BL105" s="29"/>
      <c r="BM105" s="27"/>
      <c r="BN105" s="27"/>
      <c r="BO105" s="28" t="str">
        <f>IFERROR(VLOOKUP(BM105,Horarios!$H:$I,2,0),"")</f>
        <v/>
      </c>
      <c r="BP105" s="28" t="str">
        <f>IFERROR(VLOOKUP(BN105,Horarios!$H:$I,2,0),"")</f>
        <v/>
      </c>
      <c r="BQ105" s="28" t="str">
        <f t="shared" si="59"/>
        <v>00:00</v>
      </c>
      <c r="BR105" s="29"/>
      <c r="BS105" s="27"/>
      <c r="BT105" s="27"/>
      <c r="BU105" s="28" t="str">
        <f>IFERROR(VLOOKUP(BS105,Horarios!$H:$I,2,0),"")</f>
        <v/>
      </c>
      <c r="BV105" s="28" t="str">
        <f>IFERROR(VLOOKUP(BT105,Horarios!$H:$I,2,0),"")</f>
        <v/>
      </c>
      <c r="BW105" s="28" t="str">
        <f t="shared" si="60"/>
        <v>00:00</v>
      </c>
      <c r="BX105" s="29"/>
      <c r="BY105" s="27"/>
      <c r="BZ105" s="27"/>
      <c r="CA105" s="28" t="str">
        <f>IFERROR(VLOOKUP(BY105,Horarios!$H:$I,2,0),"")</f>
        <v/>
      </c>
      <c r="CB105" s="28" t="str">
        <f>IFERROR(VLOOKUP(BZ105,Horarios!$H:$I,2,0),"")</f>
        <v/>
      </c>
      <c r="CC105" s="28" t="str">
        <f t="shared" si="61"/>
        <v>00:00</v>
      </c>
      <c r="CD105" s="29"/>
      <c r="CE105" s="27"/>
      <c r="CF105" s="27"/>
      <c r="CG105" s="28" t="str">
        <f>IFERROR(VLOOKUP(CE105,Horarios!$H:$I,2,0),"")</f>
        <v/>
      </c>
      <c r="CH105" s="28" t="str">
        <f>IFERROR(VLOOKUP(CF105,Horarios!$H:$I,2,0),"")</f>
        <v/>
      </c>
      <c r="CI105" s="28" t="str">
        <f t="shared" si="62"/>
        <v>00:00</v>
      </c>
      <c r="CJ105" s="29"/>
      <c r="CK105" s="31" t="str">
        <f t="shared" si="63"/>
        <v/>
      </c>
      <c r="CL105" s="27"/>
      <c r="CM105" s="27"/>
      <c r="CN105" s="28" t="str">
        <f>IFERROR(VLOOKUP(CL105,Horarios!$H:$I,2,0),"")</f>
        <v/>
      </c>
      <c r="CO105" s="28" t="str">
        <f>IFERROR(VLOOKUP(CM105,Horarios!$H:$I,2,0),"")</f>
        <v/>
      </c>
      <c r="CP105" s="28" t="str">
        <f t="shared" si="64"/>
        <v>00:00</v>
      </c>
      <c r="CQ105" s="29"/>
      <c r="CR105" s="27"/>
      <c r="CS105" s="27"/>
      <c r="CT105" s="28" t="str">
        <f>IFERROR(VLOOKUP(CR105,Horarios!$H:$I,2,0),"")</f>
        <v/>
      </c>
      <c r="CU105" s="28" t="str">
        <f>IFERROR(VLOOKUP(CS105,Horarios!$H:$I,2,0),"")</f>
        <v/>
      </c>
      <c r="CV105" s="28" t="str">
        <f t="shared" si="65"/>
        <v>00:00</v>
      </c>
      <c r="CW105" s="29"/>
      <c r="CX105" s="27"/>
      <c r="CY105" s="27"/>
      <c r="CZ105" s="28" t="str">
        <f>IFERROR(VLOOKUP(CX105,Horarios!$H:$I,2,0),"")</f>
        <v/>
      </c>
      <c r="DA105" s="28" t="str">
        <f>IFERROR(VLOOKUP(CY105,Horarios!$H:$I,2,0),"")</f>
        <v/>
      </c>
      <c r="DB105" s="28" t="str">
        <f t="shared" si="66"/>
        <v>00:00</v>
      </c>
      <c r="DC105" s="29"/>
      <c r="DD105" s="27"/>
      <c r="DE105" s="27"/>
      <c r="DF105" s="28" t="str">
        <f>IFERROR(VLOOKUP(DD105,Horarios!$H:$I,2,0),"")</f>
        <v/>
      </c>
      <c r="DG105" s="28" t="str">
        <f>IFERROR(VLOOKUP(DE105,Horarios!$H:$I,2,0),"")</f>
        <v/>
      </c>
      <c r="DH105" s="28" t="str">
        <f t="shared" si="67"/>
        <v>00:00</v>
      </c>
      <c r="DI105" s="29"/>
      <c r="DJ105" s="27"/>
      <c r="DK105" s="27"/>
      <c r="DL105" s="28" t="str">
        <f>IFERROR(VLOOKUP(DJ105,Horarios!$H:$I,2,0),"")</f>
        <v/>
      </c>
      <c r="DM105" s="28" t="str">
        <f>IFERROR(VLOOKUP(DK105,Horarios!$H:$I,2,0),"")</f>
        <v/>
      </c>
      <c r="DN105" s="28" t="str">
        <f t="shared" si="68"/>
        <v>00:00</v>
      </c>
      <c r="DO105" s="29"/>
      <c r="DP105" s="27"/>
      <c r="DQ105" s="27"/>
      <c r="DR105" s="28" t="str">
        <f>IFERROR(VLOOKUP(DP105,Horarios!$H:$I,2,0),"")</f>
        <v/>
      </c>
      <c r="DS105" s="28" t="str">
        <f>IFERROR(VLOOKUP(DQ105,Horarios!$H:$I,2,0),"")</f>
        <v/>
      </c>
      <c r="DT105" s="28" t="str">
        <f t="shared" si="69"/>
        <v>00:00</v>
      </c>
      <c r="DU105" s="29"/>
      <c r="DV105" s="27"/>
      <c r="DW105" s="27"/>
      <c r="DX105" s="28" t="str">
        <f>IFERROR(VLOOKUP(DV105,Horarios!$H:$I,2,0),"")</f>
        <v/>
      </c>
      <c r="DY105" s="28" t="str">
        <f>IFERROR(VLOOKUP(DW105,Horarios!$H:$I,2,0),"")</f>
        <v/>
      </c>
      <c r="DZ105" s="28" t="str">
        <f t="shared" si="70"/>
        <v>00:00</v>
      </c>
      <c r="EA105" s="29"/>
      <c r="EB105" s="31" t="str">
        <f t="shared" si="71"/>
        <v/>
      </c>
      <c r="EC105" s="27"/>
      <c r="ED105" s="27"/>
      <c r="EE105" s="28" t="str">
        <f>IFERROR(VLOOKUP(EC105,Horarios!$H:$I,2,0),"")</f>
        <v/>
      </c>
      <c r="EF105" s="28" t="str">
        <f>IFERROR(VLOOKUP(ED105,Horarios!$H:$I,2,0),"")</f>
        <v/>
      </c>
      <c r="EG105" s="28" t="str">
        <f t="shared" si="72"/>
        <v>00:00</v>
      </c>
      <c r="EH105" s="29"/>
      <c r="EI105" s="27"/>
      <c r="EJ105" s="27"/>
      <c r="EK105" s="28" t="str">
        <f>IFERROR(VLOOKUP(EI105,Horarios!$H:$I,2,0),"")</f>
        <v/>
      </c>
      <c r="EL105" s="28" t="str">
        <f>IFERROR(VLOOKUP(EJ105,Horarios!$H:$I,2,0),"")</f>
        <v/>
      </c>
      <c r="EM105" s="28" t="str">
        <f t="shared" si="73"/>
        <v>00:00</v>
      </c>
      <c r="EN105" s="29"/>
      <c r="EO105" s="27"/>
      <c r="EP105" s="27"/>
      <c r="EQ105" s="28" t="str">
        <f>IFERROR(VLOOKUP(EO105,Horarios!$H:$I,2,0),"")</f>
        <v/>
      </c>
      <c r="ER105" s="28" t="str">
        <f>IFERROR(VLOOKUP(EP105,Horarios!$H:$I,2,0),"")</f>
        <v/>
      </c>
      <c r="ES105" s="28" t="str">
        <f t="shared" si="74"/>
        <v>00:00</v>
      </c>
      <c r="ET105" s="29"/>
      <c r="EU105" s="27"/>
      <c r="EV105" s="27"/>
      <c r="EW105" s="28" t="str">
        <f>IFERROR(VLOOKUP(EU105,Horarios!$H:$I,2,0),"")</f>
        <v/>
      </c>
      <c r="EX105" s="28" t="str">
        <f>IFERROR(VLOOKUP(EV105,Horarios!$H:$I,2,0),"")</f>
        <v/>
      </c>
      <c r="EY105" s="28" t="str">
        <f t="shared" si="75"/>
        <v>00:00</v>
      </c>
      <c r="EZ105" s="29"/>
      <c r="FA105" s="27"/>
      <c r="FB105" s="27"/>
      <c r="FC105" s="28" t="str">
        <f>IFERROR(VLOOKUP(FA105,Horarios!$H:$I,2,0),"")</f>
        <v/>
      </c>
      <c r="FD105" s="28" t="str">
        <f>IFERROR(VLOOKUP(FB105,Horarios!$H:$I,2,0),"")</f>
        <v/>
      </c>
      <c r="FE105" s="28" t="str">
        <f t="shared" si="76"/>
        <v>00:00</v>
      </c>
      <c r="FF105" s="29"/>
      <c r="FG105" s="27"/>
      <c r="FH105" s="27"/>
      <c r="FI105" s="28" t="str">
        <f>IFERROR(VLOOKUP(FG105,Horarios!$H:$I,2,0),"")</f>
        <v/>
      </c>
      <c r="FJ105" s="28" t="str">
        <f>IFERROR(VLOOKUP(FH105,Horarios!$H:$I,2,0),"")</f>
        <v/>
      </c>
      <c r="FK105" s="28" t="str">
        <f t="shared" si="77"/>
        <v>00:00</v>
      </c>
      <c r="FL105" s="29"/>
      <c r="FM105" s="27"/>
      <c r="FN105" s="27"/>
      <c r="FO105" s="28" t="str">
        <f>IFERROR(VLOOKUP(FM105,Horarios!$H:$I,2,0),"")</f>
        <v/>
      </c>
      <c r="FP105" s="28" t="str">
        <f>IFERROR(VLOOKUP(FN105,Horarios!$H:$I,2,0),"")</f>
        <v/>
      </c>
      <c r="FQ105" s="28" t="str">
        <f t="shared" si="78"/>
        <v>00:00</v>
      </c>
      <c r="FR105" s="29"/>
      <c r="FS105" s="31" t="str">
        <f t="shared" si="79"/>
        <v/>
      </c>
      <c r="FT105" s="27"/>
      <c r="FU105" s="27"/>
      <c r="FV105" s="28" t="str">
        <f>IFERROR(VLOOKUP(FT105,Horarios!$H:$I,2,0),"")</f>
        <v/>
      </c>
      <c r="FW105" s="28" t="str">
        <f>IFERROR(VLOOKUP(FU105,Horarios!$H:$I,2,0),"")</f>
        <v/>
      </c>
      <c r="FX105" s="28" t="str">
        <f t="shared" si="80"/>
        <v>00:00</v>
      </c>
      <c r="FY105" s="29"/>
      <c r="FZ105" s="27"/>
      <c r="GA105" s="27"/>
      <c r="GB105" s="28" t="str">
        <f>IFERROR(VLOOKUP(FZ105,Horarios!$H:$I,2,0),"")</f>
        <v/>
      </c>
      <c r="GC105" s="28" t="str">
        <f>IFERROR(VLOOKUP(GA105,Horarios!$H:$I,2,0),"")</f>
        <v/>
      </c>
      <c r="GD105" s="28" t="str">
        <f t="shared" si="81"/>
        <v>00:00</v>
      </c>
      <c r="GE105" s="29"/>
      <c r="GF105" s="27"/>
      <c r="GG105" s="27"/>
      <c r="GH105" s="28" t="str">
        <f>IFERROR(VLOOKUP(GF105,Horarios!$H:$I,2,0),"")</f>
        <v/>
      </c>
      <c r="GI105" s="28" t="str">
        <f>IFERROR(VLOOKUP(GG105,Horarios!$H:$I,2,0),"")</f>
        <v/>
      </c>
      <c r="GJ105" s="28" t="str">
        <f t="shared" si="82"/>
        <v>00:00</v>
      </c>
      <c r="GK105" s="29"/>
      <c r="GL105" s="27"/>
      <c r="GM105" s="27"/>
      <c r="GN105" s="28" t="str">
        <f>IFERROR(VLOOKUP(GL105,Horarios!$H:$I,2,0),"")</f>
        <v/>
      </c>
      <c r="GO105" s="28" t="str">
        <f>IFERROR(VLOOKUP(GM105,Horarios!$H:$I,2,0),"")</f>
        <v/>
      </c>
      <c r="GP105" s="28" t="str">
        <f t="shared" si="83"/>
        <v>00:00</v>
      </c>
      <c r="GQ105" s="29"/>
      <c r="GR105" s="27"/>
      <c r="GS105" s="27"/>
      <c r="GT105" s="28" t="str">
        <f>IFERROR(VLOOKUP(GR105,Horarios!$H:$I,2,0),"")</f>
        <v/>
      </c>
      <c r="GU105" s="28" t="str">
        <f>IFERROR(VLOOKUP(GS105,Horarios!$H:$I,2,0),"")</f>
        <v/>
      </c>
      <c r="GV105" s="28" t="str">
        <f t="shared" si="84"/>
        <v>00:00</v>
      </c>
      <c r="GW105" s="29"/>
      <c r="GX105" s="27"/>
      <c r="GY105" s="27"/>
      <c r="GZ105" s="28" t="str">
        <f>IFERROR(VLOOKUP(GX105,Horarios!$H:$I,2,0),"")</f>
        <v/>
      </c>
      <c r="HA105" s="28" t="str">
        <f>IFERROR(VLOOKUP(GY105,Horarios!$H:$I,2,0),"")</f>
        <v/>
      </c>
      <c r="HB105" s="28" t="str">
        <f t="shared" si="85"/>
        <v>00:00</v>
      </c>
      <c r="HC105" s="29"/>
      <c r="HD105" s="27"/>
      <c r="HE105" s="27"/>
      <c r="HF105" s="28" t="str">
        <f>IFERROR(VLOOKUP(HD105,Horarios!$H:$I,2,0),"")</f>
        <v/>
      </c>
      <c r="HG105" s="28" t="str">
        <f>IFERROR(VLOOKUP(HE105,Horarios!$H:$I,2,0),"")</f>
        <v/>
      </c>
      <c r="HH105" s="28" t="str">
        <f t="shared" si="86"/>
        <v>00:00</v>
      </c>
      <c r="HI105" s="29"/>
      <c r="HJ105" s="31" t="str">
        <f t="shared" si="87"/>
        <v/>
      </c>
      <c r="HK105" s="27"/>
      <c r="HL105" s="27"/>
      <c r="HM105" s="28" t="str">
        <f>IFERROR(VLOOKUP(HK105,Horarios!$H:$I,2,0),"")</f>
        <v/>
      </c>
      <c r="HN105" s="28" t="str">
        <f>IFERROR(VLOOKUP(HL105,Horarios!$H:$I,2,0),"")</f>
        <v/>
      </c>
      <c r="HO105" s="28" t="str">
        <f t="shared" si="88"/>
        <v>00:00</v>
      </c>
      <c r="HP105" s="29"/>
      <c r="HQ105" s="27"/>
      <c r="HR105" s="27"/>
      <c r="HS105" s="28" t="str">
        <f>IFERROR(VLOOKUP(HQ105,Horarios!$H:$I,2,0),"")</f>
        <v/>
      </c>
      <c r="HT105" s="28" t="str">
        <f>IFERROR(VLOOKUP(HR105,Horarios!$H:$I,2,0),"")</f>
        <v/>
      </c>
      <c r="HU105" s="28" t="str">
        <f t="shared" si="89"/>
        <v>00:00</v>
      </c>
      <c r="HV105" s="29"/>
      <c r="HW105" s="27"/>
      <c r="HX105" s="27"/>
      <c r="HY105" s="28" t="str">
        <f>IFERROR(VLOOKUP(HW105,Horarios!$H:$I,2,0),"")</f>
        <v/>
      </c>
      <c r="HZ105" s="28" t="str">
        <f>IFERROR(VLOOKUP(HX105,Horarios!$H:$I,2,0),"")</f>
        <v/>
      </c>
      <c r="IA105" s="28" t="str">
        <f t="shared" si="90"/>
        <v>00:00</v>
      </c>
      <c r="IB105" s="29"/>
      <c r="IC105" s="27"/>
      <c r="ID105" s="27"/>
      <c r="IE105" s="28" t="str">
        <f>IFERROR(VLOOKUP(IC105,Horarios!$H:$I,2,0),"")</f>
        <v/>
      </c>
      <c r="IF105" s="28" t="str">
        <f>IFERROR(VLOOKUP(ID105,Horarios!$H:$I,2,0),"")</f>
        <v/>
      </c>
      <c r="IG105" s="28" t="str">
        <f t="shared" si="91"/>
        <v>00:00</v>
      </c>
      <c r="IH105" s="29"/>
      <c r="II105" s="27"/>
      <c r="IJ105" s="27"/>
      <c r="IK105" s="28" t="str">
        <f>IFERROR(VLOOKUP(II105,Horarios!$H:$I,2,0),"")</f>
        <v/>
      </c>
      <c r="IL105" s="28" t="str">
        <f>IFERROR(VLOOKUP(IJ105,Horarios!$H:$I,2,0),"")</f>
        <v/>
      </c>
      <c r="IM105" s="28" t="str">
        <f t="shared" si="92"/>
        <v>00:00</v>
      </c>
      <c r="IN105" s="29"/>
      <c r="IO105" s="27"/>
      <c r="IP105" s="27"/>
      <c r="IQ105" s="28" t="str">
        <f>IFERROR(VLOOKUP(IO105,Horarios!$H:$I,2,0),"")</f>
        <v/>
      </c>
      <c r="IR105" s="28" t="str">
        <f>IFERROR(VLOOKUP(IP105,Horarios!$H:$I,2,0),"")</f>
        <v/>
      </c>
      <c r="IS105" s="28" t="str">
        <f t="shared" si="93"/>
        <v>00:00</v>
      </c>
      <c r="IT105" s="29"/>
      <c r="IU105" s="27"/>
      <c r="IV105" s="27"/>
      <c r="IW105" s="28" t="str">
        <f>IFERROR(VLOOKUP(IU105,Horarios!$H:$I,2,0),"")</f>
        <v/>
      </c>
      <c r="IX105" s="28" t="str">
        <f>IFERROR(VLOOKUP(IV105,Horarios!$H:$I,2,0),"")</f>
        <v/>
      </c>
      <c r="IY105" s="28" t="str">
        <f t="shared" si="94"/>
        <v>00:00</v>
      </c>
      <c r="IZ105" s="29"/>
      <c r="JA105" s="31" t="str">
        <f t="shared" si="95"/>
        <v/>
      </c>
    </row>
    <row r="106" spans="1:261" s="24" customFormat="1" ht="17.399999999999999" x14ac:dyDescent="0.25">
      <c r="A106" s="25"/>
      <c r="B106" s="26" t="str">
        <f>IFERROR(VLOOKUP(A106,BaseNombres!A:B,2,0),"")</f>
        <v/>
      </c>
      <c r="C106" s="26" t="str">
        <f>IFERROR(VLOOKUP(A106,BaseNombres!A:C,3,0),"")</f>
        <v/>
      </c>
      <c r="D106" s="27"/>
      <c r="E106" s="27"/>
      <c r="F106" s="28" t="str">
        <f>IFERROR(VLOOKUP(D106,Horarios!$H:$I,2,0),"")</f>
        <v/>
      </c>
      <c r="G106" s="28" t="str">
        <f>IFERROR(VLOOKUP(E106,Horarios!$H:$I,2,0),"")</f>
        <v/>
      </c>
      <c r="H106" s="28" t="str">
        <f t="shared" si="48"/>
        <v>00:00</v>
      </c>
      <c r="I106" s="29"/>
      <c r="J106" s="27"/>
      <c r="K106" s="27"/>
      <c r="L106" s="28" t="str">
        <f>IFERROR(VLOOKUP(J106,Horarios!$H:$I,2,0),"")</f>
        <v/>
      </c>
      <c r="M106" s="28" t="str">
        <f>IFERROR(VLOOKUP(K106,Horarios!$H:$I,2,0),"")</f>
        <v/>
      </c>
      <c r="N106" s="28" t="str">
        <f t="shared" si="49"/>
        <v>00:00</v>
      </c>
      <c r="O106" s="29"/>
      <c r="P106" s="27"/>
      <c r="Q106" s="27"/>
      <c r="R106" s="28" t="str">
        <f>IFERROR(VLOOKUP(P106,Horarios!$H:$I,2,0),"")</f>
        <v/>
      </c>
      <c r="S106" s="28" t="str">
        <f>IFERROR(VLOOKUP(Q106,Horarios!$H:$I,2,0),"")</f>
        <v/>
      </c>
      <c r="T106" s="28" t="str">
        <f t="shared" si="50"/>
        <v>00:00</v>
      </c>
      <c r="U106" s="29"/>
      <c r="V106" s="27"/>
      <c r="W106" s="27"/>
      <c r="X106" s="28" t="str">
        <f>IFERROR(VLOOKUP(V106,Horarios!$H:$I,2,0),"")</f>
        <v/>
      </c>
      <c r="Y106" s="28" t="str">
        <f>IFERROR(VLOOKUP(W106,Horarios!$H:$I,2,0),"")</f>
        <v/>
      </c>
      <c r="Z106" s="28" t="str">
        <f t="shared" si="51"/>
        <v>00:00</v>
      </c>
      <c r="AA106" s="29"/>
      <c r="AB106" s="27"/>
      <c r="AC106" s="27"/>
      <c r="AD106" s="28" t="str">
        <f>IFERROR(VLOOKUP(AB106,Horarios!$H:$I,2,0),"")</f>
        <v/>
      </c>
      <c r="AE106" s="28" t="str">
        <f>IFERROR(VLOOKUP(AC106,Horarios!$H:$I,2,0),"")</f>
        <v/>
      </c>
      <c r="AF106" s="28" t="str">
        <f t="shared" si="52"/>
        <v>00:00</v>
      </c>
      <c r="AG106" s="29"/>
      <c r="AH106" s="27"/>
      <c r="AI106" s="27"/>
      <c r="AJ106" s="28" t="str">
        <f>IFERROR(VLOOKUP(AH106,Horarios!$H:$I,2,0),"")</f>
        <v/>
      </c>
      <c r="AK106" s="28" t="str">
        <f>IFERROR(VLOOKUP(AI106,Horarios!$H:$I,2,0),"")</f>
        <v/>
      </c>
      <c r="AL106" s="28" t="str">
        <f t="shared" si="53"/>
        <v>00:00</v>
      </c>
      <c r="AM106" s="29"/>
      <c r="AN106" s="27"/>
      <c r="AO106" s="27"/>
      <c r="AP106" s="28" t="str">
        <f>IFERROR(VLOOKUP(AN106,Horarios!$H:$I,2,0),"")</f>
        <v/>
      </c>
      <c r="AQ106" s="28" t="str">
        <f>IFERROR(VLOOKUP(AO106,Horarios!$H:$I,2,0),"")</f>
        <v/>
      </c>
      <c r="AR106" s="28" t="str">
        <f t="shared" si="54"/>
        <v>00:00</v>
      </c>
      <c r="AS106" s="29"/>
      <c r="AT106" s="31" t="str">
        <f t="shared" si="55"/>
        <v/>
      </c>
      <c r="AU106" s="27"/>
      <c r="AV106" s="27"/>
      <c r="AW106" s="28" t="str">
        <f>IFERROR(VLOOKUP(AU106,Horarios!$H:$I,2,0),"")</f>
        <v/>
      </c>
      <c r="AX106" s="28" t="str">
        <f>IFERROR(VLOOKUP(AV106,Horarios!$H:$I,2,0),"")</f>
        <v/>
      </c>
      <c r="AY106" s="28" t="str">
        <f t="shared" si="56"/>
        <v>00:00</v>
      </c>
      <c r="AZ106" s="29"/>
      <c r="BA106" s="27"/>
      <c r="BB106" s="27"/>
      <c r="BC106" s="28" t="str">
        <f>IFERROR(VLOOKUP(BA106,Horarios!$H:$I,2,0),"")</f>
        <v/>
      </c>
      <c r="BD106" s="28" t="str">
        <f>IFERROR(VLOOKUP(BB106,Horarios!$H:$I,2,0),"")</f>
        <v/>
      </c>
      <c r="BE106" s="28" t="str">
        <f t="shared" si="57"/>
        <v>00:00</v>
      </c>
      <c r="BF106" s="29"/>
      <c r="BG106" s="27"/>
      <c r="BH106" s="27"/>
      <c r="BI106" s="28" t="str">
        <f>IFERROR(VLOOKUP(BG106,Horarios!$H:$I,2,0),"")</f>
        <v/>
      </c>
      <c r="BJ106" s="28" t="str">
        <f>IFERROR(VLOOKUP(BH106,Horarios!$H:$I,2,0),"")</f>
        <v/>
      </c>
      <c r="BK106" s="28" t="str">
        <f t="shared" si="58"/>
        <v>00:00</v>
      </c>
      <c r="BL106" s="29"/>
      <c r="BM106" s="27"/>
      <c r="BN106" s="27"/>
      <c r="BO106" s="28" t="str">
        <f>IFERROR(VLOOKUP(BM106,Horarios!$H:$I,2,0),"")</f>
        <v/>
      </c>
      <c r="BP106" s="28" t="str">
        <f>IFERROR(VLOOKUP(BN106,Horarios!$H:$I,2,0),"")</f>
        <v/>
      </c>
      <c r="BQ106" s="28" t="str">
        <f t="shared" si="59"/>
        <v>00:00</v>
      </c>
      <c r="BR106" s="29"/>
      <c r="BS106" s="27"/>
      <c r="BT106" s="27"/>
      <c r="BU106" s="28" t="str">
        <f>IFERROR(VLOOKUP(BS106,Horarios!$H:$I,2,0),"")</f>
        <v/>
      </c>
      <c r="BV106" s="28" t="str">
        <f>IFERROR(VLOOKUP(BT106,Horarios!$H:$I,2,0),"")</f>
        <v/>
      </c>
      <c r="BW106" s="28" t="str">
        <f t="shared" si="60"/>
        <v>00:00</v>
      </c>
      <c r="BX106" s="29"/>
      <c r="BY106" s="27"/>
      <c r="BZ106" s="27"/>
      <c r="CA106" s="28" t="str">
        <f>IFERROR(VLOOKUP(BY106,Horarios!$H:$I,2,0),"")</f>
        <v/>
      </c>
      <c r="CB106" s="28" t="str">
        <f>IFERROR(VLOOKUP(BZ106,Horarios!$H:$I,2,0),"")</f>
        <v/>
      </c>
      <c r="CC106" s="28" t="str">
        <f t="shared" si="61"/>
        <v>00:00</v>
      </c>
      <c r="CD106" s="29"/>
      <c r="CE106" s="27"/>
      <c r="CF106" s="27"/>
      <c r="CG106" s="28" t="str">
        <f>IFERROR(VLOOKUP(CE106,Horarios!$H:$I,2,0),"")</f>
        <v/>
      </c>
      <c r="CH106" s="28" t="str">
        <f>IFERROR(VLOOKUP(CF106,Horarios!$H:$I,2,0),"")</f>
        <v/>
      </c>
      <c r="CI106" s="28" t="str">
        <f t="shared" si="62"/>
        <v>00:00</v>
      </c>
      <c r="CJ106" s="29"/>
      <c r="CK106" s="31" t="str">
        <f t="shared" si="63"/>
        <v/>
      </c>
      <c r="CL106" s="27"/>
      <c r="CM106" s="27"/>
      <c r="CN106" s="28" t="str">
        <f>IFERROR(VLOOKUP(CL106,Horarios!$H:$I,2,0),"")</f>
        <v/>
      </c>
      <c r="CO106" s="28" t="str">
        <f>IFERROR(VLOOKUP(CM106,Horarios!$H:$I,2,0),"")</f>
        <v/>
      </c>
      <c r="CP106" s="28" t="str">
        <f t="shared" si="64"/>
        <v>00:00</v>
      </c>
      <c r="CQ106" s="29"/>
      <c r="CR106" s="27"/>
      <c r="CS106" s="27"/>
      <c r="CT106" s="28" t="str">
        <f>IFERROR(VLOOKUP(CR106,Horarios!$H:$I,2,0),"")</f>
        <v/>
      </c>
      <c r="CU106" s="28" t="str">
        <f>IFERROR(VLOOKUP(CS106,Horarios!$H:$I,2,0),"")</f>
        <v/>
      </c>
      <c r="CV106" s="28" t="str">
        <f t="shared" si="65"/>
        <v>00:00</v>
      </c>
      <c r="CW106" s="29"/>
      <c r="CX106" s="27"/>
      <c r="CY106" s="27"/>
      <c r="CZ106" s="28" t="str">
        <f>IFERROR(VLOOKUP(CX106,Horarios!$H:$I,2,0),"")</f>
        <v/>
      </c>
      <c r="DA106" s="28" t="str">
        <f>IFERROR(VLOOKUP(CY106,Horarios!$H:$I,2,0),"")</f>
        <v/>
      </c>
      <c r="DB106" s="28" t="str">
        <f t="shared" si="66"/>
        <v>00:00</v>
      </c>
      <c r="DC106" s="29"/>
      <c r="DD106" s="27"/>
      <c r="DE106" s="27"/>
      <c r="DF106" s="28" t="str">
        <f>IFERROR(VLOOKUP(DD106,Horarios!$H:$I,2,0),"")</f>
        <v/>
      </c>
      <c r="DG106" s="28" t="str">
        <f>IFERROR(VLOOKUP(DE106,Horarios!$H:$I,2,0),"")</f>
        <v/>
      </c>
      <c r="DH106" s="28" t="str">
        <f t="shared" si="67"/>
        <v>00:00</v>
      </c>
      <c r="DI106" s="29"/>
      <c r="DJ106" s="27"/>
      <c r="DK106" s="27"/>
      <c r="DL106" s="28" t="str">
        <f>IFERROR(VLOOKUP(DJ106,Horarios!$H:$I,2,0),"")</f>
        <v/>
      </c>
      <c r="DM106" s="28" t="str">
        <f>IFERROR(VLOOKUP(DK106,Horarios!$H:$I,2,0),"")</f>
        <v/>
      </c>
      <c r="DN106" s="28" t="str">
        <f t="shared" si="68"/>
        <v>00:00</v>
      </c>
      <c r="DO106" s="29"/>
      <c r="DP106" s="27"/>
      <c r="DQ106" s="27"/>
      <c r="DR106" s="28" t="str">
        <f>IFERROR(VLOOKUP(DP106,Horarios!$H:$I,2,0),"")</f>
        <v/>
      </c>
      <c r="DS106" s="28" t="str">
        <f>IFERROR(VLOOKUP(DQ106,Horarios!$H:$I,2,0),"")</f>
        <v/>
      </c>
      <c r="DT106" s="28" t="str">
        <f t="shared" si="69"/>
        <v>00:00</v>
      </c>
      <c r="DU106" s="29"/>
      <c r="DV106" s="27"/>
      <c r="DW106" s="27"/>
      <c r="DX106" s="28" t="str">
        <f>IFERROR(VLOOKUP(DV106,Horarios!$H:$I,2,0),"")</f>
        <v/>
      </c>
      <c r="DY106" s="28" t="str">
        <f>IFERROR(VLOOKUP(DW106,Horarios!$H:$I,2,0),"")</f>
        <v/>
      </c>
      <c r="DZ106" s="28" t="str">
        <f t="shared" si="70"/>
        <v>00:00</v>
      </c>
      <c r="EA106" s="29"/>
      <c r="EB106" s="31" t="str">
        <f t="shared" si="71"/>
        <v/>
      </c>
      <c r="EC106" s="27"/>
      <c r="ED106" s="27"/>
      <c r="EE106" s="28" t="str">
        <f>IFERROR(VLOOKUP(EC106,Horarios!$H:$I,2,0),"")</f>
        <v/>
      </c>
      <c r="EF106" s="28" t="str">
        <f>IFERROR(VLOOKUP(ED106,Horarios!$H:$I,2,0),"")</f>
        <v/>
      </c>
      <c r="EG106" s="28" t="str">
        <f t="shared" si="72"/>
        <v>00:00</v>
      </c>
      <c r="EH106" s="29"/>
      <c r="EI106" s="27"/>
      <c r="EJ106" s="27"/>
      <c r="EK106" s="28" t="str">
        <f>IFERROR(VLOOKUP(EI106,Horarios!$H:$I,2,0),"")</f>
        <v/>
      </c>
      <c r="EL106" s="28" t="str">
        <f>IFERROR(VLOOKUP(EJ106,Horarios!$H:$I,2,0),"")</f>
        <v/>
      </c>
      <c r="EM106" s="28" t="str">
        <f t="shared" si="73"/>
        <v>00:00</v>
      </c>
      <c r="EN106" s="29"/>
      <c r="EO106" s="27"/>
      <c r="EP106" s="27"/>
      <c r="EQ106" s="28" t="str">
        <f>IFERROR(VLOOKUP(EO106,Horarios!$H:$I,2,0),"")</f>
        <v/>
      </c>
      <c r="ER106" s="28" t="str">
        <f>IFERROR(VLOOKUP(EP106,Horarios!$H:$I,2,0),"")</f>
        <v/>
      </c>
      <c r="ES106" s="28" t="str">
        <f t="shared" si="74"/>
        <v>00:00</v>
      </c>
      <c r="ET106" s="29"/>
      <c r="EU106" s="27"/>
      <c r="EV106" s="27"/>
      <c r="EW106" s="28" t="str">
        <f>IFERROR(VLOOKUP(EU106,Horarios!$H:$I,2,0),"")</f>
        <v/>
      </c>
      <c r="EX106" s="28" t="str">
        <f>IFERROR(VLOOKUP(EV106,Horarios!$H:$I,2,0),"")</f>
        <v/>
      </c>
      <c r="EY106" s="28" t="str">
        <f t="shared" si="75"/>
        <v>00:00</v>
      </c>
      <c r="EZ106" s="29"/>
      <c r="FA106" s="27"/>
      <c r="FB106" s="27"/>
      <c r="FC106" s="28" t="str">
        <f>IFERROR(VLOOKUP(FA106,Horarios!$H:$I,2,0),"")</f>
        <v/>
      </c>
      <c r="FD106" s="28" t="str">
        <f>IFERROR(VLOOKUP(FB106,Horarios!$H:$I,2,0),"")</f>
        <v/>
      </c>
      <c r="FE106" s="28" t="str">
        <f t="shared" si="76"/>
        <v>00:00</v>
      </c>
      <c r="FF106" s="29"/>
      <c r="FG106" s="27"/>
      <c r="FH106" s="27"/>
      <c r="FI106" s="28" t="str">
        <f>IFERROR(VLOOKUP(FG106,Horarios!$H:$I,2,0),"")</f>
        <v/>
      </c>
      <c r="FJ106" s="28" t="str">
        <f>IFERROR(VLOOKUP(FH106,Horarios!$H:$I,2,0),"")</f>
        <v/>
      </c>
      <c r="FK106" s="28" t="str">
        <f t="shared" si="77"/>
        <v>00:00</v>
      </c>
      <c r="FL106" s="29"/>
      <c r="FM106" s="27"/>
      <c r="FN106" s="27"/>
      <c r="FO106" s="28" t="str">
        <f>IFERROR(VLOOKUP(FM106,Horarios!$H:$I,2,0),"")</f>
        <v/>
      </c>
      <c r="FP106" s="28" t="str">
        <f>IFERROR(VLOOKUP(FN106,Horarios!$H:$I,2,0),"")</f>
        <v/>
      </c>
      <c r="FQ106" s="28" t="str">
        <f t="shared" si="78"/>
        <v>00:00</v>
      </c>
      <c r="FR106" s="29"/>
      <c r="FS106" s="31" t="str">
        <f t="shared" si="79"/>
        <v/>
      </c>
      <c r="FT106" s="27"/>
      <c r="FU106" s="27"/>
      <c r="FV106" s="28" t="str">
        <f>IFERROR(VLOOKUP(FT106,Horarios!$H:$I,2,0),"")</f>
        <v/>
      </c>
      <c r="FW106" s="28" t="str">
        <f>IFERROR(VLOOKUP(FU106,Horarios!$H:$I,2,0),"")</f>
        <v/>
      </c>
      <c r="FX106" s="28" t="str">
        <f t="shared" si="80"/>
        <v>00:00</v>
      </c>
      <c r="FY106" s="29"/>
      <c r="FZ106" s="27"/>
      <c r="GA106" s="27"/>
      <c r="GB106" s="28" t="str">
        <f>IFERROR(VLOOKUP(FZ106,Horarios!$H:$I,2,0),"")</f>
        <v/>
      </c>
      <c r="GC106" s="28" t="str">
        <f>IFERROR(VLOOKUP(GA106,Horarios!$H:$I,2,0),"")</f>
        <v/>
      </c>
      <c r="GD106" s="28" t="str">
        <f t="shared" si="81"/>
        <v>00:00</v>
      </c>
      <c r="GE106" s="29"/>
      <c r="GF106" s="27"/>
      <c r="GG106" s="27"/>
      <c r="GH106" s="28" t="str">
        <f>IFERROR(VLOOKUP(GF106,Horarios!$H:$I,2,0),"")</f>
        <v/>
      </c>
      <c r="GI106" s="28" t="str">
        <f>IFERROR(VLOOKUP(GG106,Horarios!$H:$I,2,0),"")</f>
        <v/>
      </c>
      <c r="GJ106" s="28" t="str">
        <f t="shared" si="82"/>
        <v>00:00</v>
      </c>
      <c r="GK106" s="29"/>
      <c r="GL106" s="27"/>
      <c r="GM106" s="27"/>
      <c r="GN106" s="28" t="str">
        <f>IFERROR(VLOOKUP(GL106,Horarios!$H:$I,2,0),"")</f>
        <v/>
      </c>
      <c r="GO106" s="28" t="str">
        <f>IFERROR(VLOOKUP(GM106,Horarios!$H:$I,2,0),"")</f>
        <v/>
      </c>
      <c r="GP106" s="28" t="str">
        <f t="shared" si="83"/>
        <v>00:00</v>
      </c>
      <c r="GQ106" s="29"/>
      <c r="GR106" s="27"/>
      <c r="GS106" s="27"/>
      <c r="GT106" s="28" t="str">
        <f>IFERROR(VLOOKUP(GR106,Horarios!$H:$I,2,0),"")</f>
        <v/>
      </c>
      <c r="GU106" s="28" t="str">
        <f>IFERROR(VLOOKUP(GS106,Horarios!$H:$I,2,0),"")</f>
        <v/>
      </c>
      <c r="GV106" s="28" t="str">
        <f t="shared" si="84"/>
        <v>00:00</v>
      </c>
      <c r="GW106" s="29"/>
      <c r="GX106" s="27"/>
      <c r="GY106" s="27"/>
      <c r="GZ106" s="28" t="str">
        <f>IFERROR(VLOOKUP(GX106,Horarios!$H:$I,2,0),"")</f>
        <v/>
      </c>
      <c r="HA106" s="28" t="str">
        <f>IFERROR(VLOOKUP(GY106,Horarios!$H:$I,2,0),"")</f>
        <v/>
      </c>
      <c r="HB106" s="28" t="str">
        <f t="shared" si="85"/>
        <v>00:00</v>
      </c>
      <c r="HC106" s="29"/>
      <c r="HD106" s="27"/>
      <c r="HE106" s="27"/>
      <c r="HF106" s="28" t="str">
        <f>IFERROR(VLOOKUP(HD106,Horarios!$H:$I,2,0),"")</f>
        <v/>
      </c>
      <c r="HG106" s="28" t="str">
        <f>IFERROR(VLOOKUP(HE106,Horarios!$H:$I,2,0),"")</f>
        <v/>
      </c>
      <c r="HH106" s="28" t="str">
        <f t="shared" si="86"/>
        <v>00:00</v>
      </c>
      <c r="HI106" s="29"/>
      <c r="HJ106" s="31" t="str">
        <f t="shared" si="87"/>
        <v/>
      </c>
      <c r="HK106" s="27"/>
      <c r="HL106" s="27"/>
      <c r="HM106" s="28" t="str">
        <f>IFERROR(VLOOKUP(HK106,Horarios!$H:$I,2,0),"")</f>
        <v/>
      </c>
      <c r="HN106" s="28" t="str">
        <f>IFERROR(VLOOKUP(HL106,Horarios!$H:$I,2,0),"")</f>
        <v/>
      </c>
      <c r="HO106" s="28" t="str">
        <f t="shared" si="88"/>
        <v>00:00</v>
      </c>
      <c r="HP106" s="29"/>
      <c r="HQ106" s="27"/>
      <c r="HR106" s="27"/>
      <c r="HS106" s="28" t="str">
        <f>IFERROR(VLOOKUP(HQ106,Horarios!$H:$I,2,0),"")</f>
        <v/>
      </c>
      <c r="HT106" s="28" t="str">
        <f>IFERROR(VLOOKUP(HR106,Horarios!$H:$I,2,0),"")</f>
        <v/>
      </c>
      <c r="HU106" s="28" t="str">
        <f t="shared" si="89"/>
        <v>00:00</v>
      </c>
      <c r="HV106" s="29"/>
      <c r="HW106" s="27"/>
      <c r="HX106" s="27"/>
      <c r="HY106" s="28" t="str">
        <f>IFERROR(VLOOKUP(HW106,Horarios!$H:$I,2,0),"")</f>
        <v/>
      </c>
      <c r="HZ106" s="28" t="str">
        <f>IFERROR(VLOOKUP(HX106,Horarios!$H:$I,2,0),"")</f>
        <v/>
      </c>
      <c r="IA106" s="28" t="str">
        <f t="shared" si="90"/>
        <v>00:00</v>
      </c>
      <c r="IB106" s="29"/>
      <c r="IC106" s="27"/>
      <c r="ID106" s="27"/>
      <c r="IE106" s="28" t="str">
        <f>IFERROR(VLOOKUP(IC106,Horarios!$H:$I,2,0),"")</f>
        <v/>
      </c>
      <c r="IF106" s="28" t="str">
        <f>IFERROR(VLOOKUP(ID106,Horarios!$H:$I,2,0),"")</f>
        <v/>
      </c>
      <c r="IG106" s="28" t="str">
        <f t="shared" si="91"/>
        <v>00:00</v>
      </c>
      <c r="IH106" s="29"/>
      <c r="II106" s="27"/>
      <c r="IJ106" s="27"/>
      <c r="IK106" s="28" t="str">
        <f>IFERROR(VLOOKUP(II106,Horarios!$H:$I,2,0),"")</f>
        <v/>
      </c>
      <c r="IL106" s="28" t="str">
        <f>IFERROR(VLOOKUP(IJ106,Horarios!$H:$I,2,0),"")</f>
        <v/>
      </c>
      <c r="IM106" s="28" t="str">
        <f t="shared" si="92"/>
        <v>00:00</v>
      </c>
      <c r="IN106" s="29"/>
      <c r="IO106" s="27"/>
      <c r="IP106" s="27"/>
      <c r="IQ106" s="28" t="str">
        <f>IFERROR(VLOOKUP(IO106,Horarios!$H:$I,2,0),"")</f>
        <v/>
      </c>
      <c r="IR106" s="28" t="str">
        <f>IFERROR(VLOOKUP(IP106,Horarios!$H:$I,2,0),"")</f>
        <v/>
      </c>
      <c r="IS106" s="28" t="str">
        <f t="shared" si="93"/>
        <v>00:00</v>
      </c>
      <c r="IT106" s="29"/>
      <c r="IU106" s="27"/>
      <c r="IV106" s="27"/>
      <c r="IW106" s="28" t="str">
        <f>IFERROR(VLOOKUP(IU106,Horarios!$H:$I,2,0),"")</f>
        <v/>
      </c>
      <c r="IX106" s="28" t="str">
        <f>IFERROR(VLOOKUP(IV106,Horarios!$H:$I,2,0),"")</f>
        <v/>
      </c>
      <c r="IY106" s="28" t="str">
        <f t="shared" si="94"/>
        <v>00:00</v>
      </c>
      <c r="IZ106" s="29"/>
      <c r="JA106" s="31" t="str">
        <f t="shared" si="95"/>
        <v/>
      </c>
    </row>
    <row r="107" spans="1:261" s="24" customFormat="1" ht="17.399999999999999" x14ac:dyDescent="0.25">
      <c r="A107" s="25"/>
      <c r="B107" s="26" t="str">
        <f>IFERROR(VLOOKUP(A107,BaseNombres!A:B,2,0),"")</f>
        <v/>
      </c>
      <c r="C107" s="26" t="str">
        <f>IFERROR(VLOOKUP(A107,BaseNombres!A:C,3,0),"")</f>
        <v/>
      </c>
      <c r="D107" s="27"/>
      <c r="E107" s="27"/>
      <c r="F107" s="28" t="str">
        <f>IFERROR(VLOOKUP(D107,Horarios!$H:$I,2,0),"")</f>
        <v/>
      </c>
      <c r="G107" s="28" t="str">
        <f>IFERROR(VLOOKUP(E107,Horarios!$H:$I,2,0),"")</f>
        <v/>
      </c>
      <c r="H107" s="28" t="str">
        <f t="shared" si="48"/>
        <v>00:00</v>
      </c>
      <c r="I107" s="29"/>
      <c r="J107" s="27"/>
      <c r="K107" s="27"/>
      <c r="L107" s="28" t="str">
        <f>IFERROR(VLOOKUP(J107,Horarios!$H:$I,2,0),"")</f>
        <v/>
      </c>
      <c r="M107" s="28" t="str">
        <f>IFERROR(VLOOKUP(K107,Horarios!$H:$I,2,0),"")</f>
        <v/>
      </c>
      <c r="N107" s="28" t="str">
        <f t="shared" si="49"/>
        <v>00:00</v>
      </c>
      <c r="O107" s="29"/>
      <c r="P107" s="27"/>
      <c r="Q107" s="27"/>
      <c r="R107" s="28" t="str">
        <f>IFERROR(VLOOKUP(P107,Horarios!$H:$I,2,0),"")</f>
        <v/>
      </c>
      <c r="S107" s="28" t="str">
        <f>IFERROR(VLOOKUP(Q107,Horarios!$H:$I,2,0),"")</f>
        <v/>
      </c>
      <c r="T107" s="28" t="str">
        <f t="shared" si="50"/>
        <v>00:00</v>
      </c>
      <c r="U107" s="29"/>
      <c r="V107" s="27"/>
      <c r="W107" s="27"/>
      <c r="X107" s="28" t="str">
        <f>IFERROR(VLOOKUP(V107,Horarios!$H:$I,2,0),"")</f>
        <v/>
      </c>
      <c r="Y107" s="28" t="str">
        <f>IFERROR(VLOOKUP(W107,Horarios!$H:$I,2,0),"")</f>
        <v/>
      </c>
      <c r="Z107" s="28" t="str">
        <f t="shared" si="51"/>
        <v>00:00</v>
      </c>
      <c r="AA107" s="29"/>
      <c r="AB107" s="27"/>
      <c r="AC107" s="27"/>
      <c r="AD107" s="28" t="str">
        <f>IFERROR(VLOOKUP(AB107,Horarios!$H:$I,2,0),"")</f>
        <v/>
      </c>
      <c r="AE107" s="28" t="str">
        <f>IFERROR(VLOOKUP(AC107,Horarios!$H:$I,2,0),"")</f>
        <v/>
      </c>
      <c r="AF107" s="28" t="str">
        <f t="shared" si="52"/>
        <v>00:00</v>
      </c>
      <c r="AG107" s="29"/>
      <c r="AH107" s="27"/>
      <c r="AI107" s="27"/>
      <c r="AJ107" s="28" t="str">
        <f>IFERROR(VLOOKUP(AH107,Horarios!$H:$I,2,0),"")</f>
        <v/>
      </c>
      <c r="AK107" s="28" t="str">
        <f>IFERROR(VLOOKUP(AI107,Horarios!$H:$I,2,0),"")</f>
        <v/>
      </c>
      <c r="AL107" s="28" t="str">
        <f t="shared" si="53"/>
        <v>00:00</v>
      </c>
      <c r="AM107" s="29"/>
      <c r="AN107" s="27"/>
      <c r="AO107" s="27"/>
      <c r="AP107" s="28" t="str">
        <f>IFERROR(VLOOKUP(AN107,Horarios!$H:$I,2,0),"")</f>
        <v/>
      </c>
      <c r="AQ107" s="28" t="str">
        <f>IFERROR(VLOOKUP(AO107,Horarios!$H:$I,2,0),"")</f>
        <v/>
      </c>
      <c r="AR107" s="28" t="str">
        <f t="shared" si="54"/>
        <v>00:00</v>
      </c>
      <c r="AS107" s="29"/>
      <c r="AT107" s="31" t="str">
        <f t="shared" si="55"/>
        <v/>
      </c>
      <c r="AU107" s="27"/>
      <c r="AV107" s="27"/>
      <c r="AW107" s="28" t="str">
        <f>IFERROR(VLOOKUP(AU107,Horarios!$H:$I,2,0),"")</f>
        <v/>
      </c>
      <c r="AX107" s="28" t="str">
        <f>IFERROR(VLOOKUP(AV107,Horarios!$H:$I,2,0),"")</f>
        <v/>
      </c>
      <c r="AY107" s="28" t="str">
        <f t="shared" si="56"/>
        <v>00:00</v>
      </c>
      <c r="AZ107" s="29"/>
      <c r="BA107" s="27"/>
      <c r="BB107" s="27"/>
      <c r="BC107" s="28" t="str">
        <f>IFERROR(VLOOKUP(BA107,Horarios!$H:$I,2,0),"")</f>
        <v/>
      </c>
      <c r="BD107" s="28" t="str">
        <f>IFERROR(VLOOKUP(BB107,Horarios!$H:$I,2,0),"")</f>
        <v/>
      </c>
      <c r="BE107" s="28" t="str">
        <f t="shared" si="57"/>
        <v>00:00</v>
      </c>
      <c r="BF107" s="29"/>
      <c r="BG107" s="27"/>
      <c r="BH107" s="27"/>
      <c r="BI107" s="28" t="str">
        <f>IFERROR(VLOOKUP(BG107,Horarios!$H:$I,2,0),"")</f>
        <v/>
      </c>
      <c r="BJ107" s="28" t="str">
        <f>IFERROR(VLOOKUP(BH107,Horarios!$H:$I,2,0),"")</f>
        <v/>
      </c>
      <c r="BK107" s="28" t="str">
        <f t="shared" si="58"/>
        <v>00:00</v>
      </c>
      <c r="BL107" s="29"/>
      <c r="BM107" s="27"/>
      <c r="BN107" s="27"/>
      <c r="BO107" s="28" t="str">
        <f>IFERROR(VLOOKUP(BM107,Horarios!$H:$I,2,0),"")</f>
        <v/>
      </c>
      <c r="BP107" s="28" t="str">
        <f>IFERROR(VLOOKUP(BN107,Horarios!$H:$I,2,0),"")</f>
        <v/>
      </c>
      <c r="BQ107" s="28" t="str">
        <f t="shared" si="59"/>
        <v>00:00</v>
      </c>
      <c r="BR107" s="29"/>
      <c r="BS107" s="27"/>
      <c r="BT107" s="27"/>
      <c r="BU107" s="28" t="str">
        <f>IFERROR(VLOOKUP(BS107,Horarios!$H:$I,2,0),"")</f>
        <v/>
      </c>
      <c r="BV107" s="28" t="str">
        <f>IFERROR(VLOOKUP(BT107,Horarios!$H:$I,2,0),"")</f>
        <v/>
      </c>
      <c r="BW107" s="28" t="str">
        <f t="shared" si="60"/>
        <v>00:00</v>
      </c>
      <c r="BX107" s="29"/>
      <c r="BY107" s="27"/>
      <c r="BZ107" s="27"/>
      <c r="CA107" s="28" t="str">
        <f>IFERROR(VLOOKUP(BY107,Horarios!$H:$I,2,0),"")</f>
        <v/>
      </c>
      <c r="CB107" s="28" t="str">
        <f>IFERROR(VLOOKUP(BZ107,Horarios!$H:$I,2,0),"")</f>
        <v/>
      </c>
      <c r="CC107" s="28" t="str">
        <f t="shared" si="61"/>
        <v>00:00</v>
      </c>
      <c r="CD107" s="29"/>
      <c r="CE107" s="27"/>
      <c r="CF107" s="27"/>
      <c r="CG107" s="28" t="str">
        <f>IFERROR(VLOOKUP(CE107,Horarios!$H:$I,2,0),"")</f>
        <v/>
      </c>
      <c r="CH107" s="28" t="str">
        <f>IFERROR(VLOOKUP(CF107,Horarios!$H:$I,2,0),"")</f>
        <v/>
      </c>
      <c r="CI107" s="28" t="str">
        <f t="shared" si="62"/>
        <v>00:00</v>
      </c>
      <c r="CJ107" s="29"/>
      <c r="CK107" s="31" t="str">
        <f t="shared" si="63"/>
        <v/>
      </c>
      <c r="CL107" s="27"/>
      <c r="CM107" s="27"/>
      <c r="CN107" s="28" t="str">
        <f>IFERROR(VLOOKUP(CL107,Horarios!$H:$I,2,0),"")</f>
        <v/>
      </c>
      <c r="CO107" s="28" t="str">
        <f>IFERROR(VLOOKUP(CM107,Horarios!$H:$I,2,0),"")</f>
        <v/>
      </c>
      <c r="CP107" s="28" t="str">
        <f t="shared" si="64"/>
        <v>00:00</v>
      </c>
      <c r="CQ107" s="29"/>
      <c r="CR107" s="27"/>
      <c r="CS107" s="27"/>
      <c r="CT107" s="28" t="str">
        <f>IFERROR(VLOOKUP(CR107,Horarios!$H:$I,2,0),"")</f>
        <v/>
      </c>
      <c r="CU107" s="28" t="str">
        <f>IFERROR(VLOOKUP(CS107,Horarios!$H:$I,2,0),"")</f>
        <v/>
      </c>
      <c r="CV107" s="28" t="str">
        <f t="shared" si="65"/>
        <v>00:00</v>
      </c>
      <c r="CW107" s="29"/>
      <c r="CX107" s="27"/>
      <c r="CY107" s="27"/>
      <c r="CZ107" s="28" t="str">
        <f>IFERROR(VLOOKUP(CX107,Horarios!$H:$I,2,0),"")</f>
        <v/>
      </c>
      <c r="DA107" s="28" t="str">
        <f>IFERROR(VLOOKUP(CY107,Horarios!$H:$I,2,0),"")</f>
        <v/>
      </c>
      <c r="DB107" s="28" t="str">
        <f t="shared" si="66"/>
        <v>00:00</v>
      </c>
      <c r="DC107" s="29"/>
      <c r="DD107" s="27"/>
      <c r="DE107" s="27"/>
      <c r="DF107" s="28" t="str">
        <f>IFERROR(VLOOKUP(DD107,Horarios!$H:$I,2,0),"")</f>
        <v/>
      </c>
      <c r="DG107" s="28" t="str">
        <f>IFERROR(VLOOKUP(DE107,Horarios!$H:$I,2,0),"")</f>
        <v/>
      </c>
      <c r="DH107" s="28" t="str">
        <f t="shared" si="67"/>
        <v>00:00</v>
      </c>
      <c r="DI107" s="29"/>
      <c r="DJ107" s="27"/>
      <c r="DK107" s="27"/>
      <c r="DL107" s="28" t="str">
        <f>IFERROR(VLOOKUP(DJ107,Horarios!$H:$I,2,0),"")</f>
        <v/>
      </c>
      <c r="DM107" s="28" t="str">
        <f>IFERROR(VLOOKUP(DK107,Horarios!$H:$I,2,0),"")</f>
        <v/>
      </c>
      <c r="DN107" s="28" t="str">
        <f t="shared" si="68"/>
        <v>00:00</v>
      </c>
      <c r="DO107" s="29"/>
      <c r="DP107" s="27"/>
      <c r="DQ107" s="27"/>
      <c r="DR107" s="28" t="str">
        <f>IFERROR(VLOOKUP(DP107,Horarios!$H:$I,2,0),"")</f>
        <v/>
      </c>
      <c r="DS107" s="28" t="str">
        <f>IFERROR(VLOOKUP(DQ107,Horarios!$H:$I,2,0),"")</f>
        <v/>
      </c>
      <c r="DT107" s="28" t="str">
        <f t="shared" si="69"/>
        <v>00:00</v>
      </c>
      <c r="DU107" s="29"/>
      <c r="DV107" s="27"/>
      <c r="DW107" s="27"/>
      <c r="DX107" s="28" t="str">
        <f>IFERROR(VLOOKUP(DV107,Horarios!$H:$I,2,0),"")</f>
        <v/>
      </c>
      <c r="DY107" s="28" t="str">
        <f>IFERROR(VLOOKUP(DW107,Horarios!$H:$I,2,0),"")</f>
        <v/>
      </c>
      <c r="DZ107" s="28" t="str">
        <f t="shared" si="70"/>
        <v>00:00</v>
      </c>
      <c r="EA107" s="29"/>
      <c r="EB107" s="31" t="str">
        <f t="shared" si="71"/>
        <v/>
      </c>
      <c r="EC107" s="27"/>
      <c r="ED107" s="27"/>
      <c r="EE107" s="28" t="str">
        <f>IFERROR(VLOOKUP(EC107,Horarios!$H:$I,2,0),"")</f>
        <v/>
      </c>
      <c r="EF107" s="28" t="str">
        <f>IFERROR(VLOOKUP(ED107,Horarios!$H:$I,2,0),"")</f>
        <v/>
      </c>
      <c r="EG107" s="28" t="str">
        <f t="shared" si="72"/>
        <v>00:00</v>
      </c>
      <c r="EH107" s="29"/>
      <c r="EI107" s="27"/>
      <c r="EJ107" s="27"/>
      <c r="EK107" s="28" t="str">
        <f>IFERROR(VLOOKUP(EI107,Horarios!$H:$I,2,0),"")</f>
        <v/>
      </c>
      <c r="EL107" s="28" t="str">
        <f>IFERROR(VLOOKUP(EJ107,Horarios!$H:$I,2,0),"")</f>
        <v/>
      </c>
      <c r="EM107" s="28" t="str">
        <f t="shared" si="73"/>
        <v>00:00</v>
      </c>
      <c r="EN107" s="29"/>
      <c r="EO107" s="27"/>
      <c r="EP107" s="27"/>
      <c r="EQ107" s="28" t="str">
        <f>IFERROR(VLOOKUP(EO107,Horarios!$H:$I,2,0),"")</f>
        <v/>
      </c>
      <c r="ER107" s="28" t="str">
        <f>IFERROR(VLOOKUP(EP107,Horarios!$H:$I,2,0),"")</f>
        <v/>
      </c>
      <c r="ES107" s="28" t="str">
        <f t="shared" si="74"/>
        <v>00:00</v>
      </c>
      <c r="ET107" s="29"/>
      <c r="EU107" s="27"/>
      <c r="EV107" s="27"/>
      <c r="EW107" s="28" t="str">
        <f>IFERROR(VLOOKUP(EU107,Horarios!$H:$I,2,0),"")</f>
        <v/>
      </c>
      <c r="EX107" s="28" t="str">
        <f>IFERROR(VLOOKUP(EV107,Horarios!$H:$I,2,0),"")</f>
        <v/>
      </c>
      <c r="EY107" s="28" t="str">
        <f t="shared" si="75"/>
        <v>00:00</v>
      </c>
      <c r="EZ107" s="29"/>
      <c r="FA107" s="27"/>
      <c r="FB107" s="27"/>
      <c r="FC107" s="28" t="str">
        <f>IFERROR(VLOOKUP(FA107,Horarios!$H:$I,2,0),"")</f>
        <v/>
      </c>
      <c r="FD107" s="28" t="str">
        <f>IFERROR(VLOOKUP(FB107,Horarios!$H:$I,2,0),"")</f>
        <v/>
      </c>
      <c r="FE107" s="28" t="str">
        <f t="shared" si="76"/>
        <v>00:00</v>
      </c>
      <c r="FF107" s="29"/>
      <c r="FG107" s="27"/>
      <c r="FH107" s="27"/>
      <c r="FI107" s="28" t="str">
        <f>IFERROR(VLOOKUP(FG107,Horarios!$H:$I,2,0),"")</f>
        <v/>
      </c>
      <c r="FJ107" s="28" t="str">
        <f>IFERROR(VLOOKUP(FH107,Horarios!$H:$I,2,0),"")</f>
        <v/>
      </c>
      <c r="FK107" s="28" t="str">
        <f t="shared" si="77"/>
        <v>00:00</v>
      </c>
      <c r="FL107" s="29"/>
      <c r="FM107" s="27"/>
      <c r="FN107" s="27"/>
      <c r="FO107" s="28" t="str">
        <f>IFERROR(VLOOKUP(FM107,Horarios!$H:$I,2,0),"")</f>
        <v/>
      </c>
      <c r="FP107" s="28" t="str">
        <f>IFERROR(VLOOKUP(FN107,Horarios!$H:$I,2,0),"")</f>
        <v/>
      </c>
      <c r="FQ107" s="28" t="str">
        <f t="shared" si="78"/>
        <v>00:00</v>
      </c>
      <c r="FR107" s="29"/>
      <c r="FS107" s="31" t="str">
        <f t="shared" si="79"/>
        <v/>
      </c>
      <c r="FT107" s="27"/>
      <c r="FU107" s="27"/>
      <c r="FV107" s="28" t="str">
        <f>IFERROR(VLOOKUP(FT107,Horarios!$H:$I,2,0),"")</f>
        <v/>
      </c>
      <c r="FW107" s="28" t="str">
        <f>IFERROR(VLOOKUP(FU107,Horarios!$H:$I,2,0),"")</f>
        <v/>
      </c>
      <c r="FX107" s="28" t="str">
        <f t="shared" si="80"/>
        <v>00:00</v>
      </c>
      <c r="FY107" s="29"/>
      <c r="FZ107" s="27"/>
      <c r="GA107" s="27"/>
      <c r="GB107" s="28" t="str">
        <f>IFERROR(VLOOKUP(FZ107,Horarios!$H:$I,2,0),"")</f>
        <v/>
      </c>
      <c r="GC107" s="28" t="str">
        <f>IFERROR(VLOOKUP(GA107,Horarios!$H:$I,2,0),"")</f>
        <v/>
      </c>
      <c r="GD107" s="28" t="str">
        <f t="shared" si="81"/>
        <v>00:00</v>
      </c>
      <c r="GE107" s="29"/>
      <c r="GF107" s="27"/>
      <c r="GG107" s="27"/>
      <c r="GH107" s="28" t="str">
        <f>IFERROR(VLOOKUP(GF107,Horarios!$H:$I,2,0),"")</f>
        <v/>
      </c>
      <c r="GI107" s="28" t="str">
        <f>IFERROR(VLOOKUP(GG107,Horarios!$H:$I,2,0),"")</f>
        <v/>
      </c>
      <c r="GJ107" s="28" t="str">
        <f t="shared" si="82"/>
        <v>00:00</v>
      </c>
      <c r="GK107" s="29"/>
      <c r="GL107" s="27"/>
      <c r="GM107" s="27"/>
      <c r="GN107" s="28" t="str">
        <f>IFERROR(VLOOKUP(GL107,Horarios!$H:$I,2,0),"")</f>
        <v/>
      </c>
      <c r="GO107" s="28" t="str">
        <f>IFERROR(VLOOKUP(GM107,Horarios!$H:$I,2,0),"")</f>
        <v/>
      </c>
      <c r="GP107" s="28" t="str">
        <f t="shared" si="83"/>
        <v>00:00</v>
      </c>
      <c r="GQ107" s="29"/>
      <c r="GR107" s="27"/>
      <c r="GS107" s="27"/>
      <c r="GT107" s="28" t="str">
        <f>IFERROR(VLOOKUP(GR107,Horarios!$H:$I,2,0),"")</f>
        <v/>
      </c>
      <c r="GU107" s="28" t="str">
        <f>IFERROR(VLOOKUP(GS107,Horarios!$H:$I,2,0),"")</f>
        <v/>
      </c>
      <c r="GV107" s="28" t="str">
        <f t="shared" si="84"/>
        <v>00:00</v>
      </c>
      <c r="GW107" s="29"/>
      <c r="GX107" s="27"/>
      <c r="GY107" s="27"/>
      <c r="GZ107" s="28" t="str">
        <f>IFERROR(VLOOKUP(GX107,Horarios!$H:$I,2,0),"")</f>
        <v/>
      </c>
      <c r="HA107" s="28" t="str">
        <f>IFERROR(VLOOKUP(GY107,Horarios!$H:$I,2,0),"")</f>
        <v/>
      </c>
      <c r="HB107" s="28" t="str">
        <f t="shared" si="85"/>
        <v>00:00</v>
      </c>
      <c r="HC107" s="29"/>
      <c r="HD107" s="27"/>
      <c r="HE107" s="27"/>
      <c r="HF107" s="28" t="str">
        <f>IFERROR(VLOOKUP(HD107,Horarios!$H:$I,2,0),"")</f>
        <v/>
      </c>
      <c r="HG107" s="28" t="str">
        <f>IFERROR(VLOOKUP(HE107,Horarios!$H:$I,2,0),"")</f>
        <v/>
      </c>
      <c r="HH107" s="28" t="str">
        <f t="shared" si="86"/>
        <v>00:00</v>
      </c>
      <c r="HI107" s="29"/>
      <c r="HJ107" s="31" t="str">
        <f t="shared" si="87"/>
        <v/>
      </c>
      <c r="HK107" s="27"/>
      <c r="HL107" s="27"/>
      <c r="HM107" s="28" t="str">
        <f>IFERROR(VLOOKUP(HK107,Horarios!$H:$I,2,0),"")</f>
        <v/>
      </c>
      <c r="HN107" s="28" t="str">
        <f>IFERROR(VLOOKUP(HL107,Horarios!$H:$I,2,0),"")</f>
        <v/>
      </c>
      <c r="HO107" s="28" t="str">
        <f t="shared" si="88"/>
        <v>00:00</v>
      </c>
      <c r="HP107" s="29"/>
      <c r="HQ107" s="27"/>
      <c r="HR107" s="27"/>
      <c r="HS107" s="28" t="str">
        <f>IFERROR(VLOOKUP(HQ107,Horarios!$H:$I,2,0),"")</f>
        <v/>
      </c>
      <c r="HT107" s="28" t="str">
        <f>IFERROR(VLOOKUP(HR107,Horarios!$H:$I,2,0),"")</f>
        <v/>
      </c>
      <c r="HU107" s="28" t="str">
        <f t="shared" si="89"/>
        <v>00:00</v>
      </c>
      <c r="HV107" s="29"/>
      <c r="HW107" s="27"/>
      <c r="HX107" s="27"/>
      <c r="HY107" s="28" t="str">
        <f>IFERROR(VLOOKUP(HW107,Horarios!$H:$I,2,0),"")</f>
        <v/>
      </c>
      <c r="HZ107" s="28" t="str">
        <f>IFERROR(VLOOKUP(HX107,Horarios!$H:$I,2,0),"")</f>
        <v/>
      </c>
      <c r="IA107" s="28" t="str">
        <f t="shared" si="90"/>
        <v>00:00</v>
      </c>
      <c r="IB107" s="29"/>
      <c r="IC107" s="27"/>
      <c r="ID107" s="27"/>
      <c r="IE107" s="28" t="str">
        <f>IFERROR(VLOOKUP(IC107,Horarios!$H:$I,2,0),"")</f>
        <v/>
      </c>
      <c r="IF107" s="28" t="str">
        <f>IFERROR(VLOOKUP(ID107,Horarios!$H:$I,2,0),"")</f>
        <v/>
      </c>
      <c r="IG107" s="28" t="str">
        <f t="shared" si="91"/>
        <v>00:00</v>
      </c>
      <c r="IH107" s="29"/>
      <c r="II107" s="27"/>
      <c r="IJ107" s="27"/>
      <c r="IK107" s="28" t="str">
        <f>IFERROR(VLOOKUP(II107,Horarios!$H:$I,2,0),"")</f>
        <v/>
      </c>
      <c r="IL107" s="28" t="str">
        <f>IFERROR(VLOOKUP(IJ107,Horarios!$H:$I,2,0),"")</f>
        <v/>
      </c>
      <c r="IM107" s="28" t="str">
        <f t="shared" si="92"/>
        <v>00:00</v>
      </c>
      <c r="IN107" s="29"/>
      <c r="IO107" s="27"/>
      <c r="IP107" s="27"/>
      <c r="IQ107" s="28" t="str">
        <f>IFERROR(VLOOKUP(IO107,Horarios!$H:$I,2,0),"")</f>
        <v/>
      </c>
      <c r="IR107" s="28" t="str">
        <f>IFERROR(VLOOKUP(IP107,Horarios!$H:$I,2,0),"")</f>
        <v/>
      </c>
      <c r="IS107" s="28" t="str">
        <f t="shared" si="93"/>
        <v>00:00</v>
      </c>
      <c r="IT107" s="29"/>
      <c r="IU107" s="27"/>
      <c r="IV107" s="27"/>
      <c r="IW107" s="28" t="str">
        <f>IFERROR(VLOOKUP(IU107,Horarios!$H:$I,2,0),"")</f>
        <v/>
      </c>
      <c r="IX107" s="28" t="str">
        <f>IFERROR(VLOOKUP(IV107,Horarios!$H:$I,2,0),"")</f>
        <v/>
      </c>
      <c r="IY107" s="28" t="str">
        <f t="shared" si="94"/>
        <v>00:00</v>
      </c>
      <c r="IZ107" s="29"/>
      <c r="JA107" s="31" t="str">
        <f t="shared" si="95"/>
        <v/>
      </c>
    </row>
    <row r="108" spans="1:261" s="24" customFormat="1" ht="17.399999999999999" x14ac:dyDescent="0.25">
      <c r="A108" s="25"/>
      <c r="B108" s="26" t="str">
        <f>IFERROR(VLOOKUP(A108,BaseNombres!A:B,2,0),"")</f>
        <v/>
      </c>
      <c r="C108" s="26" t="str">
        <f>IFERROR(VLOOKUP(A108,BaseNombres!A:C,3,0),"")</f>
        <v/>
      </c>
      <c r="D108" s="27"/>
      <c r="E108" s="27"/>
      <c r="F108" s="28" t="str">
        <f>IFERROR(VLOOKUP(D108,Horarios!$H:$I,2,0),"")</f>
        <v/>
      </c>
      <c r="G108" s="28" t="str">
        <f>IFERROR(VLOOKUP(E108,Horarios!$H:$I,2,0),"")</f>
        <v/>
      </c>
      <c r="H108" s="28" t="str">
        <f t="shared" si="48"/>
        <v>00:00</v>
      </c>
      <c r="I108" s="29"/>
      <c r="J108" s="27"/>
      <c r="K108" s="27"/>
      <c r="L108" s="28" t="str">
        <f>IFERROR(VLOOKUP(J108,Horarios!$H:$I,2,0),"")</f>
        <v/>
      </c>
      <c r="M108" s="28" t="str">
        <f>IFERROR(VLOOKUP(K108,Horarios!$H:$I,2,0),"")</f>
        <v/>
      </c>
      <c r="N108" s="28" t="str">
        <f t="shared" si="49"/>
        <v>00:00</v>
      </c>
      <c r="O108" s="29"/>
      <c r="P108" s="27"/>
      <c r="Q108" s="27"/>
      <c r="R108" s="28" t="str">
        <f>IFERROR(VLOOKUP(P108,Horarios!$H:$I,2,0),"")</f>
        <v/>
      </c>
      <c r="S108" s="28" t="str">
        <f>IFERROR(VLOOKUP(Q108,Horarios!$H:$I,2,0),"")</f>
        <v/>
      </c>
      <c r="T108" s="28" t="str">
        <f t="shared" si="50"/>
        <v>00:00</v>
      </c>
      <c r="U108" s="29"/>
      <c r="V108" s="27"/>
      <c r="W108" s="27"/>
      <c r="X108" s="28" t="str">
        <f>IFERROR(VLOOKUP(V108,Horarios!$H:$I,2,0),"")</f>
        <v/>
      </c>
      <c r="Y108" s="28" t="str">
        <f>IFERROR(VLOOKUP(W108,Horarios!$H:$I,2,0),"")</f>
        <v/>
      </c>
      <c r="Z108" s="28" t="str">
        <f t="shared" si="51"/>
        <v>00:00</v>
      </c>
      <c r="AA108" s="29"/>
      <c r="AB108" s="27"/>
      <c r="AC108" s="27"/>
      <c r="AD108" s="28" t="str">
        <f>IFERROR(VLOOKUP(AB108,Horarios!$H:$I,2,0),"")</f>
        <v/>
      </c>
      <c r="AE108" s="28" t="str">
        <f>IFERROR(VLOOKUP(AC108,Horarios!$H:$I,2,0),"")</f>
        <v/>
      </c>
      <c r="AF108" s="28" t="str">
        <f t="shared" si="52"/>
        <v>00:00</v>
      </c>
      <c r="AG108" s="29"/>
      <c r="AH108" s="27"/>
      <c r="AI108" s="27"/>
      <c r="AJ108" s="28" t="str">
        <f>IFERROR(VLOOKUP(AH108,Horarios!$H:$I,2,0),"")</f>
        <v/>
      </c>
      <c r="AK108" s="28" t="str">
        <f>IFERROR(VLOOKUP(AI108,Horarios!$H:$I,2,0),"")</f>
        <v/>
      </c>
      <c r="AL108" s="28" t="str">
        <f t="shared" si="53"/>
        <v>00:00</v>
      </c>
      <c r="AM108" s="29"/>
      <c r="AN108" s="27"/>
      <c r="AO108" s="27"/>
      <c r="AP108" s="28" t="str">
        <f>IFERROR(VLOOKUP(AN108,Horarios!$H:$I,2,0),"")</f>
        <v/>
      </c>
      <c r="AQ108" s="28" t="str">
        <f>IFERROR(VLOOKUP(AO108,Horarios!$H:$I,2,0),"")</f>
        <v/>
      </c>
      <c r="AR108" s="28" t="str">
        <f t="shared" si="54"/>
        <v>00:00</v>
      </c>
      <c r="AS108" s="29"/>
      <c r="AT108" s="31" t="str">
        <f t="shared" si="55"/>
        <v/>
      </c>
      <c r="AU108" s="27"/>
      <c r="AV108" s="27"/>
      <c r="AW108" s="28" t="str">
        <f>IFERROR(VLOOKUP(AU108,Horarios!$H:$I,2,0),"")</f>
        <v/>
      </c>
      <c r="AX108" s="28" t="str">
        <f>IFERROR(VLOOKUP(AV108,Horarios!$H:$I,2,0),"")</f>
        <v/>
      </c>
      <c r="AY108" s="28" t="str">
        <f t="shared" si="56"/>
        <v>00:00</v>
      </c>
      <c r="AZ108" s="29"/>
      <c r="BA108" s="27"/>
      <c r="BB108" s="27"/>
      <c r="BC108" s="28" t="str">
        <f>IFERROR(VLOOKUP(BA108,Horarios!$H:$I,2,0),"")</f>
        <v/>
      </c>
      <c r="BD108" s="28" t="str">
        <f>IFERROR(VLOOKUP(BB108,Horarios!$H:$I,2,0),"")</f>
        <v/>
      </c>
      <c r="BE108" s="28" t="str">
        <f t="shared" si="57"/>
        <v>00:00</v>
      </c>
      <c r="BF108" s="29"/>
      <c r="BG108" s="27"/>
      <c r="BH108" s="27"/>
      <c r="BI108" s="28" t="str">
        <f>IFERROR(VLOOKUP(BG108,Horarios!$H:$I,2,0),"")</f>
        <v/>
      </c>
      <c r="BJ108" s="28" t="str">
        <f>IFERROR(VLOOKUP(BH108,Horarios!$H:$I,2,0),"")</f>
        <v/>
      </c>
      <c r="BK108" s="28" t="str">
        <f t="shared" si="58"/>
        <v>00:00</v>
      </c>
      <c r="BL108" s="29"/>
      <c r="BM108" s="27"/>
      <c r="BN108" s="27"/>
      <c r="BO108" s="28" t="str">
        <f>IFERROR(VLOOKUP(BM108,Horarios!$H:$I,2,0),"")</f>
        <v/>
      </c>
      <c r="BP108" s="28" t="str">
        <f>IFERROR(VLOOKUP(BN108,Horarios!$H:$I,2,0),"")</f>
        <v/>
      </c>
      <c r="BQ108" s="28" t="str">
        <f t="shared" si="59"/>
        <v>00:00</v>
      </c>
      <c r="BR108" s="29"/>
      <c r="BS108" s="27"/>
      <c r="BT108" s="27"/>
      <c r="BU108" s="28" t="str">
        <f>IFERROR(VLOOKUP(BS108,Horarios!$H:$I,2,0),"")</f>
        <v/>
      </c>
      <c r="BV108" s="28" t="str">
        <f>IFERROR(VLOOKUP(BT108,Horarios!$H:$I,2,0),"")</f>
        <v/>
      </c>
      <c r="BW108" s="28" t="str">
        <f t="shared" si="60"/>
        <v>00:00</v>
      </c>
      <c r="BX108" s="29"/>
      <c r="BY108" s="27"/>
      <c r="BZ108" s="27"/>
      <c r="CA108" s="28" t="str">
        <f>IFERROR(VLOOKUP(BY108,Horarios!$H:$I,2,0),"")</f>
        <v/>
      </c>
      <c r="CB108" s="28" t="str">
        <f>IFERROR(VLOOKUP(BZ108,Horarios!$H:$I,2,0),"")</f>
        <v/>
      </c>
      <c r="CC108" s="28" t="str">
        <f t="shared" si="61"/>
        <v>00:00</v>
      </c>
      <c r="CD108" s="29"/>
      <c r="CE108" s="27"/>
      <c r="CF108" s="27"/>
      <c r="CG108" s="28" t="str">
        <f>IFERROR(VLOOKUP(CE108,Horarios!$H:$I,2,0),"")</f>
        <v/>
      </c>
      <c r="CH108" s="28" t="str">
        <f>IFERROR(VLOOKUP(CF108,Horarios!$H:$I,2,0),"")</f>
        <v/>
      </c>
      <c r="CI108" s="28" t="str">
        <f t="shared" si="62"/>
        <v>00:00</v>
      </c>
      <c r="CJ108" s="29"/>
      <c r="CK108" s="31" t="str">
        <f t="shared" si="63"/>
        <v/>
      </c>
      <c r="CL108" s="27"/>
      <c r="CM108" s="27"/>
      <c r="CN108" s="28" t="str">
        <f>IFERROR(VLOOKUP(CL108,Horarios!$H:$I,2,0),"")</f>
        <v/>
      </c>
      <c r="CO108" s="28" t="str">
        <f>IFERROR(VLOOKUP(CM108,Horarios!$H:$I,2,0),"")</f>
        <v/>
      </c>
      <c r="CP108" s="28" t="str">
        <f t="shared" si="64"/>
        <v>00:00</v>
      </c>
      <c r="CQ108" s="29"/>
      <c r="CR108" s="27"/>
      <c r="CS108" s="27"/>
      <c r="CT108" s="28" t="str">
        <f>IFERROR(VLOOKUP(CR108,Horarios!$H:$I,2,0),"")</f>
        <v/>
      </c>
      <c r="CU108" s="28" t="str">
        <f>IFERROR(VLOOKUP(CS108,Horarios!$H:$I,2,0),"")</f>
        <v/>
      </c>
      <c r="CV108" s="28" t="str">
        <f t="shared" si="65"/>
        <v>00:00</v>
      </c>
      <c r="CW108" s="29"/>
      <c r="CX108" s="27"/>
      <c r="CY108" s="27"/>
      <c r="CZ108" s="28" t="str">
        <f>IFERROR(VLOOKUP(CX108,Horarios!$H:$I,2,0),"")</f>
        <v/>
      </c>
      <c r="DA108" s="28" t="str">
        <f>IFERROR(VLOOKUP(CY108,Horarios!$H:$I,2,0),"")</f>
        <v/>
      </c>
      <c r="DB108" s="28" t="str">
        <f t="shared" si="66"/>
        <v>00:00</v>
      </c>
      <c r="DC108" s="29"/>
      <c r="DD108" s="27"/>
      <c r="DE108" s="27"/>
      <c r="DF108" s="28" t="str">
        <f>IFERROR(VLOOKUP(DD108,Horarios!$H:$I,2,0),"")</f>
        <v/>
      </c>
      <c r="DG108" s="28" t="str">
        <f>IFERROR(VLOOKUP(DE108,Horarios!$H:$I,2,0),"")</f>
        <v/>
      </c>
      <c r="DH108" s="28" t="str">
        <f t="shared" si="67"/>
        <v>00:00</v>
      </c>
      <c r="DI108" s="29"/>
      <c r="DJ108" s="27"/>
      <c r="DK108" s="27"/>
      <c r="DL108" s="28" t="str">
        <f>IFERROR(VLOOKUP(DJ108,Horarios!$H:$I,2,0),"")</f>
        <v/>
      </c>
      <c r="DM108" s="28" t="str">
        <f>IFERROR(VLOOKUP(DK108,Horarios!$H:$I,2,0),"")</f>
        <v/>
      </c>
      <c r="DN108" s="28" t="str">
        <f t="shared" si="68"/>
        <v>00:00</v>
      </c>
      <c r="DO108" s="29"/>
      <c r="DP108" s="27"/>
      <c r="DQ108" s="27"/>
      <c r="DR108" s="28" t="str">
        <f>IFERROR(VLOOKUP(DP108,Horarios!$H:$I,2,0),"")</f>
        <v/>
      </c>
      <c r="DS108" s="28" t="str">
        <f>IFERROR(VLOOKUP(DQ108,Horarios!$H:$I,2,0),"")</f>
        <v/>
      </c>
      <c r="DT108" s="28" t="str">
        <f t="shared" si="69"/>
        <v>00:00</v>
      </c>
      <c r="DU108" s="29"/>
      <c r="DV108" s="27"/>
      <c r="DW108" s="27"/>
      <c r="DX108" s="28" t="str">
        <f>IFERROR(VLOOKUP(DV108,Horarios!$H:$I,2,0),"")</f>
        <v/>
      </c>
      <c r="DY108" s="28" t="str">
        <f>IFERROR(VLOOKUP(DW108,Horarios!$H:$I,2,0),"")</f>
        <v/>
      </c>
      <c r="DZ108" s="28" t="str">
        <f t="shared" si="70"/>
        <v>00:00</v>
      </c>
      <c r="EA108" s="29"/>
      <c r="EB108" s="31" t="str">
        <f t="shared" si="71"/>
        <v/>
      </c>
      <c r="EC108" s="27"/>
      <c r="ED108" s="27"/>
      <c r="EE108" s="28" t="str">
        <f>IFERROR(VLOOKUP(EC108,Horarios!$H:$I,2,0),"")</f>
        <v/>
      </c>
      <c r="EF108" s="28" t="str">
        <f>IFERROR(VLOOKUP(ED108,Horarios!$H:$I,2,0),"")</f>
        <v/>
      </c>
      <c r="EG108" s="28" t="str">
        <f t="shared" si="72"/>
        <v>00:00</v>
      </c>
      <c r="EH108" s="29"/>
      <c r="EI108" s="27"/>
      <c r="EJ108" s="27"/>
      <c r="EK108" s="28" t="str">
        <f>IFERROR(VLOOKUP(EI108,Horarios!$H:$I,2,0),"")</f>
        <v/>
      </c>
      <c r="EL108" s="28" t="str">
        <f>IFERROR(VLOOKUP(EJ108,Horarios!$H:$I,2,0),"")</f>
        <v/>
      </c>
      <c r="EM108" s="28" t="str">
        <f t="shared" si="73"/>
        <v>00:00</v>
      </c>
      <c r="EN108" s="29"/>
      <c r="EO108" s="27"/>
      <c r="EP108" s="27"/>
      <c r="EQ108" s="28" t="str">
        <f>IFERROR(VLOOKUP(EO108,Horarios!$H:$I,2,0),"")</f>
        <v/>
      </c>
      <c r="ER108" s="28" t="str">
        <f>IFERROR(VLOOKUP(EP108,Horarios!$H:$I,2,0),"")</f>
        <v/>
      </c>
      <c r="ES108" s="28" t="str">
        <f t="shared" si="74"/>
        <v>00:00</v>
      </c>
      <c r="ET108" s="29"/>
      <c r="EU108" s="27"/>
      <c r="EV108" s="27"/>
      <c r="EW108" s="28" t="str">
        <f>IFERROR(VLOOKUP(EU108,Horarios!$H:$I,2,0),"")</f>
        <v/>
      </c>
      <c r="EX108" s="28" t="str">
        <f>IFERROR(VLOOKUP(EV108,Horarios!$H:$I,2,0),"")</f>
        <v/>
      </c>
      <c r="EY108" s="28" t="str">
        <f t="shared" si="75"/>
        <v>00:00</v>
      </c>
      <c r="EZ108" s="29"/>
      <c r="FA108" s="27"/>
      <c r="FB108" s="27"/>
      <c r="FC108" s="28" t="str">
        <f>IFERROR(VLOOKUP(FA108,Horarios!$H:$I,2,0),"")</f>
        <v/>
      </c>
      <c r="FD108" s="28" t="str">
        <f>IFERROR(VLOOKUP(FB108,Horarios!$H:$I,2,0),"")</f>
        <v/>
      </c>
      <c r="FE108" s="28" t="str">
        <f t="shared" si="76"/>
        <v>00:00</v>
      </c>
      <c r="FF108" s="29"/>
      <c r="FG108" s="27"/>
      <c r="FH108" s="27"/>
      <c r="FI108" s="28" t="str">
        <f>IFERROR(VLOOKUP(FG108,Horarios!$H:$I,2,0),"")</f>
        <v/>
      </c>
      <c r="FJ108" s="28" t="str">
        <f>IFERROR(VLOOKUP(FH108,Horarios!$H:$I,2,0),"")</f>
        <v/>
      </c>
      <c r="FK108" s="28" t="str">
        <f t="shared" si="77"/>
        <v>00:00</v>
      </c>
      <c r="FL108" s="29"/>
      <c r="FM108" s="27"/>
      <c r="FN108" s="27"/>
      <c r="FO108" s="28" t="str">
        <f>IFERROR(VLOOKUP(FM108,Horarios!$H:$I,2,0),"")</f>
        <v/>
      </c>
      <c r="FP108" s="28" t="str">
        <f>IFERROR(VLOOKUP(FN108,Horarios!$H:$I,2,0),"")</f>
        <v/>
      </c>
      <c r="FQ108" s="28" t="str">
        <f t="shared" si="78"/>
        <v>00:00</v>
      </c>
      <c r="FR108" s="29"/>
      <c r="FS108" s="31" t="str">
        <f t="shared" si="79"/>
        <v/>
      </c>
      <c r="FT108" s="27"/>
      <c r="FU108" s="27"/>
      <c r="FV108" s="28" t="str">
        <f>IFERROR(VLOOKUP(FT108,Horarios!$H:$I,2,0),"")</f>
        <v/>
      </c>
      <c r="FW108" s="28" t="str">
        <f>IFERROR(VLOOKUP(FU108,Horarios!$H:$I,2,0),"")</f>
        <v/>
      </c>
      <c r="FX108" s="28" t="str">
        <f t="shared" si="80"/>
        <v>00:00</v>
      </c>
      <c r="FY108" s="29"/>
      <c r="FZ108" s="27"/>
      <c r="GA108" s="27"/>
      <c r="GB108" s="28" t="str">
        <f>IFERROR(VLOOKUP(FZ108,Horarios!$H:$I,2,0),"")</f>
        <v/>
      </c>
      <c r="GC108" s="28" t="str">
        <f>IFERROR(VLOOKUP(GA108,Horarios!$H:$I,2,0),"")</f>
        <v/>
      </c>
      <c r="GD108" s="28" t="str">
        <f t="shared" si="81"/>
        <v>00:00</v>
      </c>
      <c r="GE108" s="29"/>
      <c r="GF108" s="27"/>
      <c r="GG108" s="27"/>
      <c r="GH108" s="28" t="str">
        <f>IFERROR(VLOOKUP(GF108,Horarios!$H:$I,2,0),"")</f>
        <v/>
      </c>
      <c r="GI108" s="28" t="str">
        <f>IFERROR(VLOOKUP(GG108,Horarios!$H:$I,2,0),"")</f>
        <v/>
      </c>
      <c r="GJ108" s="28" t="str">
        <f t="shared" si="82"/>
        <v>00:00</v>
      </c>
      <c r="GK108" s="29"/>
      <c r="GL108" s="27"/>
      <c r="GM108" s="27"/>
      <c r="GN108" s="28" t="str">
        <f>IFERROR(VLOOKUP(GL108,Horarios!$H:$I,2,0),"")</f>
        <v/>
      </c>
      <c r="GO108" s="28" t="str">
        <f>IFERROR(VLOOKUP(GM108,Horarios!$H:$I,2,0),"")</f>
        <v/>
      </c>
      <c r="GP108" s="28" t="str">
        <f t="shared" si="83"/>
        <v>00:00</v>
      </c>
      <c r="GQ108" s="29"/>
      <c r="GR108" s="27"/>
      <c r="GS108" s="27"/>
      <c r="GT108" s="28" t="str">
        <f>IFERROR(VLOOKUP(GR108,Horarios!$H:$I,2,0),"")</f>
        <v/>
      </c>
      <c r="GU108" s="28" t="str">
        <f>IFERROR(VLOOKUP(GS108,Horarios!$H:$I,2,0),"")</f>
        <v/>
      </c>
      <c r="GV108" s="28" t="str">
        <f t="shared" si="84"/>
        <v>00:00</v>
      </c>
      <c r="GW108" s="29"/>
      <c r="GX108" s="27"/>
      <c r="GY108" s="27"/>
      <c r="GZ108" s="28" t="str">
        <f>IFERROR(VLOOKUP(GX108,Horarios!$H:$I,2,0),"")</f>
        <v/>
      </c>
      <c r="HA108" s="28" t="str">
        <f>IFERROR(VLOOKUP(GY108,Horarios!$H:$I,2,0),"")</f>
        <v/>
      </c>
      <c r="HB108" s="28" t="str">
        <f t="shared" si="85"/>
        <v>00:00</v>
      </c>
      <c r="HC108" s="29"/>
      <c r="HD108" s="27"/>
      <c r="HE108" s="27"/>
      <c r="HF108" s="28" t="str">
        <f>IFERROR(VLOOKUP(HD108,Horarios!$H:$I,2,0),"")</f>
        <v/>
      </c>
      <c r="HG108" s="28" t="str">
        <f>IFERROR(VLOOKUP(HE108,Horarios!$H:$I,2,0),"")</f>
        <v/>
      </c>
      <c r="HH108" s="28" t="str">
        <f t="shared" si="86"/>
        <v>00:00</v>
      </c>
      <c r="HI108" s="29"/>
      <c r="HJ108" s="31" t="str">
        <f t="shared" si="87"/>
        <v/>
      </c>
      <c r="HK108" s="27"/>
      <c r="HL108" s="27"/>
      <c r="HM108" s="28" t="str">
        <f>IFERROR(VLOOKUP(HK108,Horarios!$H:$I,2,0),"")</f>
        <v/>
      </c>
      <c r="HN108" s="28" t="str">
        <f>IFERROR(VLOOKUP(HL108,Horarios!$H:$I,2,0),"")</f>
        <v/>
      </c>
      <c r="HO108" s="28" t="str">
        <f t="shared" si="88"/>
        <v>00:00</v>
      </c>
      <c r="HP108" s="29"/>
      <c r="HQ108" s="27"/>
      <c r="HR108" s="27"/>
      <c r="HS108" s="28" t="str">
        <f>IFERROR(VLOOKUP(HQ108,Horarios!$H:$I,2,0),"")</f>
        <v/>
      </c>
      <c r="HT108" s="28" t="str">
        <f>IFERROR(VLOOKUP(HR108,Horarios!$H:$I,2,0),"")</f>
        <v/>
      </c>
      <c r="HU108" s="28" t="str">
        <f t="shared" si="89"/>
        <v>00:00</v>
      </c>
      <c r="HV108" s="29"/>
      <c r="HW108" s="27"/>
      <c r="HX108" s="27"/>
      <c r="HY108" s="28" t="str">
        <f>IFERROR(VLOOKUP(HW108,Horarios!$H:$I,2,0),"")</f>
        <v/>
      </c>
      <c r="HZ108" s="28" t="str">
        <f>IFERROR(VLOOKUP(HX108,Horarios!$H:$I,2,0),"")</f>
        <v/>
      </c>
      <c r="IA108" s="28" t="str">
        <f t="shared" si="90"/>
        <v>00:00</v>
      </c>
      <c r="IB108" s="29"/>
      <c r="IC108" s="27"/>
      <c r="ID108" s="27"/>
      <c r="IE108" s="28" t="str">
        <f>IFERROR(VLOOKUP(IC108,Horarios!$H:$I,2,0),"")</f>
        <v/>
      </c>
      <c r="IF108" s="28" t="str">
        <f>IFERROR(VLOOKUP(ID108,Horarios!$H:$I,2,0),"")</f>
        <v/>
      </c>
      <c r="IG108" s="28" t="str">
        <f t="shared" si="91"/>
        <v>00:00</v>
      </c>
      <c r="IH108" s="29"/>
      <c r="II108" s="27"/>
      <c r="IJ108" s="27"/>
      <c r="IK108" s="28" t="str">
        <f>IFERROR(VLOOKUP(II108,Horarios!$H:$I,2,0),"")</f>
        <v/>
      </c>
      <c r="IL108" s="28" t="str">
        <f>IFERROR(VLOOKUP(IJ108,Horarios!$H:$I,2,0),"")</f>
        <v/>
      </c>
      <c r="IM108" s="28" t="str">
        <f t="shared" si="92"/>
        <v>00:00</v>
      </c>
      <c r="IN108" s="29"/>
      <c r="IO108" s="27"/>
      <c r="IP108" s="27"/>
      <c r="IQ108" s="28" t="str">
        <f>IFERROR(VLOOKUP(IO108,Horarios!$H:$I,2,0),"")</f>
        <v/>
      </c>
      <c r="IR108" s="28" t="str">
        <f>IFERROR(VLOOKUP(IP108,Horarios!$H:$I,2,0),"")</f>
        <v/>
      </c>
      <c r="IS108" s="28" t="str">
        <f t="shared" si="93"/>
        <v>00:00</v>
      </c>
      <c r="IT108" s="29"/>
      <c r="IU108" s="27"/>
      <c r="IV108" s="27"/>
      <c r="IW108" s="28" t="str">
        <f>IFERROR(VLOOKUP(IU108,Horarios!$H:$I,2,0),"")</f>
        <v/>
      </c>
      <c r="IX108" s="28" t="str">
        <f>IFERROR(VLOOKUP(IV108,Horarios!$H:$I,2,0),"")</f>
        <v/>
      </c>
      <c r="IY108" s="28" t="str">
        <f t="shared" si="94"/>
        <v>00:00</v>
      </c>
      <c r="IZ108" s="29"/>
      <c r="JA108" s="31" t="str">
        <f t="shared" si="95"/>
        <v/>
      </c>
    </row>
    <row r="109" spans="1:261" s="24" customFormat="1" ht="17.399999999999999" x14ac:dyDescent="0.25">
      <c r="A109" s="25"/>
      <c r="B109" s="26" t="str">
        <f>IFERROR(VLOOKUP(A109,BaseNombres!A:B,2,0),"")</f>
        <v/>
      </c>
      <c r="C109" s="26" t="str">
        <f>IFERROR(VLOOKUP(A109,BaseNombres!A:C,3,0),"")</f>
        <v/>
      </c>
      <c r="D109" s="27"/>
      <c r="E109" s="27"/>
      <c r="F109" s="28" t="str">
        <f>IFERROR(VLOOKUP(D109,Horarios!$H:$I,2,0),"")</f>
        <v/>
      </c>
      <c r="G109" s="28" t="str">
        <f>IFERROR(VLOOKUP(E109,Horarios!$H:$I,2,0),"")</f>
        <v/>
      </c>
      <c r="H109" s="28" t="str">
        <f t="shared" si="48"/>
        <v>00:00</v>
      </c>
      <c r="I109" s="29"/>
      <c r="J109" s="27"/>
      <c r="K109" s="27"/>
      <c r="L109" s="28" t="str">
        <f>IFERROR(VLOOKUP(J109,Horarios!$H:$I,2,0),"")</f>
        <v/>
      </c>
      <c r="M109" s="28" t="str">
        <f>IFERROR(VLOOKUP(K109,Horarios!$H:$I,2,0),"")</f>
        <v/>
      </c>
      <c r="N109" s="28" t="str">
        <f t="shared" si="49"/>
        <v>00:00</v>
      </c>
      <c r="O109" s="29"/>
      <c r="P109" s="27"/>
      <c r="Q109" s="27"/>
      <c r="R109" s="28" t="str">
        <f>IFERROR(VLOOKUP(P109,Horarios!$H:$I,2,0),"")</f>
        <v/>
      </c>
      <c r="S109" s="28" t="str">
        <f>IFERROR(VLOOKUP(Q109,Horarios!$H:$I,2,0),"")</f>
        <v/>
      </c>
      <c r="T109" s="28" t="str">
        <f t="shared" si="50"/>
        <v>00:00</v>
      </c>
      <c r="U109" s="29"/>
      <c r="V109" s="27"/>
      <c r="W109" s="27"/>
      <c r="X109" s="28" t="str">
        <f>IFERROR(VLOOKUP(V109,Horarios!$H:$I,2,0),"")</f>
        <v/>
      </c>
      <c r="Y109" s="28" t="str">
        <f>IFERROR(VLOOKUP(W109,Horarios!$H:$I,2,0),"")</f>
        <v/>
      </c>
      <c r="Z109" s="28" t="str">
        <f t="shared" si="51"/>
        <v>00:00</v>
      </c>
      <c r="AA109" s="29"/>
      <c r="AB109" s="27"/>
      <c r="AC109" s="27"/>
      <c r="AD109" s="28" t="str">
        <f>IFERROR(VLOOKUP(AB109,Horarios!$H:$I,2,0),"")</f>
        <v/>
      </c>
      <c r="AE109" s="28" t="str">
        <f>IFERROR(VLOOKUP(AC109,Horarios!$H:$I,2,0),"")</f>
        <v/>
      </c>
      <c r="AF109" s="28" t="str">
        <f t="shared" si="52"/>
        <v>00:00</v>
      </c>
      <c r="AG109" s="29"/>
      <c r="AH109" s="27"/>
      <c r="AI109" s="27"/>
      <c r="AJ109" s="28" t="str">
        <f>IFERROR(VLOOKUP(AH109,Horarios!$H:$I,2,0),"")</f>
        <v/>
      </c>
      <c r="AK109" s="28" t="str">
        <f>IFERROR(VLOOKUP(AI109,Horarios!$H:$I,2,0),"")</f>
        <v/>
      </c>
      <c r="AL109" s="28" t="str">
        <f t="shared" si="53"/>
        <v>00:00</v>
      </c>
      <c r="AM109" s="29"/>
      <c r="AN109" s="27"/>
      <c r="AO109" s="27"/>
      <c r="AP109" s="28" t="str">
        <f>IFERROR(VLOOKUP(AN109,Horarios!$H:$I,2,0),"")</f>
        <v/>
      </c>
      <c r="AQ109" s="28" t="str">
        <f>IFERROR(VLOOKUP(AO109,Horarios!$H:$I,2,0),"")</f>
        <v/>
      </c>
      <c r="AR109" s="28" t="str">
        <f t="shared" si="54"/>
        <v>00:00</v>
      </c>
      <c r="AS109" s="29"/>
      <c r="AT109" s="31" t="str">
        <f t="shared" si="55"/>
        <v/>
      </c>
      <c r="AU109" s="27"/>
      <c r="AV109" s="27"/>
      <c r="AW109" s="28" t="str">
        <f>IFERROR(VLOOKUP(AU109,Horarios!$H:$I,2,0),"")</f>
        <v/>
      </c>
      <c r="AX109" s="28" t="str">
        <f>IFERROR(VLOOKUP(AV109,Horarios!$H:$I,2,0),"")</f>
        <v/>
      </c>
      <c r="AY109" s="28" t="str">
        <f t="shared" si="56"/>
        <v>00:00</v>
      </c>
      <c r="AZ109" s="29"/>
      <c r="BA109" s="27"/>
      <c r="BB109" s="27"/>
      <c r="BC109" s="28" t="str">
        <f>IFERROR(VLOOKUP(BA109,Horarios!$H:$I,2,0),"")</f>
        <v/>
      </c>
      <c r="BD109" s="28" t="str">
        <f>IFERROR(VLOOKUP(BB109,Horarios!$H:$I,2,0),"")</f>
        <v/>
      </c>
      <c r="BE109" s="28" t="str">
        <f t="shared" si="57"/>
        <v>00:00</v>
      </c>
      <c r="BF109" s="29"/>
      <c r="BG109" s="27"/>
      <c r="BH109" s="27"/>
      <c r="BI109" s="28" t="str">
        <f>IFERROR(VLOOKUP(BG109,Horarios!$H:$I,2,0),"")</f>
        <v/>
      </c>
      <c r="BJ109" s="28" t="str">
        <f>IFERROR(VLOOKUP(BH109,Horarios!$H:$I,2,0),"")</f>
        <v/>
      </c>
      <c r="BK109" s="28" t="str">
        <f t="shared" si="58"/>
        <v>00:00</v>
      </c>
      <c r="BL109" s="29"/>
      <c r="BM109" s="27"/>
      <c r="BN109" s="27"/>
      <c r="BO109" s="28" t="str">
        <f>IFERROR(VLOOKUP(BM109,Horarios!$H:$I,2,0),"")</f>
        <v/>
      </c>
      <c r="BP109" s="28" t="str">
        <f>IFERROR(VLOOKUP(BN109,Horarios!$H:$I,2,0),"")</f>
        <v/>
      </c>
      <c r="BQ109" s="28" t="str">
        <f t="shared" si="59"/>
        <v>00:00</v>
      </c>
      <c r="BR109" s="29"/>
      <c r="BS109" s="27"/>
      <c r="BT109" s="27"/>
      <c r="BU109" s="28" t="str">
        <f>IFERROR(VLOOKUP(BS109,Horarios!$H:$I,2,0),"")</f>
        <v/>
      </c>
      <c r="BV109" s="28" t="str">
        <f>IFERROR(VLOOKUP(BT109,Horarios!$H:$I,2,0),"")</f>
        <v/>
      </c>
      <c r="BW109" s="28" t="str">
        <f t="shared" si="60"/>
        <v>00:00</v>
      </c>
      <c r="BX109" s="29"/>
      <c r="BY109" s="27"/>
      <c r="BZ109" s="27"/>
      <c r="CA109" s="28" t="str">
        <f>IFERROR(VLOOKUP(BY109,Horarios!$H:$I,2,0),"")</f>
        <v/>
      </c>
      <c r="CB109" s="28" t="str">
        <f>IFERROR(VLOOKUP(BZ109,Horarios!$H:$I,2,0),"")</f>
        <v/>
      </c>
      <c r="CC109" s="28" t="str">
        <f t="shared" si="61"/>
        <v>00:00</v>
      </c>
      <c r="CD109" s="29"/>
      <c r="CE109" s="27"/>
      <c r="CF109" s="27"/>
      <c r="CG109" s="28" t="str">
        <f>IFERROR(VLOOKUP(CE109,Horarios!$H:$I,2,0),"")</f>
        <v/>
      </c>
      <c r="CH109" s="28" t="str">
        <f>IFERROR(VLOOKUP(CF109,Horarios!$H:$I,2,0),"")</f>
        <v/>
      </c>
      <c r="CI109" s="28" t="str">
        <f t="shared" si="62"/>
        <v>00:00</v>
      </c>
      <c r="CJ109" s="29"/>
      <c r="CK109" s="31" t="str">
        <f t="shared" si="63"/>
        <v/>
      </c>
      <c r="CL109" s="27"/>
      <c r="CM109" s="27"/>
      <c r="CN109" s="28" t="str">
        <f>IFERROR(VLOOKUP(CL109,Horarios!$H:$I,2,0),"")</f>
        <v/>
      </c>
      <c r="CO109" s="28" t="str">
        <f>IFERROR(VLOOKUP(CM109,Horarios!$H:$I,2,0),"")</f>
        <v/>
      </c>
      <c r="CP109" s="28" t="str">
        <f t="shared" si="64"/>
        <v>00:00</v>
      </c>
      <c r="CQ109" s="29"/>
      <c r="CR109" s="27"/>
      <c r="CS109" s="27"/>
      <c r="CT109" s="28" t="str">
        <f>IFERROR(VLOOKUP(CR109,Horarios!$H:$I,2,0),"")</f>
        <v/>
      </c>
      <c r="CU109" s="28" t="str">
        <f>IFERROR(VLOOKUP(CS109,Horarios!$H:$I,2,0),"")</f>
        <v/>
      </c>
      <c r="CV109" s="28" t="str">
        <f t="shared" si="65"/>
        <v>00:00</v>
      </c>
      <c r="CW109" s="29"/>
      <c r="CX109" s="27"/>
      <c r="CY109" s="27"/>
      <c r="CZ109" s="28" t="str">
        <f>IFERROR(VLOOKUP(CX109,Horarios!$H:$I,2,0),"")</f>
        <v/>
      </c>
      <c r="DA109" s="28" t="str">
        <f>IFERROR(VLOOKUP(CY109,Horarios!$H:$I,2,0),"")</f>
        <v/>
      </c>
      <c r="DB109" s="28" t="str">
        <f t="shared" si="66"/>
        <v>00:00</v>
      </c>
      <c r="DC109" s="29"/>
      <c r="DD109" s="27"/>
      <c r="DE109" s="27"/>
      <c r="DF109" s="28" t="str">
        <f>IFERROR(VLOOKUP(DD109,Horarios!$H:$I,2,0),"")</f>
        <v/>
      </c>
      <c r="DG109" s="28" t="str">
        <f>IFERROR(VLOOKUP(DE109,Horarios!$H:$I,2,0),"")</f>
        <v/>
      </c>
      <c r="DH109" s="28" t="str">
        <f t="shared" si="67"/>
        <v>00:00</v>
      </c>
      <c r="DI109" s="29"/>
      <c r="DJ109" s="27"/>
      <c r="DK109" s="27"/>
      <c r="DL109" s="28" t="str">
        <f>IFERROR(VLOOKUP(DJ109,Horarios!$H:$I,2,0),"")</f>
        <v/>
      </c>
      <c r="DM109" s="28" t="str">
        <f>IFERROR(VLOOKUP(DK109,Horarios!$H:$I,2,0),"")</f>
        <v/>
      </c>
      <c r="DN109" s="28" t="str">
        <f t="shared" si="68"/>
        <v>00:00</v>
      </c>
      <c r="DO109" s="29"/>
      <c r="DP109" s="27"/>
      <c r="DQ109" s="27"/>
      <c r="DR109" s="28" t="str">
        <f>IFERROR(VLOOKUP(DP109,Horarios!$H:$I,2,0),"")</f>
        <v/>
      </c>
      <c r="DS109" s="28" t="str">
        <f>IFERROR(VLOOKUP(DQ109,Horarios!$H:$I,2,0),"")</f>
        <v/>
      </c>
      <c r="DT109" s="28" t="str">
        <f t="shared" si="69"/>
        <v>00:00</v>
      </c>
      <c r="DU109" s="29"/>
      <c r="DV109" s="27"/>
      <c r="DW109" s="27"/>
      <c r="DX109" s="28" t="str">
        <f>IFERROR(VLOOKUP(DV109,Horarios!$H:$I,2,0),"")</f>
        <v/>
      </c>
      <c r="DY109" s="28" t="str">
        <f>IFERROR(VLOOKUP(DW109,Horarios!$H:$I,2,0),"")</f>
        <v/>
      </c>
      <c r="DZ109" s="28" t="str">
        <f t="shared" si="70"/>
        <v>00:00</v>
      </c>
      <c r="EA109" s="29"/>
      <c r="EB109" s="31" t="str">
        <f t="shared" si="71"/>
        <v/>
      </c>
      <c r="EC109" s="27"/>
      <c r="ED109" s="27"/>
      <c r="EE109" s="28" t="str">
        <f>IFERROR(VLOOKUP(EC109,Horarios!$H:$I,2,0),"")</f>
        <v/>
      </c>
      <c r="EF109" s="28" t="str">
        <f>IFERROR(VLOOKUP(ED109,Horarios!$H:$I,2,0),"")</f>
        <v/>
      </c>
      <c r="EG109" s="28" t="str">
        <f t="shared" si="72"/>
        <v>00:00</v>
      </c>
      <c r="EH109" s="29"/>
      <c r="EI109" s="27"/>
      <c r="EJ109" s="27"/>
      <c r="EK109" s="28" t="str">
        <f>IFERROR(VLOOKUP(EI109,Horarios!$H:$I,2,0),"")</f>
        <v/>
      </c>
      <c r="EL109" s="28" t="str">
        <f>IFERROR(VLOOKUP(EJ109,Horarios!$H:$I,2,0),"")</f>
        <v/>
      </c>
      <c r="EM109" s="28" t="str">
        <f t="shared" si="73"/>
        <v>00:00</v>
      </c>
      <c r="EN109" s="29"/>
      <c r="EO109" s="27"/>
      <c r="EP109" s="27"/>
      <c r="EQ109" s="28" t="str">
        <f>IFERROR(VLOOKUP(EO109,Horarios!$H:$I,2,0),"")</f>
        <v/>
      </c>
      <c r="ER109" s="28" t="str">
        <f>IFERROR(VLOOKUP(EP109,Horarios!$H:$I,2,0),"")</f>
        <v/>
      </c>
      <c r="ES109" s="28" t="str">
        <f t="shared" si="74"/>
        <v>00:00</v>
      </c>
      <c r="ET109" s="29"/>
      <c r="EU109" s="27"/>
      <c r="EV109" s="27"/>
      <c r="EW109" s="28" t="str">
        <f>IFERROR(VLOOKUP(EU109,Horarios!$H:$I,2,0),"")</f>
        <v/>
      </c>
      <c r="EX109" s="28" t="str">
        <f>IFERROR(VLOOKUP(EV109,Horarios!$H:$I,2,0),"")</f>
        <v/>
      </c>
      <c r="EY109" s="28" t="str">
        <f t="shared" si="75"/>
        <v>00:00</v>
      </c>
      <c r="EZ109" s="29"/>
      <c r="FA109" s="27"/>
      <c r="FB109" s="27"/>
      <c r="FC109" s="28" t="str">
        <f>IFERROR(VLOOKUP(FA109,Horarios!$H:$I,2,0),"")</f>
        <v/>
      </c>
      <c r="FD109" s="28" t="str">
        <f>IFERROR(VLOOKUP(FB109,Horarios!$H:$I,2,0),"")</f>
        <v/>
      </c>
      <c r="FE109" s="28" t="str">
        <f t="shared" si="76"/>
        <v>00:00</v>
      </c>
      <c r="FF109" s="29"/>
      <c r="FG109" s="27"/>
      <c r="FH109" s="27"/>
      <c r="FI109" s="28" t="str">
        <f>IFERROR(VLOOKUP(FG109,Horarios!$H:$I,2,0),"")</f>
        <v/>
      </c>
      <c r="FJ109" s="28" t="str">
        <f>IFERROR(VLOOKUP(FH109,Horarios!$H:$I,2,0),"")</f>
        <v/>
      </c>
      <c r="FK109" s="28" t="str">
        <f t="shared" si="77"/>
        <v>00:00</v>
      </c>
      <c r="FL109" s="29"/>
      <c r="FM109" s="27"/>
      <c r="FN109" s="27"/>
      <c r="FO109" s="28" t="str">
        <f>IFERROR(VLOOKUP(FM109,Horarios!$H:$I,2,0),"")</f>
        <v/>
      </c>
      <c r="FP109" s="28" t="str">
        <f>IFERROR(VLOOKUP(FN109,Horarios!$H:$I,2,0),"")</f>
        <v/>
      </c>
      <c r="FQ109" s="28" t="str">
        <f t="shared" si="78"/>
        <v>00:00</v>
      </c>
      <c r="FR109" s="29"/>
      <c r="FS109" s="31" t="str">
        <f t="shared" si="79"/>
        <v/>
      </c>
      <c r="FT109" s="27"/>
      <c r="FU109" s="27"/>
      <c r="FV109" s="28" t="str">
        <f>IFERROR(VLOOKUP(FT109,Horarios!$H:$I,2,0),"")</f>
        <v/>
      </c>
      <c r="FW109" s="28" t="str">
        <f>IFERROR(VLOOKUP(FU109,Horarios!$H:$I,2,0),"")</f>
        <v/>
      </c>
      <c r="FX109" s="28" t="str">
        <f t="shared" si="80"/>
        <v>00:00</v>
      </c>
      <c r="FY109" s="29"/>
      <c r="FZ109" s="27"/>
      <c r="GA109" s="27"/>
      <c r="GB109" s="28" t="str">
        <f>IFERROR(VLOOKUP(FZ109,Horarios!$H:$I,2,0),"")</f>
        <v/>
      </c>
      <c r="GC109" s="28" t="str">
        <f>IFERROR(VLOOKUP(GA109,Horarios!$H:$I,2,0),"")</f>
        <v/>
      </c>
      <c r="GD109" s="28" t="str">
        <f t="shared" si="81"/>
        <v>00:00</v>
      </c>
      <c r="GE109" s="29"/>
      <c r="GF109" s="27"/>
      <c r="GG109" s="27"/>
      <c r="GH109" s="28" t="str">
        <f>IFERROR(VLOOKUP(GF109,Horarios!$H:$I,2,0),"")</f>
        <v/>
      </c>
      <c r="GI109" s="28" t="str">
        <f>IFERROR(VLOOKUP(GG109,Horarios!$H:$I,2,0),"")</f>
        <v/>
      </c>
      <c r="GJ109" s="28" t="str">
        <f t="shared" si="82"/>
        <v>00:00</v>
      </c>
      <c r="GK109" s="29"/>
      <c r="GL109" s="27"/>
      <c r="GM109" s="27"/>
      <c r="GN109" s="28" t="str">
        <f>IFERROR(VLOOKUP(GL109,Horarios!$H:$I,2,0),"")</f>
        <v/>
      </c>
      <c r="GO109" s="28" t="str">
        <f>IFERROR(VLOOKUP(GM109,Horarios!$H:$I,2,0),"")</f>
        <v/>
      </c>
      <c r="GP109" s="28" t="str">
        <f t="shared" si="83"/>
        <v>00:00</v>
      </c>
      <c r="GQ109" s="29"/>
      <c r="GR109" s="27"/>
      <c r="GS109" s="27"/>
      <c r="GT109" s="28" t="str">
        <f>IFERROR(VLOOKUP(GR109,Horarios!$H:$I,2,0),"")</f>
        <v/>
      </c>
      <c r="GU109" s="28" t="str">
        <f>IFERROR(VLOOKUP(GS109,Horarios!$H:$I,2,0),"")</f>
        <v/>
      </c>
      <c r="GV109" s="28" t="str">
        <f t="shared" si="84"/>
        <v>00:00</v>
      </c>
      <c r="GW109" s="29"/>
      <c r="GX109" s="27"/>
      <c r="GY109" s="27"/>
      <c r="GZ109" s="28" t="str">
        <f>IFERROR(VLOOKUP(GX109,Horarios!$H:$I,2,0),"")</f>
        <v/>
      </c>
      <c r="HA109" s="28" t="str">
        <f>IFERROR(VLOOKUP(GY109,Horarios!$H:$I,2,0),"")</f>
        <v/>
      </c>
      <c r="HB109" s="28" t="str">
        <f t="shared" si="85"/>
        <v>00:00</v>
      </c>
      <c r="HC109" s="29"/>
      <c r="HD109" s="27"/>
      <c r="HE109" s="27"/>
      <c r="HF109" s="28" t="str">
        <f>IFERROR(VLOOKUP(HD109,Horarios!$H:$I,2,0),"")</f>
        <v/>
      </c>
      <c r="HG109" s="28" t="str">
        <f>IFERROR(VLOOKUP(HE109,Horarios!$H:$I,2,0),"")</f>
        <v/>
      </c>
      <c r="HH109" s="28" t="str">
        <f t="shared" si="86"/>
        <v>00:00</v>
      </c>
      <c r="HI109" s="29"/>
      <c r="HJ109" s="31" t="str">
        <f t="shared" si="87"/>
        <v/>
      </c>
      <c r="HK109" s="27"/>
      <c r="HL109" s="27"/>
      <c r="HM109" s="28" t="str">
        <f>IFERROR(VLOOKUP(HK109,Horarios!$H:$I,2,0),"")</f>
        <v/>
      </c>
      <c r="HN109" s="28" t="str">
        <f>IFERROR(VLOOKUP(HL109,Horarios!$H:$I,2,0),"")</f>
        <v/>
      </c>
      <c r="HO109" s="28" t="str">
        <f t="shared" si="88"/>
        <v>00:00</v>
      </c>
      <c r="HP109" s="29"/>
      <c r="HQ109" s="27"/>
      <c r="HR109" s="27"/>
      <c r="HS109" s="28" t="str">
        <f>IFERROR(VLOOKUP(HQ109,Horarios!$H:$I,2,0),"")</f>
        <v/>
      </c>
      <c r="HT109" s="28" t="str">
        <f>IFERROR(VLOOKUP(HR109,Horarios!$H:$I,2,0),"")</f>
        <v/>
      </c>
      <c r="HU109" s="28" t="str">
        <f t="shared" si="89"/>
        <v>00:00</v>
      </c>
      <c r="HV109" s="29"/>
      <c r="HW109" s="27"/>
      <c r="HX109" s="27"/>
      <c r="HY109" s="28" t="str">
        <f>IFERROR(VLOOKUP(HW109,Horarios!$H:$I,2,0),"")</f>
        <v/>
      </c>
      <c r="HZ109" s="28" t="str">
        <f>IFERROR(VLOOKUP(HX109,Horarios!$H:$I,2,0),"")</f>
        <v/>
      </c>
      <c r="IA109" s="28" t="str">
        <f t="shared" si="90"/>
        <v>00:00</v>
      </c>
      <c r="IB109" s="29"/>
      <c r="IC109" s="27"/>
      <c r="ID109" s="27"/>
      <c r="IE109" s="28" t="str">
        <f>IFERROR(VLOOKUP(IC109,Horarios!$H:$I,2,0),"")</f>
        <v/>
      </c>
      <c r="IF109" s="28" t="str">
        <f>IFERROR(VLOOKUP(ID109,Horarios!$H:$I,2,0),"")</f>
        <v/>
      </c>
      <c r="IG109" s="28" t="str">
        <f t="shared" si="91"/>
        <v>00:00</v>
      </c>
      <c r="IH109" s="29"/>
      <c r="II109" s="27"/>
      <c r="IJ109" s="27"/>
      <c r="IK109" s="28" t="str">
        <f>IFERROR(VLOOKUP(II109,Horarios!$H:$I,2,0),"")</f>
        <v/>
      </c>
      <c r="IL109" s="28" t="str">
        <f>IFERROR(VLOOKUP(IJ109,Horarios!$H:$I,2,0),"")</f>
        <v/>
      </c>
      <c r="IM109" s="28" t="str">
        <f t="shared" si="92"/>
        <v>00:00</v>
      </c>
      <c r="IN109" s="29"/>
      <c r="IO109" s="27"/>
      <c r="IP109" s="27"/>
      <c r="IQ109" s="28" t="str">
        <f>IFERROR(VLOOKUP(IO109,Horarios!$H:$I,2,0),"")</f>
        <v/>
      </c>
      <c r="IR109" s="28" t="str">
        <f>IFERROR(VLOOKUP(IP109,Horarios!$H:$I,2,0),"")</f>
        <v/>
      </c>
      <c r="IS109" s="28" t="str">
        <f t="shared" si="93"/>
        <v>00:00</v>
      </c>
      <c r="IT109" s="29"/>
      <c r="IU109" s="27"/>
      <c r="IV109" s="27"/>
      <c r="IW109" s="28" t="str">
        <f>IFERROR(VLOOKUP(IU109,Horarios!$H:$I,2,0),"")</f>
        <v/>
      </c>
      <c r="IX109" s="28" t="str">
        <f>IFERROR(VLOOKUP(IV109,Horarios!$H:$I,2,0),"")</f>
        <v/>
      </c>
      <c r="IY109" s="28" t="str">
        <f t="shared" si="94"/>
        <v>00:00</v>
      </c>
      <c r="IZ109" s="29"/>
      <c r="JA109" s="31" t="str">
        <f t="shared" si="95"/>
        <v/>
      </c>
    </row>
    <row r="110" spans="1:261" s="24" customFormat="1" ht="17.399999999999999" x14ac:dyDescent="0.25">
      <c r="A110" s="25"/>
      <c r="B110" s="26" t="str">
        <f>IFERROR(VLOOKUP(A110,BaseNombres!A:B,2,0),"")</f>
        <v/>
      </c>
      <c r="C110" s="26" t="str">
        <f>IFERROR(VLOOKUP(A110,BaseNombres!A:C,3,0),"")</f>
        <v/>
      </c>
      <c r="D110" s="27"/>
      <c r="E110" s="27"/>
      <c r="F110" s="28" t="str">
        <f>IFERROR(VLOOKUP(D110,Horarios!$H:$I,2,0),"")</f>
        <v/>
      </c>
      <c r="G110" s="28" t="str">
        <f>IFERROR(VLOOKUP(E110,Horarios!$H:$I,2,0),"")</f>
        <v/>
      </c>
      <c r="H110" s="28" t="str">
        <f t="shared" si="48"/>
        <v>00:00</v>
      </c>
      <c r="I110" s="29"/>
      <c r="J110" s="27"/>
      <c r="K110" s="27"/>
      <c r="L110" s="28" t="str">
        <f>IFERROR(VLOOKUP(J110,Horarios!$H:$I,2,0),"")</f>
        <v/>
      </c>
      <c r="M110" s="28" t="str">
        <f>IFERROR(VLOOKUP(K110,Horarios!$H:$I,2,0),"")</f>
        <v/>
      </c>
      <c r="N110" s="28" t="str">
        <f t="shared" si="49"/>
        <v>00:00</v>
      </c>
      <c r="O110" s="29"/>
      <c r="P110" s="27"/>
      <c r="Q110" s="27"/>
      <c r="R110" s="28" t="str">
        <f>IFERROR(VLOOKUP(P110,Horarios!$H:$I,2,0),"")</f>
        <v/>
      </c>
      <c r="S110" s="28" t="str">
        <f>IFERROR(VLOOKUP(Q110,Horarios!$H:$I,2,0),"")</f>
        <v/>
      </c>
      <c r="T110" s="28" t="str">
        <f t="shared" si="50"/>
        <v>00:00</v>
      </c>
      <c r="U110" s="29"/>
      <c r="V110" s="27"/>
      <c r="W110" s="27"/>
      <c r="X110" s="28" t="str">
        <f>IFERROR(VLOOKUP(V110,Horarios!$H:$I,2,0),"")</f>
        <v/>
      </c>
      <c r="Y110" s="28" t="str">
        <f>IFERROR(VLOOKUP(W110,Horarios!$H:$I,2,0),"")</f>
        <v/>
      </c>
      <c r="Z110" s="28" t="str">
        <f t="shared" si="51"/>
        <v>00:00</v>
      </c>
      <c r="AA110" s="29"/>
      <c r="AB110" s="27"/>
      <c r="AC110" s="27"/>
      <c r="AD110" s="28" t="str">
        <f>IFERROR(VLOOKUP(AB110,Horarios!$H:$I,2,0),"")</f>
        <v/>
      </c>
      <c r="AE110" s="28" t="str">
        <f>IFERROR(VLOOKUP(AC110,Horarios!$H:$I,2,0),"")</f>
        <v/>
      </c>
      <c r="AF110" s="28" t="str">
        <f t="shared" si="52"/>
        <v>00:00</v>
      </c>
      <c r="AG110" s="29"/>
      <c r="AH110" s="27"/>
      <c r="AI110" s="27"/>
      <c r="AJ110" s="28" t="str">
        <f>IFERROR(VLOOKUP(AH110,Horarios!$H:$I,2,0),"")</f>
        <v/>
      </c>
      <c r="AK110" s="28" t="str">
        <f>IFERROR(VLOOKUP(AI110,Horarios!$H:$I,2,0),"")</f>
        <v/>
      </c>
      <c r="AL110" s="28" t="str">
        <f t="shared" si="53"/>
        <v>00:00</v>
      </c>
      <c r="AM110" s="29"/>
      <c r="AN110" s="27"/>
      <c r="AO110" s="27"/>
      <c r="AP110" s="28" t="str">
        <f>IFERROR(VLOOKUP(AN110,Horarios!$H:$I,2,0),"")</f>
        <v/>
      </c>
      <c r="AQ110" s="28" t="str">
        <f>IFERROR(VLOOKUP(AO110,Horarios!$H:$I,2,0),"")</f>
        <v/>
      </c>
      <c r="AR110" s="28" t="str">
        <f t="shared" si="54"/>
        <v>00:00</v>
      </c>
      <c r="AS110" s="29"/>
      <c r="AT110" s="31" t="str">
        <f t="shared" si="55"/>
        <v/>
      </c>
      <c r="AU110" s="27"/>
      <c r="AV110" s="27"/>
      <c r="AW110" s="28" t="str">
        <f>IFERROR(VLOOKUP(AU110,Horarios!$H:$I,2,0),"")</f>
        <v/>
      </c>
      <c r="AX110" s="28" t="str">
        <f>IFERROR(VLOOKUP(AV110,Horarios!$H:$I,2,0),"")</f>
        <v/>
      </c>
      <c r="AY110" s="28" t="str">
        <f t="shared" si="56"/>
        <v>00:00</v>
      </c>
      <c r="AZ110" s="29"/>
      <c r="BA110" s="27"/>
      <c r="BB110" s="27"/>
      <c r="BC110" s="28" t="str">
        <f>IFERROR(VLOOKUP(BA110,Horarios!$H:$I,2,0),"")</f>
        <v/>
      </c>
      <c r="BD110" s="28" t="str">
        <f>IFERROR(VLOOKUP(BB110,Horarios!$H:$I,2,0),"")</f>
        <v/>
      </c>
      <c r="BE110" s="28" t="str">
        <f t="shared" si="57"/>
        <v>00:00</v>
      </c>
      <c r="BF110" s="29"/>
      <c r="BG110" s="27"/>
      <c r="BH110" s="27"/>
      <c r="BI110" s="28" t="str">
        <f>IFERROR(VLOOKUP(BG110,Horarios!$H:$I,2,0),"")</f>
        <v/>
      </c>
      <c r="BJ110" s="28" t="str">
        <f>IFERROR(VLOOKUP(BH110,Horarios!$H:$I,2,0),"")</f>
        <v/>
      </c>
      <c r="BK110" s="28" t="str">
        <f t="shared" si="58"/>
        <v>00:00</v>
      </c>
      <c r="BL110" s="29"/>
      <c r="BM110" s="27"/>
      <c r="BN110" s="27"/>
      <c r="BO110" s="28" t="str">
        <f>IFERROR(VLOOKUP(BM110,Horarios!$H:$I,2,0),"")</f>
        <v/>
      </c>
      <c r="BP110" s="28" t="str">
        <f>IFERROR(VLOOKUP(BN110,Horarios!$H:$I,2,0),"")</f>
        <v/>
      </c>
      <c r="BQ110" s="28" t="str">
        <f t="shared" si="59"/>
        <v>00:00</v>
      </c>
      <c r="BR110" s="29"/>
      <c r="BS110" s="27"/>
      <c r="BT110" s="27"/>
      <c r="BU110" s="28" t="str">
        <f>IFERROR(VLOOKUP(BS110,Horarios!$H:$I,2,0),"")</f>
        <v/>
      </c>
      <c r="BV110" s="28" t="str">
        <f>IFERROR(VLOOKUP(BT110,Horarios!$H:$I,2,0),"")</f>
        <v/>
      </c>
      <c r="BW110" s="28" t="str">
        <f t="shared" si="60"/>
        <v>00:00</v>
      </c>
      <c r="BX110" s="29"/>
      <c r="BY110" s="27"/>
      <c r="BZ110" s="27"/>
      <c r="CA110" s="28" t="str">
        <f>IFERROR(VLOOKUP(BY110,Horarios!$H:$I,2,0),"")</f>
        <v/>
      </c>
      <c r="CB110" s="28" t="str">
        <f>IFERROR(VLOOKUP(BZ110,Horarios!$H:$I,2,0),"")</f>
        <v/>
      </c>
      <c r="CC110" s="28" t="str">
        <f t="shared" si="61"/>
        <v>00:00</v>
      </c>
      <c r="CD110" s="29"/>
      <c r="CE110" s="27"/>
      <c r="CF110" s="27"/>
      <c r="CG110" s="28" t="str">
        <f>IFERROR(VLOOKUP(CE110,Horarios!$H:$I,2,0),"")</f>
        <v/>
      </c>
      <c r="CH110" s="28" t="str">
        <f>IFERROR(VLOOKUP(CF110,Horarios!$H:$I,2,0),"")</f>
        <v/>
      </c>
      <c r="CI110" s="28" t="str">
        <f t="shared" si="62"/>
        <v>00:00</v>
      </c>
      <c r="CJ110" s="29"/>
      <c r="CK110" s="31" t="str">
        <f t="shared" si="63"/>
        <v/>
      </c>
      <c r="CL110" s="27"/>
      <c r="CM110" s="27"/>
      <c r="CN110" s="28" t="str">
        <f>IFERROR(VLOOKUP(CL110,Horarios!$H:$I,2,0),"")</f>
        <v/>
      </c>
      <c r="CO110" s="28" t="str">
        <f>IFERROR(VLOOKUP(CM110,Horarios!$H:$I,2,0),"")</f>
        <v/>
      </c>
      <c r="CP110" s="28" t="str">
        <f t="shared" si="64"/>
        <v>00:00</v>
      </c>
      <c r="CQ110" s="29"/>
      <c r="CR110" s="27"/>
      <c r="CS110" s="27"/>
      <c r="CT110" s="28" t="str">
        <f>IFERROR(VLOOKUP(CR110,Horarios!$H:$I,2,0),"")</f>
        <v/>
      </c>
      <c r="CU110" s="28" t="str">
        <f>IFERROR(VLOOKUP(CS110,Horarios!$H:$I,2,0),"")</f>
        <v/>
      </c>
      <c r="CV110" s="28" t="str">
        <f t="shared" si="65"/>
        <v>00:00</v>
      </c>
      <c r="CW110" s="29"/>
      <c r="CX110" s="27"/>
      <c r="CY110" s="27"/>
      <c r="CZ110" s="28" t="str">
        <f>IFERROR(VLOOKUP(CX110,Horarios!$H:$I,2,0),"")</f>
        <v/>
      </c>
      <c r="DA110" s="28" t="str">
        <f>IFERROR(VLOOKUP(CY110,Horarios!$H:$I,2,0),"")</f>
        <v/>
      </c>
      <c r="DB110" s="28" t="str">
        <f t="shared" si="66"/>
        <v>00:00</v>
      </c>
      <c r="DC110" s="29"/>
      <c r="DD110" s="27"/>
      <c r="DE110" s="27"/>
      <c r="DF110" s="28" t="str">
        <f>IFERROR(VLOOKUP(DD110,Horarios!$H:$I,2,0),"")</f>
        <v/>
      </c>
      <c r="DG110" s="28" t="str">
        <f>IFERROR(VLOOKUP(DE110,Horarios!$H:$I,2,0),"")</f>
        <v/>
      </c>
      <c r="DH110" s="28" t="str">
        <f t="shared" si="67"/>
        <v>00:00</v>
      </c>
      <c r="DI110" s="29"/>
      <c r="DJ110" s="27"/>
      <c r="DK110" s="27"/>
      <c r="DL110" s="28" t="str">
        <f>IFERROR(VLOOKUP(DJ110,Horarios!$H:$I,2,0),"")</f>
        <v/>
      </c>
      <c r="DM110" s="28" t="str">
        <f>IFERROR(VLOOKUP(DK110,Horarios!$H:$I,2,0),"")</f>
        <v/>
      </c>
      <c r="DN110" s="28" t="str">
        <f t="shared" si="68"/>
        <v>00:00</v>
      </c>
      <c r="DO110" s="29"/>
      <c r="DP110" s="27"/>
      <c r="DQ110" s="27"/>
      <c r="DR110" s="28" t="str">
        <f>IFERROR(VLOOKUP(DP110,Horarios!$H:$I,2,0),"")</f>
        <v/>
      </c>
      <c r="DS110" s="28" t="str">
        <f>IFERROR(VLOOKUP(DQ110,Horarios!$H:$I,2,0),"")</f>
        <v/>
      </c>
      <c r="DT110" s="28" t="str">
        <f t="shared" si="69"/>
        <v>00:00</v>
      </c>
      <c r="DU110" s="29"/>
      <c r="DV110" s="27"/>
      <c r="DW110" s="27"/>
      <c r="DX110" s="28" t="str">
        <f>IFERROR(VLOOKUP(DV110,Horarios!$H:$I,2,0),"")</f>
        <v/>
      </c>
      <c r="DY110" s="28" t="str">
        <f>IFERROR(VLOOKUP(DW110,Horarios!$H:$I,2,0),"")</f>
        <v/>
      </c>
      <c r="DZ110" s="28" t="str">
        <f t="shared" si="70"/>
        <v>00:00</v>
      </c>
      <c r="EA110" s="29"/>
      <c r="EB110" s="31" t="str">
        <f t="shared" si="71"/>
        <v/>
      </c>
      <c r="EC110" s="27"/>
      <c r="ED110" s="27"/>
      <c r="EE110" s="28" t="str">
        <f>IFERROR(VLOOKUP(EC110,Horarios!$H:$I,2,0),"")</f>
        <v/>
      </c>
      <c r="EF110" s="28" t="str">
        <f>IFERROR(VLOOKUP(ED110,Horarios!$H:$I,2,0),"")</f>
        <v/>
      </c>
      <c r="EG110" s="28" t="str">
        <f t="shared" si="72"/>
        <v>00:00</v>
      </c>
      <c r="EH110" s="29"/>
      <c r="EI110" s="27"/>
      <c r="EJ110" s="27"/>
      <c r="EK110" s="28" t="str">
        <f>IFERROR(VLOOKUP(EI110,Horarios!$H:$I,2,0),"")</f>
        <v/>
      </c>
      <c r="EL110" s="28" t="str">
        <f>IFERROR(VLOOKUP(EJ110,Horarios!$H:$I,2,0),"")</f>
        <v/>
      </c>
      <c r="EM110" s="28" t="str">
        <f t="shared" si="73"/>
        <v>00:00</v>
      </c>
      <c r="EN110" s="29"/>
      <c r="EO110" s="27"/>
      <c r="EP110" s="27"/>
      <c r="EQ110" s="28" t="str">
        <f>IFERROR(VLOOKUP(EO110,Horarios!$H:$I,2,0),"")</f>
        <v/>
      </c>
      <c r="ER110" s="28" t="str">
        <f>IFERROR(VLOOKUP(EP110,Horarios!$H:$I,2,0),"")</f>
        <v/>
      </c>
      <c r="ES110" s="28" t="str">
        <f t="shared" si="74"/>
        <v>00:00</v>
      </c>
      <c r="ET110" s="29"/>
      <c r="EU110" s="27"/>
      <c r="EV110" s="27"/>
      <c r="EW110" s="28" t="str">
        <f>IFERROR(VLOOKUP(EU110,Horarios!$H:$I,2,0),"")</f>
        <v/>
      </c>
      <c r="EX110" s="28" t="str">
        <f>IFERROR(VLOOKUP(EV110,Horarios!$H:$I,2,0),"")</f>
        <v/>
      </c>
      <c r="EY110" s="28" t="str">
        <f t="shared" si="75"/>
        <v>00:00</v>
      </c>
      <c r="EZ110" s="29"/>
      <c r="FA110" s="27"/>
      <c r="FB110" s="27"/>
      <c r="FC110" s="28" t="str">
        <f>IFERROR(VLOOKUP(FA110,Horarios!$H:$I,2,0),"")</f>
        <v/>
      </c>
      <c r="FD110" s="28" t="str">
        <f>IFERROR(VLOOKUP(FB110,Horarios!$H:$I,2,0),"")</f>
        <v/>
      </c>
      <c r="FE110" s="28" t="str">
        <f t="shared" si="76"/>
        <v>00:00</v>
      </c>
      <c r="FF110" s="29"/>
      <c r="FG110" s="27"/>
      <c r="FH110" s="27"/>
      <c r="FI110" s="28" t="str">
        <f>IFERROR(VLOOKUP(FG110,Horarios!$H:$I,2,0),"")</f>
        <v/>
      </c>
      <c r="FJ110" s="28" t="str">
        <f>IFERROR(VLOOKUP(FH110,Horarios!$H:$I,2,0),"")</f>
        <v/>
      </c>
      <c r="FK110" s="28" t="str">
        <f t="shared" si="77"/>
        <v>00:00</v>
      </c>
      <c r="FL110" s="29"/>
      <c r="FM110" s="27"/>
      <c r="FN110" s="27"/>
      <c r="FO110" s="28" t="str">
        <f>IFERROR(VLOOKUP(FM110,Horarios!$H:$I,2,0),"")</f>
        <v/>
      </c>
      <c r="FP110" s="28" t="str">
        <f>IFERROR(VLOOKUP(FN110,Horarios!$H:$I,2,0),"")</f>
        <v/>
      </c>
      <c r="FQ110" s="28" t="str">
        <f t="shared" si="78"/>
        <v>00:00</v>
      </c>
      <c r="FR110" s="29"/>
      <c r="FS110" s="31" t="str">
        <f t="shared" si="79"/>
        <v/>
      </c>
      <c r="FT110" s="27"/>
      <c r="FU110" s="27"/>
      <c r="FV110" s="28" t="str">
        <f>IFERROR(VLOOKUP(FT110,Horarios!$H:$I,2,0),"")</f>
        <v/>
      </c>
      <c r="FW110" s="28" t="str">
        <f>IFERROR(VLOOKUP(FU110,Horarios!$H:$I,2,0),"")</f>
        <v/>
      </c>
      <c r="FX110" s="28" t="str">
        <f t="shared" si="80"/>
        <v>00:00</v>
      </c>
      <c r="FY110" s="29"/>
      <c r="FZ110" s="27"/>
      <c r="GA110" s="27"/>
      <c r="GB110" s="28" t="str">
        <f>IFERROR(VLOOKUP(FZ110,Horarios!$H:$I,2,0),"")</f>
        <v/>
      </c>
      <c r="GC110" s="28" t="str">
        <f>IFERROR(VLOOKUP(GA110,Horarios!$H:$I,2,0),"")</f>
        <v/>
      </c>
      <c r="GD110" s="28" t="str">
        <f t="shared" si="81"/>
        <v>00:00</v>
      </c>
      <c r="GE110" s="29"/>
      <c r="GF110" s="27"/>
      <c r="GG110" s="27"/>
      <c r="GH110" s="28" t="str">
        <f>IFERROR(VLOOKUP(GF110,Horarios!$H:$I,2,0),"")</f>
        <v/>
      </c>
      <c r="GI110" s="28" t="str">
        <f>IFERROR(VLOOKUP(GG110,Horarios!$H:$I,2,0),"")</f>
        <v/>
      </c>
      <c r="GJ110" s="28" t="str">
        <f t="shared" si="82"/>
        <v>00:00</v>
      </c>
      <c r="GK110" s="29"/>
      <c r="GL110" s="27"/>
      <c r="GM110" s="27"/>
      <c r="GN110" s="28" t="str">
        <f>IFERROR(VLOOKUP(GL110,Horarios!$H:$I,2,0),"")</f>
        <v/>
      </c>
      <c r="GO110" s="28" t="str">
        <f>IFERROR(VLOOKUP(GM110,Horarios!$H:$I,2,0),"")</f>
        <v/>
      </c>
      <c r="GP110" s="28" t="str">
        <f t="shared" si="83"/>
        <v>00:00</v>
      </c>
      <c r="GQ110" s="29"/>
      <c r="GR110" s="27"/>
      <c r="GS110" s="27"/>
      <c r="GT110" s="28" t="str">
        <f>IFERROR(VLOOKUP(GR110,Horarios!$H:$I,2,0),"")</f>
        <v/>
      </c>
      <c r="GU110" s="28" t="str">
        <f>IFERROR(VLOOKUP(GS110,Horarios!$H:$I,2,0),"")</f>
        <v/>
      </c>
      <c r="GV110" s="28" t="str">
        <f t="shared" si="84"/>
        <v>00:00</v>
      </c>
      <c r="GW110" s="29"/>
      <c r="GX110" s="27"/>
      <c r="GY110" s="27"/>
      <c r="GZ110" s="28" t="str">
        <f>IFERROR(VLOOKUP(GX110,Horarios!$H:$I,2,0),"")</f>
        <v/>
      </c>
      <c r="HA110" s="28" t="str">
        <f>IFERROR(VLOOKUP(GY110,Horarios!$H:$I,2,0),"")</f>
        <v/>
      </c>
      <c r="HB110" s="28" t="str">
        <f t="shared" si="85"/>
        <v>00:00</v>
      </c>
      <c r="HC110" s="29"/>
      <c r="HD110" s="27"/>
      <c r="HE110" s="27"/>
      <c r="HF110" s="28" t="str">
        <f>IFERROR(VLOOKUP(HD110,Horarios!$H:$I,2,0),"")</f>
        <v/>
      </c>
      <c r="HG110" s="28" t="str">
        <f>IFERROR(VLOOKUP(HE110,Horarios!$H:$I,2,0),"")</f>
        <v/>
      </c>
      <c r="HH110" s="28" t="str">
        <f t="shared" si="86"/>
        <v>00:00</v>
      </c>
      <c r="HI110" s="29"/>
      <c r="HJ110" s="31" t="str">
        <f t="shared" si="87"/>
        <v/>
      </c>
      <c r="HK110" s="27"/>
      <c r="HL110" s="27"/>
      <c r="HM110" s="28" t="str">
        <f>IFERROR(VLOOKUP(HK110,Horarios!$H:$I,2,0),"")</f>
        <v/>
      </c>
      <c r="HN110" s="28" t="str">
        <f>IFERROR(VLOOKUP(HL110,Horarios!$H:$I,2,0),"")</f>
        <v/>
      </c>
      <c r="HO110" s="28" t="str">
        <f t="shared" si="88"/>
        <v>00:00</v>
      </c>
      <c r="HP110" s="29"/>
      <c r="HQ110" s="27"/>
      <c r="HR110" s="27"/>
      <c r="HS110" s="28" t="str">
        <f>IFERROR(VLOOKUP(HQ110,Horarios!$H:$I,2,0),"")</f>
        <v/>
      </c>
      <c r="HT110" s="28" t="str">
        <f>IFERROR(VLOOKUP(HR110,Horarios!$H:$I,2,0),"")</f>
        <v/>
      </c>
      <c r="HU110" s="28" t="str">
        <f t="shared" si="89"/>
        <v>00:00</v>
      </c>
      <c r="HV110" s="29"/>
      <c r="HW110" s="27"/>
      <c r="HX110" s="27"/>
      <c r="HY110" s="28" t="str">
        <f>IFERROR(VLOOKUP(HW110,Horarios!$H:$I,2,0),"")</f>
        <v/>
      </c>
      <c r="HZ110" s="28" t="str">
        <f>IFERROR(VLOOKUP(HX110,Horarios!$H:$I,2,0),"")</f>
        <v/>
      </c>
      <c r="IA110" s="28" t="str">
        <f t="shared" si="90"/>
        <v>00:00</v>
      </c>
      <c r="IB110" s="29"/>
      <c r="IC110" s="27"/>
      <c r="ID110" s="27"/>
      <c r="IE110" s="28" t="str">
        <f>IFERROR(VLOOKUP(IC110,Horarios!$H:$I,2,0),"")</f>
        <v/>
      </c>
      <c r="IF110" s="28" t="str">
        <f>IFERROR(VLOOKUP(ID110,Horarios!$H:$I,2,0),"")</f>
        <v/>
      </c>
      <c r="IG110" s="28" t="str">
        <f t="shared" si="91"/>
        <v>00:00</v>
      </c>
      <c r="IH110" s="29"/>
      <c r="II110" s="27"/>
      <c r="IJ110" s="27"/>
      <c r="IK110" s="28" t="str">
        <f>IFERROR(VLOOKUP(II110,Horarios!$H:$I,2,0),"")</f>
        <v/>
      </c>
      <c r="IL110" s="28" t="str">
        <f>IFERROR(VLOOKUP(IJ110,Horarios!$H:$I,2,0),"")</f>
        <v/>
      </c>
      <c r="IM110" s="28" t="str">
        <f t="shared" si="92"/>
        <v>00:00</v>
      </c>
      <c r="IN110" s="29"/>
      <c r="IO110" s="27"/>
      <c r="IP110" s="27"/>
      <c r="IQ110" s="28" t="str">
        <f>IFERROR(VLOOKUP(IO110,Horarios!$H:$I,2,0),"")</f>
        <v/>
      </c>
      <c r="IR110" s="28" t="str">
        <f>IFERROR(VLOOKUP(IP110,Horarios!$H:$I,2,0),"")</f>
        <v/>
      </c>
      <c r="IS110" s="28" t="str">
        <f t="shared" si="93"/>
        <v>00:00</v>
      </c>
      <c r="IT110" s="29"/>
      <c r="IU110" s="27"/>
      <c r="IV110" s="27"/>
      <c r="IW110" s="28" t="str">
        <f>IFERROR(VLOOKUP(IU110,Horarios!$H:$I,2,0),"")</f>
        <v/>
      </c>
      <c r="IX110" s="28" t="str">
        <f>IFERROR(VLOOKUP(IV110,Horarios!$H:$I,2,0),"")</f>
        <v/>
      </c>
      <c r="IY110" s="28" t="str">
        <f t="shared" si="94"/>
        <v>00:00</v>
      </c>
      <c r="IZ110" s="29"/>
      <c r="JA110" s="31" t="str">
        <f t="shared" si="95"/>
        <v/>
      </c>
    </row>
    <row r="111" spans="1:261" s="24" customFormat="1" ht="17.399999999999999" x14ac:dyDescent="0.25">
      <c r="A111" s="25"/>
      <c r="B111" s="26" t="str">
        <f>IFERROR(VLOOKUP(A111,BaseNombres!A:B,2,0),"")</f>
        <v/>
      </c>
      <c r="C111" s="26" t="str">
        <f>IFERROR(VLOOKUP(A111,BaseNombres!A:C,3,0),"")</f>
        <v/>
      </c>
      <c r="D111" s="27"/>
      <c r="E111" s="27"/>
      <c r="F111" s="28" t="str">
        <f>IFERROR(VLOOKUP(D111,Horarios!$H:$I,2,0),"")</f>
        <v/>
      </c>
      <c r="G111" s="28" t="str">
        <f>IFERROR(VLOOKUP(E111,Horarios!$H:$I,2,0),"")</f>
        <v/>
      </c>
      <c r="H111" s="28" t="str">
        <f t="shared" si="48"/>
        <v>00:00</v>
      </c>
      <c r="I111" s="29"/>
      <c r="J111" s="27"/>
      <c r="K111" s="27"/>
      <c r="L111" s="28" t="str">
        <f>IFERROR(VLOOKUP(J111,Horarios!$H:$I,2,0),"")</f>
        <v/>
      </c>
      <c r="M111" s="28" t="str">
        <f>IFERROR(VLOOKUP(K111,Horarios!$H:$I,2,0),"")</f>
        <v/>
      </c>
      <c r="N111" s="28" t="str">
        <f t="shared" si="49"/>
        <v>00:00</v>
      </c>
      <c r="O111" s="29"/>
      <c r="P111" s="27"/>
      <c r="Q111" s="27"/>
      <c r="R111" s="28" t="str">
        <f>IFERROR(VLOOKUP(P111,Horarios!$H:$I,2,0),"")</f>
        <v/>
      </c>
      <c r="S111" s="28" t="str">
        <f>IFERROR(VLOOKUP(Q111,Horarios!$H:$I,2,0),"")</f>
        <v/>
      </c>
      <c r="T111" s="28" t="str">
        <f t="shared" si="50"/>
        <v>00:00</v>
      </c>
      <c r="U111" s="29"/>
      <c r="V111" s="27"/>
      <c r="W111" s="27"/>
      <c r="X111" s="28" t="str">
        <f>IFERROR(VLOOKUP(V111,Horarios!$H:$I,2,0),"")</f>
        <v/>
      </c>
      <c r="Y111" s="28" t="str">
        <f>IFERROR(VLOOKUP(W111,Horarios!$H:$I,2,0),"")</f>
        <v/>
      </c>
      <c r="Z111" s="28" t="str">
        <f t="shared" si="51"/>
        <v>00:00</v>
      </c>
      <c r="AA111" s="29"/>
      <c r="AB111" s="27"/>
      <c r="AC111" s="27"/>
      <c r="AD111" s="28" t="str">
        <f>IFERROR(VLOOKUP(AB111,Horarios!$H:$I,2,0),"")</f>
        <v/>
      </c>
      <c r="AE111" s="28" t="str">
        <f>IFERROR(VLOOKUP(AC111,Horarios!$H:$I,2,0),"")</f>
        <v/>
      </c>
      <c r="AF111" s="28" t="str">
        <f t="shared" si="52"/>
        <v>00:00</v>
      </c>
      <c r="AG111" s="29"/>
      <c r="AH111" s="27"/>
      <c r="AI111" s="27"/>
      <c r="AJ111" s="28" t="str">
        <f>IFERROR(VLOOKUP(AH111,Horarios!$H:$I,2,0),"")</f>
        <v/>
      </c>
      <c r="AK111" s="28" t="str">
        <f>IFERROR(VLOOKUP(AI111,Horarios!$H:$I,2,0),"")</f>
        <v/>
      </c>
      <c r="AL111" s="28" t="str">
        <f t="shared" si="53"/>
        <v>00:00</v>
      </c>
      <c r="AM111" s="29"/>
      <c r="AN111" s="27"/>
      <c r="AO111" s="27"/>
      <c r="AP111" s="28" t="str">
        <f>IFERROR(VLOOKUP(AN111,Horarios!$H:$I,2,0),"")</f>
        <v/>
      </c>
      <c r="AQ111" s="28" t="str">
        <f>IFERROR(VLOOKUP(AO111,Horarios!$H:$I,2,0),"")</f>
        <v/>
      </c>
      <c r="AR111" s="28" t="str">
        <f t="shared" si="54"/>
        <v>00:00</v>
      </c>
      <c r="AS111" s="29"/>
      <c r="AT111" s="31" t="str">
        <f t="shared" si="55"/>
        <v/>
      </c>
      <c r="AU111" s="27"/>
      <c r="AV111" s="27"/>
      <c r="AW111" s="28" t="str">
        <f>IFERROR(VLOOKUP(AU111,Horarios!$H:$I,2,0),"")</f>
        <v/>
      </c>
      <c r="AX111" s="28" t="str">
        <f>IFERROR(VLOOKUP(AV111,Horarios!$H:$I,2,0),"")</f>
        <v/>
      </c>
      <c r="AY111" s="28" t="str">
        <f t="shared" si="56"/>
        <v>00:00</v>
      </c>
      <c r="AZ111" s="29"/>
      <c r="BA111" s="27"/>
      <c r="BB111" s="27"/>
      <c r="BC111" s="28" t="str">
        <f>IFERROR(VLOOKUP(BA111,Horarios!$H:$I,2,0),"")</f>
        <v/>
      </c>
      <c r="BD111" s="28" t="str">
        <f>IFERROR(VLOOKUP(BB111,Horarios!$H:$I,2,0),"")</f>
        <v/>
      </c>
      <c r="BE111" s="28" t="str">
        <f t="shared" si="57"/>
        <v>00:00</v>
      </c>
      <c r="BF111" s="29"/>
      <c r="BG111" s="27"/>
      <c r="BH111" s="27"/>
      <c r="BI111" s="28" t="str">
        <f>IFERROR(VLOOKUP(BG111,Horarios!$H:$I,2,0),"")</f>
        <v/>
      </c>
      <c r="BJ111" s="28" t="str">
        <f>IFERROR(VLOOKUP(BH111,Horarios!$H:$I,2,0),"")</f>
        <v/>
      </c>
      <c r="BK111" s="28" t="str">
        <f t="shared" si="58"/>
        <v>00:00</v>
      </c>
      <c r="BL111" s="29"/>
      <c r="BM111" s="27"/>
      <c r="BN111" s="27"/>
      <c r="BO111" s="28" t="str">
        <f>IFERROR(VLOOKUP(BM111,Horarios!$H:$I,2,0),"")</f>
        <v/>
      </c>
      <c r="BP111" s="28" t="str">
        <f>IFERROR(VLOOKUP(BN111,Horarios!$H:$I,2,0),"")</f>
        <v/>
      </c>
      <c r="BQ111" s="28" t="str">
        <f t="shared" si="59"/>
        <v>00:00</v>
      </c>
      <c r="BR111" s="29"/>
      <c r="BS111" s="27"/>
      <c r="BT111" s="27"/>
      <c r="BU111" s="28" t="str">
        <f>IFERROR(VLOOKUP(BS111,Horarios!$H:$I,2,0),"")</f>
        <v/>
      </c>
      <c r="BV111" s="28" t="str">
        <f>IFERROR(VLOOKUP(BT111,Horarios!$H:$I,2,0),"")</f>
        <v/>
      </c>
      <c r="BW111" s="28" t="str">
        <f t="shared" si="60"/>
        <v>00:00</v>
      </c>
      <c r="BX111" s="29"/>
      <c r="BY111" s="27"/>
      <c r="BZ111" s="27"/>
      <c r="CA111" s="28" t="str">
        <f>IFERROR(VLOOKUP(BY111,Horarios!$H:$I,2,0),"")</f>
        <v/>
      </c>
      <c r="CB111" s="28" t="str">
        <f>IFERROR(VLOOKUP(BZ111,Horarios!$H:$I,2,0),"")</f>
        <v/>
      </c>
      <c r="CC111" s="28" t="str">
        <f t="shared" si="61"/>
        <v>00:00</v>
      </c>
      <c r="CD111" s="29"/>
      <c r="CE111" s="27"/>
      <c r="CF111" s="27"/>
      <c r="CG111" s="28" t="str">
        <f>IFERROR(VLOOKUP(CE111,Horarios!$H:$I,2,0),"")</f>
        <v/>
      </c>
      <c r="CH111" s="28" t="str">
        <f>IFERROR(VLOOKUP(CF111,Horarios!$H:$I,2,0),"")</f>
        <v/>
      </c>
      <c r="CI111" s="28" t="str">
        <f t="shared" si="62"/>
        <v>00:00</v>
      </c>
      <c r="CJ111" s="29"/>
      <c r="CK111" s="31" t="str">
        <f t="shared" si="63"/>
        <v/>
      </c>
      <c r="CL111" s="27"/>
      <c r="CM111" s="27"/>
      <c r="CN111" s="28" t="str">
        <f>IFERROR(VLOOKUP(CL111,Horarios!$H:$I,2,0),"")</f>
        <v/>
      </c>
      <c r="CO111" s="28" t="str">
        <f>IFERROR(VLOOKUP(CM111,Horarios!$H:$I,2,0),"")</f>
        <v/>
      </c>
      <c r="CP111" s="28" t="str">
        <f t="shared" si="64"/>
        <v>00:00</v>
      </c>
      <c r="CQ111" s="29"/>
      <c r="CR111" s="27"/>
      <c r="CS111" s="27"/>
      <c r="CT111" s="28" t="str">
        <f>IFERROR(VLOOKUP(CR111,Horarios!$H:$I,2,0),"")</f>
        <v/>
      </c>
      <c r="CU111" s="28" t="str">
        <f>IFERROR(VLOOKUP(CS111,Horarios!$H:$I,2,0),"")</f>
        <v/>
      </c>
      <c r="CV111" s="28" t="str">
        <f t="shared" si="65"/>
        <v>00:00</v>
      </c>
      <c r="CW111" s="29"/>
      <c r="CX111" s="27"/>
      <c r="CY111" s="27"/>
      <c r="CZ111" s="28" t="str">
        <f>IFERROR(VLOOKUP(CX111,Horarios!$H:$I,2,0),"")</f>
        <v/>
      </c>
      <c r="DA111" s="28" t="str">
        <f>IFERROR(VLOOKUP(CY111,Horarios!$H:$I,2,0),"")</f>
        <v/>
      </c>
      <c r="DB111" s="28" t="str">
        <f t="shared" si="66"/>
        <v>00:00</v>
      </c>
      <c r="DC111" s="29"/>
      <c r="DD111" s="27"/>
      <c r="DE111" s="27"/>
      <c r="DF111" s="28" t="str">
        <f>IFERROR(VLOOKUP(DD111,Horarios!$H:$I,2,0),"")</f>
        <v/>
      </c>
      <c r="DG111" s="28" t="str">
        <f>IFERROR(VLOOKUP(DE111,Horarios!$H:$I,2,0),"")</f>
        <v/>
      </c>
      <c r="DH111" s="28" t="str">
        <f t="shared" si="67"/>
        <v>00:00</v>
      </c>
      <c r="DI111" s="29"/>
      <c r="DJ111" s="27"/>
      <c r="DK111" s="27"/>
      <c r="DL111" s="28" t="str">
        <f>IFERROR(VLOOKUP(DJ111,Horarios!$H:$I,2,0),"")</f>
        <v/>
      </c>
      <c r="DM111" s="28" t="str">
        <f>IFERROR(VLOOKUP(DK111,Horarios!$H:$I,2,0),"")</f>
        <v/>
      </c>
      <c r="DN111" s="28" t="str">
        <f t="shared" si="68"/>
        <v>00:00</v>
      </c>
      <c r="DO111" s="29"/>
      <c r="DP111" s="27"/>
      <c r="DQ111" s="27"/>
      <c r="DR111" s="28" t="str">
        <f>IFERROR(VLOOKUP(DP111,Horarios!$H:$I,2,0),"")</f>
        <v/>
      </c>
      <c r="DS111" s="28" t="str">
        <f>IFERROR(VLOOKUP(DQ111,Horarios!$H:$I,2,0),"")</f>
        <v/>
      </c>
      <c r="DT111" s="28" t="str">
        <f t="shared" si="69"/>
        <v>00:00</v>
      </c>
      <c r="DU111" s="29"/>
      <c r="DV111" s="27"/>
      <c r="DW111" s="27"/>
      <c r="DX111" s="28" t="str">
        <f>IFERROR(VLOOKUP(DV111,Horarios!$H:$I,2,0),"")</f>
        <v/>
      </c>
      <c r="DY111" s="28" t="str">
        <f>IFERROR(VLOOKUP(DW111,Horarios!$H:$I,2,0),"")</f>
        <v/>
      </c>
      <c r="DZ111" s="28" t="str">
        <f t="shared" si="70"/>
        <v>00:00</v>
      </c>
      <c r="EA111" s="29"/>
      <c r="EB111" s="31" t="str">
        <f t="shared" si="71"/>
        <v/>
      </c>
      <c r="EC111" s="27"/>
      <c r="ED111" s="27"/>
      <c r="EE111" s="28" t="str">
        <f>IFERROR(VLOOKUP(EC111,Horarios!$H:$I,2,0),"")</f>
        <v/>
      </c>
      <c r="EF111" s="28" t="str">
        <f>IFERROR(VLOOKUP(ED111,Horarios!$H:$I,2,0),"")</f>
        <v/>
      </c>
      <c r="EG111" s="28" t="str">
        <f t="shared" si="72"/>
        <v>00:00</v>
      </c>
      <c r="EH111" s="29"/>
      <c r="EI111" s="27"/>
      <c r="EJ111" s="27"/>
      <c r="EK111" s="28" t="str">
        <f>IFERROR(VLOOKUP(EI111,Horarios!$H:$I,2,0),"")</f>
        <v/>
      </c>
      <c r="EL111" s="28" t="str">
        <f>IFERROR(VLOOKUP(EJ111,Horarios!$H:$I,2,0),"")</f>
        <v/>
      </c>
      <c r="EM111" s="28" t="str">
        <f t="shared" si="73"/>
        <v>00:00</v>
      </c>
      <c r="EN111" s="29"/>
      <c r="EO111" s="27"/>
      <c r="EP111" s="27"/>
      <c r="EQ111" s="28" t="str">
        <f>IFERROR(VLOOKUP(EO111,Horarios!$H:$I,2,0),"")</f>
        <v/>
      </c>
      <c r="ER111" s="28" t="str">
        <f>IFERROR(VLOOKUP(EP111,Horarios!$H:$I,2,0),"")</f>
        <v/>
      </c>
      <c r="ES111" s="28" t="str">
        <f t="shared" si="74"/>
        <v>00:00</v>
      </c>
      <c r="ET111" s="29"/>
      <c r="EU111" s="27"/>
      <c r="EV111" s="27"/>
      <c r="EW111" s="28" t="str">
        <f>IFERROR(VLOOKUP(EU111,Horarios!$H:$I,2,0),"")</f>
        <v/>
      </c>
      <c r="EX111" s="28" t="str">
        <f>IFERROR(VLOOKUP(EV111,Horarios!$H:$I,2,0),"")</f>
        <v/>
      </c>
      <c r="EY111" s="28" t="str">
        <f t="shared" si="75"/>
        <v>00:00</v>
      </c>
      <c r="EZ111" s="29"/>
      <c r="FA111" s="27"/>
      <c r="FB111" s="27"/>
      <c r="FC111" s="28" t="str">
        <f>IFERROR(VLOOKUP(FA111,Horarios!$H:$I,2,0),"")</f>
        <v/>
      </c>
      <c r="FD111" s="28" t="str">
        <f>IFERROR(VLOOKUP(FB111,Horarios!$H:$I,2,0),"")</f>
        <v/>
      </c>
      <c r="FE111" s="28" t="str">
        <f t="shared" si="76"/>
        <v>00:00</v>
      </c>
      <c r="FF111" s="29"/>
      <c r="FG111" s="27"/>
      <c r="FH111" s="27"/>
      <c r="FI111" s="28" t="str">
        <f>IFERROR(VLOOKUP(FG111,Horarios!$H:$I,2,0),"")</f>
        <v/>
      </c>
      <c r="FJ111" s="28" t="str">
        <f>IFERROR(VLOOKUP(FH111,Horarios!$H:$I,2,0),"")</f>
        <v/>
      </c>
      <c r="FK111" s="28" t="str">
        <f t="shared" si="77"/>
        <v>00:00</v>
      </c>
      <c r="FL111" s="29"/>
      <c r="FM111" s="27"/>
      <c r="FN111" s="27"/>
      <c r="FO111" s="28" t="str">
        <f>IFERROR(VLOOKUP(FM111,Horarios!$H:$I,2,0),"")</f>
        <v/>
      </c>
      <c r="FP111" s="28" t="str">
        <f>IFERROR(VLOOKUP(FN111,Horarios!$H:$I,2,0),"")</f>
        <v/>
      </c>
      <c r="FQ111" s="28" t="str">
        <f t="shared" si="78"/>
        <v>00:00</v>
      </c>
      <c r="FR111" s="29"/>
      <c r="FS111" s="31" t="str">
        <f t="shared" si="79"/>
        <v/>
      </c>
      <c r="FT111" s="27"/>
      <c r="FU111" s="27"/>
      <c r="FV111" s="28" t="str">
        <f>IFERROR(VLOOKUP(FT111,Horarios!$H:$I,2,0),"")</f>
        <v/>
      </c>
      <c r="FW111" s="28" t="str">
        <f>IFERROR(VLOOKUP(FU111,Horarios!$H:$I,2,0),"")</f>
        <v/>
      </c>
      <c r="FX111" s="28" t="str">
        <f t="shared" si="80"/>
        <v>00:00</v>
      </c>
      <c r="FY111" s="29"/>
      <c r="FZ111" s="27"/>
      <c r="GA111" s="27"/>
      <c r="GB111" s="28" t="str">
        <f>IFERROR(VLOOKUP(FZ111,Horarios!$H:$I,2,0),"")</f>
        <v/>
      </c>
      <c r="GC111" s="28" t="str">
        <f>IFERROR(VLOOKUP(GA111,Horarios!$H:$I,2,0),"")</f>
        <v/>
      </c>
      <c r="GD111" s="28" t="str">
        <f t="shared" si="81"/>
        <v>00:00</v>
      </c>
      <c r="GE111" s="29"/>
      <c r="GF111" s="27"/>
      <c r="GG111" s="27"/>
      <c r="GH111" s="28" t="str">
        <f>IFERROR(VLOOKUP(GF111,Horarios!$H:$I,2,0),"")</f>
        <v/>
      </c>
      <c r="GI111" s="28" t="str">
        <f>IFERROR(VLOOKUP(GG111,Horarios!$H:$I,2,0),"")</f>
        <v/>
      </c>
      <c r="GJ111" s="28" t="str">
        <f t="shared" si="82"/>
        <v>00:00</v>
      </c>
      <c r="GK111" s="29"/>
      <c r="GL111" s="27"/>
      <c r="GM111" s="27"/>
      <c r="GN111" s="28" t="str">
        <f>IFERROR(VLOOKUP(GL111,Horarios!$H:$I,2,0),"")</f>
        <v/>
      </c>
      <c r="GO111" s="28" t="str">
        <f>IFERROR(VLOOKUP(GM111,Horarios!$H:$I,2,0),"")</f>
        <v/>
      </c>
      <c r="GP111" s="28" t="str">
        <f t="shared" si="83"/>
        <v>00:00</v>
      </c>
      <c r="GQ111" s="29"/>
      <c r="GR111" s="27"/>
      <c r="GS111" s="27"/>
      <c r="GT111" s="28" t="str">
        <f>IFERROR(VLOOKUP(GR111,Horarios!$H:$I,2,0),"")</f>
        <v/>
      </c>
      <c r="GU111" s="28" t="str">
        <f>IFERROR(VLOOKUP(GS111,Horarios!$H:$I,2,0),"")</f>
        <v/>
      </c>
      <c r="GV111" s="28" t="str">
        <f t="shared" si="84"/>
        <v>00:00</v>
      </c>
      <c r="GW111" s="29"/>
      <c r="GX111" s="27"/>
      <c r="GY111" s="27"/>
      <c r="GZ111" s="28" t="str">
        <f>IFERROR(VLOOKUP(GX111,Horarios!$H:$I,2,0),"")</f>
        <v/>
      </c>
      <c r="HA111" s="28" t="str">
        <f>IFERROR(VLOOKUP(GY111,Horarios!$H:$I,2,0),"")</f>
        <v/>
      </c>
      <c r="HB111" s="28" t="str">
        <f t="shared" si="85"/>
        <v>00:00</v>
      </c>
      <c r="HC111" s="29"/>
      <c r="HD111" s="27"/>
      <c r="HE111" s="27"/>
      <c r="HF111" s="28" t="str">
        <f>IFERROR(VLOOKUP(HD111,Horarios!$H:$I,2,0),"")</f>
        <v/>
      </c>
      <c r="HG111" s="28" t="str">
        <f>IFERROR(VLOOKUP(HE111,Horarios!$H:$I,2,0),"")</f>
        <v/>
      </c>
      <c r="HH111" s="28" t="str">
        <f t="shared" si="86"/>
        <v>00:00</v>
      </c>
      <c r="HI111" s="29"/>
      <c r="HJ111" s="31" t="str">
        <f t="shared" si="87"/>
        <v/>
      </c>
      <c r="HK111" s="27"/>
      <c r="HL111" s="27"/>
      <c r="HM111" s="28" t="str">
        <f>IFERROR(VLOOKUP(HK111,Horarios!$H:$I,2,0),"")</f>
        <v/>
      </c>
      <c r="HN111" s="28" t="str">
        <f>IFERROR(VLOOKUP(HL111,Horarios!$H:$I,2,0),"")</f>
        <v/>
      </c>
      <c r="HO111" s="28" t="str">
        <f t="shared" si="88"/>
        <v>00:00</v>
      </c>
      <c r="HP111" s="29"/>
      <c r="HQ111" s="27"/>
      <c r="HR111" s="27"/>
      <c r="HS111" s="28" t="str">
        <f>IFERROR(VLOOKUP(HQ111,Horarios!$H:$I,2,0),"")</f>
        <v/>
      </c>
      <c r="HT111" s="28" t="str">
        <f>IFERROR(VLOOKUP(HR111,Horarios!$H:$I,2,0),"")</f>
        <v/>
      </c>
      <c r="HU111" s="28" t="str">
        <f t="shared" si="89"/>
        <v>00:00</v>
      </c>
      <c r="HV111" s="29"/>
      <c r="HW111" s="27"/>
      <c r="HX111" s="27"/>
      <c r="HY111" s="28" t="str">
        <f>IFERROR(VLOOKUP(HW111,Horarios!$H:$I,2,0),"")</f>
        <v/>
      </c>
      <c r="HZ111" s="28" t="str">
        <f>IFERROR(VLOOKUP(HX111,Horarios!$H:$I,2,0),"")</f>
        <v/>
      </c>
      <c r="IA111" s="28" t="str">
        <f t="shared" si="90"/>
        <v>00:00</v>
      </c>
      <c r="IB111" s="29"/>
      <c r="IC111" s="27"/>
      <c r="ID111" s="27"/>
      <c r="IE111" s="28" t="str">
        <f>IFERROR(VLOOKUP(IC111,Horarios!$H:$I,2,0),"")</f>
        <v/>
      </c>
      <c r="IF111" s="28" t="str">
        <f>IFERROR(VLOOKUP(ID111,Horarios!$H:$I,2,0),"")</f>
        <v/>
      </c>
      <c r="IG111" s="28" t="str">
        <f t="shared" si="91"/>
        <v>00:00</v>
      </c>
      <c r="IH111" s="29"/>
      <c r="II111" s="27"/>
      <c r="IJ111" s="27"/>
      <c r="IK111" s="28" t="str">
        <f>IFERROR(VLOOKUP(II111,Horarios!$H:$I,2,0),"")</f>
        <v/>
      </c>
      <c r="IL111" s="28" t="str">
        <f>IFERROR(VLOOKUP(IJ111,Horarios!$H:$I,2,0),"")</f>
        <v/>
      </c>
      <c r="IM111" s="28" t="str">
        <f t="shared" si="92"/>
        <v>00:00</v>
      </c>
      <c r="IN111" s="29"/>
      <c r="IO111" s="27"/>
      <c r="IP111" s="27"/>
      <c r="IQ111" s="28" t="str">
        <f>IFERROR(VLOOKUP(IO111,Horarios!$H:$I,2,0),"")</f>
        <v/>
      </c>
      <c r="IR111" s="28" t="str">
        <f>IFERROR(VLOOKUP(IP111,Horarios!$H:$I,2,0),"")</f>
        <v/>
      </c>
      <c r="IS111" s="28" t="str">
        <f t="shared" si="93"/>
        <v>00:00</v>
      </c>
      <c r="IT111" s="29"/>
      <c r="IU111" s="27"/>
      <c r="IV111" s="27"/>
      <c r="IW111" s="28" t="str">
        <f>IFERROR(VLOOKUP(IU111,Horarios!$H:$I,2,0),"")</f>
        <v/>
      </c>
      <c r="IX111" s="28" t="str">
        <f>IFERROR(VLOOKUP(IV111,Horarios!$H:$I,2,0),"")</f>
        <v/>
      </c>
      <c r="IY111" s="28" t="str">
        <f t="shared" si="94"/>
        <v>00:00</v>
      </c>
      <c r="IZ111" s="29"/>
      <c r="JA111" s="31" t="str">
        <f t="shared" si="95"/>
        <v/>
      </c>
    </row>
    <row r="112" spans="1:261" s="24" customFormat="1" ht="17.399999999999999" x14ac:dyDescent="0.25">
      <c r="A112" s="25"/>
      <c r="B112" s="26" t="str">
        <f>IFERROR(VLOOKUP(A112,BaseNombres!A:B,2,0),"")</f>
        <v/>
      </c>
      <c r="C112" s="26" t="str">
        <f>IFERROR(VLOOKUP(A112,BaseNombres!A:C,3,0),"")</f>
        <v/>
      </c>
      <c r="D112" s="27"/>
      <c r="E112" s="27"/>
      <c r="F112" s="28" t="str">
        <f>IFERROR(VLOOKUP(D112,Horarios!$H:$I,2,0),"")</f>
        <v/>
      </c>
      <c r="G112" s="28" t="str">
        <f>IFERROR(VLOOKUP(E112,Horarios!$H:$I,2,0),"")</f>
        <v/>
      </c>
      <c r="H112" s="28" t="str">
        <f t="shared" si="48"/>
        <v>00:00</v>
      </c>
      <c r="I112" s="29"/>
      <c r="J112" s="27"/>
      <c r="K112" s="27"/>
      <c r="L112" s="28" t="str">
        <f>IFERROR(VLOOKUP(J112,Horarios!$H:$I,2,0),"")</f>
        <v/>
      </c>
      <c r="M112" s="28" t="str">
        <f>IFERROR(VLOOKUP(K112,Horarios!$H:$I,2,0),"")</f>
        <v/>
      </c>
      <c r="N112" s="28" t="str">
        <f t="shared" si="49"/>
        <v>00:00</v>
      </c>
      <c r="O112" s="29"/>
      <c r="P112" s="27"/>
      <c r="Q112" s="27"/>
      <c r="R112" s="28" t="str">
        <f>IFERROR(VLOOKUP(P112,Horarios!$H:$I,2,0),"")</f>
        <v/>
      </c>
      <c r="S112" s="28" t="str">
        <f>IFERROR(VLOOKUP(Q112,Horarios!$H:$I,2,0),"")</f>
        <v/>
      </c>
      <c r="T112" s="28" t="str">
        <f t="shared" si="50"/>
        <v>00:00</v>
      </c>
      <c r="U112" s="29"/>
      <c r="V112" s="27"/>
      <c r="W112" s="27"/>
      <c r="X112" s="28" t="str">
        <f>IFERROR(VLOOKUP(V112,Horarios!$H:$I,2,0),"")</f>
        <v/>
      </c>
      <c r="Y112" s="28" t="str">
        <f>IFERROR(VLOOKUP(W112,Horarios!$H:$I,2,0),"")</f>
        <v/>
      </c>
      <c r="Z112" s="28" t="str">
        <f t="shared" si="51"/>
        <v>00:00</v>
      </c>
      <c r="AA112" s="29"/>
      <c r="AB112" s="27"/>
      <c r="AC112" s="27"/>
      <c r="AD112" s="28" t="str">
        <f>IFERROR(VLOOKUP(AB112,Horarios!$H:$I,2,0),"")</f>
        <v/>
      </c>
      <c r="AE112" s="28" t="str">
        <f>IFERROR(VLOOKUP(AC112,Horarios!$H:$I,2,0),"")</f>
        <v/>
      </c>
      <c r="AF112" s="28" t="str">
        <f t="shared" si="52"/>
        <v>00:00</v>
      </c>
      <c r="AG112" s="29"/>
      <c r="AH112" s="27"/>
      <c r="AI112" s="27"/>
      <c r="AJ112" s="28" t="str">
        <f>IFERROR(VLOOKUP(AH112,Horarios!$H:$I,2,0),"")</f>
        <v/>
      </c>
      <c r="AK112" s="28" t="str">
        <f>IFERROR(VLOOKUP(AI112,Horarios!$H:$I,2,0),"")</f>
        <v/>
      </c>
      <c r="AL112" s="28" t="str">
        <f t="shared" si="53"/>
        <v>00:00</v>
      </c>
      <c r="AM112" s="29"/>
      <c r="AN112" s="27"/>
      <c r="AO112" s="27"/>
      <c r="AP112" s="28" t="str">
        <f>IFERROR(VLOOKUP(AN112,Horarios!$H:$I,2,0),"")</f>
        <v/>
      </c>
      <c r="AQ112" s="28" t="str">
        <f>IFERROR(VLOOKUP(AO112,Horarios!$H:$I,2,0),"")</f>
        <v/>
      </c>
      <c r="AR112" s="28" t="str">
        <f t="shared" si="54"/>
        <v>00:00</v>
      </c>
      <c r="AS112" s="29"/>
      <c r="AT112" s="31" t="str">
        <f t="shared" si="55"/>
        <v/>
      </c>
      <c r="AU112" s="27"/>
      <c r="AV112" s="27"/>
      <c r="AW112" s="28" t="str">
        <f>IFERROR(VLOOKUP(AU112,Horarios!$H:$I,2,0),"")</f>
        <v/>
      </c>
      <c r="AX112" s="28" t="str">
        <f>IFERROR(VLOOKUP(AV112,Horarios!$H:$I,2,0),"")</f>
        <v/>
      </c>
      <c r="AY112" s="28" t="str">
        <f t="shared" si="56"/>
        <v>00:00</v>
      </c>
      <c r="AZ112" s="29"/>
      <c r="BA112" s="27"/>
      <c r="BB112" s="27"/>
      <c r="BC112" s="28" t="str">
        <f>IFERROR(VLOOKUP(BA112,Horarios!$H:$I,2,0),"")</f>
        <v/>
      </c>
      <c r="BD112" s="28" t="str">
        <f>IFERROR(VLOOKUP(BB112,Horarios!$H:$I,2,0),"")</f>
        <v/>
      </c>
      <c r="BE112" s="28" t="str">
        <f t="shared" si="57"/>
        <v>00:00</v>
      </c>
      <c r="BF112" s="29"/>
      <c r="BG112" s="27"/>
      <c r="BH112" s="27"/>
      <c r="BI112" s="28" t="str">
        <f>IFERROR(VLOOKUP(BG112,Horarios!$H:$I,2,0),"")</f>
        <v/>
      </c>
      <c r="BJ112" s="28" t="str">
        <f>IFERROR(VLOOKUP(BH112,Horarios!$H:$I,2,0),"")</f>
        <v/>
      </c>
      <c r="BK112" s="28" t="str">
        <f t="shared" si="58"/>
        <v>00:00</v>
      </c>
      <c r="BL112" s="29"/>
      <c r="BM112" s="27"/>
      <c r="BN112" s="27"/>
      <c r="BO112" s="28" t="str">
        <f>IFERROR(VLOOKUP(BM112,Horarios!$H:$I,2,0),"")</f>
        <v/>
      </c>
      <c r="BP112" s="28" t="str">
        <f>IFERROR(VLOOKUP(BN112,Horarios!$H:$I,2,0),"")</f>
        <v/>
      </c>
      <c r="BQ112" s="28" t="str">
        <f t="shared" si="59"/>
        <v>00:00</v>
      </c>
      <c r="BR112" s="29"/>
      <c r="BS112" s="27"/>
      <c r="BT112" s="27"/>
      <c r="BU112" s="28" t="str">
        <f>IFERROR(VLOOKUP(BS112,Horarios!$H:$I,2,0),"")</f>
        <v/>
      </c>
      <c r="BV112" s="28" t="str">
        <f>IFERROR(VLOOKUP(BT112,Horarios!$H:$I,2,0),"")</f>
        <v/>
      </c>
      <c r="BW112" s="28" t="str">
        <f t="shared" si="60"/>
        <v>00:00</v>
      </c>
      <c r="BX112" s="29"/>
      <c r="BY112" s="27"/>
      <c r="BZ112" s="27"/>
      <c r="CA112" s="28" t="str">
        <f>IFERROR(VLOOKUP(BY112,Horarios!$H:$I,2,0),"")</f>
        <v/>
      </c>
      <c r="CB112" s="28" t="str">
        <f>IFERROR(VLOOKUP(BZ112,Horarios!$H:$I,2,0),"")</f>
        <v/>
      </c>
      <c r="CC112" s="28" t="str">
        <f t="shared" si="61"/>
        <v>00:00</v>
      </c>
      <c r="CD112" s="29"/>
      <c r="CE112" s="27"/>
      <c r="CF112" s="27"/>
      <c r="CG112" s="28" t="str">
        <f>IFERROR(VLOOKUP(CE112,Horarios!$H:$I,2,0),"")</f>
        <v/>
      </c>
      <c r="CH112" s="28" t="str">
        <f>IFERROR(VLOOKUP(CF112,Horarios!$H:$I,2,0),"")</f>
        <v/>
      </c>
      <c r="CI112" s="28" t="str">
        <f t="shared" si="62"/>
        <v>00:00</v>
      </c>
      <c r="CJ112" s="29"/>
      <c r="CK112" s="31" t="str">
        <f t="shared" si="63"/>
        <v/>
      </c>
      <c r="CL112" s="27"/>
      <c r="CM112" s="27"/>
      <c r="CN112" s="28" t="str">
        <f>IFERROR(VLOOKUP(CL112,Horarios!$H:$I,2,0),"")</f>
        <v/>
      </c>
      <c r="CO112" s="28" t="str">
        <f>IFERROR(VLOOKUP(CM112,Horarios!$H:$I,2,0),"")</f>
        <v/>
      </c>
      <c r="CP112" s="28" t="str">
        <f t="shared" si="64"/>
        <v>00:00</v>
      </c>
      <c r="CQ112" s="29"/>
      <c r="CR112" s="27"/>
      <c r="CS112" s="27"/>
      <c r="CT112" s="28" t="str">
        <f>IFERROR(VLOOKUP(CR112,Horarios!$H:$I,2,0),"")</f>
        <v/>
      </c>
      <c r="CU112" s="28" t="str">
        <f>IFERROR(VLOOKUP(CS112,Horarios!$H:$I,2,0),"")</f>
        <v/>
      </c>
      <c r="CV112" s="28" t="str">
        <f t="shared" si="65"/>
        <v>00:00</v>
      </c>
      <c r="CW112" s="29"/>
      <c r="CX112" s="27"/>
      <c r="CY112" s="27"/>
      <c r="CZ112" s="28" t="str">
        <f>IFERROR(VLOOKUP(CX112,Horarios!$H:$I,2,0),"")</f>
        <v/>
      </c>
      <c r="DA112" s="28" t="str">
        <f>IFERROR(VLOOKUP(CY112,Horarios!$H:$I,2,0),"")</f>
        <v/>
      </c>
      <c r="DB112" s="28" t="str">
        <f t="shared" si="66"/>
        <v>00:00</v>
      </c>
      <c r="DC112" s="29"/>
      <c r="DD112" s="27"/>
      <c r="DE112" s="27"/>
      <c r="DF112" s="28" t="str">
        <f>IFERROR(VLOOKUP(DD112,Horarios!$H:$I,2,0),"")</f>
        <v/>
      </c>
      <c r="DG112" s="28" t="str">
        <f>IFERROR(VLOOKUP(DE112,Horarios!$H:$I,2,0),"")</f>
        <v/>
      </c>
      <c r="DH112" s="28" t="str">
        <f t="shared" si="67"/>
        <v>00:00</v>
      </c>
      <c r="DI112" s="29"/>
      <c r="DJ112" s="27"/>
      <c r="DK112" s="27"/>
      <c r="DL112" s="28" t="str">
        <f>IFERROR(VLOOKUP(DJ112,Horarios!$H:$I,2,0),"")</f>
        <v/>
      </c>
      <c r="DM112" s="28" t="str">
        <f>IFERROR(VLOOKUP(DK112,Horarios!$H:$I,2,0),"")</f>
        <v/>
      </c>
      <c r="DN112" s="28" t="str">
        <f t="shared" si="68"/>
        <v>00:00</v>
      </c>
      <c r="DO112" s="29"/>
      <c r="DP112" s="27"/>
      <c r="DQ112" s="27"/>
      <c r="DR112" s="28" t="str">
        <f>IFERROR(VLOOKUP(DP112,Horarios!$H:$I,2,0),"")</f>
        <v/>
      </c>
      <c r="DS112" s="28" t="str">
        <f>IFERROR(VLOOKUP(DQ112,Horarios!$H:$I,2,0),"")</f>
        <v/>
      </c>
      <c r="DT112" s="28" t="str">
        <f t="shared" si="69"/>
        <v>00:00</v>
      </c>
      <c r="DU112" s="29"/>
      <c r="DV112" s="27"/>
      <c r="DW112" s="27"/>
      <c r="DX112" s="28" t="str">
        <f>IFERROR(VLOOKUP(DV112,Horarios!$H:$I,2,0),"")</f>
        <v/>
      </c>
      <c r="DY112" s="28" t="str">
        <f>IFERROR(VLOOKUP(DW112,Horarios!$H:$I,2,0),"")</f>
        <v/>
      </c>
      <c r="DZ112" s="28" t="str">
        <f t="shared" si="70"/>
        <v>00:00</v>
      </c>
      <c r="EA112" s="29"/>
      <c r="EB112" s="31" t="str">
        <f t="shared" si="71"/>
        <v/>
      </c>
      <c r="EC112" s="27"/>
      <c r="ED112" s="27"/>
      <c r="EE112" s="28" t="str">
        <f>IFERROR(VLOOKUP(EC112,Horarios!$H:$I,2,0),"")</f>
        <v/>
      </c>
      <c r="EF112" s="28" t="str">
        <f>IFERROR(VLOOKUP(ED112,Horarios!$H:$I,2,0),"")</f>
        <v/>
      </c>
      <c r="EG112" s="28" t="str">
        <f t="shared" si="72"/>
        <v>00:00</v>
      </c>
      <c r="EH112" s="29"/>
      <c r="EI112" s="27"/>
      <c r="EJ112" s="27"/>
      <c r="EK112" s="28" t="str">
        <f>IFERROR(VLOOKUP(EI112,Horarios!$H:$I,2,0),"")</f>
        <v/>
      </c>
      <c r="EL112" s="28" t="str">
        <f>IFERROR(VLOOKUP(EJ112,Horarios!$H:$I,2,0),"")</f>
        <v/>
      </c>
      <c r="EM112" s="28" t="str">
        <f t="shared" si="73"/>
        <v>00:00</v>
      </c>
      <c r="EN112" s="29"/>
      <c r="EO112" s="27"/>
      <c r="EP112" s="27"/>
      <c r="EQ112" s="28" t="str">
        <f>IFERROR(VLOOKUP(EO112,Horarios!$H:$I,2,0),"")</f>
        <v/>
      </c>
      <c r="ER112" s="28" t="str">
        <f>IFERROR(VLOOKUP(EP112,Horarios!$H:$I,2,0),"")</f>
        <v/>
      </c>
      <c r="ES112" s="28" t="str">
        <f t="shared" si="74"/>
        <v>00:00</v>
      </c>
      <c r="ET112" s="29"/>
      <c r="EU112" s="27"/>
      <c r="EV112" s="27"/>
      <c r="EW112" s="28" t="str">
        <f>IFERROR(VLOOKUP(EU112,Horarios!$H:$I,2,0),"")</f>
        <v/>
      </c>
      <c r="EX112" s="28" t="str">
        <f>IFERROR(VLOOKUP(EV112,Horarios!$H:$I,2,0),"")</f>
        <v/>
      </c>
      <c r="EY112" s="28" t="str">
        <f t="shared" si="75"/>
        <v>00:00</v>
      </c>
      <c r="EZ112" s="29"/>
      <c r="FA112" s="27"/>
      <c r="FB112" s="27"/>
      <c r="FC112" s="28" t="str">
        <f>IFERROR(VLOOKUP(FA112,Horarios!$H:$I,2,0),"")</f>
        <v/>
      </c>
      <c r="FD112" s="28" t="str">
        <f>IFERROR(VLOOKUP(FB112,Horarios!$H:$I,2,0),"")</f>
        <v/>
      </c>
      <c r="FE112" s="28" t="str">
        <f t="shared" si="76"/>
        <v>00:00</v>
      </c>
      <c r="FF112" s="29"/>
      <c r="FG112" s="27"/>
      <c r="FH112" s="27"/>
      <c r="FI112" s="28" t="str">
        <f>IFERROR(VLOOKUP(FG112,Horarios!$H:$I,2,0),"")</f>
        <v/>
      </c>
      <c r="FJ112" s="28" t="str">
        <f>IFERROR(VLOOKUP(FH112,Horarios!$H:$I,2,0),"")</f>
        <v/>
      </c>
      <c r="FK112" s="28" t="str">
        <f t="shared" si="77"/>
        <v>00:00</v>
      </c>
      <c r="FL112" s="29"/>
      <c r="FM112" s="27"/>
      <c r="FN112" s="27"/>
      <c r="FO112" s="28" t="str">
        <f>IFERROR(VLOOKUP(FM112,Horarios!$H:$I,2,0),"")</f>
        <v/>
      </c>
      <c r="FP112" s="28" t="str">
        <f>IFERROR(VLOOKUP(FN112,Horarios!$H:$I,2,0),"")</f>
        <v/>
      </c>
      <c r="FQ112" s="28" t="str">
        <f t="shared" si="78"/>
        <v>00:00</v>
      </c>
      <c r="FR112" s="29"/>
      <c r="FS112" s="31" t="str">
        <f t="shared" si="79"/>
        <v/>
      </c>
      <c r="FT112" s="27"/>
      <c r="FU112" s="27"/>
      <c r="FV112" s="28" t="str">
        <f>IFERROR(VLOOKUP(FT112,Horarios!$H:$I,2,0),"")</f>
        <v/>
      </c>
      <c r="FW112" s="28" t="str">
        <f>IFERROR(VLOOKUP(FU112,Horarios!$H:$I,2,0),"")</f>
        <v/>
      </c>
      <c r="FX112" s="28" t="str">
        <f t="shared" si="80"/>
        <v>00:00</v>
      </c>
      <c r="FY112" s="29"/>
      <c r="FZ112" s="27"/>
      <c r="GA112" s="27"/>
      <c r="GB112" s="28" t="str">
        <f>IFERROR(VLOOKUP(FZ112,Horarios!$H:$I,2,0),"")</f>
        <v/>
      </c>
      <c r="GC112" s="28" t="str">
        <f>IFERROR(VLOOKUP(GA112,Horarios!$H:$I,2,0),"")</f>
        <v/>
      </c>
      <c r="GD112" s="28" t="str">
        <f t="shared" si="81"/>
        <v>00:00</v>
      </c>
      <c r="GE112" s="29"/>
      <c r="GF112" s="27"/>
      <c r="GG112" s="27"/>
      <c r="GH112" s="28" t="str">
        <f>IFERROR(VLOOKUP(GF112,Horarios!$H:$I,2,0),"")</f>
        <v/>
      </c>
      <c r="GI112" s="28" t="str">
        <f>IFERROR(VLOOKUP(GG112,Horarios!$H:$I,2,0),"")</f>
        <v/>
      </c>
      <c r="GJ112" s="28" t="str">
        <f t="shared" si="82"/>
        <v>00:00</v>
      </c>
      <c r="GK112" s="29"/>
      <c r="GL112" s="27"/>
      <c r="GM112" s="27"/>
      <c r="GN112" s="28" t="str">
        <f>IFERROR(VLOOKUP(GL112,Horarios!$H:$I,2,0),"")</f>
        <v/>
      </c>
      <c r="GO112" s="28" t="str">
        <f>IFERROR(VLOOKUP(GM112,Horarios!$H:$I,2,0),"")</f>
        <v/>
      </c>
      <c r="GP112" s="28" t="str">
        <f t="shared" si="83"/>
        <v>00:00</v>
      </c>
      <c r="GQ112" s="29"/>
      <c r="GR112" s="27"/>
      <c r="GS112" s="27"/>
      <c r="GT112" s="28" t="str">
        <f>IFERROR(VLOOKUP(GR112,Horarios!$H:$I,2,0),"")</f>
        <v/>
      </c>
      <c r="GU112" s="28" t="str">
        <f>IFERROR(VLOOKUP(GS112,Horarios!$H:$I,2,0),"")</f>
        <v/>
      </c>
      <c r="GV112" s="28" t="str">
        <f t="shared" si="84"/>
        <v>00:00</v>
      </c>
      <c r="GW112" s="29"/>
      <c r="GX112" s="27"/>
      <c r="GY112" s="27"/>
      <c r="GZ112" s="28" t="str">
        <f>IFERROR(VLOOKUP(GX112,Horarios!$H:$I,2,0),"")</f>
        <v/>
      </c>
      <c r="HA112" s="28" t="str">
        <f>IFERROR(VLOOKUP(GY112,Horarios!$H:$I,2,0),"")</f>
        <v/>
      </c>
      <c r="HB112" s="28" t="str">
        <f t="shared" si="85"/>
        <v>00:00</v>
      </c>
      <c r="HC112" s="29"/>
      <c r="HD112" s="27"/>
      <c r="HE112" s="27"/>
      <c r="HF112" s="28" t="str">
        <f>IFERROR(VLOOKUP(HD112,Horarios!$H:$I,2,0),"")</f>
        <v/>
      </c>
      <c r="HG112" s="28" t="str">
        <f>IFERROR(VLOOKUP(HE112,Horarios!$H:$I,2,0),"")</f>
        <v/>
      </c>
      <c r="HH112" s="28" t="str">
        <f t="shared" si="86"/>
        <v>00:00</v>
      </c>
      <c r="HI112" s="29"/>
      <c r="HJ112" s="31" t="str">
        <f t="shared" si="87"/>
        <v/>
      </c>
      <c r="HK112" s="27"/>
      <c r="HL112" s="27"/>
      <c r="HM112" s="28" t="str">
        <f>IFERROR(VLOOKUP(HK112,Horarios!$H:$I,2,0),"")</f>
        <v/>
      </c>
      <c r="HN112" s="28" t="str">
        <f>IFERROR(VLOOKUP(HL112,Horarios!$H:$I,2,0),"")</f>
        <v/>
      </c>
      <c r="HO112" s="28" t="str">
        <f t="shared" si="88"/>
        <v>00:00</v>
      </c>
      <c r="HP112" s="29"/>
      <c r="HQ112" s="27"/>
      <c r="HR112" s="27"/>
      <c r="HS112" s="28" t="str">
        <f>IFERROR(VLOOKUP(HQ112,Horarios!$H:$I,2,0),"")</f>
        <v/>
      </c>
      <c r="HT112" s="28" t="str">
        <f>IFERROR(VLOOKUP(HR112,Horarios!$H:$I,2,0),"")</f>
        <v/>
      </c>
      <c r="HU112" s="28" t="str">
        <f t="shared" si="89"/>
        <v>00:00</v>
      </c>
      <c r="HV112" s="29"/>
      <c r="HW112" s="27"/>
      <c r="HX112" s="27"/>
      <c r="HY112" s="28" t="str">
        <f>IFERROR(VLOOKUP(HW112,Horarios!$H:$I,2,0),"")</f>
        <v/>
      </c>
      <c r="HZ112" s="28" t="str">
        <f>IFERROR(VLOOKUP(HX112,Horarios!$H:$I,2,0),"")</f>
        <v/>
      </c>
      <c r="IA112" s="28" t="str">
        <f t="shared" si="90"/>
        <v>00:00</v>
      </c>
      <c r="IB112" s="29"/>
      <c r="IC112" s="27"/>
      <c r="ID112" s="27"/>
      <c r="IE112" s="28" t="str">
        <f>IFERROR(VLOOKUP(IC112,Horarios!$H:$I,2,0),"")</f>
        <v/>
      </c>
      <c r="IF112" s="28" t="str">
        <f>IFERROR(VLOOKUP(ID112,Horarios!$H:$I,2,0),"")</f>
        <v/>
      </c>
      <c r="IG112" s="28" t="str">
        <f t="shared" si="91"/>
        <v>00:00</v>
      </c>
      <c r="IH112" s="29"/>
      <c r="II112" s="27"/>
      <c r="IJ112" s="27"/>
      <c r="IK112" s="28" t="str">
        <f>IFERROR(VLOOKUP(II112,Horarios!$H:$I,2,0),"")</f>
        <v/>
      </c>
      <c r="IL112" s="28" t="str">
        <f>IFERROR(VLOOKUP(IJ112,Horarios!$H:$I,2,0),"")</f>
        <v/>
      </c>
      <c r="IM112" s="28" t="str">
        <f t="shared" si="92"/>
        <v>00:00</v>
      </c>
      <c r="IN112" s="29"/>
      <c r="IO112" s="27"/>
      <c r="IP112" s="27"/>
      <c r="IQ112" s="28" t="str">
        <f>IFERROR(VLOOKUP(IO112,Horarios!$H:$I,2,0),"")</f>
        <v/>
      </c>
      <c r="IR112" s="28" t="str">
        <f>IFERROR(VLOOKUP(IP112,Horarios!$H:$I,2,0),"")</f>
        <v/>
      </c>
      <c r="IS112" s="28" t="str">
        <f t="shared" si="93"/>
        <v>00:00</v>
      </c>
      <c r="IT112" s="29"/>
      <c r="IU112" s="27"/>
      <c r="IV112" s="27"/>
      <c r="IW112" s="28" t="str">
        <f>IFERROR(VLOOKUP(IU112,Horarios!$H:$I,2,0),"")</f>
        <v/>
      </c>
      <c r="IX112" s="28" t="str">
        <f>IFERROR(VLOOKUP(IV112,Horarios!$H:$I,2,0),"")</f>
        <v/>
      </c>
      <c r="IY112" s="28" t="str">
        <f t="shared" si="94"/>
        <v>00:00</v>
      </c>
      <c r="IZ112" s="29"/>
      <c r="JA112" s="31" t="str">
        <f t="shared" si="95"/>
        <v/>
      </c>
    </row>
    <row r="113" spans="1:261" s="24" customFormat="1" ht="17.399999999999999" x14ac:dyDescent="0.25">
      <c r="A113" s="25"/>
      <c r="B113" s="26" t="str">
        <f>IFERROR(VLOOKUP(A113,BaseNombres!A:B,2,0),"")</f>
        <v/>
      </c>
      <c r="C113" s="26" t="str">
        <f>IFERROR(VLOOKUP(A113,BaseNombres!A:C,3,0),"")</f>
        <v/>
      </c>
      <c r="D113" s="27"/>
      <c r="E113" s="27"/>
      <c r="F113" s="28" t="str">
        <f>IFERROR(VLOOKUP(D113,Horarios!$H:$I,2,0),"")</f>
        <v/>
      </c>
      <c r="G113" s="28" t="str">
        <f>IFERROR(VLOOKUP(E113,Horarios!$H:$I,2,0),"")</f>
        <v/>
      </c>
      <c r="H113" s="28" t="str">
        <f t="shared" si="48"/>
        <v>00:00</v>
      </c>
      <c r="I113" s="29"/>
      <c r="J113" s="27"/>
      <c r="K113" s="27"/>
      <c r="L113" s="28" t="str">
        <f>IFERROR(VLOOKUP(J113,Horarios!$H:$I,2,0),"")</f>
        <v/>
      </c>
      <c r="M113" s="28" t="str">
        <f>IFERROR(VLOOKUP(K113,Horarios!$H:$I,2,0),"")</f>
        <v/>
      </c>
      <c r="N113" s="28" t="str">
        <f t="shared" si="49"/>
        <v>00:00</v>
      </c>
      <c r="O113" s="29"/>
      <c r="P113" s="27"/>
      <c r="Q113" s="27"/>
      <c r="R113" s="28" t="str">
        <f>IFERROR(VLOOKUP(P113,Horarios!$H:$I,2,0),"")</f>
        <v/>
      </c>
      <c r="S113" s="28" t="str">
        <f>IFERROR(VLOOKUP(Q113,Horarios!$H:$I,2,0),"")</f>
        <v/>
      </c>
      <c r="T113" s="28" t="str">
        <f t="shared" si="50"/>
        <v>00:00</v>
      </c>
      <c r="U113" s="29"/>
      <c r="V113" s="27"/>
      <c r="W113" s="27"/>
      <c r="X113" s="28" t="str">
        <f>IFERROR(VLOOKUP(V113,Horarios!$H:$I,2,0),"")</f>
        <v/>
      </c>
      <c r="Y113" s="28" t="str">
        <f>IFERROR(VLOOKUP(W113,Horarios!$H:$I,2,0),"")</f>
        <v/>
      </c>
      <c r="Z113" s="28" t="str">
        <f t="shared" si="51"/>
        <v>00:00</v>
      </c>
      <c r="AA113" s="29"/>
      <c r="AB113" s="27"/>
      <c r="AC113" s="27"/>
      <c r="AD113" s="28" t="str">
        <f>IFERROR(VLOOKUP(AB113,Horarios!$H:$I,2,0),"")</f>
        <v/>
      </c>
      <c r="AE113" s="28" t="str">
        <f>IFERROR(VLOOKUP(AC113,Horarios!$H:$I,2,0),"")</f>
        <v/>
      </c>
      <c r="AF113" s="28" t="str">
        <f t="shared" si="52"/>
        <v>00:00</v>
      </c>
      <c r="AG113" s="29"/>
      <c r="AH113" s="27"/>
      <c r="AI113" s="27"/>
      <c r="AJ113" s="28" t="str">
        <f>IFERROR(VLOOKUP(AH113,Horarios!$H:$I,2,0),"")</f>
        <v/>
      </c>
      <c r="AK113" s="28" t="str">
        <f>IFERROR(VLOOKUP(AI113,Horarios!$H:$I,2,0),"")</f>
        <v/>
      </c>
      <c r="AL113" s="28" t="str">
        <f t="shared" si="53"/>
        <v>00:00</v>
      </c>
      <c r="AM113" s="29"/>
      <c r="AN113" s="27"/>
      <c r="AO113" s="27"/>
      <c r="AP113" s="28" t="str">
        <f>IFERROR(VLOOKUP(AN113,Horarios!$H:$I,2,0),"")</f>
        <v/>
      </c>
      <c r="AQ113" s="28" t="str">
        <f>IFERROR(VLOOKUP(AO113,Horarios!$H:$I,2,0),"")</f>
        <v/>
      </c>
      <c r="AR113" s="28" t="str">
        <f t="shared" si="54"/>
        <v>00:00</v>
      </c>
      <c r="AS113" s="29"/>
      <c r="AT113" s="31" t="str">
        <f t="shared" si="55"/>
        <v/>
      </c>
      <c r="AU113" s="27"/>
      <c r="AV113" s="27"/>
      <c r="AW113" s="28" t="str">
        <f>IFERROR(VLOOKUP(AU113,Horarios!$H:$I,2,0),"")</f>
        <v/>
      </c>
      <c r="AX113" s="28" t="str">
        <f>IFERROR(VLOOKUP(AV113,Horarios!$H:$I,2,0),"")</f>
        <v/>
      </c>
      <c r="AY113" s="28" t="str">
        <f t="shared" si="56"/>
        <v>00:00</v>
      </c>
      <c r="AZ113" s="29"/>
      <c r="BA113" s="27"/>
      <c r="BB113" s="27"/>
      <c r="BC113" s="28" t="str">
        <f>IFERROR(VLOOKUP(BA113,Horarios!$H:$I,2,0),"")</f>
        <v/>
      </c>
      <c r="BD113" s="28" t="str">
        <f>IFERROR(VLOOKUP(BB113,Horarios!$H:$I,2,0),"")</f>
        <v/>
      </c>
      <c r="BE113" s="28" t="str">
        <f t="shared" si="57"/>
        <v>00:00</v>
      </c>
      <c r="BF113" s="29"/>
      <c r="BG113" s="27"/>
      <c r="BH113" s="27"/>
      <c r="BI113" s="28" t="str">
        <f>IFERROR(VLOOKUP(BG113,Horarios!$H:$I,2,0),"")</f>
        <v/>
      </c>
      <c r="BJ113" s="28" t="str">
        <f>IFERROR(VLOOKUP(BH113,Horarios!$H:$I,2,0),"")</f>
        <v/>
      </c>
      <c r="BK113" s="28" t="str">
        <f t="shared" si="58"/>
        <v>00:00</v>
      </c>
      <c r="BL113" s="29"/>
      <c r="BM113" s="27"/>
      <c r="BN113" s="27"/>
      <c r="BO113" s="28" t="str">
        <f>IFERROR(VLOOKUP(BM113,Horarios!$H:$I,2,0),"")</f>
        <v/>
      </c>
      <c r="BP113" s="28" t="str">
        <f>IFERROR(VLOOKUP(BN113,Horarios!$H:$I,2,0),"")</f>
        <v/>
      </c>
      <c r="BQ113" s="28" t="str">
        <f t="shared" si="59"/>
        <v>00:00</v>
      </c>
      <c r="BR113" s="29"/>
      <c r="BS113" s="27"/>
      <c r="BT113" s="27"/>
      <c r="BU113" s="28" t="str">
        <f>IFERROR(VLOOKUP(BS113,Horarios!$H:$I,2,0),"")</f>
        <v/>
      </c>
      <c r="BV113" s="28" t="str">
        <f>IFERROR(VLOOKUP(BT113,Horarios!$H:$I,2,0),"")</f>
        <v/>
      </c>
      <c r="BW113" s="28" t="str">
        <f t="shared" si="60"/>
        <v>00:00</v>
      </c>
      <c r="BX113" s="29"/>
      <c r="BY113" s="27"/>
      <c r="BZ113" s="27"/>
      <c r="CA113" s="28" t="str">
        <f>IFERROR(VLOOKUP(BY113,Horarios!$H:$I,2,0),"")</f>
        <v/>
      </c>
      <c r="CB113" s="28" t="str">
        <f>IFERROR(VLOOKUP(BZ113,Horarios!$H:$I,2,0),"")</f>
        <v/>
      </c>
      <c r="CC113" s="28" t="str">
        <f t="shared" si="61"/>
        <v>00:00</v>
      </c>
      <c r="CD113" s="29"/>
      <c r="CE113" s="27"/>
      <c r="CF113" s="27"/>
      <c r="CG113" s="28" t="str">
        <f>IFERROR(VLOOKUP(CE113,Horarios!$H:$I,2,0),"")</f>
        <v/>
      </c>
      <c r="CH113" s="28" t="str">
        <f>IFERROR(VLOOKUP(CF113,Horarios!$H:$I,2,0),"")</f>
        <v/>
      </c>
      <c r="CI113" s="28" t="str">
        <f t="shared" si="62"/>
        <v>00:00</v>
      </c>
      <c r="CJ113" s="29"/>
      <c r="CK113" s="31" t="str">
        <f t="shared" si="63"/>
        <v/>
      </c>
      <c r="CL113" s="27"/>
      <c r="CM113" s="27"/>
      <c r="CN113" s="28" t="str">
        <f>IFERROR(VLOOKUP(CL113,Horarios!$H:$I,2,0),"")</f>
        <v/>
      </c>
      <c r="CO113" s="28" t="str">
        <f>IFERROR(VLOOKUP(CM113,Horarios!$H:$I,2,0),"")</f>
        <v/>
      </c>
      <c r="CP113" s="28" t="str">
        <f t="shared" si="64"/>
        <v>00:00</v>
      </c>
      <c r="CQ113" s="29"/>
      <c r="CR113" s="27"/>
      <c r="CS113" s="27"/>
      <c r="CT113" s="28" t="str">
        <f>IFERROR(VLOOKUP(CR113,Horarios!$H:$I,2,0),"")</f>
        <v/>
      </c>
      <c r="CU113" s="28" t="str">
        <f>IFERROR(VLOOKUP(CS113,Horarios!$H:$I,2,0),"")</f>
        <v/>
      </c>
      <c r="CV113" s="28" t="str">
        <f t="shared" si="65"/>
        <v>00:00</v>
      </c>
      <c r="CW113" s="29"/>
      <c r="CX113" s="27"/>
      <c r="CY113" s="27"/>
      <c r="CZ113" s="28" t="str">
        <f>IFERROR(VLOOKUP(CX113,Horarios!$H:$I,2,0),"")</f>
        <v/>
      </c>
      <c r="DA113" s="28" t="str">
        <f>IFERROR(VLOOKUP(CY113,Horarios!$H:$I,2,0),"")</f>
        <v/>
      </c>
      <c r="DB113" s="28" t="str">
        <f t="shared" si="66"/>
        <v>00:00</v>
      </c>
      <c r="DC113" s="29"/>
      <c r="DD113" s="27"/>
      <c r="DE113" s="27"/>
      <c r="DF113" s="28" t="str">
        <f>IFERROR(VLOOKUP(DD113,Horarios!$H:$I,2,0),"")</f>
        <v/>
      </c>
      <c r="DG113" s="28" t="str">
        <f>IFERROR(VLOOKUP(DE113,Horarios!$H:$I,2,0),"")</f>
        <v/>
      </c>
      <c r="DH113" s="28" t="str">
        <f t="shared" si="67"/>
        <v>00:00</v>
      </c>
      <c r="DI113" s="29"/>
      <c r="DJ113" s="27"/>
      <c r="DK113" s="27"/>
      <c r="DL113" s="28" t="str">
        <f>IFERROR(VLOOKUP(DJ113,Horarios!$H:$I,2,0),"")</f>
        <v/>
      </c>
      <c r="DM113" s="28" t="str">
        <f>IFERROR(VLOOKUP(DK113,Horarios!$H:$I,2,0),"")</f>
        <v/>
      </c>
      <c r="DN113" s="28" t="str">
        <f t="shared" si="68"/>
        <v>00:00</v>
      </c>
      <c r="DO113" s="29"/>
      <c r="DP113" s="27"/>
      <c r="DQ113" s="27"/>
      <c r="DR113" s="28" t="str">
        <f>IFERROR(VLOOKUP(DP113,Horarios!$H:$I,2,0),"")</f>
        <v/>
      </c>
      <c r="DS113" s="28" t="str">
        <f>IFERROR(VLOOKUP(DQ113,Horarios!$H:$I,2,0),"")</f>
        <v/>
      </c>
      <c r="DT113" s="28" t="str">
        <f t="shared" si="69"/>
        <v>00:00</v>
      </c>
      <c r="DU113" s="29"/>
      <c r="DV113" s="27"/>
      <c r="DW113" s="27"/>
      <c r="DX113" s="28" t="str">
        <f>IFERROR(VLOOKUP(DV113,Horarios!$H:$I,2,0),"")</f>
        <v/>
      </c>
      <c r="DY113" s="28" t="str">
        <f>IFERROR(VLOOKUP(DW113,Horarios!$H:$I,2,0),"")</f>
        <v/>
      </c>
      <c r="DZ113" s="28" t="str">
        <f t="shared" si="70"/>
        <v>00:00</v>
      </c>
      <c r="EA113" s="29"/>
      <c r="EB113" s="31" t="str">
        <f t="shared" si="71"/>
        <v/>
      </c>
      <c r="EC113" s="27"/>
      <c r="ED113" s="27"/>
      <c r="EE113" s="28" t="str">
        <f>IFERROR(VLOOKUP(EC113,Horarios!$H:$I,2,0),"")</f>
        <v/>
      </c>
      <c r="EF113" s="28" t="str">
        <f>IFERROR(VLOOKUP(ED113,Horarios!$H:$I,2,0),"")</f>
        <v/>
      </c>
      <c r="EG113" s="28" t="str">
        <f t="shared" si="72"/>
        <v>00:00</v>
      </c>
      <c r="EH113" s="29"/>
      <c r="EI113" s="27"/>
      <c r="EJ113" s="27"/>
      <c r="EK113" s="28" t="str">
        <f>IFERROR(VLOOKUP(EI113,Horarios!$H:$I,2,0),"")</f>
        <v/>
      </c>
      <c r="EL113" s="28" t="str">
        <f>IFERROR(VLOOKUP(EJ113,Horarios!$H:$I,2,0),"")</f>
        <v/>
      </c>
      <c r="EM113" s="28" t="str">
        <f t="shared" si="73"/>
        <v>00:00</v>
      </c>
      <c r="EN113" s="29"/>
      <c r="EO113" s="27"/>
      <c r="EP113" s="27"/>
      <c r="EQ113" s="28" t="str">
        <f>IFERROR(VLOOKUP(EO113,Horarios!$H:$I,2,0),"")</f>
        <v/>
      </c>
      <c r="ER113" s="28" t="str">
        <f>IFERROR(VLOOKUP(EP113,Horarios!$H:$I,2,0),"")</f>
        <v/>
      </c>
      <c r="ES113" s="28" t="str">
        <f t="shared" si="74"/>
        <v>00:00</v>
      </c>
      <c r="ET113" s="29"/>
      <c r="EU113" s="27"/>
      <c r="EV113" s="27"/>
      <c r="EW113" s="28" t="str">
        <f>IFERROR(VLOOKUP(EU113,Horarios!$H:$I,2,0),"")</f>
        <v/>
      </c>
      <c r="EX113" s="28" t="str">
        <f>IFERROR(VLOOKUP(EV113,Horarios!$H:$I,2,0),"")</f>
        <v/>
      </c>
      <c r="EY113" s="28" t="str">
        <f t="shared" si="75"/>
        <v>00:00</v>
      </c>
      <c r="EZ113" s="29"/>
      <c r="FA113" s="27"/>
      <c r="FB113" s="27"/>
      <c r="FC113" s="28" t="str">
        <f>IFERROR(VLOOKUP(FA113,Horarios!$H:$I,2,0),"")</f>
        <v/>
      </c>
      <c r="FD113" s="28" t="str">
        <f>IFERROR(VLOOKUP(FB113,Horarios!$H:$I,2,0),"")</f>
        <v/>
      </c>
      <c r="FE113" s="28" t="str">
        <f t="shared" si="76"/>
        <v>00:00</v>
      </c>
      <c r="FF113" s="29"/>
      <c r="FG113" s="27"/>
      <c r="FH113" s="27"/>
      <c r="FI113" s="28" t="str">
        <f>IFERROR(VLOOKUP(FG113,Horarios!$H:$I,2,0),"")</f>
        <v/>
      </c>
      <c r="FJ113" s="28" t="str">
        <f>IFERROR(VLOOKUP(FH113,Horarios!$H:$I,2,0),"")</f>
        <v/>
      </c>
      <c r="FK113" s="28" t="str">
        <f t="shared" si="77"/>
        <v>00:00</v>
      </c>
      <c r="FL113" s="29"/>
      <c r="FM113" s="27"/>
      <c r="FN113" s="27"/>
      <c r="FO113" s="28" t="str">
        <f>IFERROR(VLOOKUP(FM113,Horarios!$H:$I,2,0),"")</f>
        <v/>
      </c>
      <c r="FP113" s="28" t="str">
        <f>IFERROR(VLOOKUP(FN113,Horarios!$H:$I,2,0),"")</f>
        <v/>
      </c>
      <c r="FQ113" s="28" t="str">
        <f t="shared" si="78"/>
        <v>00:00</v>
      </c>
      <c r="FR113" s="29"/>
      <c r="FS113" s="31" t="str">
        <f t="shared" si="79"/>
        <v/>
      </c>
      <c r="FT113" s="27"/>
      <c r="FU113" s="27"/>
      <c r="FV113" s="28" t="str">
        <f>IFERROR(VLOOKUP(FT113,Horarios!$H:$I,2,0),"")</f>
        <v/>
      </c>
      <c r="FW113" s="28" t="str">
        <f>IFERROR(VLOOKUP(FU113,Horarios!$H:$I,2,0),"")</f>
        <v/>
      </c>
      <c r="FX113" s="28" t="str">
        <f t="shared" si="80"/>
        <v>00:00</v>
      </c>
      <c r="FY113" s="29"/>
      <c r="FZ113" s="27"/>
      <c r="GA113" s="27"/>
      <c r="GB113" s="28" t="str">
        <f>IFERROR(VLOOKUP(FZ113,Horarios!$H:$I,2,0),"")</f>
        <v/>
      </c>
      <c r="GC113" s="28" t="str">
        <f>IFERROR(VLOOKUP(GA113,Horarios!$H:$I,2,0),"")</f>
        <v/>
      </c>
      <c r="GD113" s="28" t="str">
        <f t="shared" si="81"/>
        <v>00:00</v>
      </c>
      <c r="GE113" s="29"/>
      <c r="GF113" s="27"/>
      <c r="GG113" s="27"/>
      <c r="GH113" s="28" t="str">
        <f>IFERROR(VLOOKUP(GF113,Horarios!$H:$I,2,0),"")</f>
        <v/>
      </c>
      <c r="GI113" s="28" t="str">
        <f>IFERROR(VLOOKUP(GG113,Horarios!$H:$I,2,0),"")</f>
        <v/>
      </c>
      <c r="GJ113" s="28" t="str">
        <f t="shared" si="82"/>
        <v>00:00</v>
      </c>
      <c r="GK113" s="29"/>
      <c r="GL113" s="27"/>
      <c r="GM113" s="27"/>
      <c r="GN113" s="28" t="str">
        <f>IFERROR(VLOOKUP(GL113,Horarios!$H:$I,2,0),"")</f>
        <v/>
      </c>
      <c r="GO113" s="28" t="str">
        <f>IFERROR(VLOOKUP(GM113,Horarios!$H:$I,2,0),"")</f>
        <v/>
      </c>
      <c r="GP113" s="28" t="str">
        <f t="shared" si="83"/>
        <v>00:00</v>
      </c>
      <c r="GQ113" s="29"/>
      <c r="GR113" s="27"/>
      <c r="GS113" s="27"/>
      <c r="GT113" s="28" t="str">
        <f>IFERROR(VLOOKUP(GR113,Horarios!$H:$I,2,0),"")</f>
        <v/>
      </c>
      <c r="GU113" s="28" t="str">
        <f>IFERROR(VLOOKUP(GS113,Horarios!$H:$I,2,0),"")</f>
        <v/>
      </c>
      <c r="GV113" s="28" t="str">
        <f t="shared" si="84"/>
        <v>00:00</v>
      </c>
      <c r="GW113" s="29"/>
      <c r="GX113" s="27"/>
      <c r="GY113" s="27"/>
      <c r="GZ113" s="28" t="str">
        <f>IFERROR(VLOOKUP(GX113,Horarios!$H:$I,2,0),"")</f>
        <v/>
      </c>
      <c r="HA113" s="28" t="str">
        <f>IFERROR(VLOOKUP(GY113,Horarios!$H:$I,2,0),"")</f>
        <v/>
      </c>
      <c r="HB113" s="28" t="str">
        <f t="shared" si="85"/>
        <v>00:00</v>
      </c>
      <c r="HC113" s="29"/>
      <c r="HD113" s="27"/>
      <c r="HE113" s="27"/>
      <c r="HF113" s="28" t="str">
        <f>IFERROR(VLOOKUP(HD113,Horarios!$H:$I,2,0),"")</f>
        <v/>
      </c>
      <c r="HG113" s="28" t="str">
        <f>IFERROR(VLOOKUP(HE113,Horarios!$H:$I,2,0),"")</f>
        <v/>
      </c>
      <c r="HH113" s="28" t="str">
        <f t="shared" si="86"/>
        <v>00:00</v>
      </c>
      <c r="HI113" s="29"/>
      <c r="HJ113" s="31" t="str">
        <f t="shared" si="87"/>
        <v/>
      </c>
      <c r="HK113" s="27"/>
      <c r="HL113" s="27"/>
      <c r="HM113" s="28" t="str">
        <f>IFERROR(VLOOKUP(HK113,Horarios!$H:$I,2,0),"")</f>
        <v/>
      </c>
      <c r="HN113" s="28" t="str">
        <f>IFERROR(VLOOKUP(HL113,Horarios!$H:$I,2,0),"")</f>
        <v/>
      </c>
      <c r="HO113" s="28" t="str">
        <f t="shared" si="88"/>
        <v>00:00</v>
      </c>
      <c r="HP113" s="29"/>
      <c r="HQ113" s="27"/>
      <c r="HR113" s="27"/>
      <c r="HS113" s="28" t="str">
        <f>IFERROR(VLOOKUP(HQ113,Horarios!$H:$I,2,0),"")</f>
        <v/>
      </c>
      <c r="HT113" s="28" t="str">
        <f>IFERROR(VLOOKUP(HR113,Horarios!$H:$I,2,0),"")</f>
        <v/>
      </c>
      <c r="HU113" s="28" t="str">
        <f t="shared" si="89"/>
        <v>00:00</v>
      </c>
      <c r="HV113" s="29"/>
      <c r="HW113" s="27"/>
      <c r="HX113" s="27"/>
      <c r="HY113" s="28" t="str">
        <f>IFERROR(VLOOKUP(HW113,Horarios!$H:$I,2,0),"")</f>
        <v/>
      </c>
      <c r="HZ113" s="28" t="str">
        <f>IFERROR(VLOOKUP(HX113,Horarios!$H:$I,2,0),"")</f>
        <v/>
      </c>
      <c r="IA113" s="28" t="str">
        <f t="shared" si="90"/>
        <v>00:00</v>
      </c>
      <c r="IB113" s="29"/>
      <c r="IC113" s="27"/>
      <c r="ID113" s="27"/>
      <c r="IE113" s="28" t="str">
        <f>IFERROR(VLOOKUP(IC113,Horarios!$H:$I,2,0),"")</f>
        <v/>
      </c>
      <c r="IF113" s="28" t="str">
        <f>IFERROR(VLOOKUP(ID113,Horarios!$H:$I,2,0),"")</f>
        <v/>
      </c>
      <c r="IG113" s="28" t="str">
        <f t="shared" si="91"/>
        <v>00:00</v>
      </c>
      <c r="IH113" s="29"/>
      <c r="II113" s="27"/>
      <c r="IJ113" s="27"/>
      <c r="IK113" s="28" t="str">
        <f>IFERROR(VLOOKUP(II113,Horarios!$H:$I,2,0),"")</f>
        <v/>
      </c>
      <c r="IL113" s="28" t="str">
        <f>IFERROR(VLOOKUP(IJ113,Horarios!$H:$I,2,0),"")</f>
        <v/>
      </c>
      <c r="IM113" s="28" t="str">
        <f t="shared" si="92"/>
        <v>00:00</v>
      </c>
      <c r="IN113" s="29"/>
      <c r="IO113" s="27"/>
      <c r="IP113" s="27"/>
      <c r="IQ113" s="28" t="str">
        <f>IFERROR(VLOOKUP(IO113,Horarios!$H:$I,2,0),"")</f>
        <v/>
      </c>
      <c r="IR113" s="28" t="str">
        <f>IFERROR(VLOOKUP(IP113,Horarios!$H:$I,2,0),"")</f>
        <v/>
      </c>
      <c r="IS113" s="28" t="str">
        <f t="shared" si="93"/>
        <v>00:00</v>
      </c>
      <c r="IT113" s="29"/>
      <c r="IU113" s="27"/>
      <c r="IV113" s="27"/>
      <c r="IW113" s="28" t="str">
        <f>IFERROR(VLOOKUP(IU113,Horarios!$H:$I,2,0),"")</f>
        <v/>
      </c>
      <c r="IX113" s="28" t="str">
        <f>IFERROR(VLOOKUP(IV113,Horarios!$H:$I,2,0),"")</f>
        <v/>
      </c>
      <c r="IY113" s="28" t="str">
        <f t="shared" si="94"/>
        <v>00:00</v>
      </c>
      <c r="IZ113" s="29"/>
      <c r="JA113" s="31" t="str">
        <f t="shared" si="95"/>
        <v/>
      </c>
    </row>
    <row r="114" spans="1:261" s="24" customFormat="1" ht="17.399999999999999" x14ac:dyDescent="0.25">
      <c r="A114" s="25"/>
      <c r="B114" s="26" t="str">
        <f>IFERROR(VLOOKUP(A114,BaseNombres!A:B,2,0),"")</f>
        <v/>
      </c>
      <c r="C114" s="26" t="str">
        <f>IFERROR(VLOOKUP(A114,BaseNombres!A:C,3,0),"")</f>
        <v/>
      </c>
      <c r="D114" s="27"/>
      <c r="E114" s="27"/>
      <c r="F114" s="28" t="str">
        <f>IFERROR(VLOOKUP(D114,Horarios!$H:$I,2,0),"")</f>
        <v/>
      </c>
      <c r="G114" s="28" t="str">
        <f>IFERROR(VLOOKUP(E114,Horarios!$H:$I,2,0),"")</f>
        <v/>
      </c>
      <c r="H114" s="28" t="str">
        <f t="shared" si="48"/>
        <v>00:00</v>
      </c>
      <c r="I114" s="29"/>
      <c r="J114" s="27"/>
      <c r="K114" s="27"/>
      <c r="L114" s="28" t="str">
        <f>IFERROR(VLOOKUP(J114,Horarios!$H:$I,2,0),"")</f>
        <v/>
      </c>
      <c r="M114" s="28" t="str">
        <f>IFERROR(VLOOKUP(K114,Horarios!$H:$I,2,0),"")</f>
        <v/>
      </c>
      <c r="N114" s="28" t="str">
        <f t="shared" si="49"/>
        <v>00:00</v>
      </c>
      <c r="O114" s="29"/>
      <c r="P114" s="27"/>
      <c r="Q114" s="27"/>
      <c r="R114" s="28" t="str">
        <f>IFERROR(VLOOKUP(P114,Horarios!$H:$I,2,0),"")</f>
        <v/>
      </c>
      <c r="S114" s="28" t="str">
        <f>IFERROR(VLOOKUP(Q114,Horarios!$H:$I,2,0),"")</f>
        <v/>
      </c>
      <c r="T114" s="28" t="str">
        <f t="shared" si="50"/>
        <v>00:00</v>
      </c>
      <c r="U114" s="29"/>
      <c r="V114" s="27"/>
      <c r="W114" s="27"/>
      <c r="X114" s="28" t="str">
        <f>IFERROR(VLOOKUP(V114,Horarios!$H:$I,2,0),"")</f>
        <v/>
      </c>
      <c r="Y114" s="28" t="str">
        <f>IFERROR(VLOOKUP(W114,Horarios!$H:$I,2,0),"")</f>
        <v/>
      </c>
      <c r="Z114" s="28" t="str">
        <f t="shared" si="51"/>
        <v>00:00</v>
      </c>
      <c r="AA114" s="29"/>
      <c r="AB114" s="27"/>
      <c r="AC114" s="27"/>
      <c r="AD114" s="28" t="str">
        <f>IFERROR(VLOOKUP(AB114,Horarios!$H:$I,2,0),"")</f>
        <v/>
      </c>
      <c r="AE114" s="28" t="str">
        <f>IFERROR(VLOOKUP(AC114,Horarios!$H:$I,2,0),"")</f>
        <v/>
      </c>
      <c r="AF114" s="28" t="str">
        <f t="shared" si="52"/>
        <v>00:00</v>
      </c>
      <c r="AG114" s="29"/>
      <c r="AH114" s="27"/>
      <c r="AI114" s="27"/>
      <c r="AJ114" s="28" t="str">
        <f>IFERROR(VLOOKUP(AH114,Horarios!$H:$I,2,0),"")</f>
        <v/>
      </c>
      <c r="AK114" s="28" t="str">
        <f>IFERROR(VLOOKUP(AI114,Horarios!$H:$I,2,0),"")</f>
        <v/>
      </c>
      <c r="AL114" s="28" t="str">
        <f t="shared" si="53"/>
        <v>00:00</v>
      </c>
      <c r="AM114" s="29"/>
      <c r="AN114" s="27"/>
      <c r="AO114" s="27"/>
      <c r="AP114" s="28" t="str">
        <f>IFERROR(VLOOKUP(AN114,Horarios!$H:$I,2,0),"")</f>
        <v/>
      </c>
      <c r="AQ114" s="28" t="str">
        <f>IFERROR(VLOOKUP(AO114,Horarios!$H:$I,2,0),"")</f>
        <v/>
      </c>
      <c r="AR114" s="28" t="str">
        <f t="shared" si="54"/>
        <v>00:00</v>
      </c>
      <c r="AS114" s="29"/>
      <c r="AT114" s="31" t="str">
        <f t="shared" si="55"/>
        <v/>
      </c>
      <c r="AU114" s="27"/>
      <c r="AV114" s="27"/>
      <c r="AW114" s="28" t="str">
        <f>IFERROR(VLOOKUP(AU114,Horarios!$H:$I,2,0),"")</f>
        <v/>
      </c>
      <c r="AX114" s="28" t="str">
        <f>IFERROR(VLOOKUP(AV114,Horarios!$H:$I,2,0),"")</f>
        <v/>
      </c>
      <c r="AY114" s="28" t="str">
        <f t="shared" si="56"/>
        <v>00:00</v>
      </c>
      <c r="AZ114" s="29"/>
      <c r="BA114" s="27"/>
      <c r="BB114" s="27"/>
      <c r="BC114" s="28" t="str">
        <f>IFERROR(VLOOKUP(BA114,Horarios!$H:$I,2,0),"")</f>
        <v/>
      </c>
      <c r="BD114" s="28" t="str">
        <f>IFERROR(VLOOKUP(BB114,Horarios!$H:$I,2,0),"")</f>
        <v/>
      </c>
      <c r="BE114" s="28" t="str">
        <f t="shared" si="57"/>
        <v>00:00</v>
      </c>
      <c r="BF114" s="29"/>
      <c r="BG114" s="27"/>
      <c r="BH114" s="27"/>
      <c r="BI114" s="28" t="str">
        <f>IFERROR(VLOOKUP(BG114,Horarios!$H:$I,2,0),"")</f>
        <v/>
      </c>
      <c r="BJ114" s="28" t="str">
        <f>IFERROR(VLOOKUP(BH114,Horarios!$H:$I,2,0),"")</f>
        <v/>
      </c>
      <c r="BK114" s="28" t="str">
        <f t="shared" si="58"/>
        <v>00:00</v>
      </c>
      <c r="BL114" s="29"/>
      <c r="BM114" s="27"/>
      <c r="BN114" s="27"/>
      <c r="BO114" s="28" t="str">
        <f>IFERROR(VLOOKUP(BM114,Horarios!$H:$I,2,0),"")</f>
        <v/>
      </c>
      <c r="BP114" s="28" t="str">
        <f>IFERROR(VLOOKUP(BN114,Horarios!$H:$I,2,0),"")</f>
        <v/>
      </c>
      <c r="BQ114" s="28" t="str">
        <f t="shared" si="59"/>
        <v>00:00</v>
      </c>
      <c r="BR114" s="29"/>
      <c r="BS114" s="27"/>
      <c r="BT114" s="27"/>
      <c r="BU114" s="28" t="str">
        <f>IFERROR(VLOOKUP(BS114,Horarios!$H:$I,2,0),"")</f>
        <v/>
      </c>
      <c r="BV114" s="28" t="str">
        <f>IFERROR(VLOOKUP(BT114,Horarios!$H:$I,2,0),"")</f>
        <v/>
      </c>
      <c r="BW114" s="28" t="str">
        <f t="shared" si="60"/>
        <v>00:00</v>
      </c>
      <c r="BX114" s="29"/>
      <c r="BY114" s="27"/>
      <c r="BZ114" s="27"/>
      <c r="CA114" s="28" t="str">
        <f>IFERROR(VLOOKUP(BY114,Horarios!$H:$I,2,0),"")</f>
        <v/>
      </c>
      <c r="CB114" s="28" t="str">
        <f>IFERROR(VLOOKUP(BZ114,Horarios!$H:$I,2,0),"")</f>
        <v/>
      </c>
      <c r="CC114" s="28" t="str">
        <f t="shared" si="61"/>
        <v>00:00</v>
      </c>
      <c r="CD114" s="29"/>
      <c r="CE114" s="27"/>
      <c r="CF114" s="27"/>
      <c r="CG114" s="28" t="str">
        <f>IFERROR(VLOOKUP(CE114,Horarios!$H:$I,2,0),"")</f>
        <v/>
      </c>
      <c r="CH114" s="28" t="str">
        <f>IFERROR(VLOOKUP(CF114,Horarios!$H:$I,2,0),"")</f>
        <v/>
      </c>
      <c r="CI114" s="28" t="str">
        <f t="shared" si="62"/>
        <v>00:00</v>
      </c>
      <c r="CJ114" s="29"/>
      <c r="CK114" s="31" t="str">
        <f t="shared" si="63"/>
        <v/>
      </c>
      <c r="CL114" s="27"/>
      <c r="CM114" s="27"/>
      <c r="CN114" s="28" t="str">
        <f>IFERROR(VLOOKUP(CL114,Horarios!$H:$I,2,0),"")</f>
        <v/>
      </c>
      <c r="CO114" s="28" t="str">
        <f>IFERROR(VLOOKUP(CM114,Horarios!$H:$I,2,0),"")</f>
        <v/>
      </c>
      <c r="CP114" s="28" t="str">
        <f t="shared" si="64"/>
        <v>00:00</v>
      </c>
      <c r="CQ114" s="29"/>
      <c r="CR114" s="27"/>
      <c r="CS114" s="27"/>
      <c r="CT114" s="28" t="str">
        <f>IFERROR(VLOOKUP(CR114,Horarios!$H:$I,2,0),"")</f>
        <v/>
      </c>
      <c r="CU114" s="28" t="str">
        <f>IFERROR(VLOOKUP(CS114,Horarios!$H:$I,2,0),"")</f>
        <v/>
      </c>
      <c r="CV114" s="28" t="str">
        <f t="shared" si="65"/>
        <v>00:00</v>
      </c>
      <c r="CW114" s="29"/>
      <c r="CX114" s="27"/>
      <c r="CY114" s="27"/>
      <c r="CZ114" s="28" t="str">
        <f>IFERROR(VLOOKUP(CX114,Horarios!$H:$I,2,0),"")</f>
        <v/>
      </c>
      <c r="DA114" s="28" t="str">
        <f>IFERROR(VLOOKUP(CY114,Horarios!$H:$I,2,0),"")</f>
        <v/>
      </c>
      <c r="DB114" s="28" t="str">
        <f t="shared" si="66"/>
        <v>00:00</v>
      </c>
      <c r="DC114" s="29"/>
      <c r="DD114" s="27"/>
      <c r="DE114" s="27"/>
      <c r="DF114" s="28" t="str">
        <f>IFERROR(VLOOKUP(DD114,Horarios!$H:$I,2,0),"")</f>
        <v/>
      </c>
      <c r="DG114" s="28" t="str">
        <f>IFERROR(VLOOKUP(DE114,Horarios!$H:$I,2,0),"")</f>
        <v/>
      </c>
      <c r="DH114" s="28" t="str">
        <f t="shared" si="67"/>
        <v>00:00</v>
      </c>
      <c r="DI114" s="29"/>
      <c r="DJ114" s="27"/>
      <c r="DK114" s="27"/>
      <c r="DL114" s="28" t="str">
        <f>IFERROR(VLOOKUP(DJ114,Horarios!$H:$I,2,0),"")</f>
        <v/>
      </c>
      <c r="DM114" s="28" t="str">
        <f>IFERROR(VLOOKUP(DK114,Horarios!$H:$I,2,0),"")</f>
        <v/>
      </c>
      <c r="DN114" s="28" t="str">
        <f t="shared" si="68"/>
        <v>00:00</v>
      </c>
      <c r="DO114" s="29"/>
      <c r="DP114" s="27"/>
      <c r="DQ114" s="27"/>
      <c r="DR114" s="28" t="str">
        <f>IFERROR(VLOOKUP(DP114,Horarios!$H:$I,2,0),"")</f>
        <v/>
      </c>
      <c r="DS114" s="28" t="str">
        <f>IFERROR(VLOOKUP(DQ114,Horarios!$H:$I,2,0),"")</f>
        <v/>
      </c>
      <c r="DT114" s="28" t="str">
        <f t="shared" si="69"/>
        <v>00:00</v>
      </c>
      <c r="DU114" s="29"/>
      <c r="DV114" s="27"/>
      <c r="DW114" s="27"/>
      <c r="DX114" s="28" t="str">
        <f>IFERROR(VLOOKUP(DV114,Horarios!$H:$I,2,0),"")</f>
        <v/>
      </c>
      <c r="DY114" s="28" t="str">
        <f>IFERROR(VLOOKUP(DW114,Horarios!$H:$I,2,0),"")</f>
        <v/>
      </c>
      <c r="DZ114" s="28" t="str">
        <f t="shared" si="70"/>
        <v>00:00</v>
      </c>
      <c r="EA114" s="29"/>
      <c r="EB114" s="31" t="str">
        <f t="shared" si="71"/>
        <v/>
      </c>
      <c r="EC114" s="27"/>
      <c r="ED114" s="27"/>
      <c r="EE114" s="28" t="str">
        <f>IFERROR(VLOOKUP(EC114,Horarios!$H:$I,2,0),"")</f>
        <v/>
      </c>
      <c r="EF114" s="28" t="str">
        <f>IFERROR(VLOOKUP(ED114,Horarios!$H:$I,2,0),"")</f>
        <v/>
      </c>
      <c r="EG114" s="28" t="str">
        <f t="shared" si="72"/>
        <v>00:00</v>
      </c>
      <c r="EH114" s="29"/>
      <c r="EI114" s="27"/>
      <c r="EJ114" s="27"/>
      <c r="EK114" s="28" t="str">
        <f>IFERROR(VLOOKUP(EI114,Horarios!$H:$I,2,0),"")</f>
        <v/>
      </c>
      <c r="EL114" s="28" t="str">
        <f>IFERROR(VLOOKUP(EJ114,Horarios!$H:$I,2,0),"")</f>
        <v/>
      </c>
      <c r="EM114" s="28" t="str">
        <f t="shared" si="73"/>
        <v>00:00</v>
      </c>
      <c r="EN114" s="29"/>
      <c r="EO114" s="27"/>
      <c r="EP114" s="27"/>
      <c r="EQ114" s="28" t="str">
        <f>IFERROR(VLOOKUP(EO114,Horarios!$H:$I,2,0),"")</f>
        <v/>
      </c>
      <c r="ER114" s="28" t="str">
        <f>IFERROR(VLOOKUP(EP114,Horarios!$H:$I,2,0),"")</f>
        <v/>
      </c>
      <c r="ES114" s="28" t="str">
        <f t="shared" si="74"/>
        <v>00:00</v>
      </c>
      <c r="ET114" s="29"/>
      <c r="EU114" s="27"/>
      <c r="EV114" s="27"/>
      <c r="EW114" s="28" t="str">
        <f>IFERROR(VLOOKUP(EU114,Horarios!$H:$I,2,0),"")</f>
        <v/>
      </c>
      <c r="EX114" s="28" t="str">
        <f>IFERROR(VLOOKUP(EV114,Horarios!$H:$I,2,0),"")</f>
        <v/>
      </c>
      <c r="EY114" s="28" t="str">
        <f t="shared" si="75"/>
        <v>00:00</v>
      </c>
      <c r="EZ114" s="29"/>
      <c r="FA114" s="27"/>
      <c r="FB114" s="27"/>
      <c r="FC114" s="28" t="str">
        <f>IFERROR(VLOOKUP(FA114,Horarios!$H:$I,2,0),"")</f>
        <v/>
      </c>
      <c r="FD114" s="28" t="str">
        <f>IFERROR(VLOOKUP(FB114,Horarios!$H:$I,2,0),"")</f>
        <v/>
      </c>
      <c r="FE114" s="28" t="str">
        <f t="shared" si="76"/>
        <v>00:00</v>
      </c>
      <c r="FF114" s="29"/>
      <c r="FG114" s="27"/>
      <c r="FH114" s="27"/>
      <c r="FI114" s="28" t="str">
        <f>IFERROR(VLOOKUP(FG114,Horarios!$H:$I,2,0),"")</f>
        <v/>
      </c>
      <c r="FJ114" s="28" t="str">
        <f>IFERROR(VLOOKUP(FH114,Horarios!$H:$I,2,0),"")</f>
        <v/>
      </c>
      <c r="FK114" s="28" t="str">
        <f t="shared" si="77"/>
        <v>00:00</v>
      </c>
      <c r="FL114" s="29"/>
      <c r="FM114" s="27"/>
      <c r="FN114" s="27"/>
      <c r="FO114" s="28" t="str">
        <f>IFERROR(VLOOKUP(FM114,Horarios!$H:$I,2,0),"")</f>
        <v/>
      </c>
      <c r="FP114" s="28" t="str">
        <f>IFERROR(VLOOKUP(FN114,Horarios!$H:$I,2,0),"")</f>
        <v/>
      </c>
      <c r="FQ114" s="28" t="str">
        <f t="shared" si="78"/>
        <v>00:00</v>
      </c>
      <c r="FR114" s="29"/>
      <c r="FS114" s="31" t="str">
        <f t="shared" si="79"/>
        <v/>
      </c>
      <c r="FT114" s="27"/>
      <c r="FU114" s="27"/>
      <c r="FV114" s="28" t="str">
        <f>IFERROR(VLOOKUP(FT114,Horarios!$H:$I,2,0),"")</f>
        <v/>
      </c>
      <c r="FW114" s="28" t="str">
        <f>IFERROR(VLOOKUP(FU114,Horarios!$H:$I,2,0),"")</f>
        <v/>
      </c>
      <c r="FX114" s="28" t="str">
        <f t="shared" si="80"/>
        <v>00:00</v>
      </c>
      <c r="FY114" s="29"/>
      <c r="FZ114" s="27"/>
      <c r="GA114" s="27"/>
      <c r="GB114" s="28" t="str">
        <f>IFERROR(VLOOKUP(FZ114,Horarios!$H:$I,2,0),"")</f>
        <v/>
      </c>
      <c r="GC114" s="28" t="str">
        <f>IFERROR(VLOOKUP(GA114,Horarios!$H:$I,2,0),"")</f>
        <v/>
      </c>
      <c r="GD114" s="28" t="str">
        <f t="shared" si="81"/>
        <v>00:00</v>
      </c>
      <c r="GE114" s="29"/>
      <c r="GF114" s="27"/>
      <c r="GG114" s="27"/>
      <c r="GH114" s="28" t="str">
        <f>IFERROR(VLOOKUP(GF114,Horarios!$H:$I,2,0),"")</f>
        <v/>
      </c>
      <c r="GI114" s="28" t="str">
        <f>IFERROR(VLOOKUP(GG114,Horarios!$H:$I,2,0),"")</f>
        <v/>
      </c>
      <c r="GJ114" s="28" t="str">
        <f t="shared" si="82"/>
        <v>00:00</v>
      </c>
      <c r="GK114" s="29"/>
      <c r="GL114" s="27"/>
      <c r="GM114" s="27"/>
      <c r="GN114" s="28" t="str">
        <f>IFERROR(VLOOKUP(GL114,Horarios!$H:$I,2,0),"")</f>
        <v/>
      </c>
      <c r="GO114" s="28" t="str">
        <f>IFERROR(VLOOKUP(GM114,Horarios!$H:$I,2,0),"")</f>
        <v/>
      </c>
      <c r="GP114" s="28" t="str">
        <f t="shared" si="83"/>
        <v>00:00</v>
      </c>
      <c r="GQ114" s="29"/>
      <c r="GR114" s="27"/>
      <c r="GS114" s="27"/>
      <c r="GT114" s="28" t="str">
        <f>IFERROR(VLOOKUP(GR114,Horarios!$H:$I,2,0),"")</f>
        <v/>
      </c>
      <c r="GU114" s="28" t="str">
        <f>IFERROR(VLOOKUP(GS114,Horarios!$H:$I,2,0),"")</f>
        <v/>
      </c>
      <c r="GV114" s="28" t="str">
        <f t="shared" si="84"/>
        <v>00:00</v>
      </c>
      <c r="GW114" s="29"/>
      <c r="GX114" s="27"/>
      <c r="GY114" s="27"/>
      <c r="GZ114" s="28" t="str">
        <f>IFERROR(VLOOKUP(GX114,Horarios!$H:$I,2,0),"")</f>
        <v/>
      </c>
      <c r="HA114" s="28" t="str">
        <f>IFERROR(VLOOKUP(GY114,Horarios!$H:$I,2,0),"")</f>
        <v/>
      </c>
      <c r="HB114" s="28" t="str">
        <f t="shared" si="85"/>
        <v>00:00</v>
      </c>
      <c r="HC114" s="29"/>
      <c r="HD114" s="27"/>
      <c r="HE114" s="27"/>
      <c r="HF114" s="28" t="str">
        <f>IFERROR(VLOOKUP(HD114,Horarios!$H:$I,2,0),"")</f>
        <v/>
      </c>
      <c r="HG114" s="28" t="str">
        <f>IFERROR(VLOOKUP(HE114,Horarios!$H:$I,2,0),"")</f>
        <v/>
      </c>
      <c r="HH114" s="28" t="str">
        <f t="shared" si="86"/>
        <v>00:00</v>
      </c>
      <c r="HI114" s="29"/>
      <c r="HJ114" s="31" t="str">
        <f t="shared" si="87"/>
        <v/>
      </c>
      <c r="HK114" s="27"/>
      <c r="HL114" s="27"/>
      <c r="HM114" s="28" t="str">
        <f>IFERROR(VLOOKUP(HK114,Horarios!$H:$I,2,0),"")</f>
        <v/>
      </c>
      <c r="HN114" s="28" t="str">
        <f>IFERROR(VLOOKUP(HL114,Horarios!$H:$I,2,0),"")</f>
        <v/>
      </c>
      <c r="HO114" s="28" t="str">
        <f t="shared" si="88"/>
        <v>00:00</v>
      </c>
      <c r="HP114" s="29"/>
      <c r="HQ114" s="27"/>
      <c r="HR114" s="27"/>
      <c r="HS114" s="28" t="str">
        <f>IFERROR(VLOOKUP(HQ114,Horarios!$H:$I,2,0),"")</f>
        <v/>
      </c>
      <c r="HT114" s="28" t="str">
        <f>IFERROR(VLOOKUP(HR114,Horarios!$H:$I,2,0),"")</f>
        <v/>
      </c>
      <c r="HU114" s="28" t="str">
        <f t="shared" si="89"/>
        <v>00:00</v>
      </c>
      <c r="HV114" s="29"/>
      <c r="HW114" s="27"/>
      <c r="HX114" s="27"/>
      <c r="HY114" s="28" t="str">
        <f>IFERROR(VLOOKUP(HW114,Horarios!$H:$I,2,0),"")</f>
        <v/>
      </c>
      <c r="HZ114" s="28" t="str">
        <f>IFERROR(VLOOKUP(HX114,Horarios!$H:$I,2,0),"")</f>
        <v/>
      </c>
      <c r="IA114" s="28" t="str">
        <f t="shared" si="90"/>
        <v>00:00</v>
      </c>
      <c r="IB114" s="29"/>
      <c r="IC114" s="27"/>
      <c r="ID114" s="27"/>
      <c r="IE114" s="28" t="str">
        <f>IFERROR(VLOOKUP(IC114,Horarios!$H:$I,2,0),"")</f>
        <v/>
      </c>
      <c r="IF114" s="28" t="str">
        <f>IFERROR(VLOOKUP(ID114,Horarios!$H:$I,2,0),"")</f>
        <v/>
      </c>
      <c r="IG114" s="28" t="str">
        <f t="shared" si="91"/>
        <v>00:00</v>
      </c>
      <c r="IH114" s="29"/>
      <c r="II114" s="27"/>
      <c r="IJ114" s="27"/>
      <c r="IK114" s="28" t="str">
        <f>IFERROR(VLOOKUP(II114,Horarios!$H:$I,2,0),"")</f>
        <v/>
      </c>
      <c r="IL114" s="28" t="str">
        <f>IFERROR(VLOOKUP(IJ114,Horarios!$H:$I,2,0),"")</f>
        <v/>
      </c>
      <c r="IM114" s="28" t="str">
        <f t="shared" si="92"/>
        <v>00:00</v>
      </c>
      <c r="IN114" s="29"/>
      <c r="IO114" s="27"/>
      <c r="IP114" s="27"/>
      <c r="IQ114" s="28" t="str">
        <f>IFERROR(VLOOKUP(IO114,Horarios!$H:$I,2,0),"")</f>
        <v/>
      </c>
      <c r="IR114" s="28" t="str">
        <f>IFERROR(VLOOKUP(IP114,Horarios!$H:$I,2,0),"")</f>
        <v/>
      </c>
      <c r="IS114" s="28" t="str">
        <f t="shared" si="93"/>
        <v>00:00</v>
      </c>
      <c r="IT114" s="29"/>
      <c r="IU114" s="27"/>
      <c r="IV114" s="27"/>
      <c r="IW114" s="28" t="str">
        <f>IFERROR(VLOOKUP(IU114,Horarios!$H:$I,2,0),"")</f>
        <v/>
      </c>
      <c r="IX114" s="28" t="str">
        <f>IFERROR(VLOOKUP(IV114,Horarios!$H:$I,2,0),"")</f>
        <v/>
      </c>
      <c r="IY114" s="28" t="str">
        <f t="shared" si="94"/>
        <v>00:00</v>
      </c>
      <c r="IZ114" s="29"/>
      <c r="JA114" s="31" t="str">
        <f t="shared" si="95"/>
        <v/>
      </c>
    </row>
    <row r="115" spans="1:261" s="24" customFormat="1" ht="17.399999999999999" x14ac:dyDescent="0.25">
      <c r="A115" s="25"/>
      <c r="B115" s="26" t="str">
        <f>IFERROR(VLOOKUP(A115,BaseNombres!A:B,2,0),"")</f>
        <v/>
      </c>
      <c r="C115" s="26" t="str">
        <f>IFERROR(VLOOKUP(A115,BaseNombres!A:C,3,0),"")</f>
        <v/>
      </c>
      <c r="D115" s="27"/>
      <c r="E115" s="27"/>
      <c r="F115" s="28" t="str">
        <f>IFERROR(VLOOKUP(D115,Horarios!$H:$I,2,0),"")</f>
        <v/>
      </c>
      <c r="G115" s="28" t="str">
        <f>IFERROR(VLOOKUP(E115,Horarios!$H:$I,2,0),"")</f>
        <v/>
      </c>
      <c r="H115" s="28" t="str">
        <f t="shared" si="48"/>
        <v>00:00</v>
      </c>
      <c r="I115" s="29"/>
      <c r="J115" s="27"/>
      <c r="K115" s="27"/>
      <c r="L115" s="28" t="str">
        <f>IFERROR(VLOOKUP(J115,Horarios!$H:$I,2,0),"")</f>
        <v/>
      </c>
      <c r="M115" s="28" t="str">
        <f>IFERROR(VLOOKUP(K115,Horarios!$H:$I,2,0),"")</f>
        <v/>
      </c>
      <c r="N115" s="28" t="str">
        <f t="shared" si="49"/>
        <v>00:00</v>
      </c>
      <c r="O115" s="29"/>
      <c r="P115" s="27"/>
      <c r="Q115" s="27"/>
      <c r="R115" s="28" t="str">
        <f>IFERROR(VLOOKUP(P115,Horarios!$H:$I,2,0),"")</f>
        <v/>
      </c>
      <c r="S115" s="28" t="str">
        <f>IFERROR(VLOOKUP(Q115,Horarios!$H:$I,2,0),"")</f>
        <v/>
      </c>
      <c r="T115" s="28" t="str">
        <f t="shared" si="50"/>
        <v>00:00</v>
      </c>
      <c r="U115" s="29"/>
      <c r="V115" s="27"/>
      <c r="W115" s="27"/>
      <c r="X115" s="28" t="str">
        <f>IFERROR(VLOOKUP(V115,Horarios!$H:$I,2,0),"")</f>
        <v/>
      </c>
      <c r="Y115" s="28" t="str">
        <f>IFERROR(VLOOKUP(W115,Horarios!$H:$I,2,0),"")</f>
        <v/>
      </c>
      <c r="Z115" s="28" t="str">
        <f t="shared" si="51"/>
        <v>00:00</v>
      </c>
      <c r="AA115" s="29"/>
      <c r="AB115" s="27"/>
      <c r="AC115" s="27"/>
      <c r="AD115" s="28" t="str">
        <f>IFERROR(VLOOKUP(AB115,Horarios!$H:$I,2,0),"")</f>
        <v/>
      </c>
      <c r="AE115" s="28" t="str">
        <f>IFERROR(VLOOKUP(AC115,Horarios!$H:$I,2,0),"")</f>
        <v/>
      </c>
      <c r="AF115" s="28" t="str">
        <f t="shared" si="52"/>
        <v>00:00</v>
      </c>
      <c r="AG115" s="29"/>
      <c r="AH115" s="27"/>
      <c r="AI115" s="27"/>
      <c r="AJ115" s="28" t="str">
        <f>IFERROR(VLOOKUP(AH115,Horarios!$H:$I,2,0),"")</f>
        <v/>
      </c>
      <c r="AK115" s="28" t="str">
        <f>IFERROR(VLOOKUP(AI115,Horarios!$H:$I,2,0),"")</f>
        <v/>
      </c>
      <c r="AL115" s="28" t="str">
        <f t="shared" si="53"/>
        <v>00:00</v>
      </c>
      <c r="AM115" s="29"/>
      <c r="AN115" s="27"/>
      <c r="AO115" s="27"/>
      <c r="AP115" s="28" t="str">
        <f>IFERROR(VLOOKUP(AN115,Horarios!$H:$I,2,0),"")</f>
        <v/>
      </c>
      <c r="AQ115" s="28" t="str">
        <f>IFERROR(VLOOKUP(AO115,Horarios!$H:$I,2,0),"")</f>
        <v/>
      </c>
      <c r="AR115" s="28" t="str">
        <f t="shared" si="54"/>
        <v>00:00</v>
      </c>
      <c r="AS115" s="29"/>
      <c r="AT115" s="31" t="str">
        <f t="shared" si="55"/>
        <v/>
      </c>
      <c r="AU115" s="27"/>
      <c r="AV115" s="27"/>
      <c r="AW115" s="28" t="str">
        <f>IFERROR(VLOOKUP(AU115,Horarios!$H:$I,2,0),"")</f>
        <v/>
      </c>
      <c r="AX115" s="28" t="str">
        <f>IFERROR(VLOOKUP(AV115,Horarios!$H:$I,2,0),"")</f>
        <v/>
      </c>
      <c r="AY115" s="28" t="str">
        <f t="shared" si="56"/>
        <v>00:00</v>
      </c>
      <c r="AZ115" s="29"/>
      <c r="BA115" s="27"/>
      <c r="BB115" s="27"/>
      <c r="BC115" s="28" t="str">
        <f>IFERROR(VLOOKUP(BA115,Horarios!$H:$I,2,0),"")</f>
        <v/>
      </c>
      <c r="BD115" s="28" t="str">
        <f>IFERROR(VLOOKUP(BB115,Horarios!$H:$I,2,0),"")</f>
        <v/>
      </c>
      <c r="BE115" s="28" t="str">
        <f t="shared" si="57"/>
        <v>00:00</v>
      </c>
      <c r="BF115" s="29"/>
      <c r="BG115" s="27"/>
      <c r="BH115" s="27"/>
      <c r="BI115" s="28" t="str">
        <f>IFERROR(VLOOKUP(BG115,Horarios!$H:$I,2,0),"")</f>
        <v/>
      </c>
      <c r="BJ115" s="28" t="str">
        <f>IFERROR(VLOOKUP(BH115,Horarios!$H:$I,2,0),"")</f>
        <v/>
      </c>
      <c r="BK115" s="28" t="str">
        <f t="shared" si="58"/>
        <v>00:00</v>
      </c>
      <c r="BL115" s="29"/>
      <c r="BM115" s="27"/>
      <c r="BN115" s="27"/>
      <c r="BO115" s="28" t="str">
        <f>IFERROR(VLOOKUP(BM115,Horarios!$H:$I,2,0),"")</f>
        <v/>
      </c>
      <c r="BP115" s="28" t="str">
        <f>IFERROR(VLOOKUP(BN115,Horarios!$H:$I,2,0),"")</f>
        <v/>
      </c>
      <c r="BQ115" s="28" t="str">
        <f t="shared" si="59"/>
        <v>00:00</v>
      </c>
      <c r="BR115" s="29"/>
      <c r="BS115" s="27"/>
      <c r="BT115" s="27"/>
      <c r="BU115" s="28" t="str">
        <f>IFERROR(VLOOKUP(BS115,Horarios!$H:$I,2,0),"")</f>
        <v/>
      </c>
      <c r="BV115" s="28" t="str">
        <f>IFERROR(VLOOKUP(BT115,Horarios!$H:$I,2,0),"")</f>
        <v/>
      </c>
      <c r="BW115" s="28" t="str">
        <f t="shared" si="60"/>
        <v>00:00</v>
      </c>
      <c r="BX115" s="29"/>
      <c r="BY115" s="27"/>
      <c r="BZ115" s="27"/>
      <c r="CA115" s="28" t="str">
        <f>IFERROR(VLOOKUP(BY115,Horarios!$H:$I,2,0),"")</f>
        <v/>
      </c>
      <c r="CB115" s="28" t="str">
        <f>IFERROR(VLOOKUP(BZ115,Horarios!$H:$I,2,0),"")</f>
        <v/>
      </c>
      <c r="CC115" s="28" t="str">
        <f t="shared" si="61"/>
        <v>00:00</v>
      </c>
      <c r="CD115" s="29"/>
      <c r="CE115" s="27"/>
      <c r="CF115" s="27"/>
      <c r="CG115" s="28" t="str">
        <f>IFERROR(VLOOKUP(CE115,Horarios!$H:$I,2,0),"")</f>
        <v/>
      </c>
      <c r="CH115" s="28" t="str">
        <f>IFERROR(VLOOKUP(CF115,Horarios!$H:$I,2,0),"")</f>
        <v/>
      </c>
      <c r="CI115" s="28" t="str">
        <f t="shared" si="62"/>
        <v>00:00</v>
      </c>
      <c r="CJ115" s="29"/>
      <c r="CK115" s="31" t="str">
        <f t="shared" si="63"/>
        <v/>
      </c>
      <c r="CL115" s="27"/>
      <c r="CM115" s="27"/>
      <c r="CN115" s="28" t="str">
        <f>IFERROR(VLOOKUP(CL115,Horarios!$H:$I,2,0),"")</f>
        <v/>
      </c>
      <c r="CO115" s="28" t="str">
        <f>IFERROR(VLOOKUP(CM115,Horarios!$H:$I,2,0),"")</f>
        <v/>
      </c>
      <c r="CP115" s="28" t="str">
        <f t="shared" si="64"/>
        <v>00:00</v>
      </c>
      <c r="CQ115" s="29"/>
      <c r="CR115" s="27"/>
      <c r="CS115" s="27"/>
      <c r="CT115" s="28" t="str">
        <f>IFERROR(VLOOKUP(CR115,Horarios!$H:$I,2,0),"")</f>
        <v/>
      </c>
      <c r="CU115" s="28" t="str">
        <f>IFERROR(VLOOKUP(CS115,Horarios!$H:$I,2,0),"")</f>
        <v/>
      </c>
      <c r="CV115" s="28" t="str">
        <f t="shared" si="65"/>
        <v>00:00</v>
      </c>
      <c r="CW115" s="29"/>
      <c r="CX115" s="27"/>
      <c r="CY115" s="27"/>
      <c r="CZ115" s="28" t="str">
        <f>IFERROR(VLOOKUP(CX115,Horarios!$H:$I,2,0),"")</f>
        <v/>
      </c>
      <c r="DA115" s="28" t="str">
        <f>IFERROR(VLOOKUP(CY115,Horarios!$H:$I,2,0),"")</f>
        <v/>
      </c>
      <c r="DB115" s="28" t="str">
        <f t="shared" si="66"/>
        <v>00:00</v>
      </c>
      <c r="DC115" s="29"/>
      <c r="DD115" s="27"/>
      <c r="DE115" s="27"/>
      <c r="DF115" s="28" t="str">
        <f>IFERROR(VLOOKUP(DD115,Horarios!$H:$I,2,0),"")</f>
        <v/>
      </c>
      <c r="DG115" s="28" t="str">
        <f>IFERROR(VLOOKUP(DE115,Horarios!$H:$I,2,0),"")</f>
        <v/>
      </c>
      <c r="DH115" s="28" t="str">
        <f t="shared" si="67"/>
        <v>00:00</v>
      </c>
      <c r="DI115" s="29"/>
      <c r="DJ115" s="27"/>
      <c r="DK115" s="27"/>
      <c r="DL115" s="28" t="str">
        <f>IFERROR(VLOOKUP(DJ115,Horarios!$H:$I,2,0),"")</f>
        <v/>
      </c>
      <c r="DM115" s="28" t="str">
        <f>IFERROR(VLOOKUP(DK115,Horarios!$H:$I,2,0),"")</f>
        <v/>
      </c>
      <c r="DN115" s="28" t="str">
        <f t="shared" si="68"/>
        <v>00:00</v>
      </c>
      <c r="DO115" s="29"/>
      <c r="DP115" s="27"/>
      <c r="DQ115" s="27"/>
      <c r="DR115" s="28" t="str">
        <f>IFERROR(VLOOKUP(DP115,Horarios!$H:$I,2,0),"")</f>
        <v/>
      </c>
      <c r="DS115" s="28" t="str">
        <f>IFERROR(VLOOKUP(DQ115,Horarios!$H:$I,2,0),"")</f>
        <v/>
      </c>
      <c r="DT115" s="28" t="str">
        <f t="shared" si="69"/>
        <v>00:00</v>
      </c>
      <c r="DU115" s="29"/>
      <c r="DV115" s="27"/>
      <c r="DW115" s="27"/>
      <c r="DX115" s="28" t="str">
        <f>IFERROR(VLOOKUP(DV115,Horarios!$H:$I,2,0),"")</f>
        <v/>
      </c>
      <c r="DY115" s="28" t="str">
        <f>IFERROR(VLOOKUP(DW115,Horarios!$H:$I,2,0),"")</f>
        <v/>
      </c>
      <c r="DZ115" s="28" t="str">
        <f t="shared" si="70"/>
        <v>00:00</v>
      </c>
      <c r="EA115" s="29"/>
      <c r="EB115" s="31" t="str">
        <f t="shared" si="71"/>
        <v/>
      </c>
      <c r="EC115" s="27"/>
      <c r="ED115" s="27"/>
      <c r="EE115" s="28" t="str">
        <f>IFERROR(VLOOKUP(EC115,Horarios!$H:$I,2,0),"")</f>
        <v/>
      </c>
      <c r="EF115" s="28" t="str">
        <f>IFERROR(VLOOKUP(ED115,Horarios!$H:$I,2,0),"")</f>
        <v/>
      </c>
      <c r="EG115" s="28" t="str">
        <f t="shared" si="72"/>
        <v>00:00</v>
      </c>
      <c r="EH115" s="29"/>
      <c r="EI115" s="27"/>
      <c r="EJ115" s="27"/>
      <c r="EK115" s="28" t="str">
        <f>IFERROR(VLOOKUP(EI115,Horarios!$H:$I,2,0),"")</f>
        <v/>
      </c>
      <c r="EL115" s="28" t="str">
        <f>IFERROR(VLOOKUP(EJ115,Horarios!$H:$I,2,0),"")</f>
        <v/>
      </c>
      <c r="EM115" s="28" t="str">
        <f t="shared" si="73"/>
        <v>00:00</v>
      </c>
      <c r="EN115" s="29"/>
      <c r="EO115" s="27"/>
      <c r="EP115" s="27"/>
      <c r="EQ115" s="28" t="str">
        <f>IFERROR(VLOOKUP(EO115,Horarios!$H:$I,2,0),"")</f>
        <v/>
      </c>
      <c r="ER115" s="28" t="str">
        <f>IFERROR(VLOOKUP(EP115,Horarios!$H:$I,2,0),"")</f>
        <v/>
      </c>
      <c r="ES115" s="28" t="str">
        <f t="shared" si="74"/>
        <v>00:00</v>
      </c>
      <c r="ET115" s="29"/>
      <c r="EU115" s="27"/>
      <c r="EV115" s="27"/>
      <c r="EW115" s="28" t="str">
        <f>IFERROR(VLOOKUP(EU115,Horarios!$H:$I,2,0),"")</f>
        <v/>
      </c>
      <c r="EX115" s="28" t="str">
        <f>IFERROR(VLOOKUP(EV115,Horarios!$H:$I,2,0),"")</f>
        <v/>
      </c>
      <c r="EY115" s="28" t="str">
        <f t="shared" si="75"/>
        <v>00:00</v>
      </c>
      <c r="EZ115" s="29"/>
      <c r="FA115" s="27"/>
      <c r="FB115" s="27"/>
      <c r="FC115" s="28" t="str">
        <f>IFERROR(VLOOKUP(FA115,Horarios!$H:$I,2,0),"")</f>
        <v/>
      </c>
      <c r="FD115" s="28" t="str">
        <f>IFERROR(VLOOKUP(FB115,Horarios!$H:$I,2,0),"")</f>
        <v/>
      </c>
      <c r="FE115" s="28" t="str">
        <f t="shared" si="76"/>
        <v>00:00</v>
      </c>
      <c r="FF115" s="29"/>
      <c r="FG115" s="27"/>
      <c r="FH115" s="27"/>
      <c r="FI115" s="28" t="str">
        <f>IFERROR(VLOOKUP(FG115,Horarios!$H:$I,2,0),"")</f>
        <v/>
      </c>
      <c r="FJ115" s="28" t="str">
        <f>IFERROR(VLOOKUP(FH115,Horarios!$H:$I,2,0),"")</f>
        <v/>
      </c>
      <c r="FK115" s="28" t="str">
        <f t="shared" si="77"/>
        <v>00:00</v>
      </c>
      <c r="FL115" s="29"/>
      <c r="FM115" s="27"/>
      <c r="FN115" s="27"/>
      <c r="FO115" s="28" t="str">
        <f>IFERROR(VLOOKUP(FM115,Horarios!$H:$I,2,0),"")</f>
        <v/>
      </c>
      <c r="FP115" s="28" t="str">
        <f>IFERROR(VLOOKUP(FN115,Horarios!$H:$I,2,0),"")</f>
        <v/>
      </c>
      <c r="FQ115" s="28" t="str">
        <f t="shared" si="78"/>
        <v>00:00</v>
      </c>
      <c r="FR115" s="29"/>
      <c r="FS115" s="31" t="str">
        <f t="shared" si="79"/>
        <v/>
      </c>
      <c r="FT115" s="27"/>
      <c r="FU115" s="27"/>
      <c r="FV115" s="28" t="str">
        <f>IFERROR(VLOOKUP(FT115,Horarios!$H:$I,2,0),"")</f>
        <v/>
      </c>
      <c r="FW115" s="28" t="str">
        <f>IFERROR(VLOOKUP(FU115,Horarios!$H:$I,2,0),"")</f>
        <v/>
      </c>
      <c r="FX115" s="28" t="str">
        <f t="shared" si="80"/>
        <v>00:00</v>
      </c>
      <c r="FY115" s="29"/>
      <c r="FZ115" s="27"/>
      <c r="GA115" s="27"/>
      <c r="GB115" s="28" t="str">
        <f>IFERROR(VLOOKUP(FZ115,Horarios!$H:$I,2,0),"")</f>
        <v/>
      </c>
      <c r="GC115" s="28" t="str">
        <f>IFERROR(VLOOKUP(GA115,Horarios!$H:$I,2,0),"")</f>
        <v/>
      </c>
      <c r="GD115" s="28" t="str">
        <f t="shared" si="81"/>
        <v>00:00</v>
      </c>
      <c r="GE115" s="29"/>
      <c r="GF115" s="27"/>
      <c r="GG115" s="27"/>
      <c r="GH115" s="28" t="str">
        <f>IFERROR(VLOOKUP(GF115,Horarios!$H:$I,2,0),"")</f>
        <v/>
      </c>
      <c r="GI115" s="28" t="str">
        <f>IFERROR(VLOOKUP(GG115,Horarios!$H:$I,2,0),"")</f>
        <v/>
      </c>
      <c r="GJ115" s="28" t="str">
        <f t="shared" si="82"/>
        <v>00:00</v>
      </c>
      <c r="GK115" s="29"/>
      <c r="GL115" s="27"/>
      <c r="GM115" s="27"/>
      <c r="GN115" s="28" t="str">
        <f>IFERROR(VLOOKUP(GL115,Horarios!$H:$I,2,0),"")</f>
        <v/>
      </c>
      <c r="GO115" s="28" t="str">
        <f>IFERROR(VLOOKUP(GM115,Horarios!$H:$I,2,0),"")</f>
        <v/>
      </c>
      <c r="GP115" s="28" t="str">
        <f t="shared" si="83"/>
        <v>00:00</v>
      </c>
      <c r="GQ115" s="29"/>
      <c r="GR115" s="27"/>
      <c r="GS115" s="27"/>
      <c r="GT115" s="28" t="str">
        <f>IFERROR(VLOOKUP(GR115,Horarios!$H:$I,2,0),"")</f>
        <v/>
      </c>
      <c r="GU115" s="28" t="str">
        <f>IFERROR(VLOOKUP(GS115,Horarios!$H:$I,2,0),"")</f>
        <v/>
      </c>
      <c r="GV115" s="28" t="str">
        <f t="shared" si="84"/>
        <v>00:00</v>
      </c>
      <c r="GW115" s="29"/>
      <c r="GX115" s="27"/>
      <c r="GY115" s="27"/>
      <c r="GZ115" s="28" t="str">
        <f>IFERROR(VLOOKUP(GX115,Horarios!$H:$I,2,0),"")</f>
        <v/>
      </c>
      <c r="HA115" s="28" t="str">
        <f>IFERROR(VLOOKUP(GY115,Horarios!$H:$I,2,0),"")</f>
        <v/>
      </c>
      <c r="HB115" s="28" t="str">
        <f t="shared" si="85"/>
        <v>00:00</v>
      </c>
      <c r="HC115" s="29"/>
      <c r="HD115" s="27"/>
      <c r="HE115" s="27"/>
      <c r="HF115" s="28" t="str">
        <f>IFERROR(VLOOKUP(HD115,Horarios!$H:$I,2,0),"")</f>
        <v/>
      </c>
      <c r="HG115" s="28" t="str">
        <f>IFERROR(VLOOKUP(HE115,Horarios!$H:$I,2,0),"")</f>
        <v/>
      </c>
      <c r="HH115" s="28" t="str">
        <f t="shared" si="86"/>
        <v>00:00</v>
      </c>
      <c r="HI115" s="29"/>
      <c r="HJ115" s="31" t="str">
        <f t="shared" si="87"/>
        <v/>
      </c>
      <c r="HK115" s="27"/>
      <c r="HL115" s="27"/>
      <c r="HM115" s="28" t="str">
        <f>IFERROR(VLOOKUP(HK115,Horarios!$H:$I,2,0),"")</f>
        <v/>
      </c>
      <c r="HN115" s="28" t="str">
        <f>IFERROR(VLOOKUP(HL115,Horarios!$H:$I,2,0),"")</f>
        <v/>
      </c>
      <c r="HO115" s="28" t="str">
        <f t="shared" si="88"/>
        <v>00:00</v>
      </c>
      <c r="HP115" s="29"/>
      <c r="HQ115" s="27"/>
      <c r="HR115" s="27"/>
      <c r="HS115" s="28" t="str">
        <f>IFERROR(VLOOKUP(HQ115,Horarios!$H:$I,2,0),"")</f>
        <v/>
      </c>
      <c r="HT115" s="28" t="str">
        <f>IFERROR(VLOOKUP(HR115,Horarios!$H:$I,2,0),"")</f>
        <v/>
      </c>
      <c r="HU115" s="28" t="str">
        <f t="shared" si="89"/>
        <v>00:00</v>
      </c>
      <c r="HV115" s="29"/>
      <c r="HW115" s="27"/>
      <c r="HX115" s="27"/>
      <c r="HY115" s="28" t="str">
        <f>IFERROR(VLOOKUP(HW115,Horarios!$H:$I,2,0),"")</f>
        <v/>
      </c>
      <c r="HZ115" s="28" t="str">
        <f>IFERROR(VLOOKUP(HX115,Horarios!$H:$I,2,0),"")</f>
        <v/>
      </c>
      <c r="IA115" s="28" t="str">
        <f t="shared" si="90"/>
        <v>00:00</v>
      </c>
      <c r="IB115" s="29"/>
      <c r="IC115" s="27"/>
      <c r="ID115" s="27"/>
      <c r="IE115" s="28" t="str">
        <f>IFERROR(VLOOKUP(IC115,Horarios!$H:$I,2,0),"")</f>
        <v/>
      </c>
      <c r="IF115" s="28" t="str">
        <f>IFERROR(VLOOKUP(ID115,Horarios!$H:$I,2,0),"")</f>
        <v/>
      </c>
      <c r="IG115" s="28" t="str">
        <f t="shared" si="91"/>
        <v>00:00</v>
      </c>
      <c r="IH115" s="29"/>
      <c r="II115" s="27"/>
      <c r="IJ115" s="27"/>
      <c r="IK115" s="28" t="str">
        <f>IFERROR(VLOOKUP(II115,Horarios!$H:$I,2,0),"")</f>
        <v/>
      </c>
      <c r="IL115" s="28" t="str">
        <f>IFERROR(VLOOKUP(IJ115,Horarios!$H:$I,2,0),"")</f>
        <v/>
      </c>
      <c r="IM115" s="28" t="str">
        <f t="shared" si="92"/>
        <v>00:00</v>
      </c>
      <c r="IN115" s="29"/>
      <c r="IO115" s="27"/>
      <c r="IP115" s="27"/>
      <c r="IQ115" s="28" t="str">
        <f>IFERROR(VLOOKUP(IO115,Horarios!$H:$I,2,0),"")</f>
        <v/>
      </c>
      <c r="IR115" s="28" t="str">
        <f>IFERROR(VLOOKUP(IP115,Horarios!$H:$I,2,0),"")</f>
        <v/>
      </c>
      <c r="IS115" s="28" t="str">
        <f t="shared" si="93"/>
        <v>00:00</v>
      </c>
      <c r="IT115" s="29"/>
      <c r="IU115" s="27"/>
      <c r="IV115" s="27"/>
      <c r="IW115" s="28" t="str">
        <f>IFERROR(VLOOKUP(IU115,Horarios!$H:$I,2,0),"")</f>
        <v/>
      </c>
      <c r="IX115" s="28" t="str">
        <f>IFERROR(VLOOKUP(IV115,Horarios!$H:$I,2,0),"")</f>
        <v/>
      </c>
      <c r="IY115" s="28" t="str">
        <f t="shared" si="94"/>
        <v>00:00</v>
      </c>
      <c r="IZ115" s="29"/>
      <c r="JA115" s="31" t="str">
        <f t="shared" si="95"/>
        <v/>
      </c>
    </row>
    <row r="116" spans="1:261" s="24" customFormat="1" ht="17.399999999999999" x14ac:dyDescent="0.25">
      <c r="A116" s="25"/>
      <c r="B116" s="26" t="str">
        <f>IFERROR(VLOOKUP(A116,BaseNombres!A:B,2,0),"")</f>
        <v/>
      </c>
      <c r="C116" s="26" t="str">
        <f>IFERROR(VLOOKUP(A116,BaseNombres!A:C,3,0),"")</f>
        <v/>
      </c>
      <c r="D116" s="27"/>
      <c r="E116" s="27"/>
      <c r="F116" s="28" t="str">
        <f>IFERROR(VLOOKUP(D116,Horarios!$H:$I,2,0),"")</f>
        <v/>
      </c>
      <c r="G116" s="28" t="str">
        <f>IFERROR(VLOOKUP(E116,Horarios!$H:$I,2,0),"")</f>
        <v/>
      </c>
      <c r="H116" s="28" t="str">
        <f t="shared" si="48"/>
        <v>00:00</v>
      </c>
      <c r="I116" s="29"/>
      <c r="J116" s="27"/>
      <c r="K116" s="27"/>
      <c r="L116" s="28" t="str">
        <f>IFERROR(VLOOKUP(J116,Horarios!$H:$I,2,0),"")</f>
        <v/>
      </c>
      <c r="M116" s="28" t="str">
        <f>IFERROR(VLOOKUP(K116,Horarios!$H:$I,2,0),"")</f>
        <v/>
      </c>
      <c r="N116" s="28" t="str">
        <f t="shared" si="49"/>
        <v>00:00</v>
      </c>
      <c r="O116" s="29"/>
      <c r="P116" s="27"/>
      <c r="Q116" s="27"/>
      <c r="R116" s="28" t="str">
        <f>IFERROR(VLOOKUP(P116,Horarios!$H:$I,2,0),"")</f>
        <v/>
      </c>
      <c r="S116" s="28" t="str">
        <f>IFERROR(VLOOKUP(Q116,Horarios!$H:$I,2,0),"")</f>
        <v/>
      </c>
      <c r="T116" s="28" t="str">
        <f t="shared" si="50"/>
        <v>00:00</v>
      </c>
      <c r="U116" s="29"/>
      <c r="V116" s="27"/>
      <c r="W116" s="27"/>
      <c r="X116" s="28" t="str">
        <f>IFERROR(VLOOKUP(V116,Horarios!$H:$I,2,0),"")</f>
        <v/>
      </c>
      <c r="Y116" s="28" t="str">
        <f>IFERROR(VLOOKUP(W116,Horarios!$H:$I,2,0),"")</f>
        <v/>
      </c>
      <c r="Z116" s="28" t="str">
        <f t="shared" si="51"/>
        <v>00:00</v>
      </c>
      <c r="AA116" s="29"/>
      <c r="AB116" s="27"/>
      <c r="AC116" s="27"/>
      <c r="AD116" s="28" t="str">
        <f>IFERROR(VLOOKUP(AB116,Horarios!$H:$I,2,0),"")</f>
        <v/>
      </c>
      <c r="AE116" s="28" t="str">
        <f>IFERROR(VLOOKUP(AC116,Horarios!$H:$I,2,0),"")</f>
        <v/>
      </c>
      <c r="AF116" s="28" t="str">
        <f t="shared" si="52"/>
        <v>00:00</v>
      </c>
      <c r="AG116" s="29"/>
      <c r="AH116" s="27"/>
      <c r="AI116" s="27"/>
      <c r="AJ116" s="28" t="str">
        <f>IFERROR(VLOOKUP(AH116,Horarios!$H:$I,2,0),"")</f>
        <v/>
      </c>
      <c r="AK116" s="28" t="str">
        <f>IFERROR(VLOOKUP(AI116,Horarios!$H:$I,2,0),"")</f>
        <v/>
      </c>
      <c r="AL116" s="28" t="str">
        <f t="shared" si="53"/>
        <v>00:00</v>
      </c>
      <c r="AM116" s="29"/>
      <c r="AN116" s="27"/>
      <c r="AO116" s="27"/>
      <c r="AP116" s="28" t="str">
        <f>IFERROR(VLOOKUP(AN116,Horarios!$H:$I,2,0),"")</f>
        <v/>
      </c>
      <c r="AQ116" s="28" t="str">
        <f>IFERROR(VLOOKUP(AO116,Horarios!$H:$I,2,0),"")</f>
        <v/>
      </c>
      <c r="AR116" s="28" t="str">
        <f t="shared" si="54"/>
        <v>00:00</v>
      </c>
      <c r="AS116" s="29"/>
      <c r="AT116" s="31" t="str">
        <f t="shared" si="55"/>
        <v/>
      </c>
      <c r="AU116" s="27"/>
      <c r="AV116" s="27"/>
      <c r="AW116" s="28" t="str">
        <f>IFERROR(VLOOKUP(AU116,Horarios!$H:$I,2,0),"")</f>
        <v/>
      </c>
      <c r="AX116" s="28" t="str">
        <f>IFERROR(VLOOKUP(AV116,Horarios!$H:$I,2,0),"")</f>
        <v/>
      </c>
      <c r="AY116" s="28" t="str">
        <f t="shared" si="56"/>
        <v>00:00</v>
      </c>
      <c r="AZ116" s="29"/>
      <c r="BA116" s="27"/>
      <c r="BB116" s="27"/>
      <c r="BC116" s="28" t="str">
        <f>IFERROR(VLOOKUP(BA116,Horarios!$H:$I,2,0),"")</f>
        <v/>
      </c>
      <c r="BD116" s="28" t="str">
        <f>IFERROR(VLOOKUP(BB116,Horarios!$H:$I,2,0),"")</f>
        <v/>
      </c>
      <c r="BE116" s="28" t="str">
        <f t="shared" si="57"/>
        <v>00:00</v>
      </c>
      <c r="BF116" s="29"/>
      <c r="BG116" s="27"/>
      <c r="BH116" s="27"/>
      <c r="BI116" s="28" t="str">
        <f>IFERROR(VLOOKUP(BG116,Horarios!$H:$I,2,0),"")</f>
        <v/>
      </c>
      <c r="BJ116" s="28" t="str">
        <f>IFERROR(VLOOKUP(BH116,Horarios!$H:$I,2,0),"")</f>
        <v/>
      </c>
      <c r="BK116" s="28" t="str">
        <f t="shared" si="58"/>
        <v>00:00</v>
      </c>
      <c r="BL116" s="29"/>
      <c r="BM116" s="27"/>
      <c r="BN116" s="27"/>
      <c r="BO116" s="28" t="str">
        <f>IFERROR(VLOOKUP(BM116,Horarios!$H:$I,2,0),"")</f>
        <v/>
      </c>
      <c r="BP116" s="28" t="str">
        <f>IFERROR(VLOOKUP(BN116,Horarios!$H:$I,2,0),"")</f>
        <v/>
      </c>
      <c r="BQ116" s="28" t="str">
        <f t="shared" si="59"/>
        <v>00:00</v>
      </c>
      <c r="BR116" s="29"/>
      <c r="BS116" s="27"/>
      <c r="BT116" s="27"/>
      <c r="BU116" s="28" t="str">
        <f>IFERROR(VLOOKUP(BS116,Horarios!$H:$I,2,0),"")</f>
        <v/>
      </c>
      <c r="BV116" s="28" t="str">
        <f>IFERROR(VLOOKUP(BT116,Horarios!$H:$I,2,0),"")</f>
        <v/>
      </c>
      <c r="BW116" s="28" t="str">
        <f t="shared" si="60"/>
        <v>00:00</v>
      </c>
      <c r="BX116" s="29"/>
      <c r="BY116" s="27"/>
      <c r="BZ116" s="27"/>
      <c r="CA116" s="28" t="str">
        <f>IFERROR(VLOOKUP(BY116,Horarios!$H:$I,2,0),"")</f>
        <v/>
      </c>
      <c r="CB116" s="28" t="str">
        <f>IFERROR(VLOOKUP(BZ116,Horarios!$H:$I,2,0),"")</f>
        <v/>
      </c>
      <c r="CC116" s="28" t="str">
        <f t="shared" si="61"/>
        <v>00:00</v>
      </c>
      <c r="CD116" s="29"/>
      <c r="CE116" s="27"/>
      <c r="CF116" s="27"/>
      <c r="CG116" s="28" t="str">
        <f>IFERROR(VLOOKUP(CE116,Horarios!$H:$I,2,0),"")</f>
        <v/>
      </c>
      <c r="CH116" s="28" t="str">
        <f>IFERROR(VLOOKUP(CF116,Horarios!$H:$I,2,0),"")</f>
        <v/>
      </c>
      <c r="CI116" s="28" t="str">
        <f t="shared" si="62"/>
        <v>00:00</v>
      </c>
      <c r="CJ116" s="29"/>
      <c r="CK116" s="31" t="str">
        <f t="shared" si="63"/>
        <v/>
      </c>
      <c r="CL116" s="27"/>
      <c r="CM116" s="27"/>
      <c r="CN116" s="28" t="str">
        <f>IFERROR(VLOOKUP(CL116,Horarios!$H:$I,2,0),"")</f>
        <v/>
      </c>
      <c r="CO116" s="28" t="str">
        <f>IFERROR(VLOOKUP(CM116,Horarios!$H:$I,2,0),"")</f>
        <v/>
      </c>
      <c r="CP116" s="28" t="str">
        <f t="shared" si="64"/>
        <v>00:00</v>
      </c>
      <c r="CQ116" s="29"/>
      <c r="CR116" s="27"/>
      <c r="CS116" s="27"/>
      <c r="CT116" s="28" t="str">
        <f>IFERROR(VLOOKUP(CR116,Horarios!$H:$I,2,0),"")</f>
        <v/>
      </c>
      <c r="CU116" s="28" t="str">
        <f>IFERROR(VLOOKUP(CS116,Horarios!$H:$I,2,0),"")</f>
        <v/>
      </c>
      <c r="CV116" s="28" t="str">
        <f t="shared" si="65"/>
        <v>00:00</v>
      </c>
      <c r="CW116" s="29"/>
      <c r="CX116" s="27"/>
      <c r="CY116" s="27"/>
      <c r="CZ116" s="28" t="str">
        <f>IFERROR(VLOOKUP(CX116,Horarios!$H:$I,2,0),"")</f>
        <v/>
      </c>
      <c r="DA116" s="28" t="str">
        <f>IFERROR(VLOOKUP(CY116,Horarios!$H:$I,2,0),"")</f>
        <v/>
      </c>
      <c r="DB116" s="28" t="str">
        <f t="shared" si="66"/>
        <v>00:00</v>
      </c>
      <c r="DC116" s="29"/>
      <c r="DD116" s="27"/>
      <c r="DE116" s="27"/>
      <c r="DF116" s="28" t="str">
        <f>IFERROR(VLOOKUP(DD116,Horarios!$H:$I,2,0),"")</f>
        <v/>
      </c>
      <c r="DG116" s="28" t="str">
        <f>IFERROR(VLOOKUP(DE116,Horarios!$H:$I,2,0),"")</f>
        <v/>
      </c>
      <c r="DH116" s="28" t="str">
        <f t="shared" si="67"/>
        <v>00:00</v>
      </c>
      <c r="DI116" s="29"/>
      <c r="DJ116" s="27"/>
      <c r="DK116" s="27"/>
      <c r="DL116" s="28" t="str">
        <f>IFERROR(VLOOKUP(DJ116,Horarios!$H:$I,2,0),"")</f>
        <v/>
      </c>
      <c r="DM116" s="28" t="str">
        <f>IFERROR(VLOOKUP(DK116,Horarios!$H:$I,2,0),"")</f>
        <v/>
      </c>
      <c r="DN116" s="28" t="str">
        <f t="shared" si="68"/>
        <v>00:00</v>
      </c>
      <c r="DO116" s="29"/>
      <c r="DP116" s="27"/>
      <c r="DQ116" s="27"/>
      <c r="DR116" s="28" t="str">
        <f>IFERROR(VLOOKUP(DP116,Horarios!$H:$I,2,0),"")</f>
        <v/>
      </c>
      <c r="DS116" s="28" t="str">
        <f>IFERROR(VLOOKUP(DQ116,Horarios!$H:$I,2,0),"")</f>
        <v/>
      </c>
      <c r="DT116" s="28" t="str">
        <f t="shared" si="69"/>
        <v>00:00</v>
      </c>
      <c r="DU116" s="29"/>
      <c r="DV116" s="27"/>
      <c r="DW116" s="27"/>
      <c r="DX116" s="28" t="str">
        <f>IFERROR(VLOOKUP(DV116,Horarios!$H:$I,2,0),"")</f>
        <v/>
      </c>
      <c r="DY116" s="28" t="str">
        <f>IFERROR(VLOOKUP(DW116,Horarios!$H:$I,2,0),"")</f>
        <v/>
      </c>
      <c r="DZ116" s="28" t="str">
        <f t="shared" si="70"/>
        <v>00:00</v>
      </c>
      <c r="EA116" s="29"/>
      <c r="EB116" s="31" t="str">
        <f t="shared" si="71"/>
        <v/>
      </c>
      <c r="EC116" s="27"/>
      <c r="ED116" s="27"/>
      <c r="EE116" s="28" t="str">
        <f>IFERROR(VLOOKUP(EC116,Horarios!$H:$I,2,0),"")</f>
        <v/>
      </c>
      <c r="EF116" s="28" t="str">
        <f>IFERROR(VLOOKUP(ED116,Horarios!$H:$I,2,0),"")</f>
        <v/>
      </c>
      <c r="EG116" s="28" t="str">
        <f t="shared" si="72"/>
        <v>00:00</v>
      </c>
      <c r="EH116" s="29"/>
      <c r="EI116" s="27"/>
      <c r="EJ116" s="27"/>
      <c r="EK116" s="28" t="str">
        <f>IFERROR(VLOOKUP(EI116,Horarios!$H:$I,2,0),"")</f>
        <v/>
      </c>
      <c r="EL116" s="28" t="str">
        <f>IFERROR(VLOOKUP(EJ116,Horarios!$H:$I,2,0),"")</f>
        <v/>
      </c>
      <c r="EM116" s="28" t="str">
        <f t="shared" si="73"/>
        <v>00:00</v>
      </c>
      <c r="EN116" s="29"/>
      <c r="EO116" s="27"/>
      <c r="EP116" s="27"/>
      <c r="EQ116" s="28" t="str">
        <f>IFERROR(VLOOKUP(EO116,Horarios!$H:$I,2,0),"")</f>
        <v/>
      </c>
      <c r="ER116" s="28" t="str">
        <f>IFERROR(VLOOKUP(EP116,Horarios!$H:$I,2,0),"")</f>
        <v/>
      </c>
      <c r="ES116" s="28" t="str">
        <f t="shared" si="74"/>
        <v>00:00</v>
      </c>
      <c r="ET116" s="29"/>
      <c r="EU116" s="27"/>
      <c r="EV116" s="27"/>
      <c r="EW116" s="28" t="str">
        <f>IFERROR(VLOOKUP(EU116,Horarios!$H:$I,2,0),"")</f>
        <v/>
      </c>
      <c r="EX116" s="28" t="str">
        <f>IFERROR(VLOOKUP(EV116,Horarios!$H:$I,2,0),"")</f>
        <v/>
      </c>
      <c r="EY116" s="28" t="str">
        <f t="shared" si="75"/>
        <v>00:00</v>
      </c>
      <c r="EZ116" s="29"/>
      <c r="FA116" s="27"/>
      <c r="FB116" s="27"/>
      <c r="FC116" s="28" t="str">
        <f>IFERROR(VLOOKUP(FA116,Horarios!$H:$I,2,0),"")</f>
        <v/>
      </c>
      <c r="FD116" s="28" t="str">
        <f>IFERROR(VLOOKUP(FB116,Horarios!$H:$I,2,0),"")</f>
        <v/>
      </c>
      <c r="FE116" s="28" t="str">
        <f t="shared" si="76"/>
        <v>00:00</v>
      </c>
      <c r="FF116" s="29"/>
      <c r="FG116" s="27"/>
      <c r="FH116" s="27"/>
      <c r="FI116" s="28" t="str">
        <f>IFERROR(VLOOKUP(FG116,Horarios!$H:$I,2,0),"")</f>
        <v/>
      </c>
      <c r="FJ116" s="28" t="str">
        <f>IFERROR(VLOOKUP(FH116,Horarios!$H:$I,2,0),"")</f>
        <v/>
      </c>
      <c r="FK116" s="28" t="str">
        <f t="shared" si="77"/>
        <v>00:00</v>
      </c>
      <c r="FL116" s="29"/>
      <c r="FM116" s="27"/>
      <c r="FN116" s="27"/>
      <c r="FO116" s="28" t="str">
        <f>IFERROR(VLOOKUP(FM116,Horarios!$H:$I,2,0),"")</f>
        <v/>
      </c>
      <c r="FP116" s="28" t="str">
        <f>IFERROR(VLOOKUP(FN116,Horarios!$H:$I,2,0),"")</f>
        <v/>
      </c>
      <c r="FQ116" s="28" t="str">
        <f t="shared" si="78"/>
        <v>00:00</v>
      </c>
      <c r="FR116" s="29"/>
      <c r="FS116" s="31" t="str">
        <f t="shared" si="79"/>
        <v/>
      </c>
      <c r="FT116" s="27"/>
      <c r="FU116" s="27"/>
      <c r="FV116" s="28" t="str">
        <f>IFERROR(VLOOKUP(FT116,Horarios!$H:$I,2,0),"")</f>
        <v/>
      </c>
      <c r="FW116" s="28" t="str">
        <f>IFERROR(VLOOKUP(FU116,Horarios!$H:$I,2,0),"")</f>
        <v/>
      </c>
      <c r="FX116" s="28" t="str">
        <f t="shared" si="80"/>
        <v>00:00</v>
      </c>
      <c r="FY116" s="29"/>
      <c r="FZ116" s="27"/>
      <c r="GA116" s="27"/>
      <c r="GB116" s="28" t="str">
        <f>IFERROR(VLOOKUP(FZ116,Horarios!$H:$I,2,0),"")</f>
        <v/>
      </c>
      <c r="GC116" s="28" t="str">
        <f>IFERROR(VLOOKUP(GA116,Horarios!$H:$I,2,0),"")</f>
        <v/>
      </c>
      <c r="GD116" s="28" t="str">
        <f t="shared" si="81"/>
        <v>00:00</v>
      </c>
      <c r="GE116" s="29"/>
      <c r="GF116" s="27"/>
      <c r="GG116" s="27"/>
      <c r="GH116" s="28" t="str">
        <f>IFERROR(VLOOKUP(GF116,Horarios!$H:$I,2,0),"")</f>
        <v/>
      </c>
      <c r="GI116" s="28" t="str">
        <f>IFERROR(VLOOKUP(GG116,Horarios!$H:$I,2,0),"")</f>
        <v/>
      </c>
      <c r="GJ116" s="28" t="str">
        <f t="shared" si="82"/>
        <v>00:00</v>
      </c>
      <c r="GK116" s="29"/>
      <c r="GL116" s="27"/>
      <c r="GM116" s="27"/>
      <c r="GN116" s="28" t="str">
        <f>IFERROR(VLOOKUP(GL116,Horarios!$H:$I,2,0),"")</f>
        <v/>
      </c>
      <c r="GO116" s="28" t="str">
        <f>IFERROR(VLOOKUP(GM116,Horarios!$H:$I,2,0),"")</f>
        <v/>
      </c>
      <c r="GP116" s="28" t="str">
        <f t="shared" si="83"/>
        <v>00:00</v>
      </c>
      <c r="GQ116" s="29"/>
      <c r="GR116" s="27"/>
      <c r="GS116" s="27"/>
      <c r="GT116" s="28" t="str">
        <f>IFERROR(VLOOKUP(GR116,Horarios!$H:$I,2,0),"")</f>
        <v/>
      </c>
      <c r="GU116" s="28" t="str">
        <f>IFERROR(VLOOKUP(GS116,Horarios!$H:$I,2,0),"")</f>
        <v/>
      </c>
      <c r="GV116" s="28" t="str">
        <f t="shared" si="84"/>
        <v>00:00</v>
      </c>
      <c r="GW116" s="29"/>
      <c r="GX116" s="27"/>
      <c r="GY116" s="27"/>
      <c r="GZ116" s="28" t="str">
        <f>IFERROR(VLOOKUP(GX116,Horarios!$H:$I,2,0),"")</f>
        <v/>
      </c>
      <c r="HA116" s="28" t="str">
        <f>IFERROR(VLOOKUP(GY116,Horarios!$H:$I,2,0),"")</f>
        <v/>
      </c>
      <c r="HB116" s="28" t="str">
        <f t="shared" si="85"/>
        <v>00:00</v>
      </c>
      <c r="HC116" s="29"/>
      <c r="HD116" s="27"/>
      <c r="HE116" s="27"/>
      <c r="HF116" s="28" t="str">
        <f>IFERROR(VLOOKUP(HD116,Horarios!$H:$I,2,0),"")</f>
        <v/>
      </c>
      <c r="HG116" s="28" t="str">
        <f>IFERROR(VLOOKUP(HE116,Horarios!$H:$I,2,0),"")</f>
        <v/>
      </c>
      <c r="HH116" s="28" t="str">
        <f t="shared" si="86"/>
        <v>00:00</v>
      </c>
      <c r="HI116" s="29"/>
      <c r="HJ116" s="31" t="str">
        <f t="shared" si="87"/>
        <v/>
      </c>
      <c r="HK116" s="27"/>
      <c r="HL116" s="27"/>
      <c r="HM116" s="28" t="str">
        <f>IFERROR(VLOOKUP(HK116,Horarios!$H:$I,2,0),"")</f>
        <v/>
      </c>
      <c r="HN116" s="28" t="str">
        <f>IFERROR(VLOOKUP(HL116,Horarios!$H:$I,2,0),"")</f>
        <v/>
      </c>
      <c r="HO116" s="28" t="str">
        <f t="shared" si="88"/>
        <v>00:00</v>
      </c>
      <c r="HP116" s="29"/>
      <c r="HQ116" s="27"/>
      <c r="HR116" s="27"/>
      <c r="HS116" s="28" t="str">
        <f>IFERROR(VLOOKUP(HQ116,Horarios!$H:$I,2,0),"")</f>
        <v/>
      </c>
      <c r="HT116" s="28" t="str">
        <f>IFERROR(VLOOKUP(HR116,Horarios!$H:$I,2,0),"")</f>
        <v/>
      </c>
      <c r="HU116" s="28" t="str">
        <f t="shared" si="89"/>
        <v>00:00</v>
      </c>
      <c r="HV116" s="29"/>
      <c r="HW116" s="27"/>
      <c r="HX116" s="27"/>
      <c r="HY116" s="28" t="str">
        <f>IFERROR(VLOOKUP(HW116,Horarios!$H:$I,2,0),"")</f>
        <v/>
      </c>
      <c r="HZ116" s="28" t="str">
        <f>IFERROR(VLOOKUP(HX116,Horarios!$H:$I,2,0),"")</f>
        <v/>
      </c>
      <c r="IA116" s="28" t="str">
        <f t="shared" si="90"/>
        <v>00:00</v>
      </c>
      <c r="IB116" s="29"/>
      <c r="IC116" s="27"/>
      <c r="ID116" s="27"/>
      <c r="IE116" s="28" t="str">
        <f>IFERROR(VLOOKUP(IC116,Horarios!$H:$I,2,0),"")</f>
        <v/>
      </c>
      <c r="IF116" s="28" t="str">
        <f>IFERROR(VLOOKUP(ID116,Horarios!$H:$I,2,0),"")</f>
        <v/>
      </c>
      <c r="IG116" s="28" t="str">
        <f t="shared" si="91"/>
        <v>00:00</v>
      </c>
      <c r="IH116" s="29"/>
      <c r="II116" s="27"/>
      <c r="IJ116" s="27"/>
      <c r="IK116" s="28" t="str">
        <f>IFERROR(VLOOKUP(II116,Horarios!$H:$I,2,0),"")</f>
        <v/>
      </c>
      <c r="IL116" s="28" t="str">
        <f>IFERROR(VLOOKUP(IJ116,Horarios!$H:$I,2,0),"")</f>
        <v/>
      </c>
      <c r="IM116" s="28" t="str">
        <f t="shared" si="92"/>
        <v>00:00</v>
      </c>
      <c r="IN116" s="29"/>
      <c r="IO116" s="27"/>
      <c r="IP116" s="27"/>
      <c r="IQ116" s="28" t="str">
        <f>IFERROR(VLOOKUP(IO116,Horarios!$H:$I,2,0),"")</f>
        <v/>
      </c>
      <c r="IR116" s="28" t="str">
        <f>IFERROR(VLOOKUP(IP116,Horarios!$H:$I,2,0),"")</f>
        <v/>
      </c>
      <c r="IS116" s="28" t="str">
        <f t="shared" si="93"/>
        <v>00:00</v>
      </c>
      <c r="IT116" s="29"/>
      <c r="IU116" s="27"/>
      <c r="IV116" s="27"/>
      <c r="IW116" s="28" t="str">
        <f>IFERROR(VLOOKUP(IU116,Horarios!$H:$I,2,0),"")</f>
        <v/>
      </c>
      <c r="IX116" s="28" t="str">
        <f>IFERROR(VLOOKUP(IV116,Horarios!$H:$I,2,0),"")</f>
        <v/>
      </c>
      <c r="IY116" s="28" t="str">
        <f t="shared" si="94"/>
        <v>00:00</v>
      </c>
      <c r="IZ116" s="29"/>
      <c r="JA116" s="31" t="str">
        <f t="shared" si="95"/>
        <v/>
      </c>
    </row>
    <row r="117" spans="1:261" s="24" customFormat="1" ht="17.399999999999999" x14ac:dyDescent="0.25">
      <c r="A117" s="25"/>
      <c r="B117" s="26" t="str">
        <f>IFERROR(VLOOKUP(A117,BaseNombres!A:B,2,0),"")</f>
        <v/>
      </c>
      <c r="C117" s="26" t="str">
        <f>IFERROR(VLOOKUP(A117,BaseNombres!A:C,3,0),"")</f>
        <v/>
      </c>
      <c r="D117" s="27"/>
      <c r="E117" s="27"/>
      <c r="F117" s="28" t="str">
        <f>IFERROR(VLOOKUP(D117,Horarios!$H:$I,2,0),"")</f>
        <v/>
      </c>
      <c r="G117" s="28" t="str">
        <f>IFERROR(VLOOKUP(E117,Horarios!$H:$I,2,0),"")</f>
        <v/>
      </c>
      <c r="H117" s="28" t="str">
        <f t="shared" si="48"/>
        <v>00:00</v>
      </c>
      <c r="I117" s="29"/>
      <c r="J117" s="27"/>
      <c r="K117" s="27"/>
      <c r="L117" s="28" t="str">
        <f>IFERROR(VLOOKUP(J117,Horarios!$H:$I,2,0),"")</f>
        <v/>
      </c>
      <c r="M117" s="28" t="str">
        <f>IFERROR(VLOOKUP(K117,Horarios!$H:$I,2,0),"")</f>
        <v/>
      </c>
      <c r="N117" s="28" t="str">
        <f t="shared" si="49"/>
        <v>00:00</v>
      </c>
      <c r="O117" s="29"/>
      <c r="P117" s="27"/>
      <c r="Q117" s="27"/>
      <c r="R117" s="28" t="str">
        <f>IFERROR(VLOOKUP(P117,Horarios!$H:$I,2,0),"")</f>
        <v/>
      </c>
      <c r="S117" s="28" t="str">
        <f>IFERROR(VLOOKUP(Q117,Horarios!$H:$I,2,0),"")</f>
        <v/>
      </c>
      <c r="T117" s="28" t="str">
        <f t="shared" si="50"/>
        <v>00:00</v>
      </c>
      <c r="U117" s="29"/>
      <c r="V117" s="27"/>
      <c r="W117" s="27"/>
      <c r="X117" s="28" t="str">
        <f>IFERROR(VLOOKUP(V117,Horarios!$H:$I,2,0),"")</f>
        <v/>
      </c>
      <c r="Y117" s="28" t="str">
        <f>IFERROR(VLOOKUP(W117,Horarios!$H:$I,2,0),"")</f>
        <v/>
      </c>
      <c r="Z117" s="28" t="str">
        <f t="shared" si="51"/>
        <v>00:00</v>
      </c>
      <c r="AA117" s="29"/>
      <c r="AB117" s="27"/>
      <c r="AC117" s="27"/>
      <c r="AD117" s="28" t="str">
        <f>IFERROR(VLOOKUP(AB117,Horarios!$H:$I,2,0),"")</f>
        <v/>
      </c>
      <c r="AE117" s="28" t="str">
        <f>IFERROR(VLOOKUP(AC117,Horarios!$H:$I,2,0),"")</f>
        <v/>
      </c>
      <c r="AF117" s="28" t="str">
        <f t="shared" si="52"/>
        <v>00:00</v>
      </c>
      <c r="AG117" s="29"/>
      <c r="AH117" s="27"/>
      <c r="AI117" s="27"/>
      <c r="AJ117" s="28" t="str">
        <f>IFERROR(VLOOKUP(AH117,Horarios!$H:$I,2,0),"")</f>
        <v/>
      </c>
      <c r="AK117" s="28" t="str">
        <f>IFERROR(VLOOKUP(AI117,Horarios!$H:$I,2,0),"")</f>
        <v/>
      </c>
      <c r="AL117" s="28" t="str">
        <f t="shared" si="53"/>
        <v>00:00</v>
      </c>
      <c r="AM117" s="29"/>
      <c r="AN117" s="27"/>
      <c r="AO117" s="27"/>
      <c r="AP117" s="28" t="str">
        <f>IFERROR(VLOOKUP(AN117,Horarios!$H:$I,2,0),"")</f>
        <v/>
      </c>
      <c r="AQ117" s="28" t="str">
        <f>IFERROR(VLOOKUP(AO117,Horarios!$H:$I,2,0),"")</f>
        <v/>
      </c>
      <c r="AR117" s="28" t="str">
        <f t="shared" si="54"/>
        <v>00:00</v>
      </c>
      <c r="AS117" s="29"/>
      <c r="AT117" s="31" t="str">
        <f t="shared" si="55"/>
        <v/>
      </c>
      <c r="AU117" s="27"/>
      <c r="AV117" s="27"/>
      <c r="AW117" s="28" t="str">
        <f>IFERROR(VLOOKUP(AU117,Horarios!$H:$I,2,0),"")</f>
        <v/>
      </c>
      <c r="AX117" s="28" t="str">
        <f>IFERROR(VLOOKUP(AV117,Horarios!$H:$I,2,0),"")</f>
        <v/>
      </c>
      <c r="AY117" s="28" t="str">
        <f t="shared" si="56"/>
        <v>00:00</v>
      </c>
      <c r="AZ117" s="29"/>
      <c r="BA117" s="27"/>
      <c r="BB117" s="27"/>
      <c r="BC117" s="28" t="str">
        <f>IFERROR(VLOOKUP(BA117,Horarios!$H:$I,2,0),"")</f>
        <v/>
      </c>
      <c r="BD117" s="28" t="str">
        <f>IFERROR(VLOOKUP(BB117,Horarios!$H:$I,2,0),"")</f>
        <v/>
      </c>
      <c r="BE117" s="28" t="str">
        <f t="shared" si="57"/>
        <v>00:00</v>
      </c>
      <c r="BF117" s="29"/>
      <c r="BG117" s="27"/>
      <c r="BH117" s="27"/>
      <c r="BI117" s="28" t="str">
        <f>IFERROR(VLOOKUP(BG117,Horarios!$H:$I,2,0),"")</f>
        <v/>
      </c>
      <c r="BJ117" s="28" t="str">
        <f>IFERROR(VLOOKUP(BH117,Horarios!$H:$I,2,0),"")</f>
        <v/>
      </c>
      <c r="BK117" s="28" t="str">
        <f t="shared" si="58"/>
        <v>00:00</v>
      </c>
      <c r="BL117" s="29"/>
      <c r="BM117" s="27"/>
      <c r="BN117" s="27"/>
      <c r="BO117" s="28" t="str">
        <f>IFERROR(VLOOKUP(BM117,Horarios!$H:$I,2,0),"")</f>
        <v/>
      </c>
      <c r="BP117" s="28" t="str">
        <f>IFERROR(VLOOKUP(BN117,Horarios!$H:$I,2,0),"")</f>
        <v/>
      </c>
      <c r="BQ117" s="28" t="str">
        <f t="shared" si="59"/>
        <v>00:00</v>
      </c>
      <c r="BR117" s="29"/>
      <c r="BS117" s="27"/>
      <c r="BT117" s="27"/>
      <c r="BU117" s="28" t="str">
        <f>IFERROR(VLOOKUP(BS117,Horarios!$H:$I,2,0),"")</f>
        <v/>
      </c>
      <c r="BV117" s="28" t="str">
        <f>IFERROR(VLOOKUP(BT117,Horarios!$H:$I,2,0),"")</f>
        <v/>
      </c>
      <c r="BW117" s="28" t="str">
        <f t="shared" si="60"/>
        <v>00:00</v>
      </c>
      <c r="BX117" s="29"/>
      <c r="BY117" s="27"/>
      <c r="BZ117" s="27"/>
      <c r="CA117" s="28" t="str">
        <f>IFERROR(VLOOKUP(BY117,Horarios!$H:$I,2,0),"")</f>
        <v/>
      </c>
      <c r="CB117" s="28" t="str">
        <f>IFERROR(VLOOKUP(BZ117,Horarios!$H:$I,2,0),"")</f>
        <v/>
      </c>
      <c r="CC117" s="28" t="str">
        <f t="shared" si="61"/>
        <v>00:00</v>
      </c>
      <c r="CD117" s="29"/>
      <c r="CE117" s="27"/>
      <c r="CF117" s="27"/>
      <c r="CG117" s="28" t="str">
        <f>IFERROR(VLOOKUP(CE117,Horarios!$H:$I,2,0),"")</f>
        <v/>
      </c>
      <c r="CH117" s="28" t="str">
        <f>IFERROR(VLOOKUP(CF117,Horarios!$H:$I,2,0),"")</f>
        <v/>
      </c>
      <c r="CI117" s="28" t="str">
        <f t="shared" si="62"/>
        <v>00:00</v>
      </c>
      <c r="CJ117" s="29"/>
      <c r="CK117" s="31" t="str">
        <f t="shared" si="63"/>
        <v/>
      </c>
      <c r="CL117" s="27"/>
      <c r="CM117" s="27"/>
      <c r="CN117" s="28" t="str">
        <f>IFERROR(VLOOKUP(CL117,Horarios!$H:$I,2,0),"")</f>
        <v/>
      </c>
      <c r="CO117" s="28" t="str">
        <f>IFERROR(VLOOKUP(CM117,Horarios!$H:$I,2,0),"")</f>
        <v/>
      </c>
      <c r="CP117" s="28" t="str">
        <f t="shared" si="64"/>
        <v>00:00</v>
      </c>
      <c r="CQ117" s="29"/>
      <c r="CR117" s="27"/>
      <c r="CS117" s="27"/>
      <c r="CT117" s="28" t="str">
        <f>IFERROR(VLOOKUP(CR117,Horarios!$H:$I,2,0),"")</f>
        <v/>
      </c>
      <c r="CU117" s="28" t="str">
        <f>IFERROR(VLOOKUP(CS117,Horarios!$H:$I,2,0),"")</f>
        <v/>
      </c>
      <c r="CV117" s="28" t="str">
        <f t="shared" si="65"/>
        <v>00:00</v>
      </c>
      <c r="CW117" s="29"/>
      <c r="CX117" s="27"/>
      <c r="CY117" s="27"/>
      <c r="CZ117" s="28" t="str">
        <f>IFERROR(VLOOKUP(CX117,Horarios!$H:$I,2,0),"")</f>
        <v/>
      </c>
      <c r="DA117" s="28" t="str">
        <f>IFERROR(VLOOKUP(CY117,Horarios!$H:$I,2,0),"")</f>
        <v/>
      </c>
      <c r="DB117" s="28" t="str">
        <f t="shared" si="66"/>
        <v>00:00</v>
      </c>
      <c r="DC117" s="29"/>
      <c r="DD117" s="27"/>
      <c r="DE117" s="27"/>
      <c r="DF117" s="28" t="str">
        <f>IFERROR(VLOOKUP(DD117,Horarios!$H:$I,2,0),"")</f>
        <v/>
      </c>
      <c r="DG117" s="28" t="str">
        <f>IFERROR(VLOOKUP(DE117,Horarios!$H:$I,2,0),"")</f>
        <v/>
      </c>
      <c r="DH117" s="28" t="str">
        <f t="shared" si="67"/>
        <v>00:00</v>
      </c>
      <c r="DI117" s="29"/>
      <c r="DJ117" s="27"/>
      <c r="DK117" s="27"/>
      <c r="DL117" s="28" t="str">
        <f>IFERROR(VLOOKUP(DJ117,Horarios!$H:$I,2,0),"")</f>
        <v/>
      </c>
      <c r="DM117" s="28" t="str">
        <f>IFERROR(VLOOKUP(DK117,Horarios!$H:$I,2,0),"")</f>
        <v/>
      </c>
      <c r="DN117" s="28" t="str">
        <f t="shared" si="68"/>
        <v>00:00</v>
      </c>
      <c r="DO117" s="29"/>
      <c r="DP117" s="27"/>
      <c r="DQ117" s="27"/>
      <c r="DR117" s="28" t="str">
        <f>IFERROR(VLOOKUP(DP117,Horarios!$H:$I,2,0),"")</f>
        <v/>
      </c>
      <c r="DS117" s="28" t="str">
        <f>IFERROR(VLOOKUP(DQ117,Horarios!$H:$I,2,0),"")</f>
        <v/>
      </c>
      <c r="DT117" s="28" t="str">
        <f t="shared" si="69"/>
        <v>00:00</v>
      </c>
      <c r="DU117" s="29"/>
      <c r="DV117" s="27"/>
      <c r="DW117" s="27"/>
      <c r="DX117" s="28" t="str">
        <f>IFERROR(VLOOKUP(DV117,Horarios!$H:$I,2,0),"")</f>
        <v/>
      </c>
      <c r="DY117" s="28" t="str">
        <f>IFERROR(VLOOKUP(DW117,Horarios!$H:$I,2,0),"")</f>
        <v/>
      </c>
      <c r="DZ117" s="28" t="str">
        <f t="shared" si="70"/>
        <v>00:00</v>
      </c>
      <c r="EA117" s="29"/>
      <c r="EB117" s="31" t="str">
        <f t="shared" si="71"/>
        <v/>
      </c>
      <c r="EC117" s="27"/>
      <c r="ED117" s="27"/>
      <c r="EE117" s="28" t="str">
        <f>IFERROR(VLOOKUP(EC117,Horarios!$H:$I,2,0),"")</f>
        <v/>
      </c>
      <c r="EF117" s="28" t="str">
        <f>IFERROR(VLOOKUP(ED117,Horarios!$H:$I,2,0),"")</f>
        <v/>
      </c>
      <c r="EG117" s="28" t="str">
        <f t="shared" si="72"/>
        <v>00:00</v>
      </c>
      <c r="EH117" s="29"/>
      <c r="EI117" s="27"/>
      <c r="EJ117" s="27"/>
      <c r="EK117" s="28" t="str">
        <f>IFERROR(VLOOKUP(EI117,Horarios!$H:$I,2,0),"")</f>
        <v/>
      </c>
      <c r="EL117" s="28" t="str">
        <f>IFERROR(VLOOKUP(EJ117,Horarios!$H:$I,2,0),"")</f>
        <v/>
      </c>
      <c r="EM117" s="28" t="str">
        <f t="shared" si="73"/>
        <v>00:00</v>
      </c>
      <c r="EN117" s="29"/>
      <c r="EO117" s="27"/>
      <c r="EP117" s="27"/>
      <c r="EQ117" s="28" t="str">
        <f>IFERROR(VLOOKUP(EO117,Horarios!$H:$I,2,0),"")</f>
        <v/>
      </c>
      <c r="ER117" s="28" t="str">
        <f>IFERROR(VLOOKUP(EP117,Horarios!$H:$I,2,0),"")</f>
        <v/>
      </c>
      <c r="ES117" s="28" t="str">
        <f t="shared" si="74"/>
        <v>00:00</v>
      </c>
      <c r="ET117" s="29"/>
      <c r="EU117" s="27"/>
      <c r="EV117" s="27"/>
      <c r="EW117" s="28" t="str">
        <f>IFERROR(VLOOKUP(EU117,Horarios!$H:$I,2,0),"")</f>
        <v/>
      </c>
      <c r="EX117" s="28" t="str">
        <f>IFERROR(VLOOKUP(EV117,Horarios!$H:$I,2,0),"")</f>
        <v/>
      </c>
      <c r="EY117" s="28" t="str">
        <f t="shared" si="75"/>
        <v>00:00</v>
      </c>
      <c r="EZ117" s="29"/>
      <c r="FA117" s="27"/>
      <c r="FB117" s="27"/>
      <c r="FC117" s="28" t="str">
        <f>IFERROR(VLOOKUP(FA117,Horarios!$H:$I,2,0),"")</f>
        <v/>
      </c>
      <c r="FD117" s="28" t="str">
        <f>IFERROR(VLOOKUP(FB117,Horarios!$H:$I,2,0),"")</f>
        <v/>
      </c>
      <c r="FE117" s="28" t="str">
        <f t="shared" si="76"/>
        <v>00:00</v>
      </c>
      <c r="FF117" s="29"/>
      <c r="FG117" s="27"/>
      <c r="FH117" s="27"/>
      <c r="FI117" s="28" t="str">
        <f>IFERROR(VLOOKUP(FG117,Horarios!$H:$I,2,0),"")</f>
        <v/>
      </c>
      <c r="FJ117" s="28" t="str">
        <f>IFERROR(VLOOKUP(FH117,Horarios!$H:$I,2,0),"")</f>
        <v/>
      </c>
      <c r="FK117" s="28" t="str">
        <f t="shared" si="77"/>
        <v>00:00</v>
      </c>
      <c r="FL117" s="29"/>
      <c r="FM117" s="27"/>
      <c r="FN117" s="27"/>
      <c r="FO117" s="28" t="str">
        <f>IFERROR(VLOOKUP(FM117,Horarios!$H:$I,2,0),"")</f>
        <v/>
      </c>
      <c r="FP117" s="28" t="str">
        <f>IFERROR(VLOOKUP(FN117,Horarios!$H:$I,2,0),"")</f>
        <v/>
      </c>
      <c r="FQ117" s="28" t="str">
        <f t="shared" si="78"/>
        <v>00:00</v>
      </c>
      <c r="FR117" s="29"/>
      <c r="FS117" s="31" t="str">
        <f t="shared" si="79"/>
        <v/>
      </c>
      <c r="FT117" s="27"/>
      <c r="FU117" s="27"/>
      <c r="FV117" s="28" t="str">
        <f>IFERROR(VLOOKUP(FT117,Horarios!$H:$I,2,0),"")</f>
        <v/>
      </c>
      <c r="FW117" s="28" t="str">
        <f>IFERROR(VLOOKUP(FU117,Horarios!$H:$I,2,0),"")</f>
        <v/>
      </c>
      <c r="FX117" s="28" t="str">
        <f t="shared" si="80"/>
        <v>00:00</v>
      </c>
      <c r="FY117" s="29"/>
      <c r="FZ117" s="27"/>
      <c r="GA117" s="27"/>
      <c r="GB117" s="28" t="str">
        <f>IFERROR(VLOOKUP(FZ117,Horarios!$H:$I,2,0),"")</f>
        <v/>
      </c>
      <c r="GC117" s="28" t="str">
        <f>IFERROR(VLOOKUP(GA117,Horarios!$H:$I,2,0),"")</f>
        <v/>
      </c>
      <c r="GD117" s="28" t="str">
        <f t="shared" si="81"/>
        <v>00:00</v>
      </c>
      <c r="GE117" s="29"/>
      <c r="GF117" s="27"/>
      <c r="GG117" s="27"/>
      <c r="GH117" s="28" t="str">
        <f>IFERROR(VLOOKUP(GF117,Horarios!$H:$I,2,0),"")</f>
        <v/>
      </c>
      <c r="GI117" s="28" t="str">
        <f>IFERROR(VLOOKUP(GG117,Horarios!$H:$I,2,0),"")</f>
        <v/>
      </c>
      <c r="GJ117" s="28" t="str">
        <f t="shared" si="82"/>
        <v>00:00</v>
      </c>
      <c r="GK117" s="29"/>
      <c r="GL117" s="27"/>
      <c r="GM117" s="27"/>
      <c r="GN117" s="28" t="str">
        <f>IFERROR(VLOOKUP(GL117,Horarios!$H:$I,2,0),"")</f>
        <v/>
      </c>
      <c r="GO117" s="28" t="str">
        <f>IFERROR(VLOOKUP(GM117,Horarios!$H:$I,2,0),"")</f>
        <v/>
      </c>
      <c r="GP117" s="28" t="str">
        <f t="shared" si="83"/>
        <v>00:00</v>
      </c>
      <c r="GQ117" s="29"/>
      <c r="GR117" s="27"/>
      <c r="GS117" s="27"/>
      <c r="GT117" s="28" t="str">
        <f>IFERROR(VLOOKUP(GR117,Horarios!$H:$I,2,0),"")</f>
        <v/>
      </c>
      <c r="GU117" s="28" t="str">
        <f>IFERROR(VLOOKUP(GS117,Horarios!$H:$I,2,0),"")</f>
        <v/>
      </c>
      <c r="GV117" s="28" t="str">
        <f t="shared" si="84"/>
        <v>00:00</v>
      </c>
      <c r="GW117" s="29"/>
      <c r="GX117" s="27"/>
      <c r="GY117" s="27"/>
      <c r="GZ117" s="28" t="str">
        <f>IFERROR(VLOOKUP(GX117,Horarios!$H:$I,2,0),"")</f>
        <v/>
      </c>
      <c r="HA117" s="28" t="str">
        <f>IFERROR(VLOOKUP(GY117,Horarios!$H:$I,2,0),"")</f>
        <v/>
      </c>
      <c r="HB117" s="28" t="str">
        <f t="shared" si="85"/>
        <v>00:00</v>
      </c>
      <c r="HC117" s="29"/>
      <c r="HD117" s="27"/>
      <c r="HE117" s="27"/>
      <c r="HF117" s="28" t="str">
        <f>IFERROR(VLOOKUP(HD117,Horarios!$H:$I,2,0),"")</f>
        <v/>
      </c>
      <c r="HG117" s="28" t="str">
        <f>IFERROR(VLOOKUP(HE117,Horarios!$H:$I,2,0),"")</f>
        <v/>
      </c>
      <c r="HH117" s="28" t="str">
        <f t="shared" si="86"/>
        <v>00:00</v>
      </c>
      <c r="HI117" s="29"/>
      <c r="HJ117" s="31" t="str">
        <f t="shared" si="87"/>
        <v/>
      </c>
      <c r="HK117" s="27"/>
      <c r="HL117" s="27"/>
      <c r="HM117" s="28" t="str">
        <f>IFERROR(VLOOKUP(HK117,Horarios!$H:$I,2,0),"")</f>
        <v/>
      </c>
      <c r="HN117" s="28" t="str">
        <f>IFERROR(VLOOKUP(HL117,Horarios!$H:$I,2,0),"")</f>
        <v/>
      </c>
      <c r="HO117" s="28" t="str">
        <f t="shared" si="88"/>
        <v>00:00</v>
      </c>
      <c r="HP117" s="29"/>
      <c r="HQ117" s="27"/>
      <c r="HR117" s="27"/>
      <c r="HS117" s="28" t="str">
        <f>IFERROR(VLOOKUP(HQ117,Horarios!$H:$I,2,0),"")</f>
        <v/>
      </c>
      <c r="HT117" s="28" t="str">
        <f>IFERROR(VLOOKUP(HR117,Horarios!$H:$I,2,0),"")</f>
        <v/>
      </c>
      <c r="HU117" s="28" t="str">
        <f t="shared" si="89"/>
        <v>00:00</v>
      </c>
      <c r="HV117" s="29"/>
      <c r="HW117" s="27"/>
      <c r="HX117" s="27"/>
      <c r="HY117" s="28" t="str">
        <f>IFERROR(VLOOKUP(HW117,Horarios!$H:$I,2,0),"")</f>
        <v/>
      </c>
      <c r="HZ117" s="28" t="str">
        <f>IFERROR(VLOOKUP(HX117,Horarios!$H:$I,2,0),"")</f>
        <v/>
      </c>
      <c r="IA117" s="28" t="str">
        <f t="shared" si="90"/>
        <v>00:00</v>
      </c>
      <c r="IB117" s="29"/>
      <c r="IC117" s="27"/>
      <c r="ID117" s="27"/>
      <c r="IE117" s="28" t="str">
        <f>IFERROR(VLOOKUP(IC117,Horarios!$H:$I,2,0),"")</f>
        <v/>
      </c>
      <c r="IF117" s="28" t="str">
        <f>IFERROR(VLOOKUP(ID117,Horarios!$H:$I,2,0),"")</f>
        <v/>
      </c>
      <c r="IG117" s="28" t="str">
        <f t="shared" si="91"/>
        <v>00:00</v>
      </c>
      <c r="IH117" s="29"/>
      <c r="II117" s="27"/>
      <c r="IJ117" s="27"/>
      <c r="IK117" s="28" t="str">
        <f>IFERROR(VLOOKUP(II117,Horarios!$H:$I,2,0),"")</f>
        <v/>
      </c>
      <c r="IL117" s="28" t="str">
        <f>IFERROR(VLOOKUP(IJ117,Horarios!$H:$I,2,0),"")</f>
        <v/>
      </c>
      <c r="IM117" s="28" t="str">
        <f t="shared" si="92"/>
        <v>00:00</v>
      </c>
      <c r="IN117" s="29"/>
      <c r="IO117" s="27"/>
      <c r="IP117" s="27"/>
      <c r="IQ117" s="28" t="str">
        <f>IFERROR(VLOOKUP(IO117,Horarios!$H:$I,2,0),"")</f>
        <v/>
      </c>
      <c r="IR117" s="28" t="str">
        <f>IFERROR(VLOOKUP(IP117,Horarios!$H:$I,2,0),"")</f>
        <v/>
      </c>
      <c r="IS117" s="28" t="str">
        <f t="shared" si="93"/>
        <v>00:00</v>
      </c>
      <c r="IT117" s="29"/>
      <c r="IU117" s="27"/>
      <c r="IV117" s="27"/>
      <c r="IW117" s="28" t="str">
        <f>IFERROR(VLOOKUP(IU117,Horarios!$H:$I,2,0),"")</f>
        <v/>
      </c>
      <c r="IX117" s="28" t="str">
        <f>IFERROR(VLOOKUP(IV117,Horarios!$H:$I,2,0),"")</f>
        <v/>
      </c>
      <c r="IY117" s="28" t="str">
        <f t="shared" si="94"/>
        <v>00:00</v>
      </c>
      <c r="IZ117" s="29"/>
      <c r="JA117" s="31" t="str">
        <f t="shared" si="95"/>
        <v/>
      </c>
    </row>
    <row r="118" spans="1:261" s="24" customFormat="1" ht="17.399999999999999" x14ac:dyDescent="0.25">
      <c r="A118" s="25"/>
      <c r="B118" s="26" t="str">
        <f>IFERROR(VLOOKUP(A118,BaseNombres!A:B,2,0),"")</f>
        <v/>
      </c>
      <c r="C118" s="26" t="str">
        <f>IFERROR(VLOOKUP(A118,BaseNombres!A:C,3,0),"")</f>
        <v/>
      </c>
      <c r="D118" s="27"/>
      <c r="E118" s="27"/>
      <c r="F118" s="28" t="str">
        <f>IFERROR(VLOOKUP(D118,Horarios!$H:$I,2,0),"")</f>
        <v/>
      </c>
      <c r="G118" s="28" t="str">
        <f>IFERROR(VLOOKUP(E118,Horarios!$H:$I,2,0),"")</f>
        <v/>
      </c>
      <c r="H118" s="28" t="str">
        <f t="shared" si="48"/>
        <v>00:00</v>
      </c>
      <c r="I118" s="29"/>
      <c r="J118" s="27"/>
      <c r="K118" s="27"/>
      <c r="L118" s="28" t="str">
        <f>IFERROR(VLOOKUP(J118,Horarios!$H:$I,2,0),"")</f>
        <v/>
      </c>
      <c r="M118" s="28" t="str">
        <f>IFERROR(VLOOKUP(K118,Horarios!$H:$I,2,0),"")</f>
        <v/>
      </c>
      <c r="N118" s="28" t="str">
        <f t="shared" si="49"/>
        <v>00:00</v>
      </c>
      <c r="O118" s="29"/>
      <c r="P118" s="27"/>
      <c r="Q118" s="27"/>
      <c r="R118" s="28" t="str">
        <f>IFERROR(VLOOKUP(P118,Horarios!$H:$I,2,0),"")</f>
        <v/>
      </c>
      <c r="S118" s="28" t="str">
        <f>IFERROR(VLOOKUP(Q118,Horarios!$H:$I,2,0),"")</f>
        <v/>
      </c>
      <c r="T118" s="28" t="str">
        <f t="shared" si="50"/>
        <v>00:00</v>
      </c>
      <c r="U118" s="29"/>
      <c r="V118" s="27"/>
      <c r="W118" s="27"/>
      <c r="X118" s="28" t="str">
        <f>IFERROR(VLOOKUP(V118,Horarios!$H:$I,2,0),"")</f>
        <v/>
      </c>
      <c r="Y118" s="28" t="str">
        <f>IFERROR(VLOOKUP(W118,Horarios!$H:$I,2,0),"")</f>
        <v/>
      </c>
      <c r="Z118" s="28" t="str">
        <f t="shared" si="51"/>
        <v>00:00</v>
      </c>
      <c r="AA118" s="29"/>
      <c r="AB118" s="27"/>
      <c r="AC118" s="27"/>
      <c r="AD118" s="28" t="str">
        <f>IFERROR(VLOOKUP(AB118,Horarios!$H:$I,2,0),"")</f>
        <v/>
      </c>
      <c r="AE118" s="28" t="str">
        <f>IFERROR(VLOOKUP(AC118,Horarios!$H:$I,2,0),"")</f>
        <v/>
      </c>
      <c r="AF118" s="28" t="str">
        <f t="shared" si="52"/>
        <v>00:00</v>
      </c>
      <c r="AG118" s="29"/>
      <c r="AH118" s="27"/>
      <c r="AI118" s="27"/>
      <c r="AJ118" s="28" t="str">
        <f>IFERROR(VLOOKUP(AH118,Horarios!$H:$I,2,0),"")</f>
        <v/>
      </c>
      <c r="AK118" s="28" t="str">
        <f>IFERROR(VLOOKUP(AI118,Horarios!$H:$I,2,0),"")</f>
        <v/>
      </c>
      <c r="AL118" s="28" t="str">
        <f t="shared" si="53"/>
        <v>00:00</v>
      </c>
      <c r="AM118" s="29"/>
      <c r="AN118" s="27"/>
      <c r="AO118" s="27"/>
      <c r="AP118" s="28" t="str">
        <f>IFERROR(VLOOKUP(AN118,Horarios!$H:$I,2,0),"")</f>
        <v/>
      </c>
      <c r="AQ118" s="28" t="str">
        <f>IFERROR(VLOOKUP(AO118,Horarios!$H:$I,2,0),"")</f>
        <v/>
      </c>
      <c r="AR118" s="28" t="str">
        <f t="shared" si="54"/>
        <v>00:00</v>
      </c>
      <c r="AS118" s="29"/>
      <c r="AT118" s="31" t="str">
        <f t="shared" si="55"/>
        <v/>
      </c>
      <c r="AU118" s="27"/>
      <c r="AV118" s="27"/>
      <c r="AW118" s="28" t="str">
        <f>IFERROR(VLOOKUP(AU118,Horarios!$H:$I,2,0),"")</f>
        <v/>
      </c>
      <c r="AX118" s="28" t="str">
        <f>IFERROR(VLOOKUP(AV118,Horarios!$H:$I,2,0),"")</f>
        <v/>
      </c>
      <c r="AY118" s="28" t="str">
        <f t="shared" si="56"/>
        <v>00:00</v>
      </c>
      <c r="AZ118" s="29"/>
      <c r="BA118" s="27"/>
      <c r="BB118" s="27"/>
      <c r="BC118" s="28" t="str">
        <f>IFERROR(VLOOKUP(BA118,Horarios!$H:$I,2,0),"")</f>
        <v/>
      </c>
      <c r="BD118" s="28" t="str">
        <f>IFERROR(VLOOKUP(BB118,Horarios!$H:$I,2,0),"")</f>
        <v/>
      </c>
      <c r="BE118" s="28" t="str">
        <f t="shared" si="57"/>
        <v>00:00</v>
      </c>
      <c r="BF118" s="29"/>
      <c r="BG118" s="27"/>
      <c r="BH118" s="27"/>
      <c r="BI118" s="28" t="str">
        <f>IFERROR(VLOOKUP(BG118,Horarios!$H:$I,2,0),"")</f>
        <v/>
      </c>
      <c r="BJ118" s="28" t="str">
        <f>IFERROR(VLOOKUP(BH118,Horarios!$H:$I,2,0),"")</f>
        <v/>
      </c>
      <c r="BK118" s="28" t="str">
        <f t="shared" si="58"/>
        <v>00:00</v>
      </c>
      <c r="BL118" s="29"/>
      <c r="BM118" s="27"/>
      <c r="BN118" s="27"/>
      <c r="BO118" s="28" t="str">
        <f>IFERROR(VLOOKUP(BM118,Horarios!$H:$I,2,0),"")</f>
        <v/>
      </c>
      <c r="BP118" s="28" t="str">
        <f>IFERROR(VLOOKUP(BN118,Horarios!$H:$I,2,0),"")</f>
        <v/>
      </c>
      <c r="BQ118" s="28" t="str">
        <f t="shared" si="59"/>
        <v>00:00</v>
      </c>
      <c r="BR118" s="29"/>
      <c r="BS118" s="27"/>
      <c r="BT118" s="27"/>
      <c r="BU118" s="28" t="str">
        <f>IFERROR(VLOOKUP(BS118,Horarios!$H:$I,2,0),"")</f>
        <v/>
      </c>
      <c r="BV118" s="28" t="str">
        <f>IFERROR(VLOOKUP(BT118,Horarios!$H:$I,2,0),"")</f>
        <v/>
      </c>
      <c r="BW118" s="28" t="str">
        <f t="shared" si="60"/>
        <v>00:00</v>
      </c>
      <c r="BX118" s="29"/>
      <c r="BY118" s="27"/>
      <c r="BZ118" s="27"/>
      <c r="CA118" s="28" t="str">
        <f>IFERROR(VLOOKUP(BY118,Horarios!$H:$I,2,0),"")</f>
        <v/>
      </c>
      <c r="CB118" s="28" t="str">
        <f>IFERROR(VLOOKUP(BZ118,Horarios!$H:$I,2,0),"")</f>
        <v/>
      </c>
      <c r="CC118" s="28" t="str">
        <f t="shared" si="61"/>
        <v>00:00</v>
      </c>
      <c r="CD118" s="29"/>
      <c r="CE118" s="27"/>
      <c r="CF118" s="27"/>
      <c r="CG118" s="28" t="str">
        <f>IFERROR(VLOOKUP(CE118,Horarios!$H:$I,2,0),"")</f>
        <v/>
      </c>
      <c r="CH118" s="28" t="str">
        <f>IFERROR(VLOOKUP(CF118,Horarios!$H:$I,2,0),"")</f>
        <v/>
      </c>
      <c r="CI118" s="28" t="str">
        <f t="shared" si="62"/>
        <v>00:00</v>
      </c>
      <c r="CJ118" s="29"/>
      <c r="CK118" s="31" t="str">
        <f t="shared" si="63"/>
        <v/>
      </c>
      <c r="CL118" s="27"/>
      <c r="CM118" s="27"/>
      <c r="CN118" s="28" t="str">
        <f>IFERROR(VLOOKUP(CL118,Horarios!$H:$I,2,0),"")</f>
        <v/>
      </c>
      <c r="CO118" s="28" t="str">
        <f>IFERROR(VLOOKUP(CM118,Horarios!$H:$I,2,0),"")</f>
        <v/>
      </c>
      <c r="CP118" s="28" t="str">
        <f t="shared" si="64"/>
        <v>00:00</v>
      </c>
      <c r="CQ118" s="29"/>
      <c r="CR118" s="27"/>
      <c r="CS118" s="27"/>
      <c r="CT118" s="28" t="str">
        <f>IFERROR(VLOOKUP(CR118,Horarios!$H:$I,2,0),"")</f>
        <v/>
      </c>
      <c r="CU118" s="28" t="str">
        <f>IFERROR(VLOOKUP(CS118,Horarios!$H:$I,2,0),"")</f>
        <v/>
      </c>
      <c r="CV118" s="28" t="str">
        <f t="shared" si="65"/>
        <v>00:00</v>
      </c>
      <c r="CW118" s="29"/>
      <c r="CX118" s="27"/>
      <c r="CY118" s="27"/>
      <c r="CZ118" s="28" t="str">
        <f>IFERROR(VLOOKUP(CX118,Horarios!$H:$I,2,0),"")</f>
        <v/>
      </c>
      <c r="DA118" s="28" t="str">
        <f>IFERROR(VLOOKUP(CY118,Horarios!$H:$I,2,0),"")</f>
        <v/>
      </c>
      <c r="DB118" s="28" t="str">
        <f t="shared" si="66"/>
        <v>00:00</v>
      </c>
      <c r="DC118" s="29"/>
      <c r="DD118" s="27"/>
      <c r="DE118" s="27"/>
      <c r="DF118" s="28" t="str">
        <f>IFERROR(VLOOKUP(DD118,Horarios!$H:$I,2,0),"")</f>
        <v/>
      </c>
      <c r="DG118" s="28" t="str">
        <f>IFERROR(VLOOKUP(DE118,Horarios!$H:$I,2,0),"")</f>
        <v/>
      </c>
      <c r="DH118" s="28" t="str">
        <f t="shared" si="67"/>
        <v>00:00</v>
      </c>
      <c r="DI118" s="29"/>
      <c r="DJ118" s="27"/>
      <c r="DK118" s="27"/>
      <c r="DL118" s="28" t="str">
        <f>IFERROR(VLOOKUP(DJ118,Horarios!$H:$I,2,0),"")</f>
        <v/>
      </c>
      <c r="DM118" s="28" t="str">
        <f>IFERROR(VLOOKUP(DK118,Horarios!$H:$I,2,0),"")</f>
        <v/>
      </c>
      <c r="DN118" s="28" t="str">
        <f t="shared" si="68"/>
        <v>00:00</v>
      </c>
      <c r="DO118" s="29"/>
      <c r="DP118" s="27"/>
      <c r="DQ118" s="27"/>
      <c r="DR118" s="28" t="str">
        <f>IFERROR(VLOOKUP(DP118,Horarios!$H:$I,2,0),"")</f>
        <v/>
      </c>
      <c r="DS118" s="28" t="str">
        <f>IFERROR(VLOOKUP(DQ118,Horarios!$H:$I,2,0),"")</f>
        <v/>
      </c>
      <c r="DT118" s="28" t="str">
        <f t="shared" si="69"/>
        <v>00:00</v>
      </c>
      <c r="DU118" s="29"/>
      <c r="DV118" s="27"/>
      <c r="DW118" s="27"/>
      <c r="DX118" s="28" t="str">
        <f>IFERROR(VLOOKUP(DV118,Horarios!$H:$I,2,0),"")</f>
        <v/>
      </c>
      <c r="DY118" s="28" t="str">
        <f>IFERROR(VLOOKUP(DW118,Horarios!$H:$I,2,0),"")</f>
        <v/>
      </c>
      <c r="DZ118" s="28" t="str">
        <f t="shared" si="70"/>
        <v>00:00</v>
      </c>
      <c r="EA118" s="29"/>
      <c r="EB118" s="31" t="str">
        <f t="shared" si="71"/>
        <v/>
      </c>
      <c r="EC118" s="27"/>
      <c r="ED118" s="27"/>
      <c r="EE118" s="28" t="str">
        <f>IFERROR(VLOOKUP(EC118,Horarios!$H:$I,2,0),"")</f>
        <v/>
      </c>
      <c r="EF118" s="28" t="str">
        <f>IFERROR(VLOOKUP(ED118,Horarios!$H:$I,2,0),"")</f>
        <v/>
      </c>
      <c r="EG118" s="28" t="str">
        <f t="shared" si="72"/>
        <v>00:00</v>
      </c>
      <c r="EH118" s="29"/>
      <c r="EI118" s="27"/>
      <c r="EJ118" s="27"/>
      <c r="EK118" s="28" t="str">
        <f>IFERROR(VLOOKUP(EI118,Horarios!$H:$I,2,0),"")</f>
        <v/>
      </c>
      <c r="EL118" s="28" t="str">
        <f>IFERROR(VLOOKUP(EJ118,Horarios!$H:$I,2,0),"")</f>
        <v/>
      </c>
      <c r="EM118" s="28" t="str">
        <f t="shared" si="73"/>
        <v>00:00</v>
      </c>
      <c r="EN118" s="29"/>
      <c r="EO118" s="27"/>
      <c r="EP118" s="27"/>
      <c r="EQ118" s="28" t="str">
        <f>IFERROR(VLOOKUP(EO118,Horarios!$H:$I,2,0),"")</f>
        <v/>
      </c>
      <c r="ER118" s="28" t="str">
        <f>IFERROR(VLOOKUP(EP118,Horarios!$H:$I,2,0),"")</f>
        <v/>
      </c>
      <c r="ES118" s="28" t="str">
        <f t="shared" si="74"/>
        <v>00:00</v>
      </c>
      <c r="ET118" s="29"/>
      <c r="EU118" s="27"/>
      <c r="EV118" s="27"/>
      <c r="EW118" s="28" t="str">
        <f>IFERROR(VLOOKUP(EU118,Horarios!$H:$I,2,0),"")</f>
        <v/>
      </c>
      <c r="EX118" s="28" t="str">
        <f>IFERROR(VLOOKUP(EV118,Horarios!$H:$I,2,0),"")</f>
        <v/>
      </c>
      <c r="EY118" s="28" t="str">
        <f t="shared" si="75"/>
        <v>00:00</v>
      </c>
      <c r="EZ118" s="29"/>
      <c r="FA118" s="27"/>
      <c r="FB118" s="27"/>
      <c r="FC118" s="28" t="str">
        <f>IFERROR(VLOOKUP(FA118,Horarios!$H:$I,2,0),"")</f>
        <v/>
      </c>
      <c r="FD118" s="28" t="str">
        <f>IFERROR(VLOOKUP(FB118,Horarios!$H:$I,2,0),"")</f>
        <v/>
      </c>
      <c r="FE118" s="28" t="str">
        <f t="shared" si="76"/>
        <v>00:00</v>
      </c>
      <c r="FF118" s="29"/>
      <c r="FG118" s="27"/>
      <c r="FH118" s="27"/>
      <c r="FI118" s="28" t="str">
        <f>IFERROR(VLOOKUP(FG118,Horarios!$H:$I,2,0),"")</f>
        <v/>
      </c>
      <c r="FJ118" s="28" t="str">
        <f>IFERROR(VLOOKUP(FH118,Horarios!$H:$I,2,0),"")</f>
        <v/>
      </c>
      <c r="FK118" s="28" t="str">
        <f t="shared" si="77"/>
        <v>00:00</v>
      </c>
      <c r="FL118" s="29"/>
      <c r="FM118" s="27"/>
      <c r="FN118" s="27"/>
      <c r="FO118" s="28" t="str">
        <f>IFERROR(VLOOKUP(FM118,Horarios!$H:$I,2,0),"")</f>
        <v/>
      </c>
      <c r="FP118" s="28" t="str">
        <f>IFERROR(VLOOKUP(FN118,Horarios!$H:$I,2,0),"")</f>
        <v/>
      </c>
      <c r="FQ118" s="28" t="str">
        <f t="shared" si="78"/>
        <v>00:00</v>
      </c>
      <c r="FR118" s="29"/>
      <c r="FS118" s="31" t="str">
        <f t="shared" si="79"/>
        <v/>
      </c>
      <c r="FT118" s="27"/>
      <c r="FU118" s="27"/>
      <c r="FV118" s="28" t="str">
        <f>IFERROR(VLOOKUP(FT118,Horarios!$H:$I,2,0),"")</f>
        <v/>
      </c>
      <c r="FW118" s="28" t="str">
        <f>IFERROR(VLOOKUP(FU118,Horarios!$H:$I,2,0),"")</f>
        <v/>
      </c>
      <c r="FX118" s="28" t="str">
        <f t="shared" si="80"/>
        <v>00:00</v>
      </c>
      <c r="FY118" s="29"/>
      <c r="FZ118" s="27"/>
      <c r="GA118" s="27"/>
      <c r="GB118" s="28" t="str">
        <f>IFERROR(VLOOKUP(FZ118,Horarios!$H:$I,2,0),"")</f>
        <v/>
      </c>
      <c r="GC118" s="28" t="str">
        <f>IFERROR(VLOOKUP(GA118,Horarios!$H:$I,2,0),"")</f>
        <v/>
      </c>
      <c r="GD118" s="28" t="str">
        <f t="shared" si="81"/>
        <v>00:00</v>
      </c>
      <c r="GE118" s="29"/>
      <c r="GF118" s="27"/>
      <c r="GG118" s="27"/>
      <c r="GH118" s="28" t="str">
        <f>IFERROR(VLOOKUP(GF118,Horarios!$H:$I,2,0),"")</f>
        <v/>
      </c>
      <c r="GI118" s="28" t="str">
        <f>IFERROR(VLOOKUP(GG118,Horarios!$H:$I,2,0),"")</f>
        <v/>
      </c>
      <c r="GJ118" s="28" t="str">
        <f t="shared" si="82"/>
        <v>00:00</v>
      </c>
      <c r="GK118" s="29"/>
      <c r="GL118" s="27"/>
      <c r="GM118" s="27"/>
      <c r="GN118" s="28" t="str">
        <f>IFERROR(VLOOKUP(GL118,Horarios!$H:$I,2,0),"")</f>
        <v/>
      </c>
      <c r="GO118" s="28" t="str">
        <f>IFERROR(VLOOKUP(GM118,Horarios!$H:$I,2,0),"")</f>
        <v/>
      </c>
      <c r="GP118" s="28" t="str">
        <f t="shared" si="83"/>
        <v>00:00</v>
      </c>
      <c r="GQ118" s="29"/>
      <c r="GR118" s="27"/>
      <c r="GS118" s="27"/>
      <c r="GT118" s="28" t="str">
        <f>IFERROR(VLOOKUP(GR118,Horarios!$H:$I,2,0),"")</f>
        <v/>
      </c>
      <c r="GU118" s="28" t="str">
        <f>IFERROR(VLOOKUP(GS118,Horarios!$H:$I,2,0),"")</f>
        <v/>
      </c>
      <c r="GV118" s="28" t="str">
        <f t="shared" si="84"/>
        <v>00:00</v>
      </c>
      <c r="GW118" s="29"/>
      <c r="GX118" s="27"/>
      <c r="GY118" s="27"/>
      <c r="GZ118" s="28" t="str">
        <f>IFERROR(VLOOKUP(GX118,Horarios!$H:$I,2,0),"")</f>
        <v/>
      </c>
      <c r="HA118" s="28" t="str">
        <f>IFERROR(VLOOKUP(GY118,Horarios!$H:$I,2,0),"")</f>
        <v/>
      </c>
      <c r="HB118" s="28" t="str">
        <f t="shared" si="85"/>
        <v>00:00</v>
      </c>
      <c r="HC118" s="29"/>
      <c r="HD118" s="27"/>
      <c r="HE118" s="27"/>
      <c r="HF118" s="28" t="str">
        <f>IFERROR(VLOOKUP(HD118,Horarios!$H:$I,2,0),"")</f>
        <v/>
      </c>
      <c r="HG118" s="28" t="str">
        <f>IFERROR(VLOOKUP(HE118,Horarios!$H:$I,2,0),"")</f>
        <v/>
      </c>
      <c r="HH118" s="28" t="str">
        <f t="shared" si="86"/>
        <v>00:00</v>
      </c>
      <c r="HI118" s="29"/>
      <c r="HJ118" s="31" t="str">
        <f t="shared" si="87"/>
        <v/>
      </c>
      <c r="HK118" s="27"/>
      <c r="HL118" s="27"/>
      <c r="HM118" s="28" t="str">
        <f>IFERROR(VLOOKUP(HK118,Horarios!$H:$I,2,0),"")</f>
        <v/>
      </c>
      <c r="HN118" s="28" t="str">
        <f>IFERROR(VLOOKUP(HL118,Horarios!$H:$I,2,0),"")</f>
        <v/>
      </c>
      <c r="HO118" s="28" t="str">
        <f t="shared" si="88"/>
        <v>00:00</v>
      </c>
      <c r="HP118" s="29"/>
      <c r="HQ118" s="27"/>
      <c r="HR118" s="27"/>
      <c r="HS118" s="28" t="str">
        <f>IFERROR(VLOOKUP(HQ118,Horarios!$H:$I,2,0),"")</f>
        <v/>
      </c>
      <c r="HT118" s="28" t="str">
        <f>IFERROR(VLOOKUP(HR118,Horarios!$H:$I,2,0),"")</f>
        <v/>
      </c>
      <c r="HU118" s="28" t="str">
        <f t="shared" si="89"/>
        <v>00:00</v>
      </c>
      <c r="HV118" s="29"/>
      <c r="HW118" s="27"/>
      <c r="HX118" s="27"/>
      <c r="HY118" s="28" t="str">
        <f>IFERROR(VLOOKUP(HW118,Horarios!$H:$I,2,0),"")</f>
        <v/>
      </c>
      <c r="HZ118" s="28" t="str">
        <f>IFERROR(VLOOKUP(HX118,Horarios!$H:$I,2,0),"")</f>
        <v/>
      </c>
      <c r="IA118" s="28" t="str">
        <f t="shared" si="90"/>
        <v>00:00</v>
      </c>
      <c r="IB118" s="29"/>
      <c r="IC118" s="27"/>
      <c r="ID118" s="27"/>
      <c r="IE118" s="28" t="str">
        <f>IFERROR(VLOOKUP(IC118,Horarios!$H:$I,2,0),"")</f>
        <v/>
      </c>
      <c r="IF118" s="28" t="str">
        <f>IFERROR(VLOOKUP(ID118,Horarios!$H:$I,2,0),"")</f>
        <v/>
      </c>
      <c r="IG118" s="28" t="str">
        <f t="shared" si="91"/>
        <v>00:00</v>
      </c>
      <c r="IH118" s="29"/>
      <c r="II118" s="27"/>
      <c r="IJ118" s="27"/>
      <c r="IK118" s="28" t="str">
        <f>IFERROR(VLOOKUP(II118,Horarios!$H:$I,2,0),"")</f>
        <v/>
      </c>
      <c r="IL118" s="28" t="str">
        <f>IFERROR(VLOOKUP(IJ118,Horarios!$H:$I,2,0),"")</f>
        <v/>
      </c>
      <c r="IM118" s="28" t="str">
        <f t="shared" si="92"/>
        <v>00:00</v>
      </c>
      <c r="IN118" s="29"/>
      <c r="IO118" s="27"/>
      <c r="IP118" s="27"/>
      <c r="IQ118" s="28" t="str">
        <f>IFERROR(VLOOKUP(IO118,Horarios!$H:$I,2,0),"")</f>
        <v/>
      </c>
      <c r="IR118" s="28" t="str">
        <f>IFERROR(VLOOKUP(IP118,Horarios!$H:$I,2,0),"")</f>
        <v/>
      </c>
      <c r="IS118" s="28" t="str">
        <f t="shared" si="93"/>
        <v>00:00</v>
      </c>
      <c r="IT118" s="29"/>
      <c r="IU118" s="27"/>
      <c r="IV118" s="27"/>
      <c r="IW118" s="28" t="str">
        <f>IFERROR(VLOOKUP(IU118,Horarios!$H:$I,2,0),"")</f>
        <v/>
      </c>
      <c r="IX118" s="28" t="str">
        <f>IFERROR(VLOOKUP(IV118,Horarios!$H:$I,2,0),"")</f>
        <v/>
      </c>
      <c r="IY118" s="28" t="str">
        <f t="shared" si="94"/>
        <v>00:00</v>
      </c>
      <c r="IZ118" s="29"/>
      <c r="JA118" s="31" t="str">
        <f t="shared" si="95"/>
        <v/>
      </c>
    </row>
    <row r="119" spans="1:261" s="24" customFormat="1" ht="17.399999999999999" x14ac:dyDescent="0.25">
      <c r="A119" s="25"/>
      <c r="B119" s="26" t="str">
        <f>IFERROR(VLOOKUP(A119,BaseNombres!A:B,2,0),"")</f>
        <v/>
      </c>
      <c r="C119" s="26" t="str">
        <f>IFERROR(VLOOKUP(A119,BaseNombres!A:C,3,0),"")</f>
        <v/>
      </c>
      <c r="D119" s="27"/>
      <c r="E119" s="27"/>
      <c r="F119" s="28" t="str">
        <f>IFERROR(VLOOKUP(D119,Horarios!$H:$I,2,0),"")</f>
        <v/>
      </c>
      <c r="G119" s="28" t="str">
        <f>IFERROR(VLOOKUP(E119,Horarios!$H:$I,2,0),"")</f>
        <v/>
      </c>
      <c r="H119" s="28" t="str">
        <f t="shared" si="48"/>
        <v>00:00</v>
      </c>
      <c r="I119" s="29"/>
      <c r="J119" s="27"/>
      <c r="K119" s="27"/>
      <c r="L119" s="28" t="str">
        <f>IFERROR(VLOOKUP(J119,Horarios!$H:$I,2,0),"")</f>
        <v/>
      </c>
      <c r="M119" s="28" t="str">
        <f>IFERROR(VLOOKUP(K119,Horarios!$H:$I,2,0),"")</f>
        <v/>
      </c>
      <c r="N119" s="28" t="str">
        <f t="shared" si="49"/>
        <v>00:00</v>
      </c>
      <c r="O119" s="29"/>
      <c r="P119" s="27"/>
      <c r="Q119" s="27"/>
      <c r="R119" s="28" t="str">
        <f>IFERROR(VLOOKUP(P119,Horarios!$H:$I,2,0),"")</f>
        <v/>
      </c>
      <c r="S119" s="28" t="str">
        <f>IFERROR(VLOOKUP(Q119,Horarios!$H:$I,2,0),"")</f>
        <v/>
      </c>
      <c r="T119" s="28" t="str">
        <f t="shared" si="50"/>
        <v>00:00</v>
      </c>
      <c r="U119" s="29"/>
      <c r="V119" s="27"/>
      <c r="W119" s="27"/>
      <c r="X119" s="28" t="str">
        <f>IFERROR(VLOOKUP(V119,Horarios!$H:$I,2,0),"")</f>
        <v/>
      </c>
      <c r="Y119" s="28" t="str">
        <f>IFERROR(VLOOKUP(W119,Horarios!$H:$I,2,0),"")</f>
        <v/>
      </c>
      <c r="Z119" s="28" t="str">
        <f t="shared" si="51"/>
        <v>00:00</v>
      </c>
      <c r="AA119" s="29"/>
      <c r="AB119" s="27"/>
      <c r="AC119" s="27"/>
      <c r="AD119" s="28" t="str">
        <f>IFERROR(VLOOKUP(AB119,Horarios!$H:$I,2,0),"")</f>
        <v/>
      </c>
      <c r="AE119" s="28" t="str">
        <f>IFERROR(VLOOKUP(AC119,Horarios!$H:$I,2,0),"")</f>
        <v/>
      </c>
      <c r="AF119" s="28" t="str">
        <f t="shared" si="52"/>
        <v>00:00</v>
      </c>
      <c r="AG119" s="29"/>
      <c r="AH119" s="27"/>
      <c r="AI119" s="27"/>
      <c r="AJ119" s="28" t="str">
        <f>IFERROR(VLOOKUP(AH119,Horarios!$H:$I,2,0),"")</f>
        <v/>
      </c>
      <c r="AK119" s="28" t="str">
        <f>IFERROR(VLOOKUP(AI119,Horarios!$H:$I,2,0),"")</f>
        <v/>
      </c>
      <c r="AL119" s="28" t="str">
        <f t="shared" si="53"/>
        <v>00:00</v>
      </c>
      <c r="AM119" s="29"/>
      <c r="AN119" s="27"/>
      <c r="AO119" s="27"/>
      <c r="AP119" s="28" t="str">
        <f>IFERROR(VLOOKUP(AN119,Horarios!$H:$I,2,0),"")</f>
        <v/>
      </c>
      <c r="AQ119" s="28" t="str">
        <f>IFERROR(VLOOKUP(AO119,Horarios!$H:$I,2,0),"")</f>
        <v/>
      </c>
      <c r="AR119" s="28" t="str">
        <f t="shared" si="54"/>
        <v>00:00</v>
      </c>
      <c r="AS119" s="29"/>
      <c r="AT119" s="31" t="str">
        <f t="shared" si="55"/>
        <v/>
      </c>
      <c r="AU119" s="27"/>
      <c r="AV119" s="27"/>
      <c r="AW119" s="28" t="str">
        <f>IFERROR(VLOOKUP(AU119,Horarios!$H:$I,2,0),"")</f>
        <v/>
      </c>
      <c r="AX119" s="28" t="str">
        <f>IFERROR(VLOOKUP(AV119,Horarios!$H:$I,2,0),"")</f>
        <v/>
      </c>
      <c r="AY119" s="28" t="str">
        <f t="shared" si="56"/>
        <v>00:00</v>
      </c>
      <c r="AZ119" s="29"/>
      <c r="BA119" s="27"/>
      <c r="BB119" s="27"/>
      <c r="BC119" s="28" t="str">
        <f>IFERROR(VLOOKUP(BA119,Horarios!$H:$I,2,0),"")</f>
        <v/>
      </c>
      <c r="BD119" s="28" t="str">
        <f>IFERROR(VLOOKUP(BB119,Horarios!$H:$I,2,0),"")</f>
        <v/>
      </c>
      <c r="BE119" s="28" t="str">
        <f t="shared" si="57"/>
        <v>00:00</v>
      </c>
      <c r="BF119" s="29"/>
      <c r="BG119" s="27"/>
      <c r="BH119" s="27"/>
      <c r="BI119" s="28" t="str">
        <f>IFERROR(VLOOKUP(BG119,Horarios!$H:$I,2,0),"")</f>
        <v/>
      </c>
      <c r="BJ119" s="28" t="str">
        <f>IFERROR(VLOOKUP(BH119,Horarios!$H:$I,2,0),"")</f>
        <v/>
      </c>
      <c r="BK119" s="28" t="str">
        <f t="shared" si="58"/>
        <v>00:00</v>
      </c>
      <c r="BL119" s="29"/>
      <c r="BM119" s="27"/>
      <c r="BN119" s="27"/>
      <c r="BO119" s="28" t="str">
        <f>IFERROR(VLOOKUP(BM119,Horarios!$H:$I,2,0),"")</f>
        <v/>
      </c>
      <c r="BP119" s="28" t="str">
        <f>IFERROR(VLOOKUP(BN119,Horarios!$H:$I,2,0),"")</f>
        <v/>
      </c>
      <c r="BQ119" s="28" t="str">
        <f t="shared" si="59"/>
        <v>00:00</v>
      </c>
      <c r="BR119" s="29"/>
      <c r="BS119" s="27"/>
      <c r="BT119" s="27"/>
      <c r="BU119" s="28" t="str">
        <f>IFERROR(VLOOKUP(BS119,Horarios!$H:$I,2,0),"")</f>
        <v/>
      </c>
      <c r="BV119" s="28" t="str">
        <f>IFERROR(VLOOKUP(BT119,Horarios!$H:$I,2,0),"")</f>
        <v/>
      </c>
      <c r="BW119" s="28" t="str">
        <f t="shared" si="60"/>
        <v>00:00</v>
      </c>
      <c r="BX119" s="29"/>
      <c r="BY119" s="27"/>
      <c r="BZ119" s="27"/>
      <c r="CA119" s="28" t="str">
        <f>IFERROR(VLOOKUP(BY119,Horarios!$H:$I,2,0),"")</f>
        <v/>
      </c>
      <c r="CB119" s="28" t="str">
        <f>IFERROR(VLOOKUP(BZ119,Horarios!$H:$I,2,0),"")</f>
        <v/>
      </c>
      <c r="CC119" s="28" t="str">
        <f t="shared" si="61"/>
        <v>00:00</v>
      </c>
      <c r="CD119" s="29"/>
      <c r="CE119" s="27"/>
      <c r="CF119" s="27"/>
      <c r="CG119" s="28" t="str">
        <f>IFERROR(VLOOKUP(CE119,Horarios!$H:$I,2,0),"")</f>
        <v/>
      </c>
      <c r="CH119" s="28" t="str">
        <f>IFERROR(VLOOKUP(CF119,Horarios!$H:$I,2,0),"")</f>
        <v/>
      </c>
      <c r="CI119" s="28" t="str">
        <f t="shared" si="62"/>
        <v>00:00</v>
      </c>
      <c r="CJ119" s="29"/>
      <c r="CK119" s="31" t="str">
        <f t="shared" si="63"/>
        <v/>
      </c>
      <c r="CL119" s="27"/>
      <c r="CM119" s="27"/>
      <c r="CN119" s="28" t="str">
        <f>IFERROR(VLOOKUP(CL119,Horarios!$H:$I,2,0),"")</f>
        <v/>
      </c>
      <c r="CO119" s="28" t="str">
        <f>IFERROR(VLOOKUP(CM119,Horarios!$H:$I,2,0),"")</f>
        <v/>
      </c>
      <c r="CP119" s="28" t="str">
        <f t="shared" si="64"/>
        <v>00:00</v>
      </c>
      <c r="CQ119" s="29"/>
      <c r="CR119" s="27"/>
      <c r="CS119" s="27"/>
      <c r="CT119" s="28" t="str">
        <f>IFERROR(VLOOKUP(CR119,Horarios!$H:$I,2,0),"")</f>
        <v/>
      </c>
      <c r="CU119" s="28" t="str">
        <f>IFERROR(VLOOKUP(CS119,Horarios!$H:$I,2,0),"")</f>
        <v/>
      </c>
      <c r="CV119" s="28" t="str">
        <f t="shared" si="65"/>
        <v>00:00</v>
      </c>
      <c r="CW119" s="29"/>
      <c r="CX119" s="27"/>
      <c r="CY119" s="27"/>
      <c r="CZ119" s="28" t="str">
        <f>IFERROR(VLOOKUP(CX119,Horarios!$H:$I,2,0),"")</f>
        <v/>
      </c>
      <c r="DA119" s="28" t="str">
        <f>IFERROR(VLOOKUP(CY119,Horarios!$H:$I,2,0),"")</f>
        <v/>
      </c>
      <c r="DB119" s="28" t="str">
        <f t="shared" si="66"/>
        <v>00:00</v>
      </c>
      <c r="DC119" s="29"/>
      <c r="DD119" s="27"/>
      <c r="DE119" s="27"/>
      <c r="DF119" s="28" t="str">
        <f>IFERROR(VLOOKUP(DD119,Horarios!$H:$I,2,0),"")</f>
        <v/>
      </c>
      <c r="DG119" s="28" t="str">
        <f>IFERROR(VLOOKUP(DE119,Horarios!$H:$I,2,0),"")</f>
        <v/>
      </c>
      <c r="DH119" s="28" t="str">
        <f t="shared" si="67"/>
        <v>00:00</v>
      </c>
      <c r="DI119" s="29"/>
      <c r="DJ119" s="27"/>
      <c r="DK119" s="27"/>
      <c r="DL119" s="28" t="str">
        <f>IFERROR(VLOOKUP(DJ119,Horarios!$H:$I,2,0),"")</f>
        <v/>
      </c>
      <c r="DM119" s="28" t="str">
        <f>IFERROR(VLOOKUP(DK119,Horarios!$H:$I,2,0),"")</f>
        <v/>
      </c>
      <c r="DN119" s="28" t="str">
        <f t="shared" si="68"/>
        <v>00:00</v>
      </c>
      <c r="DO119" s="29"/>
      <c r="DP119" s="27"/>
      <c r="DQ119" s="27"/>
      <c r="DR119" s="28" t="str">
        <f>IFERROR(VLOOKUP(DP119,Horarios!$H:$I,2,0),"")</f>
        <v/>
      </c>
      <c r="DS119" s="28" t="str">
        <f>IFERROR(VLOOKUP(DQ119,Horarios!$H:$I,2,0),"")</f>
        <v/>
      </c>
      <c r="DT119" s="28" t="str">
        <f t="shared" si="69"/>
        <v>00:00</v>
      </c>
      <c r="DU119" s="29"/>
      <c r="DV119" s="27"/>
      <c r="DW119" s="27"/>
      <c r="DX119" s="28" t="str">
        <f>IFERROR(VLOOKUP(DV119,Horarios!$H:$I,2,0),"")</f>
        <v/>
      </c>
      <c r="DY119" s="28" t="str">
        <f>IFERROR(VLOOKUP(DW119,Horarios!$H:$I,2,0),"")</f>
        <v/>
      </c>
      <c r="DZ119" s="28" t="str">
        <f t="shared" si="70"/>
        <v>00:00</v>
      </c>
      <c r="EA119" s="29"/>
      <c r="EB119" s="31" t="str">
        <f t="shared" si="71"/>
        <v/>
      </c>
      <c r="EC119" s="27"/>
      <c r="ED119" s="27"/>
      <c r="EE119" s="28" t="str">
        <f>IFERROR(VLOOKUP(EC119,Horarios!$H:$I,2,0),"")</f>
        <v/>
      </c>
      <c r="EF119" s="28" t="str">
        <f>IFERROR(VLOOKUP(ED119,Horarios!$H:$I,2,0),"")</f>
        <v/>
      </c>
      <c r="EG119" s="28" t="str">
        <f t="shared" si="72"/>
        <v>00:00</v>
      </c>
      <c r="EH119" s="29"/>
      <c r="EI119" s="27"/>
      <c r="EJ119" s="27"/>
      <c r="EK119" s="28" t="str">
        <f>IFERROR(VLOOKUP(EI119,Horarios!$H:$I,2,0),"")</f>
        <v/>
      </c>
      <c r="EL119" s="28" t="str">
        <f>IFERROR(VLOOKUP(EJ119,Horarios!$H:$I,2,0),"")</f>
        <v/>
      </c>
      <c r="EM119" s="28" t="str">
        <f t="shared" si="73"/>
        <v>00:00</v>
      </c>
      <c r="EN119" s="29"/>
      <c r="EO119" s="27"/>
      <c r="EP119" s="27"/>
      <c r="EQ119" s="28" t="str">
        <f>IFERROR(VLOOKUP(EO119,Horarios!$H:$I,2,0),"")</f>
        <v/>
      </c>
      <c r="ER119" s="28" t="str">
        <f>IFERROR(VLOOKUP(EP119,Horarios!$H:$I,2,0),"")</f>
        <v/>
      </c>
      <c r="ES119" s="28" t="str">
        <f t="shared" si="74"/>
        <v>00:00</v>
      </c>
      <c r="ET119" s="29"/>
      <c r="EU119" s="27"/>
      <c r="EV119" s="27"/>
      <c r="EW119" s="28" t="str">
        <f>IFERROR(VLOOKUP(EU119,Horarios!$H:$I,2,0),"")</f>
        <v/>
      </c>
      <c r="EX119" s="28" t="str">
        <f>IFERROR(VLOOKUP(EV119,Horarios!$H:$I,2,0),"")</f>
        <v/>
      </c>
      <c r="EY119" s="28" t="str">
        <f t="shared" si="75"/>
        <v>00:00</v>
      </c>
      <c r="EZ119" s="29"/>
      <c r="FA119" s="27"/>
      <c r="FB119" s="27"/>
      <c r="FC119" s="28" t="str">
        <f>IFERROR(VLOOKUP(FA119,Horarios!$H:$I,2,0),"")</f>
        <v/>
      </c>
      <c r="FD119" s="28" t="str">
        <f>IFERROR(VLOOKUP(FB119,Horarios!$H:$I,2,0),"")</f>
        <v/>
      </c>
      <c r="FE119" s="28" t="str">
        <f t="shared" si="76"/>
        <v>00:00</v>
      </c>
      <c r="FF119" s="29"/>
      <c r="FG119" s="27"/>
      <c r="FH119" s="27"/>
      <c r="FI119" s="28" t="str">
        <f>IFERROR(VLOOKUP(FG119,Horarios!$H:$I,2,0),"")</f>
        <v/>
      </c>
      <c r="FJ119" s="28" t="str">
        <f>IFERROR(VLOOKUP(FH119,Horarios!$H:$I,2,0),"")</f>
        <v/>
      </c>
      <c r="FK119" s="28" t="str">
        <f t="shared" si="77"/>
        <v>00:00</v>
      </c>
      <c r="FL119" s="29"/>
      <c r="FM119" s="27"/>
      <c r="FN119" s="27"/>
      <c r="FO119" s="28" t="str">
        <f>IFERROR(VLOOKUP(FM119,Horarios!$H:$I,2,0),"")</f>
        <v/>
      </c>
      <c r="FP119" s="28" t="str">
        <f>IFERROR(VLOOKUP(FN119,Horarios!$H:$I,2,0),"")</f>
        <v/>
      </c>
      <c r="FQ119" s="28" t="str">
        <f t="shared" si="78"/>
        <v>00:00</v>
      </c>
      <c r="FR119" s="29"/>
      <c r="FS119" s="31" t="str">
        <f t="shared" si="79"/>
        <v/>
      </c>
      <c r="FT119" s="27"/>
      <c r="FU119" s="27"/>
      <c r="FV119" s="28" t="str">
        <f>IFERROR(VLOOKUP(FT119,Horarios!$H:$I,2,0),"")</f>
        <v/>
      </c>
      <c r="FW119" s="28" t="str">
        <f>IFERROR(VLOOKUP(FU119,Horarios!$H:$I,2,0),"")</f>
        <v/>
      </c>
      <c r="FX119" s="28" t="str">
        <f t="shared" si="80"/>
        <v>00:00</v>
      </c>
      <c r="FY119" s="29"/>
      <c r="FZ119" s="27"/>
      <c r="GA119" s="27"/>
      <c r="GB119" s="28" t="str">
        <f>IFERROR(VLOOKUP(FZ119,Horarios!$H:$I,2,0),"")</f>
        <v/>
      </c>
      <c r="GC119" s="28" t="str">
        <f>IFERROR(VLOOKUP(GA119,Horarios!$H:$I,2,0),"")</f>
        <v/>
      </c>
      <c r="GD119" s="28" t="str">
        <f t="shared" si="81"/>
        <v>00:00</v>
      </c>
      <c r="GE119" s="29"/>
      <c r="GF119" s="27"/>
      <c r="GG119" s="27"/>
      <c r="GH119" s="28" t="str">
        <f>IFERROR(VLOOKUP(GF119,Horarios!$H:$I,2,0),"")</f>
        <v/>
      </c>
      <c r="GI119" s="28" t="str">
        <f>IFERROR(VLOOKUP(GG119,Horarios!$H:$I,2,0),"")</f>
        <v/>
      </c>
      <c r="GJ119" s="28" t="str">
        <f t="shared" si="82"/>
        <v>00:00</v>
      </c>
      <c r="GK119" s="29"/>
      <c r="GL119" s="27"/>
      <c r="GM119" s="27"/>
      <c r="GN119" s="28" t="str">
        <f>IFERROR(VLOOKUP(GL119,Horarios!$H:$I,2,0),"")</f>
        <v/>
      </c>
      <c r="GO119" s="28" t="str">
        <f>IFERROR(VLOOKUP(GM119,Horarios!$H:$I,2,0),"")</f>
        <v/>
      </c>
      <c r="GP119" s="28" t="str">
        <f t="shared" si="83"/>
        <v>00:00</v>
      </c>
      <c r="GQ119" s="29"/>
      <c r="GR119" s="27"/>
      <c r="GS119" s="27"/>
      <c r="GT119" s="28" t="str">
        <f>IFERROR(VLOOKUP(GR119,Horarios!$H:$I,2,0),"")</f>
        <v/>
      </c>
      <c r="GU119" s="28" t="str">
        <f>IFERROR(VLOOKUP(GS119,Horarios!$H:$I,2,0),"")</f>
        <v/>
      </c>
      <c r="GV119" s="28" t="str">
        <f t="shared" si="84"/>
        <v>00:00</v>
      </c>
      <c r="GW119" s="29"/>
      <c r="GX119" s="27"/>
      <c r="GY119" s="27"/>
      <c r="GZ119" s="28" t="str">
        <f>IFERROR(VLOOKUP(GX119,Horarios!$H:$I,2,0),"")</f>
        <v/>
      </c>
      <c r="HA119" s="28" t="str">
        <f>IFERROR(VLOOKUP(GY119,Horarios!$H:$I,2,0),"")</f>
        <v/>
      </c>
      <c r="HB119" s="28" t="str">
        <f t="shared" si="85"/>
        <v>00:00</v>
      </c>
      <c r="HC119" s="29"/>
      <c r="HD119" s="27"/>
      <c r="HE119" s="27"/>
      <c r="HF119" s="28" t="str">
        <f>IFERROR(VLOOKUP(HD119,Horarios!$H:$I,2,0),"")</f>
        <v/>
      </c>
      <c r="HG119" s="28" t="str">
        <f>IFERROR(VLOOKUP(HE119,Horarios!$H:$I,2,0),"")</f>
        <v/>
      </c>
      <c r="HH119" s="28" t="str">
        <f t="shared" si="86"/>
        <v>00:00</v>
      </c>
      <c r="HI119" s="29"/>
      <c r="HJ119" s="31" t="str">
        <f t="shared" si="87"/>
        <v/>
      </c>
      <c r="HK119" s="27"/>
      <c r="HL119" s="27"/>
      <c r="HM119" s="28" t="str">
        <f>IFERROR(VLOOKUP(HK119,Horarios!$H:$I,2,0),"")</f>
        <v/>
      </c>
      <c r="HN119" s="28" t="str">
        <f>IFERROR(VLOOKUP(HL119,Horarios!$H:$I,2,0),"")</f>
        <v/>
      </c>
      <c r="HO119" s="28" t="str">
        <f t="shared" si="88"/>
        <v>00:00</v>
      </c>
      <c r="HP119" s="29"/>
      <c r="HQ119" s="27"/>
      <c r="HR119" s="27"/>
      <c r="HS119" s="28" t="str">
        <f>IFERROR(VLOOKUP(HQ119,Horarios!$H:$I,2,0),"")</f>
        <v/>
      </c>
      <c r="HT119" s="28" t="str">
        <f>IFERROR(VLOOKUP(HR119,Horarios!$H:$I,2,0),"")</f>
        <v/>
      </c>
      <c r="HU119" s="28" t="str">
        <f t="shared" si="89"/>
        <v>00:00</v>
      </c>
      <c r="HV119" s="29"/>
      <c r="HW119" s="27"/>
      <c r="HX119" s="27"/>
      <c r="HY119" s="28" t="str">
        <f>IFERROR(VLOOKUP(HW119,Horarios!$H:$I,2,0),"")</f>
        <v/>
      </c>
      <c r="HZ119" s="28" t="str">
        <f>IFERROR(VLOOKUP(HX119,Horarios!$H:$I,2,0),"")</f>
        <v/>
      </c>
      <c r="IA119" s="28" t="str">
        <f t="shared" si="90"/>
        <v>00:00</v>
      </c>
      <c r="IB119" s="29"/>
      <c r="IC119" s="27"/>
      <c r="ID119" s="27"/>
      <c r="IE119" s="28" t="str">
        <f>IFERROR(VLOOKUP(IC119,Horarios!$H:$I,2,0),"")</f>
        <v/>
      </c>
      <c r="IF119" s="28" t="str">
        <f>IFERROR(VLOOKUP(ID119,Horarios!$H:$I,2,0),"")</f>
        <v/>
      </c>
      <c r="IG119" s="28" t="str">
        <f t="shared" si="91"/>
        <v>00:00</v>
      </c>
      <c r="IH119" s="29"/>
      <c r="II119" s="27"/>
      <c r="IJ119" s="27"/>
      <c r="IK119" s="28" t="str">
        <f>IFERROR(VLOOKUP(II119,Horarios!$H:$I,2,0),"")</f>
        <v/>
      </c>
      <c r="IL119" s="28" t="str">
        <f>IFERROR(VLOOKUP(IJ119,Horarios!$H:$I,2,0),"")</f>
        <v/>
      </c>
      <c r="IM119" s="28" t="str">
        <f t="shared" si="92"/>
        <v>00:00</v>
      </c>
      <c r="IN119" s="29"/>
      <c r="IO119" s="27"/>
      <c r="IP119" s="27"/>
      <c r="IQ119" s="28" t="str">
        <f>IFERROR(VLOOKUP(IO119,Horarios!$H:$I,2,0),"")</f>
        <v/>
      </c>
      <c r="IR119" s="28" t="str">
        <f>IFERROR(VLOOKUP(IP119,Horarios!$H:$I,2,0),"")</f>
        <v/>
      </c>
      <c r="IS119" s="28" t="str">
        <f t="shared" si="93"/>
        <v>00:00</v>
      </c>
      <c r="IT119" s="29"/>
      <c r="IU119" s="27"/>
      <c r="IV119" s="27"/>
      <c r="IW119" s="28" t="str">
        <f>IFERROR(VLOOKUP(IU119,Horarios!$H:$I,2,0),"")</f>
        <v/>
      </c>
      <c r="IX119" s="28" t="str">
        <f>IFERROR(VLOOKUP(IV119,Horarios!$H:$I,2,0),"")</f>
        <v/>
      </c>
      <c r="IY119" s="28" t="str">
        <f t="shared" si="94"/>
        <v>00:00</v>
      </c>
      <c r="IZ119" s="29"/>
      <c r="JA119" s="31" t="str">
        <f t="shared" si="95"/>
        <v/>
      </c>
    </row>
    <row r="120" spans="1:261" s="24" customFormat="1" ht="17.399999999999999" x14ac:dyDescent="0.25">
      <c r="A120" s="25"/>
      <c r="B120" s="26" t="str">
        <f>IFERROR(VLOOKUP(A120,BaseNombres!A:B,2,0),"")</f>
        <v/>
      </c>
      <c r="C120" s="26" t="str">
        <f>IFERROR(VLOOKUP(A120,BaseNombres!A:C,3,0),"")</f>
        <v/>
      </c>
      <c r="D120" s="27"/>
      <c r="E120" s="27"/>
      <c r="F120" s="28" t="str">
        <f>IFERROR(VLOOKUP(D120,Horarios!$H:$I,2,0),"")</f>
        <v/>
      </c>
      <c r="G120" s="28" t="str">
        <f>IFERROR(VLOOKUP(E120,Horarios!$H:$I,2,0),"")</f>
        <v/>
      </c>
      <c r="H120" s="28" t="str">
        <f t="shared" si="48"/>
        <v>00:00</v>
      </c>
      <c r="I120" s="29"/>
      <c r="J120" s="27"/>
      <c r="K120" s="27"/>
      <c r="L120" s="28" t="str">
        <f>IFERROR(VLOOKUP(J120,Horarios!$H:$I,2,0),"")</f>
        <v/>
      </c>
      <c r="M120" s="28" t="str">
        <f>IFERROR(VLOOKUP(K120,Horarios!$H:$I,2,0),"")</f>
        <v/>
      </c>
      <c r="N120" s="28" t="str">
        <f t="shared" si="49"/>
        <v>00:00</v>
      </c>
      <c r="O120" s="29"/>
      <c r="P120" s="27"/>
      <c r="Q120" s="27"/>
      <c r="R120" s="28" t="str">
        <f>IFERROR(VLOOKUP(P120,Horarios!$H:$I,2,0),"")</f>
        <v/>
      </c>
      <c r="S120" s="28" t="str">
        <f>IFERROR(VLOOKUP(Q120,Horarios!$H:$I,2,0),"")</f>
        <v/>
      </c>
      <c r="T120" s="28" t="str">
        <f t="shared" si="50"/>
        <v>00:00</v>
      </c>
      <c r="U120" s="29"/>
      <c r="V120" s="27"/>
      <c r="W120" s="27"/>
      <c r="X120" s="28" t="str">
        <f>IFERROR(VLOOKUP(V120,Horarios!$H:$I,2,0),"")</f>
        <v/>
      </c>
      <c r="Y120" s="28" t="str">
        <f>IFERROR(VLOOKUP(W120,Horarios!$H:$I,2,0),"")</f>
        <v/>
      </c>
      <c r="Z120" s="28" t="str">
        <f t="shared" si="51"/>
        <v>00:00</v>
      </c>
      <c r="AA120" s="29"/>
      <c r="AB120" s="27"/>
      <c r="AC120" s="27"/>
      <c r="AD120" s="28" t="str">
        <f>IFERROR(VLOOKUP(AB120,Horarios!$H:$I,2,0),"")</f>
        <v/>
      </c>
      <c r="AE120" s="28" t="str">
        <f>IFERROR(VLOOKUP(AC120,Horarios!$H:$I,2,0),"")</f>
        <v/>
      </c>
      <c r="AF120" s="28" t="str">
        <f t="shared" si="52"/>
        <v>00:00</v>
      </c>
      <c r="AG120" s="29"/>
      <c r="AH120" s="27"/>
      <c r="AI120" s="27"/>
      <c r="AJ120" s="28" t="str">
        <f>IFERROR(VLOOKUP(AH120,Horarios!$H:$I,2,0),"")</f>
        <v/>
      </c>
      <c r="AK120" s="28" t="str">
        <f>IFERROR(VLOOKUP(AI120,Horarios!$H:$I,2,0),"")</f>
        <v/>
      </c>
      <c r="AL120" s="28" t="str">
        <f t="shared" si="53"/>
        <v>00:00</v>
      </c>
      <c r="AM120" s="29"/>
      <c r="AN120" s="27"/>
      <c r="AO120" s="27"/>
      <c r="AP120" s="28" t="str">
        <f>IFERROR(VLOOKUP(AN120,Horarios!$H:$I,2,0),"")</f>
        <v/>
      </c>
      <c r="AQ120" s="28" t="str">
        <f>IFERROR(VLOOKUP(AO120,Horarios!$H:$I,2,0),"")</f>
        <v/>
      </c>
      <c r="AR120" s="28" t="str">
        <f t="shared" si="54"/>
        <v>00:00</v>
      </c>
      <c r="AS120" s="29"/>
      <c r="AT120" s="31" t="str">
        <f t="shared" si="55"/>
        <v/>
      </c>
      <c r="AU120" s="27"/>
      <c r="AV120" s="27"/>
      <c r="AW120" s="28" t="str">
        <f>IFERROR(VLOOKUP(AU120,Horarios!$H:$I,2,0),"")</f>
        <v/>
      </c>
      <c r="AX120" s="28" t="str">
        <f>IFERROR(VLOOKUP(AV120,Horarios!$H:$I,2,0),"")</f>
        <v/>
      </c>
      <c r="AY120" s="28" t="str">
        <f t="shared" si="56"/>
        <v>00:00</v>
      </c>
      <c r="AZ120" s="29"/>
      <c r="BA120" s="27"/>
      <c r="BB120" s="27"/>
      <c r="BC120" s="28" t="str">
        <f>IFERROR(VLOOKUP(BA120,Horarios!$H:$I,2,0),"")</f>
        <v/>
      </c>
      <c r="BD120" s="28" t="str">
        <f>IFERROR(VLOOKUP(BB120,Horarios!$H:$I,2,0),"")</f>
        <v/>
      </c>
      <c r="BE120" s="28" t="str">
        <f t="shared" si="57"/>
        <v>00:00</v>
      </c>
      <c r="BF120" s="29"/>
      <c r="BG120" s="27"/>
      <c r="BH120" s="27"/>
      <c r="BI120" s="28" t="str">
        <f>IFERROR(VLOOKUP(BG120,Horarios!$H:$I,2,0),"")</f>
        <v/>
      </c>
      <c r="BJ120" s="28" t="str">
        <f>IFERROR(VLOOKUP(BH120,Horarios!$H:$I,2,0),"")</f>
        <v/>
      </c>
      <c r="BK120" s="28" t="str">
        <f t="shared" si="58"/>
        <v>00:00</v>
      </c>
      <c r="BL120" s="29"/>
      <c r="BM120" s="27"/>
      <c r="BN120" s="27"/>
      <c r="BO120" s="28" t="str">
        <f>IFERROR(VLOOKUP(BM120,Horarios!$H:$I,2,0),"")</f>
        <v/>
      </c>
      <c r="BP120" s="28" t="str">
        <f>IFERROR(VLOOKUP(BN120,Horarios!$H:$I,2,0),"")</f>
        <v/>
      </c>
      <c r="BQ120" s="28" t="str">
        <f t="shared" si="59"/>
        <v>00:00</v>
      </c>
      <c r="BR120" s="29"/>
      <c r="BS120" s="27"/>
      <c r="BT120" s="27"/>
      <c r="BU120" s="28" t="str">
        <f>IFERROR(VLOOKUP(BS120,Horarios!$H:$I,2,0),"")</f>
        <v/>
      </c>
      <c r="BV120" s="28" t="str">
        <f>IFERROR(VLOOKUP(BT120,Horarios!$H:$I,2,0),"")</f>
        <v/>
      </c>
      <c r="BW120" s="28" t="str">
        <f t="shared" si="60"/>
        <v>00:00</v>
      </c>
      <c r="BX120" s="29"/>
      <c r="BY120" s="27"/>
      <c r="BZ120" s="27"/>
      <c r="CA120" s="28" t="str">
        <f>IFERROR(VLOOKUP(BY120,Horarios!$H:$I,2,0),"")</f>
        <v/>
      </c>
      <c r="CB120" s="28" t="str">
        <f>IFERROR(VLOOKUP(BZ120,Horarios!$H:$I,2,0),"")</f>
        <v/>
      </c>
      <c r="CC120" s="28" t="str">
        <f t="shared" si="61"/>
        <v>00:00</v>
      </c>
      <c r="CD120" s="29"/>
      <c r="CE120" s="27"/>
      <c r="CF120" s="27"/>
      <c r="CG120" s="28" t="str">
        <f>IFERROR(VLOOKUP(CE120,Horarios!$H:$I,2,0),"")</f>
        <v/>
      </c>
      <c r="CH120" s="28" t="str">
        <f>IFERROR(VLOOKUP(CF120,Horarios!$H:$I,2,0),"")</f>
        <v/>
      </c>
      <c r="CI120" s="28" t="str">
        <f t="shared" si="62"/>
        <v>00:00</v>
      </c>
      <c r="CJ120" s="29"/>
      <c r="CK120" s="31" t="str">
        <f t="shared" si="63"/>
        <v/>
      </c>
      <c r="CL120" s="27"/>
      <c r="CM120" s="27"/>
      <c r="CN120" s="28" t="str">
        <f>IFERROR(VLOOKUP(CL120,Horarios!$H:$I,2,0),"")</f>
        <v/>
      </c>
      <c r="CO120" s="28" t="str">
        <f>IFERROR(VLOOKUP(CM120,Horarios!$H:$I,2,0),"")</f>
        <v/>
      </c>
      <c r="CP120" s="28" t="str">
        <f t="shared" si="64"/>
        <v>00:00</v>
      </c>
      <c r="CQ120" s="29"/>
      <c r="CR120" s="27"/>
      <c r="CS120" s="27"/>
      <c r="CT120" s="28" t="str">
        <f>IFERROR(VLOOKUP(CR120,Horarios!$H:$I,2,0),"")</f>
        <v/>
      </c>
      <c r="CU120" s="28" t="str">
        <f>IFERROR(VLOOKUP(CS120,Horarios!$H:$I,2,0),"")</f>
        <v/>
      </c>
      <c r="CV120" s="28" t="str">
        <f t="shared" si="65"/>
        <v>00:00</v>
      </c>
      <c r="CW120" s="29"/>
      <c r="CX120" s="27"/>
      <c r="CY120" s="27"/>
      <c r="CZ120" s="28" t="str">
        <f>IFERROR(VLOOKUP(CX120,Horarios!$H:$I,2,0),"")</f>
        <v/>
      </c>
      <c r="DA120" s="28" t="str">
        <f>IFERROR(VLOOKUP(CY120,Horarios!$H:$I,2,0),"")</f>
        <v/>
      </c>
      <c r="DB120" s="28" t="str">
        <f t="shared" si="66"/>
        <v>00:00</v>
      </c>
      <c r="DC120" s="29"/>
      <c r="DD120" s="27"/>
      <c r="DE120" s="27"/>
      <c r="DF120" s="28" t="str">
        <f>IFERROR(VLOOKUP(DD120,Horarios!$H:$I,2,0),"")</f>
        <v/>
      </c>
      <c r="DG120" s="28" t="str">
        <f>IFERROR(VLOOKUP(DE120,Horarios!$H:$I,2,0),"")</f>
        <v/>
      </c>
      <c r="DH120" s="28" t="str">
        <f t="shared" si="67"/>
        <v>00:00</v>
      </c>
      <c r="DI120" s="29"/>
      <c r="DJ120" s="27"/>
      <c r="DK120" s="27"/>
      <c r="DL120" s="28" t="str">
        <f>IFERROR(VLOOKUP(DJ120,Horarios!$H:$I,2,0),"")</f>
        <v/>
      </c>
      <c r="DM120" s="28" t="str">
        <f>IFERROR(VLOOKUP(DK120,Horarios!$H:$I,2,0),"")</f>
        <v/>
      </c>
      <c r="DN120" s="28" t="str">
        <f t="shared" si="68"/>
        <v>00:00</v>
      </c>
      <c r="DO120" s="29"/>
      <c r="DP120" s="27"/>
      <c r="DQ120" s="27"/>
      <c r="DR120" s="28" t="str">
        <f>IFERROR(VLOOKUP(DP120,Horarios!$H:$I,2,0),"")</f>
        <v/>
      </c>
      <c r="DS120" s="28" t="str">
        <f>IFERROR(VLOOKUP(DQ120,Horarios!$H:$I,2,0),"")</f>
        <v/>
      </c>
      <c r="DT120" s="28" t="str">
        <f t="shared" si="69"/>
        <v>00:00</v>
      </c>
      <c r="DU120" s="29"/>
      <c r="DV120" s="27"/>
      <c r="DW120" s="27"/>
      <c r="DX120" s="28" t="str">
        <f>IFERROR(VLOOKUP(DV120,Horarios!$H:$I,2,0),"")</f>
        <v/>
      </c>
      <c r="DY120" s="28" t="str">
        <f>IFERROR(VLOOKUP(DW120,Horarios!$H:$I,2,0),"")</f>
        <v/>
      </c>
      <c r="DZ120" s="28" t="str">
        <f t="shared" si="70"/>
        <v>00:00</v>
      </c>
      <c r="EA120" s="29"/>
      <c r="EB120" s="31" t="str">
        <f t="shared" si="71"/>
        <v/>
      </c>
      <c r="EC120" s="27"/>
      <c r="ED120" s="27"/>
      <c r="EE120" s="28" t="str">
        <f>IFERROR(VLOOKUP(EC120,Horarios!$H:$I,2,0),"")</f>
        <v/>
      </c>
      <c r="EF120" s="28" t="str">
        <f>IFERROR(VLOOKUP(ED120,Horarios!$H:$I,2,0),"")</f>
        <v/>
      </c>
      <c r="EG120" s="28" t="str">
        <f t="shared" si="72"/>
        <v>00:00</v>
      </c>
      <c r="EH120" s="29"/>
      <c r="EI120" s="27"/>
      <c r="EJ120" s="27"/>
      <c r="EK120" s="28" t="str">
        <f>IFERROR(VLOOKUP(EI120,Horarios!$H:$I,2,0),"")</f>
        <v/>
      </c>
      <c r="EL120" s="28" t="str">
        <f>IFERROR(VLOOKUP(EJ120,Horarios!$H:$I,2,0),"")</f>
        <v/>
      </c>
      <c r="EM120" s="28" t="str">
        <f t="shared" si="73"/>
        <v>00:00</v>
      </c>
      <c r="EN120" s="29"/>
      <c r="EO120" s="27"/>
      <c r="EP120" s="27"/>
      <c r="EQ120" s="28" t="str">
        <f>IFERROR(VLOOKUP(EO120,Horarios!$H:$I,2,0),"")</f>
        <v/>
      </c>
      <c r="ER120" s="28" t="str">
        <f>IFERROR(VLOOKUP(EP120,Horarios!$H:$I,2,0),"")</f>
        <v/>
      </c>
      <c r="ES120" s="28" t="str">
        <f t="shared" si="74"/>
        <v>00:00</v>
      </c>
      <c r="ET120" s="29"/>
      <c r="EU120" s="27"/>
      <c r="EV120" s="27"/>
      <c r="EW120" s="28" t="str">
        <f>IFERROR(VLOOKUP(EU120,Horarios!$H:$I,2,0),"")</f>
        <v/>
      </c>
      <c r="EX120" s="28" t="str">
        <f>IFERROR(VLOOKUP(EV120,Horarios!$H:$I,2,0),"")</f>
        <v/>
      </c>
      <c r="EY120" s="28" t="str">
        <f t="shared" si="75"/>
        <v>00:00</v>
      </c>
      <c r="EZ120" s="29"/>
      <c r="FA120" s="27"/>
      <c r="FB120" s="27"/>
      <c r="FC120" s="28" t="str">
        <f>IFERROR(VLOOKUP(FA120,Horarios!$H:$I,2,0),"")</f>
        <v/>
      </c>
      <c r="FD120" s="28" t="str">
        <f>IFERROR(VLOOKUP(FB120,Horarios!$H:$I,2,0),"")</f>
        <v/>
      </c>
      <c r="FE120" s="28" t="str">
        <f t="shared" si="76"/>
        <v>00:00</v>
      </c>
      <c r="FF120" s="29"/>
      <c r="FG120" s="27"/>
      <c r="FH120" s="27"/>
      <c r="FI120" s="28" t="str">
        <f>IFERROR(VLOOKUP(FG120,Horarios!$H:$I,2,0),"")</f>
        <v/>
      </c>
      <c r="FJ120" s="28" t="str">
        <f>IFERROR(VLOOKUP(FH120,Horarios!$H:$I,2,0),"")</f>
        <v/>
      </c>
      <c r="FK120" s="28" t="str">
        <f t="shared" si="77"/>
        <v>00:00</v>
      </c>
      <c r="FL120" s="29"/>
      <c r="FM120" s="27"/>
      <c r="FN120" s="27"/>
      <c r="FO120" s="28" t="str">
        <f>IFERROR(VLOOKUP(FM120,Horarios!$H:$I,2,0),"")</f>
        <v/>
      </c>
      <c r="FP120" s="28" t="str">
        <f>IFERROR(VLOOKUP(FN120,Horarios!$H:$I,2,0),"")</f>
        <v/>
      </c>
      <c r="FQ120" s="28" t="str">
        <f t="shared" si="78"/>
        <v>00:00</v>
      </c>
      <c r="FR120" s="29"/>
      <c r="FS120" s="31" t="str">
        <f t="shared" si="79"/>
        <v/>
      </c>
      <c r="FT120" s="27"/>
      <c r="FU120" s="27"/>
      <c r="FV120" s="28" t="str">
        <f>IFERROR(VLOOKUP(FT120,Horarios!$H:$I,2,0),"")</f>
        <v/>
      </c>
      <c r="FW120" s="28" t="str">
        <f>IFERROR(VLOOKUP(FU120,Horarios!$H:$I,2,0),"")</f>
        <v/>
      </c>
      <c r="FX120" s="28" t="str">
        <f t="shared" si="80"/>
        <v>00:00</v>
      </c>
      <c r="FY120" s="29"/>
      <c r="FZ120" s="27"/>
      <c r="GA120" s="27"/>
      <c r="GB120" s="28" t="str">
        <f>IFERROR(VLOOKUP(FZ120,Horarios!$H:$I,2,0),"")</f>
        <v/>
      </c>
      <c r="GC120" s="28" t="str">
        <f>IFERROR(VLOOKUP(GA120,Horarios!$H:$I,2,0),"")</f>
        <v/>
      </c>
      <c r="GD120" s="28" t="str">
        <f t="shared" si="81"/>
        <v>00:00</v>
      </c>
      <c r="GE120" s="29"/>
      <c r="GF120" s="27"/>
      <c r="GG120" s="27"/>
      <c r="GH120" s="28" t="str">
        <f>IFERROR(VLOOKUP(GF120,Horarios!$H:$I,2,0),"")</f>
        <v/>
      </c>
      <c r="GI120" s="28" t="str">
        <f>IFERROR(VLOOKUP(GG120,Horarios!$H:$I,2,0),"")</f>
        <v/>
      </c>
      <c r="GJ120" s="28" t="str">
        <f t="shared" si="82"/>
        <v>00:00</v>
      </c>
      <c r="GK120" s="29"/>
      <c r="GL120" s="27"/>
      <c r="GM120" s="27"/>
      <c r="GN120" s="28" t="str">
        <f>IFERROR(VLOOKUP(GL120,Horarios!$H:$I,2,0),"")</f>
        <v/>
      </c>
      <c r="GO120" s="28" t="str">
        <f>IFERROR(VLOOKUP(GM120,Horarios!$H:$I,2,0),"")</f>
        <v/>
      </c>
      <c r="GP120" s="28" t="str">
        <f t="shared" si="83"/>
        <v>00:00</v>
      </c>
      <c r="GQ120" s="29"/>
      <c r="GR120" s="27"/>
      <c r="GS120" s="27"/>
      <c r="GT120" s="28" t="str">
        <f>IFERROR(VLOOKUP(GR120,Horarios!$H:$I,2,0),"")</f>
        <v/>
      </c>
      <c r="GU120" s="28" t="str">
        <f>IFERROR(VLOOKUP(GS120,Horarios!$H:$I,2,0),"")</f>
        <v/>
      </c>
      <c r="GV120" s="28" t="str">
        <f t="shared" si="84"/>
        <v>00:00</v>
      </c>
      <c r="GW120" s="29"/>
      <c r="GX120" s="27"/>
      <c r="GY120" s="27"/>
      <c r="GZ120" s="28" t="str">
        <f>IFERROR(VLOOKUP(GX120,Horarios!$H:$I,2,0),"")</f>
        <v/>
      </c>
      <c r="HA120" s="28" t="str">
        <f>IFERROR(VLOOKUP(GY120,Horarios!$H:$I,2,0),"")</f>
        <v/>
      </c>
      <c r="HB120" s="28" t="str">
        <f t="shared" si="85"/>
        <v>00:00</v>
      </c>
      <c r="HC120" s="29"/>
      <c r="HD120" s="27"/>
      <c r="HE120" s="27"/>
      <c r="HF120" s="28" t="str">
        <f>IFERROR(VLOOKUP(HD120,Horarios!$H:$I,2,0),"")</f>
        <v/>
      </c>
      <c r="HG120" s="28" t="str">
        <f>IFERROR(VLOOKUP(HE120,Horarios!$H:$I,2,0),"")</f>
        <v/>
      </c>
      <c r="HH120" s="28" t="str">
        <f t="shared" si="86"/>
        <v>00:00</v>
      </c>
      <c r="HI120" s="29"/>
      <c r="HJ120" s="31" t="str">
        <f t="shared" si="87"/>
        <v/>
      </c>
      <c r="HK120" s="27"/>
      <c r="HL120" s="27"/>
      <c r="HM120" s="28" t="str">
        <f>IFERROR(VLOOKUP(HK120,Horarios!$H:$I,2,0),"")</f>
        <v/>
      </c>
      <c r="HN120" s="28" t="str">
        <f>IFERROR(VLOOKUP(HL120,Horarios!$H:$I,2,0),"")</f>
        <v/>
      </c>
      <c r="HO120" s="28" t="str">
        <f t="shared" si="88"/>
        <v>00:00</v>
      </c>
      <c r="HP120" s="29"/>
      <c r="HQ120" s="27"/>
      <c r="HR120" s="27"/>
      <c r="HS120" s="28" t="str">
        <f>IFERROR(VLOOKUP(HQ120,Horarios!$H:$I,2,0),"")</f>
        <v/>
      </c>
      <c r="HT120" s="28" t="str">
        <f>IFERROR(VLOOKUP(HR120,Horarios!$H:$I,2,0),"")</f>
        <v/>
      </c>
      <c r="HU120" s="28" t="str">
        <f t="shared" si="89"/>
        <v>00:00</v>
      </c>
      <c r="HV120" s="29"/>
      <c r="HW120" s="27"/>
      <c r="HX120" s="27"/>
      <c r="HY120" s="28" t="str">
        <f>IFERROR(VLOOKUP(HW120,Horarios!$H:$I,2,0),"")</f>
        <v/>
      </c>
      <c r="HZ120" s="28" t="str">
        <f>IFERROR(VLOOKUP(HX120,Horarios!$H:$I,2,0),"")</f>
        <v/>
      </c>
      <c r="IA120" s="28" t="str">
        <f t="shared" si="90"/>
        <v>00:00</v>
      </c>
      <c r="IB120" s="29"/>
      <c r="IC120" s="27"/>
      <c r="ID120" s="27"/>
      <c r="IE120" s="28" t="str">
        <f>IFERROR(VLOOKUP(IC120,Horarios!$H:$I,2,0),"")</f>
        <v/>
      </c>
      <c r="IF120" s="28" t="str">
        <f>IFERROR(VLOOKUP(ID120,Horarios!$H:$I,2,0),"")</f>
        <v/>
      </c>
      <c r="IG120" s="28" t="str">
        <f t="shared" si="91"/>
        <v>00:00</v>
      </c>
      <c r="IH120" s="29"/>
      <c r="II120" s="27"/>
      <c r="IJ120" s="27"/>
      <c r="IK120" s="28" t="str">
        <f>IFERROR(VLOOKUP(II120,Horarios!$H:$I,2,0),"")</f>
        <v/>
      </c>
      <c r="IL120" s="28" t="str">
        <f>IFERROR(VLOOKUP(IJ120,Horarios!$H:$I,2,0),"")</f>
        <v/>
      </c>
      <c r="IM120" s="28" t="str">
        <f t="shared" si="92"/>
        <v>00:00</v>
      </c>
      <c r="IN120" s="29"/>
      <c r="IO120" s="27"/>
      <c r="IP120" s="27"/>
      <c r="IQ120" s="28" t="str">
        <f>IFERROR(VLOOKUP(IO120,Horarios!$H:$I,2,0),"")</f>
        <v/>
      </c>
      <c r="IR120" s="28" t="str">
        <f>IFERROR(VLOOKUP(IP120,Horarios!$H:$I,2,0),"")</f>
        <v/>
      </c>
      <c r="IS120" s="28" t="str">
        <f t="shared" si="93"/>
        <v>00:00</v>
      </c>
      <c r="IT120" s="29"/>
      <c r="IU120" s="27"/>
      <c r="IV120" s="27"/>
      <c r="IW120" s="28" t="str">
        <f>IFERROR(VLOOKUP(IU120,Horarios!$H:$I,2,0),"")</f>
        <v/>
      </c>
      <c r="IX120" s="28" t="str">
        <f>IFERROR(VLOOKUP(IV120,Horarios!$H:$I,2,0),"")</f>
        <v/>
      </c>
      <c r="IY120" s="28" t="str">
        <f t="shared" si="94"/>
        <v>00:00</v>
      </c>
      <c r="IZ120" s="29"/>
      <c r="JA120" s="31" t="str">
        <f t="shared" si="95"/>
        <v/>
      </c>
    </row>
    <row r="121" spans="1:261" s="24" customFormat="1" ht="17.399999999999999" x14ac:dyDescent="0.25">
      <c r="A121" s="25"/>
      <c r="B121" s="26" t="str">
        <f>IFERROR(VLOOKUP(A121,BaseNombres!A:B,2,0),"")</f>
        <v/>
      </c>
      <c r="C121" s="26" t="str">
        <f>IFERROR(VLOOKUP(A121,BaseNombres!A:C,3,0),"")</f>
        <v/>
      </c>
      <c r="D121" s="27"/>
      <c r="E121" s="27"/>
      <c r="F121" s="28" t="str">
        <f>IFERROR(VLOOKUP(D121,Horarios!$H:$I,2,0),"")</f>
        <v/>
      </c>
      <c r="G121" s="28" t="str">
        <f>IFERROR(VLOOKUP(E121,Horarios!$H:$I,2,0),"")</f>
        <v/>
      </c>
      <c r="H121" s="28" t="str">
        <f t="shared" si="48"/>
        <v>00:00</v>
      </c>
      <c r="I121" s="29"/>
      <c r="J121" s="27"/>
      <c r="K121" s="27"/>
      <c r="L121" s="28" t="str">
        <f>IFERROR(VLOOKUP(J121,Horarios!$H:$I,2,0),"")</f>
        <v/>
      </c>
      <c r="M121" s="28" t="str">
        <f>IFERROR(VLOOKUP(K121,Horarios!$H:$I,2,0),"")</f>
        <v/>
      </c>
      <c r="N121" s="28" t="str">
        <f t="shared" si="49"/>
        <v>00:00</v>
      </c>
      <c r="O121" s="29"/>
      <c r="P121" s="27"/>
      <c r="Q121" s="27"/>
      <c r="R121" s="28" t="str">
        <f>IFERROR(VLOOKUP(P121,Horarios!$H:$I,2,0),"")</f>
        <v/>
      </c>
      <c r="S121" s="28" t="str">
        <f>IFERROR(VLOOKUP(Q121,Horarios!$H:$I,2,0),"")</f>
        <v/>
      </c>
      <c r="T121" s="28" t="str">
        <f t="shared" si="50"/>
        <v>00:00</v>
      </c>
      <c r="U121" s="29"/>
      <c r="V121" s="27"/>
      <c r="W121" s="27"/>
      <c r="X121" s="28" t="str">
        <f>IFERROR(VLOOKUP(V121,Horarios!$H:$I,2,0),"")</f>
        <v/>
      </c>
      <c r="Y121" s="28" t="str">
        <f>IFERROR(VLOOKUP(W121,Horarios!$H:$I,2,0),"")</f>
        <v/>
      </c>
      <c r="Z121" s="28" t="str">
        <f t="shared" si="51"/>
        <v>00:00</v>
      </c>
      <c r="AA121" s="29"/>
      <c r="AB121" s="27"/>
      <c r="AC121" s="27"/>
      <c r="AD121" s="28" t="str">
        <f>IFERROR(VLOOKUP(AB121,Horarios!$H:$I,2,0),"")</f>
        <v/>
      </c>
      <c r="AE121" s="28" t="str">
        <f>IFERROR(VLOOKUP(AC121,Horarios!$H:$I,2,0),"")</f>
        <v/>
      </c>
      <c r="AF121" s="28" t="str">
        <f t="shared" si="52"/>
        <v>00:00</v>
      </c>
      <c r="AG121" s="29"/>
      <c r="AH121" s="27"/>
      <c r="AI121" s="27"/>
      <c r="AJ121" s="28" t="str">
        <f>IFERROR(VLOOKUP(AH121,Horarios!$H:$I,2,0),"")</f>
        <v/>
      </c>
      <c r="AK121" s="28" t="str">
        <f>IFERROR(VLOOKUP(AI121,Horarios!$H:$I,2,0),"")</f>
        <v/>
      </c>
      <c r="AL121" s="28" t="str">
        <f t="shared" si="53"/>
        <v>00:00</v>
      </c>
      <c r="AM121" s="29"/>
      <c r="AN121" s="27"/>
      <c r="AO121" s="27"/>
      <c r="AP121" s="28" t="str">
        <f>IFERROR(VLOOKUP(AN121,Horarios!$H:$I,2,0),"")</f>
        <v/>
      </c>
      <c r="AQ121" s="28" t="str">
        <f>IFERROR(VLOOKUP(AO121,Horarios!$H:$I,2,0),"")</f>
        <v/>
      </c>
      <c r="AR121" s="28" t="str">
        <f t="shared" si="54"/>
        <v>00:00</v>
      </c>
      <c r="AS121" s="29"/>
      <c r="AT121" s="31" t="str">
        <f t="shared" si="55"/>
        <v/>
      </c>
      <c r="AU121" s="27"/>
      <c r="AV121" s="27"/>
      <c r="AW121" s="28" t="str">
        <f>IFERROR(VLOOKUP(AU121,Horarios!$H:$I,2,0),"")</f>
        <v/>
      </c>
      <c r="AX121" s="28" t="str">
        <f>IFERROR(VLOOKUP(AV121,Horarios!$H:$I,2,0),"")</f>
        <v/>
      </c>
      <c r="AY121" s="28" t="str">
        <f t="shared" si="56"/>
        <v>00:00</v>
      </c>
      <c r="AZ121" s="29"/>
      <c r="BA121" s="27"/>
      <c r="BB121" s="27"/>
      <c r="BC121" s="28" t="str">
        <f>IFERROR(VLOOKUP(BA121,Horarios!$H:$I,2,0),"")</f>
        <v/>
      </c>
      <c r="BD121" s="28" t="str">
        <f>IFERROR(VLOOKUP(BB121,Horarios!$H:$I,2,0),"")</f>
        <v/>
      </c>
      <c r="BE121" s="28" t="str">
        <f t="shared" si="57"/>
        <v>00:00</v>
      </c>
      <c r="BF121" s="29"/>
      <c r="BG121" s="27"/>
      <c r="BH121" s="27"/>
      <c r="BI121" s="28" t="str">
        <f>IFERROR(VLOOKUP(BG121,Horarios!$H:$I,2,0),"")</f>
        <v/>
      </c>
      <c r="BJ121" s="28" t="str">
        <f>IFERROR(VLOOKUP(BH121,Horarios!$H:$I,2,0),"")</f>
        <v/>
      </c>
      <c r="BK121" s="28" t="str">
        <f t="shared" si="58"/>
        <v>00:00</v>
      </c>
      <c r="BL121" s="29"/>
      <c r="BM121" s="27"/>
      <c r="BN121" s="27"/>
      <c r="BO121" s="28" t="str">
        <f>IFERROR(VLOOKUP(BM121,Horarios!$H:$I,2,0),"")</f>
        <v/>
      </c>
      <c r="BP121" s="28" t="str">
        <f>IFERROR(VLOOKUP(BN121,Horarios!$H:$I,2,0),"")</f>
        <v/>
      </c>
      <c r="BQ121" s="28" t="str">
        <f t="shared" si="59"/>
        <v>00:00</v>
      </c>
      <c r="BR121" s="29"/>
      <c r="BS121" s="27"/>
      <c r="BT121" s="27"/>
      <c r="BU121" s="28" t="str">
        <f>IFERROR(VLOOKUP(BS121,Horarios!$H:$I,2,0),"")</f>
        <v/>
      </c>
      <c r="BV121" s="28" t="str">
        <f>IFERROR(VLOOKUP(BT121,Horarios!$H:$I,2,0),"")</f>
        <v/>
      </c>
      <c r="BW121" s="28" t="str">
        <f t="shared" si="60"/>
        <v>00:00</v>
      </c>
      <c r="BX121" s="29"/>
      <c r="BY121" s="27"/>
      <c r="BZ121" s="27"/>
      <c r="CA121" s="28" t="str">
        <f>IFERROR(VLOOKUP(BY121,Horarios!$H:$I,2,0),"")</f>
        <v/>
      </c>
      <c r="CB121" s="28" t="str">
        <f>IFERROR(VLOOKUP(BZ121,Horarios!$H:$I,2,0),"")</f>
        <v/>
      </c>
      <c r="CC121" s="28" t="str">
        <f t="shared" si="61"/>
        <v>00:00</v>
      </c>
      <c r="CD121" s="29"/>
      <c r="CE121" s="27"/>
      <c r="CF121" s="27"/>
      <c r="CG121" s="28" t="str">
        <f>IFERROR(VLOOKUP(CE121,Horarios!$H:$I,2,0),"")</f>
        <v/>
      </c>
      <c r="CH121" s="28" t="str">
        <f>IFERROR(VLOOKUP(CF121,Horarios!$H:$I,2,0),"")</f>
        <v/>
      </c>
      <c r="CI121" s="28" t="str">
        <f t="shared" si="62"/>
        <v>00:00</v>
      </c>
      <c r="CJ121" s="29"/>
      <c r="CK121" s="31" t="str">
        <f t="shared" si="63"/>
        <v/>
      </c>
      <c r="CL121" s="27"/>
      <c r="CM121" s="27"/>
      <c r="CN121" s="28" t="str">
        <f>IFERROR(VLOOKUP(CL121,Horarios!$H:$I,2,0),"")</f>
        <v/>
      </c>
      <c r="CO121" s="28" t="str">
        <f>IFERROR(VLOOKUP(CM121,Horarios!$H:$I,2,0),"")</f>
        <v/>
      </c>
      <c r="CP121" s="28" t="str">
        <f t="shared" si="64"/>
        <v>00:00</v>
      </c>
      <c r="CQ121" s="29"/>
      <c r="CR121" s="27"/>
      <c r="CS121" s="27"/>
      <c r="CT121" s="28" t="str">
        <f>IFERROR(VLOOKUP(CR121,Horarios!$H:$I,2,0),"")</f>
        <v/>
      </c>
      <c r="CU121" s="28" t="str">
        <f>IFERROR(VLOOKUP(CS121,Horarios!$H:$I,2,0),"")</f>
        <v/>
      </c>
      <c r="CV121" s="28" t="str">
        <f t="shared" si="65"/>
        <v>00:00</v>
      </c>
      <c r="CW121" s="29"/>
      <c r="CX121" s="27"/>
      <c r="CY121" s="27"/>
      <c r="CZ121" s="28" t="str">
        <f>IFERROR(VLOOKUP(CX121,Horarios!$H:$I,2,0),"")</f>
        <v/>
      </c>
      <c r="DA121" s="28" t="str">
        <f>IFERROR(VLOOKUP(CY121,Horarios!$H:$I,2,0),"")</f>
        <v/>
      </c>
      <c r="DB121" s="28" t="str">
        <f t="shared" si="66"/>
        <v>00:00</v>
      </c>
      <c r="DC121" s="29"/>
      <c r="DD121" s="27"/>
      <c r="DE121" s="27"/>
      <c r="DF121" s="28" t="str">
        <f>IFERROR(VLOOKUP(DD121,Horarios!$H:$I,2,0),"")</f>
        <v/>
      </c>
      <c r="DG121" s="28" t="str">
        <f>IFERROR(VLOOKUP(DE121,Horarios!$H:$I,2,0),"")</f>
        <v/>
      </c>
      <c r="DH121" s="28" t="str">
        <f t="shared" si="67"/>
        <v>00:00</v>
      </c>
      <c r="DI121" s="29"/>
      <c r="DJ121" s="27"/>
      <c r="DK121" s="27"/>
      <c r="DL121" s="28" t="str">
        <f>IFERROR(VLOOKUP(DJ121,Horarios!$H:$I,2,0),"")</f>
        <v/>
      </c>
      <c r="DM121" s="28" t="str">
        <f>IFERROR(VLOOKUP(DK121,Horarios!$H:$I,2,0),"")</f>
        <v/>
      </c>
      <c r="DN121" s="28" t="str">
        <f t="shared" si="68"/>
        <v>00:00</v>
      </c>
      <c r="DO121" s="29"/>
      <c r="DP121" s="27"/>
      <c r="DQ121" s="27"/>
      <c r="DR121" s="28" t="str">
        <f>IFERROR(VLOOKUP(DP121,Horarios!$H:$I,2,0),"")</f>
        <v/>
      </c>
      <c r="DS121" s="28" t="str">
        <f>IFERROR(VLOOKUP(DQ121,Horarios!$H:$I,2,0),"")</f>
        <v/>
      </c>
      <c r="DT121" s="28" t="str">
        <f t="shared" si="69"/>
        <v>00:00</v>
      </c>
      <c r="DU121" s="29"/>
      <c r="DV121" s="27"/>
      <c r="DW121" s="27"/>
      <c r="DX121" s="28" t="str">
        <f>IFERROR(VLOOKUP(DV121,Horarios!$H:$I,2,0),"")</f>
        <v/>
      </c>
      <c r="DY121" s="28" t="str">
        <f>IFERROR(VLOOKUP(DW121,Horarios!$H:$I,2,0),"")</f>
        <v/>
      </c>
      <c r="DZ121" s="28" t="str">
        <f t="shared" si="70"/>
        <v>00:00</v>
      </c>
      <c r="EA121" s="29"/>
      <c r="EB121" s="31" t="str">
        <f t="shared" si="71"/>
        <v/>
      </c>
      <c r="EC121" s="27"/>
      <c r="ED121" s="27"/>
      <c r="EE121" s="28" t="str">
        <f>IFERROR(VLOOKUP(EC121,Horarios!$H:$I,2,0),"")</f>
        <v/>
      </c>
      <c r="EF121" s="28" t="str">
        <f>IFERROR(VLOOKUP(ED121,Horarios!$H:$I,2,0),"")</f>
        <v/>
      </c>
      <c r="EG121" s="28" t="str">
        <f t="shared" si="72"/>
        <v>00:00</v>
      </c>
      <c r="EH121" s="29"/>
      <c r="EI121" s="27"/>
      <c r="EJ121" s="27"/>
      <c r="EK121" s="28" t="str">
        <f>IFERROR(VLOOKUP(EI121,Horarios!$H:$I,2,0),"")</f>
        <v/>
      </c>
      <c r="EL121" s="28" t="str">
        <f>IFERROR(VLOOKUP(EJ121,Horarios!$H:$I,2,0),"")</f>
        <v/>
      </c>
      <c r="EM121" s="28" t="str">
        <f t="shared" si="73"/>
        <v>00:00</v>
      </c>
      <c r="EN121" s="29"/>
      <c r="EO121" s="27"/>
      <c r="EP121" s="27"/>
      <c r="EQ121" s="28" t="str">
        <f>IFERROR(VLOOKUP(EO121,Horarios!$H:$I,2,0),"")</f>
        <v/>
      </c>
      <c r="ER121" s="28" t="str">
        <f>IFERROR(VLOOKUP(EP121,Horarios!$H:$I,2,0),"")</f>
        <v/>
      </c>
      <c r="ES121" s="28" t="str">
        <f t="shared" si="74"/>
        <v>00:00</v>
      </c>
      <c r="ET121" s="29"/>
      <c r="EU121" s="27"/>
      <c r="EV121" s="27"/>
      <c r="EW121" s="28" t="str">
        <f>IFERROR(VLOOKUP(EU121,Horarios!$H:$I,2,0),"")</f>
        <v/>
      </c>
      <c r="EX121" s="28" t="str">
        <f>IFERROR(VLOOKUP(EV121,Horarios!$H:$I,2,0),"")</f>
        <v/>
      </c>
      <c r="EY121" s="28" t="str">
        <f t="shared" si="75"/>
        <v>00:00</v>
      </c>
      <c r="EZ121" s="29"/>
      <c r="FA121" s="27"/>
      <c r="FB121" s="27"/>
      <c r="FC121" s="28" t="str">
        <f>IFERROR(VLOOKUP(FA121,Horarios!$H:$I,2,0),"")</f>
        <v/>
      </c>
      <c r="FD121" s="28" t="str">
        <f>IFERROR(VLOOKUP(FB121,Horarios!$H:$I,2,0),"")</f>
        <v/>
      </c>
      <c r="FE121" s="28" t="str">
        <f t="shared" si="76"/>
        <v>00:00</v>
      </c>
      <c r="FF121" s="29"/>
      <c r="FG121" s="27"/>
      <c r="FH121" s="27"/>
      <c r="FI121" s="28" t="str">
        <f>IFERROR(VLOOKUP(FG121,Horarios!$H:$I,2,0),"")</f>
        <v/>
      </c>
      <c r="FJ121" s="28" t="str">
        <f>IFERROR(VLOOKUP(FH121,Horarios!$H:$I,2,0),"")</f>
        <v/>
      </c>
      <c r="FK121" s="28" t="str">
        <f t="shared" si="77"/>
        <v>00:00</v>
      </c>
      <c r="FL121" s="29"/>
      <c r="FM121" s="27"/>
      <c r="FN121" s="27"/>
      <c r="FO121" s="28" t="str">
        <f>IFERROR(VLOOKUP(FM121,Horarios!$H:$I,2,0),"")</f>
        <v/>
      </c>
      <c r="FP121" s="28" t="str">
        <f>IFERROR(VLOOKUP(FN121,Horarios!$H:$I,2,0),"")</f>
        <v/>
      </c>
      <c r="FQ121" s="28" t="str">
        <f t="shared" si="78"/>
        <v>00:00</v>
      </c>
      <c r="FR121" s="29"/>
      <c r="FS121" s="31" t="str">
        <f t="shared" si="79"/>
        <v/>
      </c>
      <c r="FT121" s="27"/>
      <c r="FU121" s="27"/>
      <c r="FV121" s="28" t="str">
        <f>IFERROR(VLOOKUP(FT121,Horarios!$H:$I,2,0),"")</f>
        <v/>
      </c>
      <c r="FW121" s="28" t="str">
        <f>IFERROR(VLOOKUP(FU121,Horarios!$H:$I,2,0),"")</f>
        <v/>
      </c>
      <c r="FX121" s="28" t="str">
        <f t="shared" si="80"/>
        <v>00:00</v>
      </c>
      <c r="FY121" s="29"/>
      <c r="FZ121" s="27"/>
      <c r="GA121" s="27"/>
      <c r="GB121" s="28" t="str">
        <f>IFERROR(VLOOKUP(FZ121,Horarios!$H:$I,2,0),"")</f>
        <v/>
      </c>
      <c r="GC121" s="28" t="str">
        <f>IFERROR(VLOOKUP(GA121,Horarios!$H:$I,2,0),"")</f>
        <v/>
      </c>
      <c r="GD121" s="28" t="str">
        <f t="shared" si="81"/>
        <v>00:00</v>
      </c>
      <c r="GE121" s="29"/>
      <c r="GF121" s="27"/>
      <c r="GG121" s="27"/>
      <c r="GH121" s="28" t="str">
        <f>IFERROR(VLOOKUP(GF121,Horarios!$H:$I,2,0),"")</f>
        <v/>
      </c>
      <c r="GI121" s="28" t="str">
        <f>IFERROR(VLOOKUP(GG121,Horarios!$H:$I,2,0),"")</f>
        <v/>
      </c>
      <c r="GJ121" s="28" t="str">
        <f t="shared" si="82"/>
        <v>00:00</v>
      </c>
      <c r="GK121" s="29"/>
      <c r="GL121" s="27"/>
      <c r="GM121" s="27"/>
      <c r="GN121" s="28" t="str">
        <f>IFERROR(VLOOKUP(GL121,Horarios!$H:$I,2,0),"")</f>
        <v/>
      </c>
      <c r="GO121" s="28" t="str">
        <f>IFERROR(VLOOKUP(GM121,Horarios!$H:$I,2,0),"")</f>
        <v/>
      </c>
      <c r="GP121" s="28" t="str">
        <f t="shared" si="83"/>
        <v>00:00</v>
      </c>
      <c r="GQ121" s="29"/>
      <c r="GR121" s="27"/>
      <c r="GS121" s="27"/>
      <c r="GT121" s="28" t="str">
        <f>IFERROR(VLOOKUP(GR121,Horarios!$H:$I,2,0),"")</f>
        <v/>
      </c>
      <c r="GU121" s="28" t="str">
        <f>IFERROR(VLOOKUP(GS121,Horarios!$H:$I,2,0),"")</f>
        <v/>
      </c>
      <c r="GV121" s="28" t="str">
        <f t="shared" si="84"/>
        <v>00:00</v>
      </c>
      <c r="GW121" s="29"/>
      <c r="GX121" s="27"/>
      <c r="GY121" s="27"/>
      <c r="GZ121" s="28" t="str">
        <f>IFERROR(VLOOKUP(GX121,Horarios!$H:$I,2,0),"")</f>
        <v/>
      </c>
      <c r="HA121" s="28" t="str">
        <f>IFERROR(VLOOKUP(GY121,Horarios!$H:$I,2,0),"")</f>
        <v/>
      </c>
      <c r="HB121" s="28" t="str">
        <f t="shared" si="85"/>
        <v>00:00</v>
      </c>
      <c r="HC121" s="29"/>
      <c r="HD121" s="27"/>
      <c r="HE121" s="27"/>
      <c r="HF121" s="28" t="str">
        <f>IFERROR(VLOOKUP(HD121,Horarios!$H:$I,2,0),"")</f>
        <v/>
      </c>
      <c r="HG121" s="28" t="str">
        <f>IFERROR(VLOOKUP(HE121,Horarios!$H:$I,2,0),"")</f>
        <v/>
      </c>
      <c r="HH121" s="28" t="str">
        <f t="shared" si="86"/>
        <v>00:00</v>
      </c>
      <c r="HI121" s="29"/>
      <c r="HJ121" s="31" t="str">
        <f t="shared" si="87"/>
        <v/>
      </c>
      <c r="HK121" s="27"/>
      <c r="HL121" s="27"/>
      <c r="HM121" s="28" t="str">
        <f>IFERROR(VLOOKUP(HK121,Horarios!$H:$I,2,0),"")</f>
        <v/>
      </c>
      <c r="HN121" s="28" t="str">
        <f>IFERROR(VLOOKUP(HL121,Horarios!$H:$I,2,0),"")</f>
        <v/>
      </c>
      <c r="HO121" s="28" t="str">
        <f t="shared" si="88"/>
        <v>00:00</v>
      </c>
      <c r="HP121" s="29"/>
      <c r="HQ121" s="27"/>
      <c r="HR121" s="27"/>
      <c r="HS121" s="28" t="str">
        <f>IFERROR(VLOOKUP(HQ121,Horarios!$H:$I,2,0),"")</f>
        <v/>
      </c>
      <c r="HT121" s="28" t="str">
        <f>IFERROR(VLOOKUP(HR121,Horarios!$H:$I,2,0),"")</f>
        <v/>
      </c>
      <c r="HU121" s="28" t="str">
        <f t="shared" si="89"/>
        <v>00:00</v>
      </c>
      <c r="HV121" s="29"/>
      <c r="HW121" s="27"/>
      <c r="HX121" s="27"/>
      <c r="HY121" s="28" t="str">
        <f>IFERROR(VLOOKUP(HW121,Horarios!$H:$I,2,0),"")</f>
        <v/>
      </c>
      <c r="HZ121" s="28" t="str">
        <f>IFERROR(VLOOKUP(HX121,Horarios!$H:$I,2,0),"")</f>
        <v/>
      </c>
      <c r="IA121" s="28" t="str">
        <f t="shared" si="90"/>
        <v>00:00</v>
      </c>
      <c r="IB121" s="29"/>
      <c r="IC121" s="27"/>
      <c r="ID121" s="27"/>
      <c r="IE121" s="28" t="str">
        <f>IFERROR(VLOOKUP(IC121,Horarios!$H:$I,2,0),"")</f>
        <v/>
      </c>
      <c r="IF121" s="28" t="str">
        <f>IFERROR(VLOOKUP(ID121,Horarios!$H:$I,2,0),"")</f>
        <v/>
      </c>
      <c r="IG121" s="28" t="str">
        <f t="shared" si="91"/>
        <v>00:00</v>
      </c>
      <c r="IH121" s="29"/>
      <c r="II121" s="27"/>
      <c r="IJ121" s="27"/>
      <c r="IK121" s="28" t="str">
        <f>IFERROR(VLOOKUP(II121,Horarios!$H:$I,2,0),"")</f>
        <v/>
      </c>
      <c r="IL121" s="28" t="str">
        <f>IFERROR(VLOOKUP(IJ121,Horarios!$H:$I,2,0),"")</f>
        <v/>
      </c>
      <c r="IM121" s="28" t="str">
        <f t="shared" si="92"/>
        <v>00:00</v>
      </c>
      <c r="IN121" s="29"/>
      <c r="IO121" s="27"/>
      <c r="IP121" s="27"/>
      <c r="IQ121" s="28" t="str">
        <f>IFERROR(VLOOKUP(IO121,Horarios!$H:$I,2,0),"")</f>
        <v/>
      </c>
      <c r="IR121" s="28" t="str">
        <f>IFERROR(VLOOKUP(IP121,Horarios!$H:$I,2,0),"")</f>
        <v/>
      </c>
      <c r="IS121" s="28" t="str">
        <f t="shared" si="93"/>
        <v>00:00</v>
      </c>
      <c r="IT121" s="29"/>
      <c r="IU121" s="27"/>
      <c r="IV121" s="27"/>
      <c r="IW121" s="28" t="str">
        <f>IFERROR(VLOOKUP(IU121,Horarios!$H:$I,2,0),"")</f>
        <v/>
      </c>
      <c r="IX121" s="28" t="str">
        <f>IFERROR(VLOOKUP(IV121,Horarios!$H:$I,2,0),"")</f>
        <v/>
      </c>
      <c r="IY121" s="28" t="str">
        <f t="shared" si="94"/>
        <v>00:00</v>
      </c>
      <c r="IZ121" s="29"/>
      <c r="JA121" s="31" t="str">
        <f t="shared" si="95"/>
        <v/>
      </c>
    </row>
    <row r="122" spans="1:261" s="24" customFormat="1" ht="17.399999999999999" x14ac:dyDescent="0.25">
      <c r="A122" s="25"/>
      <c r="B122" s="26" t="str">
        <f>IFERROR(VLOOKUP(A122,BaseNombres!A:B,2,0),"")</f>
        <v/>
      </c>
      <c r="C122" s="26" t="str">
        <f>IFERROR(VLOOKUP(A122,BaseNombres!A:C,3,0),"")</f>
        <v/>
      </c>
      <c r="D122" s="27"/>
      <c r="E122" s="27"/>
      <c r="F122" s="28" t="str">
        <f>IFERROR(VLOOKUP(D122,Horarios!$H:$I,2,0),"")</f>
        <v/>
      </c>
      <c r="G122" s="28" t="str">
        <f>IFERROR(VLOOKUP(E122,Horarios!$H:$I,2,0),"")</f>
        <v/>
      </c>
      <c r="H122" s="28" t="str">
        <f t="shared" si="48"/>
        <v>00:00</v>
      </c>
      <c r="I122" s="29"/>
      <c r="J122" s="27"/>
      <c r="K122" s="27"/>
      <c r="L122" s="28" t="str">
        <f>IFERROR(VLOOKUP(J122,Horarios!$H:$I,2,0),"")</f>
        <v/>
      </c>
      <c r="M122" s="28" t="str">
        <f>IFERROR(VLOOKUP(K122,Horarios!$H:$I,2,0),"")</f>
        <v/>
      </c>
      <c r="N122" s="28" t="str">
        <f t="shared" si="49"/>
        <v>00:00</v>
      </c>
      <c r="O122" s="29"/>
      <c r="P122" s="27"/>
      <c r="Q122" s="27"/>
      <c r="R122" s="28" t="str">
        <f>IFERROR(VLOOKUP(P122,Horarios!$H:$I,2,0),"")</f>
        <v/>
      </c>
      <c r="S122" s="28" t="str">
        <f>IFERROR(VLOOKUP(Q122,Horarios!$H:$I,2,0),"")</f>
        <v/>
      </c>
      <c r="T122" s="28" t="str">
        <f t="shared" si="50"/>
        <v>00:00</v>
      </c>
      <c r="U122" s="29"/>
      <c r="V122" s="27"/>
      <c r="W122" s="27"/>
      <c r="X122" s="28" t="str">
        <f>IFERROR(VLOOKUP(V122,Horarios!$H:$I,2,0),"")</f>
        <v/>
      </c>
      <c r="Y122" s="28" t="str">
        <f>IFERROR(VLOOKUP(W122,Horarios!$H:$I,2,0),"")</f>
        <v/>
      </c>
      <c r="Z122" s="28" t="str">
        <f t="shared" si="51"/>
        <v>00:00</v>
      </c>
      <c r="AA122" s="29"/>
      <c r="AB122" s="27"/>
      <c r="AC122" s="27"/>
      <c r="AD122" s="28" t="str">
        <f>IFERROR(VLOOKUP(AB122,Horarios!$H:$I,2,0),"")</f>
        <v/>
      </c>
      <c r="AE122" s="28" t="str">
        <f>IFERROR(VLOOKUP(AC122,Horarios!$H:$I,2,0),"")</f>
        <v/>
      </c>
      <c r="AF122" s="28" t="str">
        <f t="shared" si="52"/>
        <v>00:00</v>
      </c>
      <c r="AG122" s="29"/>
      <c r="AH122" s="27"/>
      <c r="AI122" s="27"/>
      <c r="AJ122" s="28" t="str">
        <f>IFERROR(VLOOKUP(AH122,Horarios!$H:$I,2,0),"")</f>
        <v/>
      </c>
      <c r="AK122" s="28" t="str">
        <f>IFERROR(VLOOKUP(AI122,Horarios!$H:$I,2,0),"")</f>
        <v/>
      </c>
      <c r="AL122" s="28" t="str">
        <f t="shared" si="53"/>
        <v>00:00</v>
      </c>
      <c r="AM122" s="29"/>
      <c r="AN122" s="27"/>
      <c r="AO122" s="27"/>
      <c r="AP122" s="28" t="str">
        <f>IFERROR(VLOOKUP(AN122,Horarios!$H:$I,2,0),"")</f>
        <v/>
      </c>
      <c r="AQ122" s="28" t="str">
        <f>IFERROR(VLOOKUP(AO122,Horarios!$H:$I,2,0),"")</f>
        <v/>
      </c>
      <c r="AR122" s="28" t="str">
        <f t="shared" si="54"/>
        <v>00:00</v>
      </c>
      <c r="AS122" s="29"/>
      <c r="AT122" s="31" t="str">
        <f t="shared" si="55"/>
        <v/>
      </c>
      <c r="AU122" s="27"/>
      <c r="AV122" s="27"/>
      <c r="AW122" s="28" t="str">
        <f>IFERROR(VLOOKUP(AU122,Horarios!$H:$I,2,0),"")</f>
        <v/>
      </c>
      <c r="AX122" s="28" t="str">
        <f>IFERROR(VLOOKUP(AV122,Horarios!$H:$I,2,0),"")</f>
        <v/>
      </c>
      <c r="AY122" s="28" t="str">
        <f t="shared" si="56"/>
        <v>00:00</v>
      </c>
      <c r="AZ122" s="29"/>
      <c r="BA122" s="27"/>
      <c r="BB122" s="27"/>
      <c r="BC122" s="28" t="str">
        <f>IFERROR(VLOOKUP(BA122,Horarios!$H:$I,2,0),"")</f>
        <v/>
      </c>
      <c r="BD122" s="28" t="str">
        <f>IFERROR(VLOOKUP(BB122,Horarios!$H:$I,2,0),"")</f>
        <v/>
      </c>
      <c r="BE122" s="28" t="str">
        <f t="shared" si="57"/>
        <v>00:00</v>
      </c>
      <c r="BF122" s="29"/>
      <c r="BG122" s="27"/>
      <c r="BH122" s="27"/>
      <c r="BI122" s="28" t="str">
        <f>IFERROR(VLOOKUP(BG122,Horarios!$H:$I,2,0),"")</f>
        <v/>
      </c>
      <c r="BJ122" s="28" t="str">
        <f>IFERROR(VLOOKUP(BH122,Horarios!$H:$I,2,0),"")</f>
        <v/>
      </c>
      <c r="BK122" s="28" t="str">
        <f t="shared" si="58"/>
        <v>00:00</v>
      </c>
      <c r="BL122" s="29"/>
      <c r="BM122" s="27"/>
      <c r="BN122" s="27"/>
      <c r="BO122" s="28" t="str">
        <f>IFERROR(VLOOKUP(BM122,Horarios!$H:$I,2,0),"")</f>
        <v/>
      </c>
      <c r="BP122" s="28" t="str">
        <f>IFERROR(VLOOKUP(BN122,Horarios!$H:$I,2,0),"")</f>
        <v/>
      </c>
      <c r="BQ122" s="28" t="str">
        <f t="shared" si="59"/>
        <v>00:00</v>
      </c>
      <c r="BR122" s="29"/>
      <c r="BS122" s="27"/>
      <c r="BT122" s="27"/>
      <c r="BU122" s="28" t="str">
        <f>IFERROR(VLOOKUP(BS122,Horarios!$H:$I,2,0),"")</f>
        <v/>
      </c>
      <c r="BV122" s="28" t="str">
        <f>IFERROR(VLOOKUP(BT122,Horarios!$H:$I,2,0),"")</f>
        <v/>
      </c>
      <c r="BW122" s="28" t="str">
        <f t="shared" si="60"/>
        <v>00:00</v>
      </c>
      <c r="BX122" s="29"/>
      <c r="BY122" s="27"/>
      <c r="BZ122" s="27"/>
      <c r="CA122" s="28" t="str">
        <f>IFERROR(VLOOKUP(BY122,Horarios!$H:$I,2,0),"")</f>
        <v/>
      </c>
      <c r="CB122" s="28" t="str">
        <f>IFERROR(VLOOKUP(BZ122,Horarios!$H:$I,2,0),"")</f>
        <v/>
      </c>
      <c r="CC122" s="28" t="str">
        <f t="shared" si="61"/>
        <v>00:00</v>
      </c>
      <c r="CD122" s="29"/>
      <c r="CE122" s="27"/>
      <c r="CF122" s="27"/>
      <c r="CG122" s="28" t="str">
        <f>IFERROR(VLOOKUP(CE122,Horarios!$H:$I,2,0),"")</f>
        <v/>
      </c>
      <c r="CH122" s="28" t="str">
        <f>IFERROR(VLOOKUP(CF122,Horarios!$H:$I,2,0),"")</f>
        <v/>
      </c>
      <c r="CI122" s="28" t="str">
        <f t="shared" si="62"/>
        <v>00:00</v>
      </c>
      <c r="CJ122" s="29"/>
      <c r="CK122" s="31" t="str">
        <f t="shared" si="63"/>
        <v/>
      </c>
      <c r="CL122" s="27"/>
      <c r="CM122" s="27"/>
      <c r="CN122" s="28" t="str">
        <f>IFERROR(VLOOKUP(CL122,Horarios!$H:$I,2,0),"")</f>
        <v/>
      </c>
      <c r="CO122" s="28" t="str">
        <f>IFERROR(VLOOKUP(CM122,Horarios!$H:$I,2,0),"")</f>
        <v/>
      </c>
      <c r="CP122" s="28" t="str">
        <f t="shared" si="64"/>
        <v>00:00</v>
      </c>
      <c r="CQ122" s="29"/>
      <c r="CR122" s="27"/>
      <c r="CS122" s="27"/>
      <c r="CT122" s="28" t="str">
        <f>IFERROR(VLOOKUP(CR122,Horarios!$H:$I,2,0),"")</f>
        <v/>
      </c>
      <c r="CU122" s="28" t="str">
        <f>IFERROR(VLOOKUP(CS122,Horarios!$H:$I,2,0),"")</f>
        <v/>
      </c>
      <c r="CV122" s="28" t="str">
        <f t="shared" si="65"/>
        <v>00:00</v>
      </c>
      <c r="CW122" s="29"/>
      <c r="CX122" s="27"/>
      <c r="CY122" s="27"/>
      <c r="CZ122" s="28" t="str">
        <f>IFERROR(VLOOKUP(CX122,Horarios!$H:$I,2,0),"")</f>
        <v/>
      </c>
      <c r="DA122" s="28" t="str">
        <f>IFERROR(VLOOKUP(CY122,Horarios!$H:$I,2,0),"")</f>
        <v/>
      </c>
      <c r="DB122" s="28" t="str">
        <f t="shared" si="66"/>
        <v>00:00</v>
      </c>
      <c r="DC122" s="29"/>
      <c r="DD122" s="27"/>
      <c r="DE122" s="27"/>
      <c r="DF122" s="28" t="str">
        <f>IFERROR(VLOOKUP(DD122,Horarios!$H:$I,2,0),"")</f>
        <v/>
      </c>
      <c r="DG122" s="28" t="str">
        <f>IFERROR(VLOOKUP(DE122,Horarios!$H:$I,2,0),"")</f>
        <v/>
      </c>
      <c r="DH122" s="28" t="str">
        <f t="shared" si="67"/>
        <v>00:00</v>
      </c>
      <c r="DI122" s="29"/>
      <c r="DJ122" s="27"/>
      <c r="DK122" s="27"/>
      <c r="DL122" s="28" t="str">
        <f>IFERROR(VLOOKUP(DJ122,Horarios!$H:$I,2,0),"")</f>
        <v/>
      </c>
      <c r="DM122" s="28" t="str">
        <f>IFERROR(VLOOKUP(DK122,Horarios!$H:$I,2,0),"")</f>
        <v/>
      </c>
      <c r="DN122" s="28" t="str">
        <f t="shared" si="68"/>
        <v>00:00</v>
      </c>
      <c r="DO122" s="29"/>
      <c r="DP122" s="27"/>
      <c r="DQ122" s="27"/>
      <c r="DR122" s="28" t="str">
        <f>IFERROR(VLOOKUP(DP122,Horarios!$H:$I,2,0),"")</f>
        <v/>
      </c>
      <c r="DS122" s="28" t="str">
        <f>IFERROR(VLOOKUP(DQ122,Horarios!$H:$I,2,0),"")</f>
        <v/>
      </c>
      <c r="DT122" s="28" t="str">
        <f t="shared" si="69"/>
        <v>00:00</v>
      </c>
      <c r="DU122" s="29"/>
      <c r="DV122" s="27"/>
      <c r="DW122" s="27"/>
      <c r="DX122" s="28" t="str">
        <f>IFERROR(VLOOKUP(DV122,Horarios!$H:$I,2,0),"")</f>
        <v/>
      </c>
      <c r="DY122" s="28" t="str">
        <f>IFERROR(VLOOKUP(DW122,Horarios!$H:$I,2,0),"")</f>
        <v/>
      </c>
      <c r="DZ122" s="28" t="str">
        <f t="shared" si="70"/>
        <v>00:00</v>
      </c>
      <c r="EA122" s="29"/>
      <c r="EB122" s="31" t="str">
        <f t="shared" si="71"/>
        <v/>
      </c>
      <c r="EC122" s="27"/>
      <c r="ED122" s="27"/>
      <c r="EE122" s="28" t="str">
        <f>IFERROR(VLOOKUP(EC122,Horarios!$H:$I,2,0),"")</f>
        <v/>
      </c>
      <c r="EF122" s="28" t="str">
        <f>IFERROR(VLOOKUP(ED122,Horarios!$H:$I,2,0),"")</f>
        <v/>
      </c>
      <c r="EG122" s="28" t="str">
        <f t="shared" si="72"/>
        <v>00:00</v>
      </c>
      <c r="EH122" s="29"/>
      <c r="EI122" s="27"/>
      <c r="EJ122" s="27"/>
      <c r="EK122" s="28" t="str">
        <f>IFERROR(VLOOKUP(EI122,Horarios!$H:$I,2,0),"")</f>
        <v/>
      </c>
      <c r="EL122" s="28" t="str">
        <f>IFERROR(VLOOKUP(EJ122,Horarios!$H:$I,2,0),"")</f>
        <v/>
      </c>
      <c r="EM122" s="28" t="str">
        <f t="shared" si="73"/>
        <v>00:00</v>
      </c>
      <c r="EN122" s="29"/>
      <c r="EO122" s="27"/>
      <c r="EP122" s="27"/>
      <c r="EQ122" s="28" t="str">
        <f>IFERROR(VLOOKUP(EO122,Horarios!$H:$I,2,0),"")</f>
        <v/>
      </c>
      <c r="ER122" s="28" t="str">
        <f>IFERROR(VLOOKUP(EP122,Horarios!$H:$I,2,0),"")</f>
        <v/>
      </c>
      <c r="ES122" s="28" t="str">
        <f t="shared" si="74"/>
        <v>00:00</v>
      </c>
      <c r="ET122" s="29"/>
      <c r="EU122" s="27"/>
      <c r="EV122" s="27"/>
      <c r="EW122" s="28" t="str">
        <f>IFERROR(VLOOKUP(EU122,Horarios!$H:$I,2,0),"")</f>
        <v/>
      </c>
      <c r="EX122" s="28" t="str">
        <f>IFERROR(VLOOKUP(EV122,Horarios!$H:$I,2,0),"")</f>
        <v/>
      </c>
      <c r="EY122" s="28" t="str">
        <f t="shared" si="75"/>
        <v>00:00</v>
      </c>
      <c r="EZ122" s="29"/>
      <c r="FA122" s="27"/>
      <c r="FB122" s="27"/>
      <c r="FC122" s="28" t="str">
        <f>IFERROR(VLOOKUP(FA122,Horarios!$H:$I,2,0),"")</f>
        <v/>
      </c>
      <c r="FD122" s="28" t="str">
        <f>IFERROR(VLOOKUP(FB122,Horarios!$H:$I,2,0),"")</f>
        <v/>
      </c>
      <c r="FE122" s="28" t="str">
        <f t="shared" si="76"/>
        <v>00:00</v>
      </c>
      <c r="FF122" s="29"/>
      <c r="FG122" s="27"/>
      <c r="FH122" s="27"/>
      <c r="FI122" s="28" t="str">
        <f>IFERROR(VLOOKUP(FG122,Horarios!$H:$I,2,0),"")</f>
        <v/>
      </c>
      <c r="FJ122" s="28" t="str">
        <f>IFERROR(VLOOKUP(FH122,Horarios!$H:$I,2,0),"")</f>
        <v/>
      </c>
      <c r="FK122" s="28" t="str">
        <f t="shared" si="77"/>
        <v>00:00</v>
      </c>
      <c r="FL122" s="29"/>
      <c r="FM122" s="27"/>
      <c r="FN122" s="27"/>
      <c r="FO122" s="28" t="str">
        <f>IFERROR(VLOOKUP(FM122,Horarios!$H:$I,2,0),"")</f>
        <v/>
      </c>
      <c r="FP122" s="28" t="str">
        <f>IFERROR(VLOOKUP(FN122,Horarios!$H:$I,2,0),"")</f>
        <v/>
      </c>
      <c r="FQ122" s="28" t="str">
        <f t="shared" si="78"/>
        <v>00:00</v>
      </c>
      <c r="FR122" s="29"/>
      <c r="FS122" s="31" t="str">
        <f t="shared" si="79"/>
        <v/>
      </c>
      <c r="FT122" s="27"/>
      <c r="FU122" s="27"/>
      <c r="FV122" s="28" t="str">
        <f>IFERROR(VLOOKUP(FT122,Horarios!$H:$I,2,0),"")</f>
        <v/>
      </c>
      <c r="FW122" s="28" t="str">
        <f>IFERROR(VLOOKUP(FU122,Horarios!$H:$I,2,0),"")</f>
        <v/>
      </c>
      <c r="FX122" s="28" t="str">
        <f t="shared" si="80"/>
        <v>00:00</v>
      </c>
      <c r="FY122" s="29"/>
      <c r="FZ122" s="27"/>
      <c r="GA122" s="27"/>
      <c r="GB122" s="28" t="str">
        <f>IFERROR(VLOOKUP(FZ122,Horarios!$H:$I,2,0),"")</f>
        <v/>
      </c>
      <c r="GC122" s="28" t="str">
        <f>IFERROR(VLOOKUP(GA122,Horarios!$H:$I,2,0),"")</f>
        <v/>
      </c>
      <c r="GD122" s="28" t="str">
        <f t="shared" si="81"/>
        <v>00:00</v>
      </c>
      <c r="GE122" s="29"/>
      <c r="GF122" s="27"/>
      <c r="GG122" s="27"/>
      <c r="GH122" s="28" t="str">
        <f>IFERROR(VLOOKUP(GF122,Horarios!$H:$I,2,0),"")</f>
        <v/>
      </c>
      <c r="GI122" s="28" t="str">
        <f>IFERROR(VLOOKUP(GG122,Horarios!$H:$I,2,0),"")</f>
        <v/>
      </c>
      <c r="GJ122" s="28" t="str">
        <f t="shared" si="82"/>
        <v>00:00</v>
      </c>
      <c r="GK122" s="29"/>
      <c r="GL122" s="27"/>
      <c r="GM122" s="27"/>
      <c r="GN122" s="28" t="str">
        <f>IFERROR(VLOOKUP(GL122,Horarios!$H:$I,2,0),"")</f>
        <v/>
      </c>
      <c r="GO122" s="28" t="str">
        <f>IFERROR(VLOOKUP(GM122,Horarios!$H:$I,2,0),"")</f>
        <v/>
      </c>
      <c r="GP122" s="28" t="str">
        <f t="shared" si="83"/>
        <v>00:00</v>
      </c>
      <c r="GQ122" s="29"/>
      <c r="GR122" s="27"/>
      <c r="GS122" s="27"/>
      <c r="GT122" s="28" t="str">
        <f>IFERROR(VLOOKUP(GR122,Horarios!$H:$I,2,0),"")</f>
        <v/>
      </c>
      <c r="GU122" s="28" t="str">
        <f>IFERROR(VLOOKUP(GS122,Horarios!$H:$I,2,0),"")</f>
        <v/>
      </c>
      <c r="GV122" s="28" t="str">
        <f t="shared" si="84"/>
        <v>00:00</v>
      </c>
      <c r="GW122" s="29"/>
      <c r="GX122" s="27"/>
      <c r="GY122" s="27"/>
      <c r="GZ122" s="28" t="str">
        <f>IFERROR(VLOOKUP(GX122,Horarios!$H:$I,2,0),"")</f>
        <v/>
      </c>
      <c r="HA122" s="28" t="str">
        <f>IFERROR(VLOOKUP(GY122,Horarios!$H:$I,2,0),"")</f>
        <v/>
      </c>
      <c r="HB122" s="28" t="str">
        <f t="shared" si="85"/>
        <v>00:00</v>
      </c>
      <c r="HC122" s="29"/>
      <c r="HD122" s="27"/>
      <c r="HE122" s="27"/>
      <c r="HF122" s="28" t="str">
        <f>IFERROR(VLOOKUP(HD122,Horarios!$H:$I,2,0),"")</f>
        <v/>
      </c>
      <c r="HG122" s="28" t="str">
        <f>IFERROR(VLOOKUP(HE122,Horarios!$H:$I,2,0),"")</f>
        <v/>
      </c>
      <c r="HH122" s="28" t="str">
        <f t="shared" si="86"/>
        <v>00:00</v>
      </c>
      <c r="HI122" s="29"/>
      <c r="HJ122" s="31" t="str">
        <f t="shared" si="87"/>
        <v/>
      </c>
      <c r="HK122" s="27"/>
      <c r="HL122" s="27"/>
      <c r="HM122" s="28" t="str">
        <f>IFERROR(VLOOKUP(HK122,Horarios!$H:$I,2,0),"")</f>
        <v/>
      </c>
      <c r="HN122" s="28" t="str">
        <f>IFERROR(VLOOKUP(HL122,Horarios!$H:$I,2,0),"")</f>
        <v/>
      </c>
      <c r="HO122" s="28" t="str">
        <f t="shared" si="88"/>
        <v>00:00</v>
      </c>
      <c r="HP122" s="29"/>
      <c r="HQ122" s="27"/>
      <c r="HR122" s="27"/>
      <c r="HS122" s="28" t="str">
        <f>IFERROR(VLOOKUP(HQ122,Horarios!$H:$I,2,0),"")</f>
        <v/>
      </c>
      <c r="HT122" s="28" t="str">
        <f>IFERROR(VLOOKUP(HR122,Horarios!$H:$I,2,0),"")</f>
        <v/>
      </c>
      <c r="HU122" s="28" t="str">
        <f t="shared" si="89"/>
        <v>00:00</v>
      </c>
      <c r="HV122" s="29"/>
      <c r="HW122" s="27"/>
      <c r="HX122" s="27"/>
      <c r="HY122" s="28" t="str">
        <f>IFERROR(VLOOKUP(HW122,Horarios!$H:$I,2,0),"")</f>
        <v/>
      </c>
      <c r="HZ122" s="28" t="str">
        <f>IFERROR(VLOOKUP(HX122,Horarios!$H:$I,2,0),"")</f>
        <v/>
      </c>
      <c r="IA122" s="28" t="str">
        <f t="shared" si="90"/>
        <v>00:00</v>
      </c>
      <c r="IB122" s="29"/>
      <c r="IC122" s="27"/>
      <c r="ID122" s="27"/>
      <c r="IE122" s="28" t="str">
        <f>IFERROR(VLOOKUP(IC122,Horarios!$H:$I,2,0),"")</f>
        <v/>
      </c>
      <c r="IF122" s="28" t="str">
        <f>IFERROR(VLOOKUP(ID122,Horarios!$H:$I,2,0),"")</f>
        <v/>
      </c>
      <c r="IG122" s="28" t="str">
        <f t="shared" si="91"/>
        <v>00:00</v>
      </c>
      <c r="IH122" s="29"/>
      <c r="II122" s="27"/>
      <c r="IJ122" s="27"/>
      <c r="IK122" s="28" t="str">
        <f>IFERROR(VLOOKUP(II122,Horarios!$H:$I,2,0),"")</f>
        <v/>
      </c>
      <c r="IL122" s="28" t="str">
        <f>IFERROR(VLOOKUP(IJ122,Horarios!$H:$I,2,0),"")</f>
        <v/>
      </c>
      <c r="IM122" s="28" t="str">
        <f t="shared" si="92"/>
        <v>00:00</v>
      </c>
      <c r="IN122" s="29"/>
      <c r="IO122" s="27"/>
      <c r="IP122" s="27"/>
      <c r="IQ122" s="28" t="str">
        <f>IFERROR(VLOOKUP(IO122,Horarios!$H:$I,2,0),"")</f>
        <v/>
      </c>
      <c r="IR122" s="28" t="str">
        <f>IFERROR(VLOOKUP(IP122,Horarios!$H:$I,2,0),"")</f>
        <v/>
      </c>
      <c r="IS122" s="28" t="str">
        <f t="shared" si="93"/>
        <v>00:00</v>
      </c>
      <c r="IT122" s="29"/>
      <c r="IU122" s="27"/>
      <c r="IV122" s="27"/>
      <c r="IW122" s="28" t="str">
        <f>IFERROR(VLOOKUP(IU122,Horarios!$H:$I,2,0),"")</f>
        <v/>
      </c>
      <c r="IX122" s="28" t="str">
        <f>IFERROR(VLOOKUP(IV122,Horarios!$H:$I,2,0),"")</f>
        <v/>
      </c>
      <c r="IY122" s="28" t="str">
        <f t="shared" si="94"/>
        <v>00:00</v>
      </c>
      <c r="IZ122" s="29"/>
      <c r="JA122" s="31" t="str">
        <f t="shared" si="95"/>
        <v/>
      </c>
    </row>
    <row r="123" spans="1:261" s="24" customFormat="1" ht="17.399999999999999" x14ac:dyDescent="0.25">
      <c r="A123" s="25"/>
      <c r="B123" s="26" t="str">
        <f>IFERROR(VLOOKUP(A123,BaseNombres!A:B,2,0),"")</f>
        <v/>
      </c>
      <c r="C123" s="26" t="str">
        <f>IFERROR(VLOOKUP(A123,BaseNombres!A:C,3,0),"")</f>
        <v/>
      </c>
      <c r="D123" s="27"/>
      <c r="E123" s="27"/>
      <c r="F123" s="28" t="str">
        <f>IFERROR(VLOOKUP(D123,Horarios!$H:$I,2,0),"")</f>
        <v/>
      </c>
      <c r="G123" s="28" t="str">
        <f>IFERROR(VLOOKUP(E123,Horarios!$H:$I,2,0),"")</f>
        <v/>
      </c>
      <c r="H123" s="28" t="str">
        <f t="shared" si="48"/>
        <v>00:00</v>
      </c>
      <c r="I123" s="29"/>
      <c r="J123" s="27"/>
      <c r="K123" s="27"/>
      <c r="L123" s="28" t="str">
        <f>IFERROR(VLOOKUP(J123,Horarios!$H:$I,2,0),"")</f>
        <v/>
      </c>
      <c r="M123" s="28" t="str">
        <f>IFERROR(VLOOKUP(K123,Horarios!$H:$I,2,0),"")</f>
        <v/>
      </c>
      <c r="N123" s="28" t="str">
        <f t="shared" si="49"/>
        <v>00:00</v>
      </c>
      <c r="O123" s="29"/>
      <c r="P123" s="27"/>
      <c r="Q123" s="27"/>
      <c r="R123" s="28" t="str">
        <f>IFERROR(VLOOKUP(P123,Horarios!$H:$I,2,0),"")</f>
        <v/>
      </c>
      <c r="S123" s="28" t="str">
        <f>IFERROR(VLOOKUP(Q123,Horarios!$H:$I,2,0),"")</f>
        <v/>
      </c>
      <c r="T123" s="28" t="str">
        <f t="shared" si="50"/>
        <v>00:00</v>
      </c>
      <c r="U123" s="29"/>
      <c r="V123" s="27"/>
      <c r="W123" s="27"/>
      <c r="X123" s="28" t="str">
        <f>IFERROR(VLOOKUP(V123,Horarios!$H:$I,2,0),"")</f>
        <v/>
      </c>
      <c r="Y123" s="28" t="str">
        <f>IFERROR(VLOOKUP(W123,Horarios!$H:$I,2,0),"")</f>
        <v/>
      </c>
      <c r="Z123" s="28" t="str">
        <f t="shared" si="51"/>
        <v>00:00</v>
      </c>
      <c r="AA123" s="29"/>
      <c r="AB123" s="27"/>
      <c r="AC123" s="27"/>
      <c r="AD123" s="28" t="str">
        <f>IFERROR(VLOOKUP(AB123,Horarios!$H:$I,2,0),"")</f>
        <v/>
      </c>
      <c r="AE123" s="28" t="str">
        <f>IFERROR(VLOOKUP(AC123,Horarios!$H:$I,2,0),"")</f>
        <v/>
      </c>
      <c r="AF123" s="28" t="str">
        <f t="shared" si="52"/>
        <v>00:00</v>
      </c>
      <c r="AG123" s="29"/>
      <c r="AH123" s="27"/>
      <c r="AI123" s="27"/>
      <c r="AJ123" s="28" t="str">
        <f>IFERROR(VLOOKUP(AH123,Horarios!$H:$I,2,0),"")</f>
        <v/>
      </c>
      <c r="AK123" s="28" t="str">
        <f>IFERROR(VLOOKUP(AI123,Horarios!$H:$I,2,0),"")</f>
        <v/>
      </c>
      <c r="AL123" s="28" t="str">
        <f t="shared" si="53"/>
        <v>00:00</v>
      </c>
      <c r="AM123" s="29"/>
      <c r="AN123" s="27"/>
      <c r="AO123" s="27"/>
      <c r="AP123" s="28" t="str">
        <f>IFERROR(VLOOKUP(AN123,Horarios!$H:$I,2,0),"")</f>
        <v/>
      </c>
      <c r="AQ123" s="28" t="str">
        <f>IFERROR(VLOOKUP(AO123,Horarios!$H:$I,2,0),"")</f>
        <v/>
      </c>
      <c r="AR123" s="28" t="str">
        <f t="shared" si="54"/>
        <v>00:00</v>
      </c>
      <c r="AS123" s="29"/>
      <c r="AT123" s="31" t="str">
        <f t="shared" si="55"/>
        <v/>
      </c>
      <c r="AU123" s="27"/>
      <c r="AV123" s="27"/>
      <c r="AW123" s="28" t="str">
        <f>IFERROR(VLOOKUP(AU123,Horarios!$H:$I,2,0),"")</f>
        <v/>
      </c>
      <c r="AX123" s="28" t="str">
        <f>IFERROR(VLOOKUP(AV123,Horarios!$H:$I,2,0),"")</f>
        <v/>
      </c>
      <c r="AY123" s="28" t="str">
        <f t="shared" si="56"/>
        <v>00:00</v>
      </c>
      <c r="AZ123" s="29"/>
      <c r="BA123" s="27"/>
      <c r="BB123" s="27"/>
      <c r="BC123" s="28" t="str">
        <f>IFERROR(VLOOKUP(BA123,Horarios!$H:$I,2,0),"")</f>
        <v/>
      </c>
      <c r="BD123" s="28" t="str">
        <f>IFERROR(VLOOKUP(BB123,Horarios!$H:$I,2,0),"")</f>
        <v/>
      </c>
      <c r="BE123" s="28" t="str">
        <f t="shared" si="57"/>
        <v>00:00</v>
      </c>
      <c r="BF123" s="29"/>
      <c r="BG123" s="27"/>
      <c r="BH123" s="27"/>
      <c r="BI123" s="28" t="str">
        <f>IFERROR(VLOOKUP(BG123,Horarios!$H:$I,2,0),"")</f>
        <v/>
      </c>
      <c r="BJ123" s="28" t="str">
        <f>IFERROR(VLOOKUP(BH123,Horarios!$H:$I,2,0),"")</f>
        <v/>
      </c>
      <c r="BK123" s="28" t="str">
        <f t="shared" si="58"/>
        <v>00:00</v>
      </c>
      <c r="BL123" s="29"/>
      <c r="BM123" s="27"/>
      <c r="BN123" s="27"/>
      <c r="BO123" s="28" t="str">
        <f>IFERROR(VLOOKUP(BM123,Horarios!$H:$I,2,0),"")</f>
        <v/>
      </c>
      <c r="BP123" s="28" t="str">
        <f>IFERROR(VLOOKUP(BN123,Horarios!$H:$I,2,0),"")</f>
        <v/>
      </c>
      <c r="BQ123" s="28" t="str">
        <f t="shared" si="59"/>
        <v>00:00</v>
      </c>
      <c r="BR123" s="29"/>
      <c r="BS123" s="27"/>
      <c r="BT123" s="27"/>
      <c r="BU123" s="28" t="str">
        <f>IFERROR(VLOOKUP(BS123,Horarios!$H:$I,2,0),"")</f>
        <v/>
      </c>
      <c r="BV123" s="28" t="str">
        <f>IFERROR(VLOOKUP(BT123,Horarios!$H:$I,2,0),"")</f>
        <v/>
      </c>
      <c r="BW123" s="28" t="str">
        <f t="shared" si="60"/>
        <v>00:00</v>
      </c>
      <c r="BX123" s="29"/>
      <c r="BY123" s="27"/>
      <c r="BZ123" s="27"/>
      <c r="CA123" s="28" t="str">
        <f>IFERROR(VLOOKUP(BY123,Horarios!$H:$I,2,0),"")</f>
        <v/>
      </c>
      <c r="CB123" s="28" t="str">
        <f>IFERROR(VLOOKUP(BZ123,Horarios!$H:$I,2,0),"")</f>
        <v/>
      </c>
      <c r="CC123" s="28" t="str">
        <f t="shared" si="61"/>
        <v>00:00</v>
      </c>
      <c r="CD123" s="29"/>
      <c r="CE123" s="27"/>
      <c r="CF123" s="27"/>
      <c r="CG123" s="28" t="str">
        <f>IFERROR(VLOOKUP(CE123,Horarios!$H:$I,2,0),"")</f>
        <v/>
      </c>
      <c r="CH123" s="28" t="str">
        <f>IFERROR(VLOOKUP(CF123,Horarios!$H:$I,2,0),"")</f>
        <v/>
      </c>
      <c r="CI123" s="28" t="str">
        <f t="shared" si="62"/>
        <v>00:00</v>
      </c>
      <c r="CJ123" s="29"/>
      <c r="CK123" s="31" t="str">
        <f t="shared" si="63"/>
        <v/>
      </c>
      <c r="CL123" s="27"/>
      <c r="CM123" s="27"/>
      <c r="CN123" s="28" t="str">
        <f>IFERROR(VLOOKUP(CL123,Horarios!$H:$I,2,0),"")</f>
        <v/>
      </c>
      <c r="CO123" s="28" t="str">
        <f>IFERROR(VLOOKUP(CM123,Horarios!$H:$I,2,0),"")</f>
        <v/>
      </c>
      <c r="CP123" s="28" t="str">
        <f t="shared" si="64"/>
        <v>00:00</v>
      </c>
      <c r="CQ123" s="29"/>
      <c r="CR123" s="27"/>
      <c r="CS123" s="27"/>
      <c r="CT123" s="28" t="str">
        <f>IFERROR(VLOOKUP(CR123,Horarios!$H:$I,2,0),"")</f>
        <v/>
      </c>
      <c r="CU123" s="28" t="str">
        <f>IFERROR(VLOOKUP(CS123,Horarios!$H:$I,2,0),"")</f>
        <v/>
      </c>
      <c r="CV123" s="28" t="str">
        <f t="shared" si="65"/>
        <v>00:00</v>
      </c>
      <c r="CW123" s="29"/>
      <c r="CX123" s="27"/>
      <c r="CY123" s="27"/>
      <c r="CZ123" s="28" t="str">
        <f>IFERROR(VLOOKUP(CX123,Horarios!$H:$I,2,0),"")</f>
        <v/>
      </c>
      <c r="DA123" s="28" t="str">
        <f>IFERROR(VLOOKUP(CY123,Horarios!$H:$I,2,0),"")</f>
        <v/>
      </c>
      <c r="DB123" s="28" t="str">
        <f t="shared" si="66"/>
        <v>00:00</v>
      </c>
      <c r="DC123" s="29"/>
      <c r="DD123" s="27"/>
      <c r="DE123" s="27"/>
      <c r="DF123" s="28" t="str">
        <f>IFERROR(VLOOKUP(DD123,Horarios!$H:$I,2,0),"")</f>
        <v/>
      </c>
      <c r="DG123" s="28" t="str">
        <f>IFERROR(VLOOKUP(DE123,Horarios!$H:$I,2,0),"")</f>
        <v/>
      </c>
      <c r="DH123" s="28" t="str">
        <f t="shared" si="67"/>
        <v>00:00</v>
      </c>
      <c r="DI123" s="29"/>
      <c r="DJ123" s="27"/>
      <c r="DK123" s="27"/>
      <c r="DL123" s="28" t="str">
        <f>IFERROR(VLOOKUP(DJ123,Horarios!$H:$I,2,0),"")</f>
        <v/>
      </c>
      <c r="DM123" s="28" t="str">
        <f>IFERROR(VLOOKUP(DK123,Horarios!$H:$I,2,0),"")</f>
        <v/>
      </c>
      <c r="DN123" s="28" t="str">
        <f t="shared" si="68"/>
        <v>00:00</v>
      </c>
      <c r="DO123" s="29"/>
      <c r="DP123" s="27"/>
      <c r="DQ123" s="27"/>
      <c r="DR123" s="28" t="str">
        <f>IFERROR(VLOOKUP(DP123,Horarios!$H:$I,2,0),"")</f>
        <v/>
      </c>
      <c r="DS123" s="28" t="str">
        <f>IFERROR(VLOOKUP(DQ123,Horarios!$H:$I,2,0),"")</f>
        <v/>
      </c>
      <c r="DT123" s="28" t="str">
        <f t="shared" si="69"/>
        <v>00:00</v>
      </c>
      <c r="DU123" s="29"/>
      <c r="DV123" s="27"/>
      <c r="DW123" s="27"/>
      <c r="DX123" s="28" t="str">
        <f>IFERROR(VLOOKUP(DV123,Horarios!$H:$I,2,0),"")</f>
        <v/>
      </c>
      <c r="DY123" s="28" t="str">
        <f>IFERROR(VLOOKUP(DW123,Horarios!$H:$I,2,0),"")</f>
        <v/>
      </c>
      <c r="DZ123" s="28" t="str">
        <f t="shared" si="70"/>
        <v>00:00</v>
      </c>
      <c r="EA123" s="29"/>
      <c r="EB123" s="31" t="str">
        <f t="shared" si="71"/>
        <v/>
      </c>
      <c r="EC123" s="27"/>
      <c r="ED123" s="27"/>
      <c r="EE123" s="28" t="str">
        <f>IFERROR(VLOOKUP(EC123,Horarios!$H:$I,2,0),"")</f>
        <v/>
      </c>
      <c r="EF123" s="28" t="str">
        <f>IFERROR(VLOOKUP(ED123,Horarios!$H:$I,2,0),"")</f>
        <v/>
      </c>
      <c r="EG123" s="28" t="str">
        <f t="shared" si="72"/>
        <v>00:00</v>
      </c>
      <c r="EH123" s="29"/>
      <c r="EI123" s="27"/>
      <c r="EJ123" s="27"/>
      <c r="EK123" s="28" t="str">
        <f>IFERROR(VLOOKUP(EI123,Horarios!$H:$I,2,0),"")</f>
        <v/>
      </c>
      <c r="EL123" s="28" t="str">
        <f>IFERROR(VLOOKUP(EJ123,Horarios!$H:$I,2,0),"")</f>
        <v/>
      </c>
      <c r="EM123" s="28" t="str">
        <f t="shared" si="73"/>
        <v>00:00</v>
      </c>
      <c r="EN123" s="29"/>
      <c r="EO123" s="27"/>
      <c r="EP123" s="27"/>
      <c r="EQ123" s="28" t="str">
        <f>IFERROR(VLOOKUP(EO123,Horarios!$H:$I,2,0),"")</f>
        <v/>
      </c>
      <c r="ER123" s="28" t="str">
        <f>IFERROR(VLOOKUP(EP123,Horarios!$H:$I,2,0),"")</f>
        <v/>
      </c>
      <c r="ES123" s="28" t="str">
        <f t="shared" si="74"/>
        <v>00:00</v>
      </c>
      <c r="ET123" s="29"/>
      <c r="EU123" s="27"/>
      <c r="EV123" s="27"/>
      <c r="EW123" s="28" t="str">
        <f>IFERROR(VLOOKUP(EU123,Horarios!$H:$I,2,0),"")</f>
        <v/>
      </c>
      <c r="EX123" s="28" t="str">
        <f>IFERROR(VLOOKUP(EV123,Horarios!$H:$I,2,0),"")</f>
        <v/>
      </c>
      <c r="EY123" s="28" t="str">
        <f t="shared" si="75"/>
        <v>00:00</v>
      </c>
      <c r="EZ123" s="29"/>
      <c r="FA123" s="27"/>
      <c r="FB123" s="27"/>
      <c r="FC123" s="28" t="str">
        <f>IFERROR(VLOOKUP(FA123,Horarios!$H:$I,2,0),"")</f>
        <v/>
      </c>
      <c r="FD123" s="28" t="str">
        <f>IFERROR(VLOOKUP(FB123,Horarios!$H:$I,2,0),"")</f>
        <v/>
      </c>
      <c r="FE123" s="28" t="str">
        <f t="shared" si="76"/>
        <v>00:00</v>
      </c>
      <c r="FF123" s="29"/>
      <c r="FG123" s="27"/>
      <c r="FH123" s="27"/>
      <c r="FI123" s="28" t="str">
        <f>IFERROR(VLOOKUP(FG123,Horarios!$H:$I,2,0),"")</f>
        <v/>
      </c>
      <c r="FJ123" s="28" t="str">
        <f>IFERROR(VLOOKUP(FH123,Horarios!$H:$I,2,0),"")</f>
        <v/>
      </c>
      <c r="FK123" s="28" t="str">
        <f t="shared" si="77"/>
        <v>00:00</v>
      </c>
      <c r="FL123" s="29"/>
      <c r="FM123" s="27"/>
      <c r="FN123" s="27"/>
      <c r="FO123" s="28" t="str">
        <f>IFERROR(VLOOKUP(FM123,Horarios!$H:$I,2,0),"")</f>
        <v/>
      </c>
      <c r="FP123" s="28" t="str">
        <f>IFERROR(VLOOKUP(FN123,Horarios!$H:$I,2,0),"")</f>
        <v/>
      </c>
      <c r="FQ123" s="28" t="str">
        <f t="shared" si="78"/>
        <v>00:00</v>
      </c>
      <c r="FR123" s="29"/>
      <c r="FS123" s="31" t="str">
        <f t="shared" si="79"/>
        <v/>
      </c>
      <c r="FT123" s="27"/>
      <c r="FU123" s="27"/>
      <c r="FV123" s="28" t="str">
        <f>IFERROR(VLOOKUP(FT123,Horarios!$H:$I,2,0),"")</f>
        <v/>
      </c>
      <c r="FW123" s="28" t="str">
        <f>IFERROR(VLOOKUP(FU123,Horarios!$H:$I,2,0),"")</f>
        <v/>
      </c>
      <c r="FX123" s="28" t="str">
        <f t="shared" si="80"/>
        <v>00:00</v>
      </c>
      <c r="FY123" s="29"/>
      <c r="FZ123" s="27"/>
      <c r="GA123" s="27"/>
      <c r="GB123" s="28" t="str">
        <f>IFERROR(VLOOKUP(FZ123,Horarios!$H:$I,2,0),"")</f>
        <v/>
      </c>
      <c r="GC123" s="28" t="str">
        <f>IFERROR(VLOOKUP(GA123,Horarios!$H:$I,2,0),"")</f>
        <v/>
      </c>
      <c r="GD123" s="28" t="str">
        <f t="shared" si="81"/>
        <v>00:00</v>
      </c>
      <c r="GE123" s="29"/>
      <c r="GF123" s="27"/>
      <c r="GG123" s="27"/>
      <c r="GH123" s="28" t="str">
        <f>IFERROR(VLOOKUP(GF123,Horarios!$H:$I,2,0),"")</f>
        <v/>
      </c>
      <c r="GI123" s="28" t="str">
        <f>IFERROR(VLOOKUP(GG123,Horarios!$H:$I,2,0),"")</f>
        <v/>
      </c>
      <c r="GJ123" s="28" t="str">
        <f t="shared" si="82"/>
        <v>00:00</v>
      </c>
      <c r="GK123" s="29"/>
      <c r="GL123" s="27"/>
      <c r="GM123" s="27"/>
      <c r="GN123" s="28" t="str">
        <f>IFERROR(VLOOKUP(GL123,Horarios!$H:$I,2,0),"")</f>
        <v/>
      </c>
      <c r="GO123" s="28" t="str">
        <f>IFERROR(VLOOKUP(GM123,Horarios!$H:$I,2,0),"")</f>
        <v/>
      </c>
      <c r="GP123" s="28" t="str">
        <f t="shared" si="83"/>
        <v>00:00</v>
      </c>
      <c r="GQ123" s="29"/>
      <c r="GR123" s="27"/>
      <c r="GS123" s="27"/>
      <c r="GT123" s="28" t="str">
        <f>IFERROR(VLOOKUP(GR123,Horarios!$H:$I,2,0),"")</f>
        <v/>
      </c>
      <c r="GU123" s="28" t="str">
        <f>IFERROR(VLOOKUP(GS123,Horarios!$H:$I,2,0),"")</f>
        <v/>
      </c>
      <c r="GV123" s="28" t="str">
        <f t="shared" si="84"/>
        <v>00:00</v>
      </c>
      <c r="GW123" s="29"/>
      <c r="GX123" s="27"/>
      <c r="GY123" s="27"/>
      <c r="GZ123" s="28" t="str">
        <f>IFERROR(VLOOKUP(GX123,Horarios!$H:$I,2,0),"")</f>
        <v/>
      </c>
      <c r="HA123" s="28" t="str">
        <f>IFERROR(VLOOKUP(GY123,Horarios!$H:$I,2,0),"")</f>
        <v/>
      </c>
      <c r="HB123" s="28" t="str">
        <f t="shared" si="85"/>
        <v>00:00</v>
      </c>
      <c r="HC123" s="29"/>
      <c r="HD123" s="27"/>
      <c r="HE123" s="27"/>
      <c r="HF123" s="28" t="str">
        <f>IFERROR(VLOOKUP(HD123,Horarios!$H:$I,2,0),"")</f>
        <v/>
      </c>
      <c r="HG123" s="28" t="str">
        <f>IFERROR(VLOOKUP(HE123,Horarios!$H:$I,2,0),"")</f>
        <v/>
      </c>
      <c r="HH123" s="28" t="str">
        <f t="shared" si="86"/>
        <v>00:00</v>
      </c>
      <c r="HI123" s="29"/>
      <c r="HJ123" s="31" t="str">
        <f t="shared" si="87"/>
        <v/>
      </c>
      <c r="HK123" s="27"/>
      <c r="HL123" s="27"/>
      <c r="HM123" s="28" t="str">
        <f>IFERROR(VLOOKUP(HK123,Horarios!$H:$I,2,0),"")</f>
        <v/>
      </c>
      <c r="HN123" s="28" t="str">
        <f>IFERROR(VLOOKUP(HL123,Horarios!$H:$I,2,0),"")</f>
        <v/>
      </c>
      <c r="HO123" s="28" t="str">
        <f t="shared" si="88"/>
        <v>00:00</v>
      </c>
      <c r="HP123" s="29"/>
      <c r="HQ123" s="27"/>
      <c r="HR123" s="27"/>
      <c r="HS123" s="28" t="str">
        <f>IFERROR(VLOOKUP(HQ123,Horarios!$H:$I,2,0),"")</f>
        <v/>
      </c>
      <c r="HT123" s="28" t="str">
        <f>IFERROR(VLOOKUP(HR123,Horarios!$H:$I,2,0),"")</f>
        <v/>
      </c>
      <c r="HU123" s="28" t="str">
        <f t="shared" si="89"/>
        <v>00:00</v>
      </c>
      <c r="HV123" s="29"/>
      <c r="HW123" s="27"/>
      <c r="HX123" s="27"/>
      <c r="HY123" s="28" t="str">
        <f>IFERROR(VLOOKUP(HW123,Horarios!$H:$I,2,0),"")</f>
        <v/>
      </c>
      <c r="HZ123" s="28" t="str">
        <f>IFERROR(VLOOKUP(HX123,Horarios!$H:$I,2,0),"")</f>
        <v/>
      </c>
      <c r="IA123" s="28" t="str">
        <f t="shared" si="90"/>
        <v>00:00</v>
      </c>
      <c r="IB123" s="29"/>
      <c r="IC123" s="27"/>
      <c r="ID123" s="27"/>
      <c r="IE123" s="28" t="str">
        <f>IFERROR(VLOOKUP(IC123,Horarios!$H:$I,2,0),"")</f>
        <v/>
      </c>
      <c r="IF123" s="28" t="str">
        <f>IFERROR(VLOOKUP(ID123,Horarios!$H:$I,2,0),"")</f>
        <v/>
      </c>
      <c r="IG123" s="28" t="str">
        <f t="shared" si="91"/>
        <v>00:00</v>
      </c>
      <c r="IH123" s="29"/>
      <c r="II123" s="27"/>
      <c r="IJ123" s="27"/>
      <c r="IK123" s="28" t="str">
        <f>IFERROR(VLOOKUP(II123,Horarios!$H:$I,2,0),"")</f>
        <v/>
      </c>
      <c r="IL123" s="28" t="str">
        <f>IFERROR(VLOOKUP(IJ123,Horarios!$H:$I,2,0),"")</f>
        <v/>
      </c>
      <c r="IM123" s="28" t="str">
        <f t="shared" si="92"/>
        <v>00:00</v>
      </c>
      <c r="IN123" s="29"/>
      <c r="IO123" s="27"/>
      <c r="IP123" s="27"/>
      <c r="IQ123" s="28" t="str">
        <f>IFERROR(VLOOKUP(IO123,Horarios!$H:$I,2,0),"")</f>
        <v/>
      </c>
      <c r="IR123" s="28" t="str">
        <f>IFERROR(VLOOKUP(IP123,Horarios!$H:$I,2,0),"")</f>
        <v/>
      </c>
      <c r="IS123" s="28" t="str">
        <f t="shared" si="93"/>
        <v>00:00</v>
      </c>
      <c r="IT123" s="29"/>
      <c r="IU123" s="27"/>
      <c r="IV123" s="27"/>
      <c r="IW123" s="28" t="str">
        <f>IFERROR(VLOOKUP(IU123,Horarios!$H:$I,2,0),"")</f>
        <v/>
      </c>
      <c r="IX123" s="28" t="str">
        <f>IFERROR(VLOOKUP(IV123,Horarios!$H:$I,2,0),"")</f>
        <v/>
      </c>
      <c r="IY123" s="28" t="str">
        <f t="shared" si="94"/>
        <v>00:00</v>
      </c>
      <c r="IZ123" s="29"/>
      <c r="JA123" s="31" t="str">
        <f t="shared" si="95"/>
        <v/>
      </c>
    </row>
    <row r="124" spans="1:261" s="24" customFormat="1" ht="17.399999999999999" x14ac:dyDescent="0.25">
      <c r="A124" s="25"/>
      <c r="B124" s="26" t="str">
        <f>IFERROR(VLOOKUP(A124,BaseNombres!A:B,2,0),"")</f>
        <v/>
      </c>
      <c r="C124" s="26" t="str">
        <f>IFERROR(VLOOKUP(A124,BaseNombres!A:C,3,0),"")</f>
        <v/>
      </c>
      <c r="D124" s="27"/>
      <c r="E124" s="27"/>
      <c r="F124" s="28" t="str">
        <f>IFERROR(VLOOKUP(D124,Horarios!$H:$I,2,0),"")</f>
        <v/>
      </c>
      <c r="G124" s="28" t="str">
        <f>IFERROR(VLOOKUP(E124,Horarios!$H:$I,2,0),"")</f>
        <v/>
      </c>
      <c r="H124" s="28" t="str">
        <f t="shared" si="48"/>
        <v>00:00</v>
      </c>
      <c r="I124" s="29"/>
      <c r="J124" s="27"/>
      <c r="K124" s="27"/>
      <c r="L124" s="28" t="str">
        <f>IFERROR(VLOOKUP(J124,Horarios!$H:$I,2,0),"")</f>
        <v/>
      </c>
      <c r="M124" s="28" t="str">
        <f>IFERROR(VLOOKUP(K124,Horarios!$H:$I,2,0),"")</f>
        <v/>
      </c>
      <c r="N124" s="28" t="str">
        <f t="shared" si="49"/>
        <v>00:00</v>
      </c>
      <c r="O124" s="29"/>
      <c r="P124" s="27"/>
      <c r="Q124" s="27"/>
      <c r="R124" s="28" t="str">
        <f>IFERROR(VLOOKUP(P124,Horarios!$H:$I,2,0),"")</f>
        <v/>
      </c>
      <c r="S124" s="28" t="str">
        <f>IFERROR(VLOOKUP(Q124,Horarios!$H:$I,2,0),"")</f>
        <v/>
      </c>
      <c r="T124" s="28" t="str">
        <f t="shared" si="50"/>
        <v>00:00</v>
      </c>
      <c r="U124" s="29"/>
      <c r="V124" s="27"/>
      <c r="W124" s="27"/>
      <c r="X124" s="28" t="str">
        <f>IFERROR(VLOOKUP(V124,Horarios!$H:$I,2,0),"")</f>
        <v/>
      </c>
      <c r="Y124" s="28" t="str">
        <f>IFERROR(VLOOKUP(W124,Horarios!$H:$I,2,0),"")</f>
        <v/>
      </c>
      <c r="Z124" s="28" t="str">
        <f t="shared" si="51"/>
        <v>00:00</v>
      </c>
      <c r="AA124" s="29"/>
      <c r="AB124" s="27"/>
      <c r="AC124" s="27"/>
      <c r="AD124" s="28" t="str">
        <f>IFERROR(VLOOKUP(AB124,Horarios!$H:$I,2,0),"")</f>
        <v/>
      </c>
      <c r="AE124" s="28" t="str">
        <f>IFERROR(VLOOKUP(AC124,Horarios!$H:$I,2,0),"")</f>
        <v/>
      </c>
      <c r="AF124" s="28" t="str">
        <f t="shared" si="52"/>
        <v>00:00</v>
      </c>
      <c r="AG124" s="29"/>
      <c r="AH124" s="27"/>
      <c r="AI124" s="27"/>
      <c r="AJ124" s="28" t="str">
        <f>IFERROR(VLOOKUP(AH124,Horarios!$H:$I,2,0),"")</f>
        <v/>
      </c>
      <c r="AK124" s="28" t="str">
        <f>IFERROR(VLOOKUP(AI124,Horarios!$H:$I,2,0),"")</f>
        <v/>
      </c>
      <c r="AL124" s="28" t="str">
        <f t="shared" si="53"/>
        <v>00:00</v>
      </c>
      <c r="AM124" s="29"/>
      <c r="AN124" s="27"/>
      <c r="AO124" s="27"/>
      <c r="AP124" s="28" t="str">
        <f>IFERROR(VLOOKUP(AN124,Horarios!$H:$I,2,0),"")</f>
        <v/>
      </c>
      <c r="AQ124" s="28" t="str">
        <f>IFERROR(VLOOKUP(AO124,Horarios!$H:$I,2,0),"")</f>
        <v/>
      </c>
      <c r="AR124" s="28" t="str">
        <f t="shared" si="54"/>
        <v>00:00</v>
      </c>
      <c r="AS124" s="29"/>
      <c r="AT124" s="31" t="str">
        <f t="shared" si="55"/>
        <v/>
      </c>
      <c r="AU124" s="27"/>
      <c r="AV124" s="27"/>
      <c r="AW124" s="28" t="str">
        <f>IFERROR(VLOOKUP(AU124,Horarios!$H:$I,2,0),"")</f>
        <v/>
      </c>
      <c r="AX124" s="28" t="str">
        <f>IFERROR(VLOOKUP(AV124,Horarios!$H:$I,2,0),"")</f>
        <v/>
      </c>
      <c r="AY124" s="28" t="str">
        <f t="shared" si="56"/>
        <v>00:00</v>
      </c>
      <c r="AZ124" s="29"/>
      <c r="BA124" s="27"/>
      <c r="BB124" s="27"/>
      <c r="BC124" s="28" t="str">
        <f>IFERROR(VLOOKUP(BA124,Horarios!$H:$I,2,0),"")</f>
        <v/>
      </c>
      <c r="BD124" s="28" t="str">
        <f>IFERROR(VLOOKUP(BB124,Horarios!$H:$I,2,0),"")</f>
        <v/>
      </c>
      <c r="BE124" s="28" t="str">
        <f t="shared" si="57"/>
        <v>00:00</v>
      </c>
      <c r="BF124" s="29"/>
      <c r="BG124" s="27"/>
      <c r="BH124" s="27"/>
      <c r="BI124" s="28" t="str">
        <f>IFERROR(VLOOKUP(BG124,Horarios!$H:$I,2,0),"")</f>
        <v/>
      </c>
      <c r="BJ124" s="28" t="str">
        <f>IFERROR(VLOOKUP(BH124,Horarios!$H:$I,2,0),"")</f>
        <v/>
      </c>
      <c r="BK124" s="28" t="str">
        <f t="shared" si="58"/>
        <v>00:00</v>
      </c>
      <c r="BL124" s="29"/>
      <c r="BM124" s="27"/>
      <c r="BN124" s="27"/>
      <c r="BO124" s="28" t="str">
        <f>IFERROR(VLOOKUP(BM124,Horarios!$H:$I,2,0),"")</f>
        <v/>
      </c>
      <c r="BP124" s="28" t="str">
        <f>IFERROR(VLOOKUP(BN124,Horarios!$H:$I,2,0),"")</f>
        <v/>
      </c>
      <c r="BQ124" s="28" t="str">
        <f t="shared" si="59"/>
        <v>00:00</v>
      </c>
      <c r="BR124" s="29"/>
      <c r="BS124" s="27"/>
      <c r="BT124" s="27"/>
      <c r="BU124" s="28" t="str">
        <f>IFERROR(VLOOKUP(BS124,Horarios!$H:$I,2,0),"")</f>
        <v/>
      </c>
      <c r="BV124" s="28" t="str">
        <f>IFERROR(VLOOKUP(BT124,Horarios!$H:$I,2,0),"")</f>
        <v/>
      </c>
      <c r="BW124" s="28" t="str">
        <f t="shared" si="60"/>
        <v>00:00</v>
      </c>
      <c r="BX124" s="29"/>
      <c r="BY124" s="27"/>
      <c r="BZ124" s="27"/>
      <c r="CA124" s="28" t="str">
        <f>IFERROR(VLOOKUP(BY124,Horarios!$H:$I,2,0),"")</f>
        <v/>
      </c>
      <c r="CB124" s="28" t="str">
        <f>IFERROR(VLOOKUP(BZ124,Horarios!$H:$I,2,0),"")</f>
        <v/>
      </c>
      <c r="CC124" s="28" t="str">
        <f t="shared" si="61"/>
        <v>00:00</v>
      </c>
      <c r="CD124" s="29"/>
      <c r="CE124" s="27"/>
      <c r="CF124" s="27"/>
      <c r="CG124" s="28" t="str">
        <f>IFERROR(VLOOKUP(CE124,Horarios!$H:$I,2,0),"")</f>
        <v/>
      </c>
      <c r="CH124" s="28" t="str">
        <f>IFERROR(VLOOKUP(CF124,Horarios!$H:$I,2,0),"")</f>
        <v/>
      </c>
      <c r="CI124" s="28" t="str">
        <f t="shared" si="62"/>
        <v>00:00</v>
      </c>
      <c r="CJ124" s="29"/>
      <c r="CK124" s="31" t="str">
        <f t="shared" si="63"/>
        <v/>
      </c>
      <c r="CL124" s="27"/>
      <c r="CM124" s="27"/>
      <c r="CN124" s="28" t="str">
        <f>IFERROR(VLOOKUP(CL124,Horarios!$H:$I,2,0),"")</f>
        <v/>
      </c>
      <c r="CO124" s="28" t="str">
        <f>IFERROR(VLOOKUP(CM124,Horarios!$H:$I,2,0),"")</f>
        <v/>
      </c>
      <c r="CP124" s="28" t="str">
        <f t="shared" si="64"/>
        <v>00:00</v>
      </c>
      <c r="CQ124" s="29"/>
      <c r="CR124" s="27"/>
      <c r="CS124" s="27"/>
      <c r="CT124" s="28" t="str">
        <f>IFERROR(VLOOKUP(CR124,Horarios!$H:$I,2,0),"")</f>
        <v/>
      </c>
      <c r="CU124" s="28" t="str">
        <f>IFERROR(VLOOKUP(CS124,Horarios!$H:$I,2,0),"")</f>
        <v/>
      </c>
      <c r="CV124" s="28" t="str">
        <f t="shared" si="65"/>
        <v>00:00</v>
      </c>
      <c r="CW124" s="29"/>
      <c r="CX124" s="27"/>
      <c r="CY124" s="27"/>
      <c r="CZ124" s="28" t="str">
        <f>IFERROR(VLOOKUP(CX124,Horarios!$H:$I,2,0),"")</f>
        <v/>
      </c>
      <c r="DA124" s="28" t="str">
        <f>IFERROR(VLOOKUP(CY124,Horarios!$H:$I,2,0),"")</f>
        <v/>
      </c>
      <c r="DB124" s="28" t="str">
        <f t="shared" si="66"/>
        <v>00:00</v>
      </c>
      <c r="DC124" s="29"/>
      <c r="DD124" s="27"/>
      <c r="DE124" s="27"/>
      <c r="DF124" s="28" t="str">
        <f>IFERROR(VLOOKUP(DD124,Horarios!$H:$I,2,0),"")</f>
        <v/>
      </c>
      <c r="DG124" s="28" t="str">
        <f>IFERROR(VLOOKUP(DE124,Horarios!$H:$I,2,0),"")</f>
        <v/>
      </c>
      <c r="DH124" s="28" t="str">
        <f t="shared" si="67"/>
        <v>00:00</v>
      </c>
      <c r="DI124" s="29"/>
      <c r="DJ124" s="27"/>
      <c r="DK124" s="27"/>
      <c r="DL124" s="28" t="str">
        <f>IFERROR(VLOOKUP(DJ124,Horarios!$H:$I,2,0),"")</f>
        <v/>
      </c>
      <c r="DM124" s="28" t="str">
        <f>IFERROR(VLOOKUP(DK124,Horarios!$H:$I,2,0),"")</f>
        <v/>
      </c>
      <c r="DN124" s="28" t="str">
        <f t="shared" si="68"/>
        <v>00:00</v>
      </c>
      <c r="DO124" s="29"/>
      <c r="DP124" s="27"/>
      <c r="DQ124" s="27"/>
      <c r="DR124" s="28" t="str">
        <f>IFERROR(VLOOKUP(DP124,Horarios!$H:$I,2,0),"")</f>
        <v/>
      </c>
      <c r="DS124" s="28" t="str">
        <f>IFERROR(VLOOKUP(DQ124,Horarios!$H:$I,2,0),"")</f>
        <v/>
      </c>
      <c r="DT124" s="28" t="str">
        <f t="shared" si="69"/>
        <v>00:00</v>
      </c>
      <c r="DU124" s="29"/>
      <c r="DV124" s="27"/>
      <c r="DW124" s="27"/>
      <c r="DX124" s="28" t="str">
        <f>IFERROR(VLOOKUP(DV124,Horarios!$H:$I,2,0),"")</f>
        <v/>
      </c>
      <c r="DY124" s="28" t="str">
        <f>IFERROR(VLOOKUP(DW124,Horarios!$H:$I,2,0),"")</f>
        <v/>
      </c>
      <c r="DZ124" s="28" t="str">
        <f t="shared" si="70"/>
        <v>00:00</v>
      </c>
      <c r="EA124" s="29"/>
      <c r="EB124" s="31" t="str">
        <f t="shared" si="71"/>
        <v/>
      </c>
      <c r="EC124" s="27"/>
      <c r="ED124" s="27"/>
      <c r="EE124" s="28" t="str">
        <f>IFERROR(VLOOKUP(EC124,Horarios!$H:$I,2,0),"")</f>
        <v/>
      </c>
      <c r="EF124" s="28" t="str">
        <f>IFERROR(VLOOKUP(ED124,Horarios!$H:$I,2,0),"")</f>
        <v/>
      </c>
      <c r="EG124" s="28" t="str">
        <f t="shared" si="72"/>
        <v>00:00</v>
      </c>
      <c r="EH124" s="29"/>
      <c r="EI124" s="27"/>
      <c r="EJ124" s="27"/>
      <c r="EK124" s="28" t="str">
        <f>IFERROR(VLOOKUP(EI124,Horarios!$H:$I,2,0),"")</f>
        <v/>
      </c>
      <c r="EL124" s="28" t="str">
        <f>IFERROR(VLOOKUP(EJ124,Horarios!$H:$I,2,0),"")</f>
        <v/>
      </c>
      <c r="EM124" s="28" t="str">
        <f t="shared" si="73"/>
        <v>00:00</v>
      </c>
      <c r="EN124" s="29"/>
      <c r="EO124" s="27"/>
      <c r="EP124" s="27"/>
      <c r="EQ124" s="28" t="str">
        <f>IFERROR(VLOOKUP(EO124,Horarios!$H:$I,2,0),"")</f>
        <v/>
      </c>
      <c r="ER124" s="28" t="str">
        <f>IFERROR(VLOOKUP(EP124,Horarios!$H:$I,2,0),"")</f>
        <v/>
      </c>
      <c r="ES124" s="28" t="str">
        <f t="shared" si="74"/>
        <v>00:00</v>
      </c>
      <c r="ET124" s="29"/>
      <c r="EU124" s="27"/>
      <c r="EV124" s="27"/>
      <c r="EW124" s="28" t="str">
        <f>IFERROR(VLOOKUP(EU124,Horarios!$H:$I,2,0),"")</f>
        <v/>
      </c>
      <c r="EX124" s="28" t="str">
        <f>IFERROR(VLOOKUP(EV124,Horarios!$H:$I,2,0),"")</f>
        <v/>
      </c>
      <c r="EY124" s="28" t="str">
        <f t="shared" si="75"/>
        <v>00:00</v>
      </c>
      <c r="EZ124" s="29"/>
      <c r="FA124" s="27"/>
      <c r="FB124" s="27"/>
      <c r="FC124" s="28" t="str">
        <f>IFERROR(VLOOKUP(FA124,Horarios!$H:$I,2,0),"")</f>
        <v/>
      </c>
      <c r="FD124" s="28" t="str">
        <f>IFERROR(VLOOKUP(FB124,Horarios!$H:$I,2,0),"")</f>
        <v/>
      </c>
      <c r="FE124" s="28" t="str">
        <f t="shared" si="76"/>
        <v>00:00</v>
      </c>
      <c r="FF124" s="29"/>
      <c r="FG124" s="27"/>
      <c r="FH124" s="27"/>
      <c r="FI124" s="28" t="str">
        <f>IFERROR(VLOOKUP(FG124,Horarios!$H:$I,2,0),"")</f>
        <v/>
      </c>
      <c r="FJ124" s="28" t="str">
        <f>IFERROR(VLOOKUP(FH124,Horarios!$H:$I,2,0),"")</f>
        <v/>
      </c>
      <c r="FK124" s="28" t="str">
        <f t="shared" si="77"/>
        <v>00:00</v>
      </c>
      <c r="FL124" s="29"/>
      <c r="FM124" s="27"/>
      <c r="FN124" s="27"/>
      <c r="FO124" s="28" t="str">
        <f>IFERROR(VLOOKUP(FM124,Horarios!$H:$I,2,0),"")</f>
        <v/>
      </c>
      <c r="FP124" s="28" t="str">
        <f>IFERROR(VLOOKUP(FN124,Horarios!$H:$I,2,0),"")</f>
        <v/>
      </c>
      <c r="FQ124" s="28" t="str">
        <f t="shared" si="78"/>
        <v>00:00</v>
      </c>
      <c r="FR124" s="29"/>
      <c r="FS124" s="31" t="str">
        <f t="shared" si="79"/>
        <v/>
      </c>
      <c r="FT124" s="27"/>
      <c r="FU124" s="27"/>
      <c r="FV124" s="28" t="str">
        <f>IFERROR(VLOOKUP(FT124,Horarios!$H:$I,2,0),"")</f>
        <v/>
      </c>
      <c r="FW124" s="28" t="str">
        <f>IFERROR(VLOOKUP(FU124,Horarios!$H:$I,2,0),"")</f>
        <v/>
      </c>
      <c r="FX124" s="28" t="str">
        <f t="shared" si="80"/>
        <v>00:00</v>
      </c>
      <c r="FY124" s="29"/>
      <c r="FZ124" s="27"/>
      <c r="GA124" s="27"/>
      <c r="GB124" s="28" t="str">
        <f>IFERROR(VLOOKUP(FZ124,Horarios!$H:$I,2,0),"")</f>
        <v/>
      </c>
      <c r="GC124" s="28" t="str">
        <f>IFERROR(VLOOKUP(GA124,Horarios!$H:$I,2,0),"")</f>
        <v/>
      </c>
      <c r="GD124" s="28" t="str">
        <f t="shared" si="81"/>
        <v>00:00</v>
      </c>
      <c r="GE124" s="29"/>
      <c r="GF124" s="27"/>
      <c r="GG124" s="27"/>
      <c r="GH124" s="28" t="str">
        <f>IFERROR(VLOOKUP(GF124,Horarios!$H:$I,2,0),"")</f>
        <v/>
      </c>
      <c r="GI124" s="28" t="str">
        <f>IFERROR(VLOOKUP(GG124,Horarios!$H:$I,2,0),"")</f>
        <v/>
      </c>
      <c r="GJ124" s="28" t="str">
        <f t="shared" si="82"/>
        <v>00:00</v>
      </c>
      <c r="GK124" s="29"/>
      <c r="GL124" s="27"/>
      <c r="GM124" s="27"/>
      <c r="GN124" s="28" t="str">
        <f>IFERROR(VLOOKUP(GL124,Horarios!$H:$I,2,0),"")</f>
        <v/>
      </c>
      <c r="GO124" s="28" t="str">
        <f>IFERROR(VLOOKUP(GM124,Horarios!$H:$I,2,0),"")</f>
        <v/>
      </c>
      <c r="GP124" s="28" t="str">
        <f t="shared" si="83"/>
        <v>00:00</v>
      </c>
      <c r="GQ124" s="29"/>
      <c r="GR124" s="27"/>
      <c r="GS124" s="27"/>
      <c r="GT124" s="28" t="str">
        <f>IFERROR(VLOOKUP(GR124,Horarios!$H:$I,2,0),"")</f>
        <v/>
      </c>
      <c r="GU124" s="28" t="str">
        <f>IFERROR(VLOOKUP(GS124,Horarios!$H:$I,2,0),"")</f>
        <v/>
      </c>
      <c r="GV124" s="28" t="str">
        <f t="shared" si="84"/>
        <v>00:00</v>
      </c>
      <c r="GW124" s="29"/>
      <c r="GX124" s="27"/>
      <c r="GY124" s="27"/>
      <c r="GZ124" s="28" t="str">
        <f>IFERROR(VLOOKUP(GX124,Horarios!$H:$I,2,0),"")</f>
        <v/>
      </c>
      <c r="HA124" s="28" t="str">
        <f>IFERROR(VLOOKUP(GY124,Horarios!$H:$I,2,0),"")</f>
        <v/>
      </c>
      <c r="HB124" s="28" t="str">
        <f t="shared" si="85"/>
        <v>00:00</v>
      </c>
      <c r="HC124" s="29"/>
      <c r="HD124" s="27"/>
      <c r="HE124" s="27"/>
      <c r="HF124" s="28" t="str">
        <f>IFERROR(VLOOKUP(HD124,Horarios!$H:$I,2,0),"")</f>
        <v/>
      </c>
      <c r="HG124" s="28" t="str">
        <f>IFERROR(VLOOKUP(HE124,Horarios!$H:$I,2,0),"")</f>
        <v/>
      </c>
      <c r="HH124" s="28" t="str">
        <f t="shared" si="86"/>
        <v>00:00</v>
      </c>
      <c r="HI124" s="29"/>
      <c r="HJ124" s="31" t="str">
        <f t="shared" si="87"/>
        <v/>
      </c>
      <c r="HK124" s="27"/>
      <c r="HL124" s="27"/>
      <c r="HM124" s="28" t="str">
        <f>IFERROR(VLOOKUP(HK124,Horarios!$H:$I,2,0),"")</f>
        <v/>
      </c>
      <c r="HN124" s="28" t="str">
        <f>IFERROR(VLOOKUP(HL124,Horarios!$H:$I,2,0),"")</f>
        <v/>
      </c>
      <c r="HO124" s="28" t="str">
        <f t="shared" si="88"/>
        <v>00:00</v>
      </c>
      <c r="HP124" s="29"/>
      <c r="HQ124" s="27"/>
      <c r="HR124" s="27"/>
      <c r="HS124" s="28" t="str">
        <f>IFERROR(VLOOKUP(HQ124,Horarios!$H:$I,2,0),"")</f>
        <v/>
      </c>
      <c r="HT124" s="28" t="str">
        <f>IFERROR(VLOOKUP(HR124,Horarios!$H:$I,2,0),"")</f>
        <v/>
      </c>
      <c r="HU124" s="28" t="str">
        <f t="shared" si="89"/>
        <v>00:00</v>
      </c>
      <c r="HV124" s="29"/>
      <c r="HW124" s="27"/>
      <c r="HX124" s="27"/>
      <c r="HY124" s="28" t="str">
        <f>IFERROR(VLOOKUP(HW124,Horarios!$H:$I,2,0),"")</f>
        <v/>
      </c>
      <c r="HZ124" s="28" t="str">
        <f>IFERROR(VLOOKUP(HX124,Horarios!$H:$I,2,0),"")</f>
        <v/>
      </c>
      <c r="IA124" s="28" t="str">
        <f t="shared" si="90"/>
        <v>00:00</v>
      </c>
      <c r="IB124" s="29"/>
      <c r="IC124" s="27"/>
      <c r="ID124" s="27"/>
      <c r="IE124" s="28" t="str">
        <f>IFERROR(VLOOKUP(IC124,Horarios!$H:$I,2,0),"")</f>
        <v/>
      </c>
      <c r="IF124" s="28" t="str">
        <f>IFERROR(VLOOKUP(ID124,Horarios!$H:$I,2,0),"")</f>
        <v/>
      </c>
      <c r="IG124" s="28" t="str">
        <f t="shared" si="91"/>
        <v>00:00</v>
      </c>
      <c r="IH124" s="29"/>
      <c r="II124" s="27"/>
      <c r="IJ124" s="27"/>
      <c r="IK124" s="28" t="str">
        <f>IFERROR(VLOOKUP(II124,Horarios!$H:$I,2,0),"")</f>
        <v/>
      </c>
      <c r="IL124" s="28" t="str">
        <f>IFERROR(VLOOKUP(IJ124,Horarios!$H:$I,2,0),"")</f>
        <v/>
      </c>
      <c r="IM124" s="28" t="str">
        <f t="shared" si="92"/>
        <v>00:00</v>
      </c>
      <c r="IN124" s="29"/>
      <c r="IO124" s="27"/>
      <c r="IP124" s="27"/>
      <c r="IQ124" s="28" t="str">
        <f>IFERROR(VLOOKUP(IO124,Horarios!$H:$I,2,0),"")</f>
        <v/>
      </c>
      <c r="IR124" s="28" t="str">
        <f>IFERROR(VLOOKUP(IP124,Horarios!$H:$I,2,0),"")</f>
        <v/>
      </c>
      <c r="IS124" s="28" t="str">
        <f t="shared" si="93"/>
        <v>00:00</v>
      </c>
      <c r="IT124" s="29"/>
      <c r="IU124" s="27"/>
      <c r="IV124" s="27"/>
      <c r="IW124" s="28" t="str">
        <f>IFERROR(VLOOKUP(IU124,Horarios!$H:$I,2,0),"")</f>
        <v/>
      </c>
      <c r="IX124" s="28" t="str">
        <f>IFERROR(VLOOKUP(IV124,Horarios!$H:$I,2,0),"")</f>
        <v/>
      </c>
      <c r="IY124" s="28" t="str">
        <f t="shared" si="94"/>
        <v>00:00</v>
      </c>
      <c r="IZ124" s="29"/>
      <c r="JA124" s="31" t="str">
        <f t="shared" si="95"/>
        <v/>
      </c>
    </row>
    <row r="125" spans="1:261" s="24" customFormat="1" ht="17.399999999999999" x14ac:dyDescent="0.25">
      <c r="A125" s="25"/>
      <c r="B125" s="26" t="str">
        <f>IFERROR(VLOOKUP(A125,BaseNombres!A:B,2,0),"")</f>
        <v/>
      </c>
      <c r="C125" s="26" t="str">
        <f>IFERROR(VLOOKUP(A125,BaseNombres!A:C,3,0),"")</f>
        <v/>
      </c>
      <c r="D125" s="27"/>
      <c r="E125" s="27"/>
      <c r="F125" s="28" t="str">
        <f>IFERROR(VLOOKUP(D125,Horarios!$H:$I,2,0),"")</f>
        <v/>
      </c>
      <c r="G125" s="28" t="str">
        <f>IFERROR(VLOOKUP(E125,Horarios!$H:$I,2,0),"")</f>
        <v/>
      </c>
      <c r="H125" s="28" t="str">
        <f t="shared" si="48"/>
        <v>00:00</v>
      </c>
      <c r="I125" s="29"/>
      <c r="J125" s="27"/>
      <c r="K125" s="27"/>
      <c r="L125" s="28" t="str">
        <f>IFERROR(VLOOKUP(J125,Horarios!$H:$I,2,0),"")</f>
        <v/>
      </c>
      <c r="M125" s="28" t="str">
        <f>IFERROR(VLOOKUP(K125,Horarios!$H:$I,2,0),"")</f>
        <v/>
      </c>
      <c r="N125" s="28" t="str">
        <f t="shared" si="49"/>
        <v>00:00</v>
      </c>
      <c r="O125" s="29"/>
      <c r="P125" s="27"/>
      <c r="Q125" s="27"/>
      <c r="R125" s="28" t="str">
        <f>IFERROR(VLOOKUP(P125,Horarios!$H:$I,2,0),"")</f>
        <v/>
      </c>
      <c r="S125" s="28" t="str">
        <f>IFERROR(VLOOKUP(Q125,Horarios!$H:$I,2,0),"")</f>
        <v/>
      </c>
      <c r="T125" s="28" t="str">
        <f t="shared" si="50"/>
        <v>00:00</v>
      </c>
      <c r="U125" s="29"/>
      <c r="V125" s="27"/>
      <c r="W125" s="27"/>
      <c r="X125" s="28" t="str">
        <f>IFERROR(VLOOKUP(V125,Horarios!$H:$I,2,0),"")</f>
        <v/>
      </c>
      <c r="Y125" s="28" t="str">
        <f>IFERROR(VLOOKUP(W125,Horarios!$H:$I,2,0),"")</f>
        <v/>
      </c>
      <c r="Z125" s="28" t="str">
        <f t="shared" si="51"/>
        <v>00:00</v>
      </c>
      <c r="AA125" s="29"/>
      <c r="AB125" s="27"/>
      <c r="AC125" s="27"/>
      <c r="AD125" s="28" t="str">
        <f>IFERROR(VLOOKUP(AB125,Horarios!$H:$I,2,0),"")</f>
        <v/>
      </c>
      <c r="AE125" s="28" t="str">
        <f>IFERROR(VLOOKUP(AC125,Horarios!$H:$I,2,0),"")</f>
        <v/>
      </c>
      <c r="AF125" s="28" t="str">
        <f t="shared" si="52"/>
        <v>00:00</v>
      </c>
      <c r="AG125" s="29"/>
      <c r="AH125" s="27"/>
      <c r="AI125" s="27"/>
      <c r="AJ125" s="28" t="str">
        <f>IFERROR(VLOOKUP(AH125,Horarios!$H:$I,2,0),"")</f>
        <v/>
      </c>
      <c r="AK125" s="28" t="str">
        <f>IFERROR(VLOOKUP(AI125,Horarios!$H:$I,2,0),"")</f>
        <v/>
      </c>
      <c r="AL125" s="28" t="str">
        <f t="shared" si="53"/>
        <v>00:00</v>
      </c>
      <c r="AM125" s="29"/>
      <c r="AN125" s="27"/>
      <c r="AO125" s="27"/>
      <c r="AP125" s="28" t="str">
        <f>IFERROR(VLOOKUP(AN125,Horarios!$H:$I,2,0),"")</f>
        <v/>
      </c>
      <c r="AQ125" s="28" t="str">
        <f>IFERROR(VLOOKUP(AO125,Horarios!$H:$I,2,0),"")</f>
        <v/>
      </c>
      <c r="AR125" s="28" t="str">
        <f t="shared" si="54"/>
        <v>00:00</v>
      </c>
      <c r="AS125" s="29"/>
      <c r="AT125" s="31" t="str">
        <f t="shared" si="55"/>
        <v/>
      </c>
      <c r="AU125" s="27"/>
      <c r="AV125" s="27"/>
      <c r="AW125" s="28" t="str">
        <f>IFERROR(VLOOKUP(AU125,Horarios!$H:$I,2,0),"")</f>
        <v/>
      </c>
      <c r="AX125" s="28" t="str">
        <f>IFERROR(VLOOKUP(AV125,Horarios!$H:$I,2,0),"")</f>
        <v/>
      </c>
      <c r="AY125" s="28" t="str">
        <f t="shared" si="56"/>
        <v>00:00</v>
      </c>
      <c r="AZ125" s="29"/>
      <c r="BA125" s="27"/>
      <c r="BB125" s="27"/>
      <c r="BC125" s="28" t="str">
        <f>IFERROR(VLOOKUP(BA125,Horarios!$H:$I,2,0),"")</f>
        <v/>
      </c>
      <c r="BD125" s="28" t="str">
        <f>IFERROR(VLOOKUP(BB125,Horarios!$H:$I,2,0),"")</f>
        <v/>
      </c>
      <c r="BE125" s="28" t="str">
        <f t="shared" si="57"/>
        <v>00:00</v>
      </c>
      <c r="BF125" s="29"/>
      <c r="BG125" s="27"/>
      <c r="BH125" s="27"/>
      <c r="BI125" s="28" t="str">
        <f>IFERROR(VLOOKUP(BG125,Horarios!$H:$I,2,0),"")</f>
        <v/>
      </c>
      <c r="BJ125" s="28" t="str">
        <f>IFERROR(VLOOKUP(BH125,Horarios!$H:$I,2,0),"")</f>
        <v/>
      </c>
      <c r="BK125" s="28" t="str">
        <f t="shared" si="58"/>
        <v>00:00</v>
      </c>
      <c r="BL125" s="29"/>
      <c r="BM125" s="27"/>
      <c r="BN125" s="27"/>
      <c r="BO125" s="28" t="str">
        <f>IFERROR(VLOOKUP(BM125,Horarios!$H:$I,2,0),"")</f>
        <v/>
      </c>
      <c r="BP125" s="28" t="str">
        <f>IFERROR(VLOOKUP(BN125,Horarios!$H:$I,2,0),"")</f>
        <v/>
      </c>
      <c r="BQ125" s="28" t="str">
        <f t="shared" si="59"/>
        <v>00:00</v>
      </c>
      <c r="BR125" s="29"/>
      <c r="BS125" s="27"/>
      <c r="BT125" s="27"/>
      <c r="BU125" s="28" t="str">
        <f>IFERROR(VLOOKUP(BS125,Horarios!$H:$I,2,0),"")</f>
        <v/>
      </c>
      <c r="BV125" s="28" t="str">
        <f>IFERROR(VLOOKUP(BT125,Horarios!$H:$I,2,0),"")</f>
        <v/>
      </c>
      <c r="BW125" s="28" t="str">
        <f t="shared" si="60"/>
        <v>00:00</v>
      </c>
      <c r="BX125" s="29"/>
      <c r="BY125" s="27"/>
      <c r="BZ125" s="27"/>
      <c r="CA125" s="28" t="str">
        <f>IFERROR(VLOOKUP(BY125,Horarios!$H:$I,2,0),"")</f>
        <v/>
      </c>
      <c r="CB125" s="28" t="str">
        <f>IFERROR(VLOOKUP(BZ125,Horarios!$H:$I,2,0),"")</f>
        <v/>
      </c>
      <c r="CC125" s="28" t="str">
        <f t="shared" si="61"/>
        <v>00:00</v>
      </c>
      <c r="CD125" s="29"/>
      <c r="CE125" s="27"/>
      <c r="CF125" s="27"/>
      <c r="CG125" s="28" t="str">
        <f>IFERROR(VLOOKUP(CE125,Horarios!$H:$I,2,0),"")</f>
        <v/>
      </c>
      <c r="CH125" s="28" t="str">
        <f>IFERROR(VLOOKUP(CF125,Horarios!$H:$I,2,0),"")</f>
        <v/>
      </c>
      <c r="CI125" s="28" t="str">
        <f t="shared" si="62"/>
        <v>00:00</v>
      </c>
      <c r="CJ125" s="29"/>
      <c r="CK125" s="31" t="str">
        <f t="shared" si="63"/>
        <v/>
      </c>
      <c r="CL125" s="27"/>
      <c r="CM125" s="27"/>
      <c r="CN125" s="28" t="str">
        <f>IFERROR(VLOOKUP(CL125,Horarios!$H:$I,2,0),"")</f>
        <v/>
      </c>
      <c r="CO125" s="28" t="str">
        <f>IFERROR(VLOOKUP(CM125,Horarios!$H:$I,2,0),"")</f>
        <v/>
      </c>
      <c r="CP125" s="28" t="str">
        <f t="shared" si="64"/>
        <v>00:00</v>
      </c>
      <c r="CQ125" s="29"/>
      <c r="CR125" s="27"/>
      <c r="CS125" s="27"/>
      <c r="CT125" s="28" t="str">
        <f>IFERROR(VLOOKUP(CR125,Horarios!$H:$I,2,0),"")</f>
        <v/>
      </c>
      <c r="CU125" s="28" t="str">
        <f>IFERROR(VLOOKUP(CS125,Horarios!$H:$I,2,0),"")</f>
        <v/>
      </c>
      <c r="CV125" s="28" t="str">
        <f t="shared" si="65"/>
        <v>00:00</v>
      </c>
      <c r="CW125" s="29"/>
      <c r="CX125" s="27"/>
      <c r="CY125" s="27"/>
      <c r="CZ125" s="28" t="str">
        <f>IFERROR(VLOOKUP(CX125,Horarios!$H:$I,2,0),"")</f>
        <v/>
      </c>
      <c r="DA125" s="28" t="str">
        <f>IFERROR(VLOOKUP(CY125,Horarios!$H:$I,2,0),"")</f>
        <v/>
      </c>
      <c r="DB125" s="28" t="str">
        <f t="shared" si="66"/>
        <v>00:00</v>
      </c>
      <c r="DC125" s="29"/>
      <c r="DD125" s="27"/>
      <c r="DE125" s="27"/>
      <c r="DF125" s="28" t="str">
        <f>IFERROR(VLOOKUP(DD125,Horarios!$H:$I,2,0),"")</f>
        <v/>
      </c>
      <c r="DG125" s="28" t="str">
        <f>IFERROR(VLOOKUP(DE125,Horarios!$H:$I,2,0),"")</f>
        <v/>
      </c>
      <c r="DH125" s="28" t="str">
        <f t="shared" si="67"/>
        <v>00:00</v>
      </c>
      <c r="DI125" s="29"/>
      <c r="DJ125" s="27"/>
      <c r="DK125" s="27"/>
      <c r="DL125" s="28" t="str">
        <f>IFERROR(VLOOKUP(DJ125,Horarios!$H:$I,2,0),"")</f>
        <v/>
      </c>
      <c r="DM125" s="28" t="str">
        <f>IFERROR(VLOOKUP(DK125,Horarios!$H:$I,2,0),"")</f>
        <v/>
      </c>
      <c r="DN125" s="28" t="str">
        <f t="shared" si="68"/>
        <v>00:00</v>
      </c>
      <c r="DO125" s="29"/>
      <c r="DP125" s="27"/>
      <c r="DQ125" s="27"/>
      <c r="DR125" s="28" t="str">
        <f>IFERROR(VLOOKUP(DP125,Horarios!$H:$I,2,0),"")</f>
        <v/>
      </c>
      <c r="DS125" s="28" t="str">
        <f>IFERROR(VLOOKUP(DQ125,Horarios!$H:$I,2,0),"")</f>
        <v/>
      </c>
      <c r="DT125" s="28" t="str">
        <f t="shared" si="69"/>
        <v>00:00</v>
      </c>
      <c r="DU125" s="29"/>
      <c r="DV125" s="27"/>
      <c r="DW125" s="27"/>
      <c r="DX125" s="28" t="str">
        <f>IFERROR(VLOOKUP(DV125,Horarios!$H:$I,2,0),"")</f>
        <v/>
      </c>
      <c r="DY125" s="28" t="str">
        <f>IFERROR(VLOOKUP(DW125,Horarios!$H:$I,2,0),"")</f>
        <v/>
      </c>
      <c r="DZ125" s="28" t="str">
        <f t="shared" si="70"/>
        <v>00:00</v>
      </c>
      <c r="EA125" s="29"/>
      <c r="EB125" s="31" t="str">
        <f t="shared" si="71"/>
        <v/>
      </c>
      <c r="EC125" s="27"/>
      <c r="ED125" s="27"/>
      <c r="EE125" s="28" t="str">
        <f>IFERROR(VLOOKUP(EC125,Horarios!$H:$I,2,0),"")</f>
        <v/>
      </c>
      <c r="EF125" s="28" t="str">
        <f>IFERROR(VLOOKUP(ED125,Horarios!$H:$I,2,0),"")</f>
        <v/>
      </c>
      <c r="EG125" s="28" t="str">
        <f t="shared" si="72"/>
        <v>00:00</v>
      </c>
      <c r="EH125" s="29"/>
      <c r="EI125" s="27"/>
      <c r="EJ125" s="27"/>
      <c r="EK125" s="28" t="str">
        <f>IFERROR(VLOOKUP(EI125,Horarios!$H:$I,2,0),"")</f>
        <v/>
      </c>
      <c r="EL125" s="28" t="str">
        <f>IFERROR(VLOOKUP(EJ125,Horarios!$H:$I,2,0),"")</f>
        <v/>
      </c>
      <c r="EM125" s="28" t="str">
        <f t="shared" si="73"/>
        <v>00:00</v>
      </c>
      <c r="EN125" s="29"/>
      <c r="EO125" s="27"/>
      <c r="EP125" s="27"/>
      <c r="EQ125" s="28" t="str">
        <f>IFERROR(VLOOKUP(EO125,Horarios!$H:$I,2,0),"")</f>
        <v/>
      </c>
      <c r="ER125" s="28" t="str">
        <f>IFERROR(VLOOKUP(EP125,Horarios!$H:$I,2,0),"")</f>
        <v/>
      </c>
      <c r="ES125" s="28" t="str">
        <f t="shared" si="74"/>
        <v>00:00</v>
      </c>
      <c r="ET125" s="29"/>
      <c r="EU125" s="27"/>
      <c r="EV125" s="27"/>
      <c r="EW125" s="28" t="str">
        <f>IFERROR(VLOOKUP(EU125,Horarios!$H:$I,2,0),"")</f>
        <v/>
      </c>
      <c r="EX125" s="28" t="str">
        <f>IFERROR(VLOOKUP(EV125,Horarios!$H:$I,2,0),"")</f>
        <v/>
      </c>
      <c r="EY125" s="28" t="str">
        <f t="shared" si="75"/>
        <v>00:00</v>
      </c>
      <c r="EZ125" s="29"/>
      <c r="FA125" s="27"/>
      <c r="FB125" s="27"/>
      <c r="FC125" s="28" t="str">
        <f>IFERROR(VLOOKUP(FA125,Horarios!$H:$I,2,0),"")</f>
        <v/>
      </c>
      <c r="FD125" s="28" t="str">
        <f>IFERROR(VLOOKUP(FB125,Horarios!$H:$I,2,0),"")</f>
        <v/>
      </c>
      <c r="FE125" s="28" t="str">
        <f t="shared" si="76"/>
        <v>00:00</v>
      </c>
      <c r="FF125" s="29"/>
      <c r="FG125" s="27"/>
      <c r="FH125" s="27"/>
      <c r="FI125" s="28" t="str">
        <f>IFERROR(VLOOKUP(FG125,Horarios!$H:$I,2,0),"")</f>
        <v/>
      </c>
      <c r="FJ125" s="28" t="str">
        <f>IFERROR(VLOOKUP(FH125,Horarios!$H:$I,2,0),"")</f>
        <v/>
      </c>
      <c r="FK125" s="28" t="str">
        <f t="shared" si="77"/>
        <v>00:00</v>
      </c>
      <c r="FL125" s="29"/>
      <c r="FM125" s="27"/>
      <c r="FN125" s="27"/>
      <c r="FO125" s="28" t="str">
        <f>IFERROR(VLOOKUP(FM125,Horarios!$H:$I,2,0),"")</f>
        <v/>
      </c>
      <c r="FP125" s="28" t="str">
        <f>IFERROR(VLOOKUP(FN125,Horarios!$H:$I,2,0),"")</f>
        <v/>
      </c>
      <c r="FQ125" s="28" t="str">
        <f t="shared" si="78"/>
        <v>00:00</v>
      </c>
      <c r="FR125" s="29"/>
      <c r="FS125" s="31" t="str">
        <f t="shared" si="79"/>
        <v/>
      </c>
      <c r="FT125" s="27"/>
      <c r="FU125" s="27"/>
      <c r="FV125" s="28" t="str">
        <f>IFERROR(VLOOKUP(FT125,Horarios!$H:$I,2,0),"")</f>
        <v/>
      </c>
      <c r="FW125" s="28" t="str">
        <f>IFERROR(VLOOKUP(FU125,Horarios!$H:$I,2,0),"")</f>
        <v/>
      </c>
      <c r="FX125" s="28" t="str">
        <f t="shared" si="80"/>
        <v>00:00</v>
      </c>
      <c r="FY125" s="29"/>
      <c r="FZ125" s="27"/>
      <c r="GA125" s="27"/>
      <c r="GB125" s="28" t="str">
        <f>IFERROR(VLOOKUP(FZ125,Horarios!$H:$I,2,0),"")</f>
        <v/>
      </c>
      <c r="GC125" s="28" t="str">
        <f>IFERROR(VLOOKUP(GA125,Horarios!$H:$I,2,0),"")</f>
        <v/>
      </c>
      <c r="GD125" s="28" t="str">
        <f t="shared" si="81"/>
        <v>00:00</v>
      </c>
      <c r="GE125" s="29"/>
      <c r="GF125" s="27"/>
      <c r="GG125" s="27"/>
      <c r="GH125" s="28" t="str">
        <f>IFERROR(VLOOKUP(GF125,Horarios!$H:$I,2,0),"")</f>
        <v/>
      </c>
      <c r="GI125" s="28" t="str">
        <f>IFERROR(VLOOKUP(GG125,Horarios!$H:$I,2,0),"")</f>
        <v/>
      </c>
      <c r="GJ125" s="28" t="str">
        <f t="shared" si="82"/>
        <v>00:00</v>
      </c>
      <c r="GK125" s="29"/>
      <c r="GL125" s="27"/>
      <c r="GM125" s="27"/>
      <c r="GN125" s="28" t="str">
        <f>IFERROR(VLOOKUP(GL125,Horarios!$H:$I,2,0),"")</f>
        <v/>
      </c>
      <c r="GO125" s="28" t="str">
        <f>IFERROR(VLOOKUP(GM125,Horarios!$H:$I,2,0),"")</f>
        <v/>
      </c>
      <c r="GP125" s="28" t="str">
        <f t="shared" si="83"/>
        <v>00:00</v>
      </c>
      <c r="GQ125" s="29"/>
      <c r="GR125" s="27"/>
      <c r="GS125" s="27"/>
      <c r="GT125" s="28" t="str">
        <f>IFERROR(VLOOKUP(GR125,Horarios!$H:$I,2,0),"")</f>
        <v/>
      </c>
      <c r="GU125" s="28" t="str">
        <f>IFERROR(VLOOKUP(GS125,Horarios!$H:$I,2,0),"")</f>
        <v/>
      </c>
      <c r="GV125" s="28" t="str">
        <f t="shared" si="84"/>
        <v>00:00</v>
      </c>
      <c r="GW125" s="29"/>
      <c r="GX125" s="27"/>
      <c r="GY125" s="27"/>
      <c r="GZ125" s="28" t="str">
        <f>IFERROR(VLOOKUP(GX125,Horarios!$H:$I,2,0),"")</f>
        <v/>
      </c>
      <c r="HA125" s="28" t="str">
        <f>IFERROR(VLOOKUP(GY125,Horarios!$H:$I,2,0),"")</f>
        <v/>
      </c>
      <c r="HB125" s="28" t="str">
        <f t="shared" si="85"/>
        <v>00:00</v>
      </c>
      <c r="HC125" s="29"/>
      <c r="HD125" s="27"/>
      <c r="HE125" s="27"/>
      <c r="HF125" s="28" t="str">
        <f>IFERROR(VLOOKUP(HD125,Horarios!$H:$I,2,0),"")</f>
        <v/>
      </c>
      <c r="HG125" s="28" t="str">
        <f>IFERROR(VLOOKUP(HE125,Horarios!$H:$I,2,0),"")</f>
        <v/>
      </c>
      <c r="HH125" s="28" t="str">
        <f t="shared" si="86"/>
        <v>00:00</v>
      </c>
      <c r="HI125" s="29"/>
      <c r="HJ125" s="31" t="str">
        <f t="shared" si="87"/>
        <v/>
      </c>
      <c r="HK125" s="27"/>
      <c r="HL125" s="27"/>
      <c r="HM125" s="28" t="str">
        <f>IFERROR(VLOOKUP(HK125,Horarios!$H:$I,2,0),"")</f>
        <v/>
      </c>
      <c r="HN125" s="28" t="str">
        <f>IFERROR(VLOOKUP(HL125,Horarios!$H:$I,2,0),"")</f>
        <v/>
      </c>
      <c r="HO125" s="28" t="str">
        <f t="shared" si="88"/>
        <v>00:00</v>
      </c>
      <c r="HP125" s="29"/>
      <c r="HQ125" s="27"/>
      <c r="HR125" s="27"/>
      <c r="HS125" s="28" t="str">
        <f>IFERROR(VLOOKUP(HQ125,Horarios!$H:$I,2,0),"")</f>
        <v/>
      </c>
      <c r="HT125" s="28" t="str">
        <f>IFERROR(VLOOKUP(HR125,Horarios!$H:$I,2,0),"")</f>
        <v/>
      </c>
      <c r="HU125" s="28" t="str">
        <f t="shared" si="89"/>
        <v>00:00</v>
      </c>
      <c r="HV125" s="29"/>
      <c r="HW125" s="27"/>
      <c r="HX125" s="27"/>
      <c r="HY125" s="28" t="str">
        <f>IFERROR(VLOOKUP(HW125,Horarios!$H:$I,2,0),"")</f>
        <v/>
      </c>
      <c r="HZ125" s="28" t="str">
        <f>IFERROR(VLOOKUP(HX125,Horarios!$H:$I,2,0),"")</f>
        <v/>
      </c>
      <c r="IA125" s="28" t="str">
        <f t="shared" si="90"/>
        <v>00:00</v>
      </c>
      <c r="IB125" s="29"/>
      <c r="IC125" s="27"/>
      <c r="ID125" s="27"/>
      <c r="IE125" s="28" t="str">
        <f>IFERROR(VLOOKUP(IC125,Horarios!$H:$I,2,0),"")</f>
        <v/>
      </c>
      <c r="IF125" s="28" t="str">
        <f>IFERROR(VLOOKUP(ID125,Horarios!$H:$I,2,0),"")</f>
        <v/>
      </c>
      <c r="IG125" s="28" t="str">
        <f t="shared" si="91"/>
        <v>00:00</v>
      </c>
      <c r="IH125" s="29"/>
      <c r="II125" s="27"/>
      <c r="IJ125" s="27"/>
      <c r="IK125" s="28" t="str">
        <f>IFERROR(VLOOKUP(II125,Horarios!$H:$I,2,0),"")</f>
        <v/>
      </c>
      <c r="IL125" s="28" t="str">
        <f>IFERROR(VLOOKUP(IJ125,Horarios!$H:$I,2,0),"")</f>
        <v/>
      </c>
      <c r="IM125" s="28" t="str">
        <f t="shared" si="92"/>
        <v>00:00</v>
      </c>
      <c r="IN125" s="29"/>
      <c r="IO125" s="27"/>
      <c r="IP125" s="27"/>
      <c r="IQ125" s="28" t="str">
        <f>IFERROR(VLOOKUP(IO125,Horarios!$H:$I,2,0),"")</f>
        <v/>
      </c>
      <c r="IR125" s="28" t="str">
        <f>IFERROR(VLOOKUP(IP125,Horarios!$H:$I,2,0),"")</f>
        <v/>
      </c>
      <c r="IS125" s="28" t="str">
        <f t="shared" si="93"/>
        <v>00:00</v>
      </c>
      <c r="IT125" s="29"/>
      <c r="IU125" s="27"/>
      <c r="IV125" s="27"/>
      <c r="IW125" s="28" t="str">
        <f>IFERROR(VLOOKUP(IU125,Horarios!$H:$I,2,0),"")</f>
        <v/>
      </c>
      <c r="IX125" s="28" t="str">
        <f>IFERROR(VLOOKUP(IV125,Horarios!$H:$I,2,0),"")</f>
        <v/>
      </c>
      <c r="IY125" s="28" t="str">
        <f t="shared" si="94"/>
        <v>00:00</v>
      </c>
      <c r="IZ125" s="29"/>
      <c r="JA125" s="31" t="str">
        <f t="shared" si="95"/>
        <v/>
      </c>
    </row>
    <row r="126" spans="1:261" s="24" customFormat="1" ht="17.399999999999999" x14ac:dyDescent="0.25">
      <c r="A126" s="25"/>
      <c r="B126" s="26" t="str">
        <f>IFERROR(VLOOKUP(A126,BaseNombres!A:B,2,0),"")</f>
        <v/>
      </c>
      <c r="C126" s="26" t="str">
        <f>IFERROR(VLOOKUP(A126,BaseNombres!A:C,3,0),"")</f>
        <v/>
      </c>
      <c r="D126" s="27"/>
      <c r="E126" s="27"/>
      <c r="F126" s="28" t="str">
        <f>IFERROR(VLOOKUP(D126,Horarios!$H:$I,2,0),"")</f>
        <v/>
      </c>
      <c r="G126" s="28" t="str">
        <f>IFERROR(VLOOKUP(E126,Horarios!$H:$I,2,0),"")</f>
        <v/>
      </c>
      <c r="H126" s="28" t="str">
        <f t="shared" si="48"/>
        <v>00:00</v>
      </c>
      <c r="I126" s="29"/>
      <c r="J126" s="27"/>
      <c r="K126" s="27"/>
      <c r="L126" s="28" t="str">
        <f>IFERROR(VLOOKUP(J126,Horarios!$H:$I,2,0),"")</f>
        <v/>
      </c>
      <c r="M126" s="28" t="str">
        <f>IFERROR(VLOOKUP(K126,Horarios!$H:$I,2,0),"")</f>
        <v/>
      </c>
      <c r="N126" s="28" t="str">
        <f t="shared" si="49"/>
        <v>00:00</v>
      </c>
      <c r="O126" s="29"/>
      <c r="P126" s="27"/>
      <c r="Q126" s="27"/>
      <c r="R126" s="28" t="str">
        <f>IFERROR(VLOOKUP(P126,Horarios!$H:$I,2,0),"")</f>
        <v/>
      </c>
      <c r="S126" s="28" t="str">
        <f>IFERROR(VLOOKUP(Q126,Horarios!$H:$I,2,0),"")</f>
        <v/>
      </c>
      <c r="T126" s="28" t="str">
        <f t="shared" si="50"/>
        <v>00:00</v>
      </c>
      <c r="U126" s="29"/>
      <c r="V126" s="27"/>
      <c r="W126" s="27"/>
      <c r="X126" s="28" t="str">
        <f>IFERROR(VLOOKUP(V126,Horarios!$H:$I,2,0),"")</f>
        <v/>
      </c>
      <c r="Y126" s="28" t="str">
        <f>IFERROR(VLOOKUP(W126,Horarios!$H:$I,2,0),"")</f>
        <v/>
      </c>
      <c r="Z126" s="28" t="str">
        <f t="shared" si="51"/>
        <v>00:00</v>
      </c>
      <c r="AA126" s="29"/>
      <c r="AB126" s="27"/>
      <c r="AC126" s="27"/>
      <c r="AD126" s="28" t="str">
        <f>IFERROR(VLOOKUP(AB126,Horarios!$H:$I,2,0),"")</f>
        <v/>
      </c>
      <c r="AE126" s="28" t="str">
        <f>IFERROR(VLOOKUP(AC126,Horarios!$H:$I,2,0),"")</f>
        <v/>
      </c>
      <c r="AF126" s="28" t="str">
        <f t="shared" si="52"/>
        <v>00:00</v>
      </c>
      <c r="AG126" s="29"/>
      <c r="AH126" s="27"/>
      <c r="AI126" s="27"/>
      <c r="AJ126" s="28" t="str">
        <f>IFERROR(VLOOKUP(AH126,Horarios!$H:$I,2,0),"")</f>
        <v/>
      </c>
      <c r="AK126" s="28" t="str">
        <f>IFERROR(VLOOKUP(AI126,Horarios!$H:$I,2,0),"")</f>
        <v/>
      </c>
      <c r="AL126" s="28" t="str">
        <f t="shared" si="53"/>
        <v>00:00</v>
      </c>
      <c r="AM126" s="29"/>
      <c r="AN126" s="27"/>
      <c r="AO126" s="27"/>
      <c r="AP126" s="28" t="str">
        <f>IFERROR(VLOOKUP(AN126,Horarios!$H:$I,2,0),"")</f>
        <v/>
      </c>
      <c r="AQ126" s="28" t="str">
        <f>IFERROR(VLOOKUP(AO126,Horarios!$H:$I,2,0),"")</f>
        <v/>
      </c>
      <c r="AR126" s="28" t="str">
        <f t="shared" si="54"/>
        <v>00:00</v>
      </c>
      <c r="AS126" s="29"/>
      <c r="AT126" s="31" t="str">
        <f t="shared" si="55"/>
        <v/>
      </c>
      <c r="AU126" s="27"/>
      <c r="AV126" s="27"/>
      <c r="AW126" s="28" t="str">
        <f>IFERROR(VLOOKUP(AU126,Horarios!$H:$I,2,0),"")</f>
        <v/>
      </c>
      <c r="AX126" s="28" t="str">
        <f>IFERROR(VLOOKUP(AV126,Horarios!$H:$I,2,0),"")</f>
        <v/>
      </c>
      <c r="AY126" s="28" t="str">
        <f t="shared" si="56"/>
        <v>00:00</v>
      </c>
      <c r="AZ126" s="29"/>
      <c r="BA126" s="27"/>
      <c r="BB126" s="27"/>
      <c r="BC126" s="28" t="str">
        <f>IFERROR(VLOOKUP(BA126,Horarios!$H:$I,2,0),"")</f>
        <v/>
      </c>
      <c r="BD126" s="28" t="str">
        <f>IFERROR(VLOOKUP(BB126,Horarios!$H:$I,2,0),"")</f>
        <v/>
      </c>
      <c r="BE126" s="28" t="str">
        <f t="shared" si="57"/>
        <v>00:00</v>
      </c>
      <c r="BF126" s="29"/>
      <c r="BG126" s="27"/>
      <c r="BH126" s="27"/>
      <c r="BI126" s="28" t="str">
        <f>IFERROR(VLOOKUP(BG126,Horarios!$H:$I,2,0),"")</f>
        <v/>
      </c>
      <c r="BJ126" s="28" t="str">
        <f>IFERROR(VLOOKUP(BH126,Horarios!$H:$I,2,0),"")</f>
        <v/>
      </c>
      <c r="BK126" s="28" t="str">
        <f t="shared" si="58"/>
        <v>00:00</v>
      </c>
      <c r="BL126" s="29"/>
      <c r="BM126" s="27"/>
      <c r="BN126" s="27"/>
      <c r="BO126" s="28" t="str">
        <f>IFERROR(VLOOKUP(BM126,Horarios!$H:$I,2,0),"")</f>
        <v/>
      </c>
      <c r="BP126" s="28" t="str">
        <f>IFERROR(VLOOKUP(BN126,Horarios!$H:$I,2,0),"")</f>
        <v/>
      </c>
      <c r="BQ126" s="28" t="str">
        <f t="shared" si="59"/>
        <v>00:00</v>
      </c>
      <c r="BR126" s="29"/>
      <c r="BS126" s="27"/>
      <c r="BT126" s="27"/>
      <c r="BU126" s="28" t="str">
        <f>IFERROR(VLOOKUP(BS126,Horarios!$H:$I,2,0),"")</f>
        <v/>
      </c>
      <c r="BV126" s="28" t="str">
        <f>IFERROR(VLOOKUP(BT126,Horarios!$H:$I,2,0),"")</f>
        <v/>
      </c>
      <c r="BW126" s="28" t="str">
        <f t="shared" si="60"/>
        <v>00:00</v>
      </c>
      <c r="BX126" s="29"/>
      <c r="BY126" s="27"/>
      <c r="BZ126" s="27"/>
      <c r="CA126" s="28" t="str">
        <f>IFERROR(VLOOKUP(BY126,Horarios!$H:$I,2,0),"")</f>
        <v/>
      </c>
      <c r="CB126" s="28" t="str">
        <f>IFERROR(VLOOKUP(BZ126,Horarios!$H:$I,2,0),"")</f>
        <v/>
      </c>
      <c r="CC126" s="28" t="str">
        <f t="shared" si="61"/>
        <v>00:00</v>
      </c>
      <c r="CD126" s="29"/>
      <c r="CE126" s="27"/>
      <c r="CF126" s="27"/>
      <c r="CG126" s="28" t="str">
        <f>IFERROR(VLOOKUP(CE126,Horarios!$H:$I,2,0),"")</f>
        <v/>
      </c>
      <c r="CH126" s="28" t="str">
        <f>IFERROR(VLOOKUP(CF126,Horarios!$H:$I,2,0),"")</f>
        <v/>
      </c>
      <c r="CI126" s="28" t="str">
        <f t="shared" si="62"/>
        <v>00:00</v>
      </c>
      <c r="CJ126" s="29"/>
      <c r="CK126" s="31" t="str">
        <f t="shared" si="63"/>
        <v/>
      </c>
      <c r="CL126" s="27"/>
      <c r="CM126" s="27"/>
      <c r="CN126" s="28" t="str">
        <f>IFERROR(VLOOKUP(CL126,Horarios!$H:$I,2,0),"")</f>
        <v/>
      </c>
      <c r="CO126" s="28" t="str">
        <f>IFERROR(VLOOKUP(CM126,Horarios!$H:$I,2,0),"")</f>
        <v/>
      </c>
      <c r="CP126" s="28" t="str">
        <f t="shared" si="64"/>
        <v>00:00</v>
      </c>
      <c r="CQ126" s="29"/>
      <c r="CR126" s="27"/>
      <c r="CS126" s="27"/>
      <c r="CT126" s="28" t="str">
        <f>IFERROR(VLOOKUP(CR126,Horarios!$H:$I,2,0),"")</f>
        <v/>
      </c>
      <c r="CU126" s="28" t="str">
        <f>IFERROR(VLOOKUP(CS126,Horarios!$H:$I,2,0),"")</f>
        <v/>
      </c>
      <c r="CV126" s="28" t="str">
        <f t="shared" si="65"/>
        <v>00:00</v>
      </c>
      <c r="CW126" s="29"/>
      <c r="CX126" s="27"/>
      <c r="CY126" s="27"/>
      <c r="CZ126" s="28" t="str">
        <f>IFERROR(VLOOKUP(CX126,Horarios!$H:$I,2,0),"")</f>
        <v/>
      </c>
      <c r="DA126" s="28" t="str">
        <f>IFERROR(VLOOKUP(CY126,Horarios!$H:$I,2,0),"")</f>
        <v/>
      </c>
      <c r="DB126" s="28" t="str">
        <f t="shared" si="66"/>
        <v>00:00</v>
      </c>
      <c r="DC126" s="29"/>
      <c r="DD126" s="27"/>
      <c r="DE126" s="27"/>
      <c r="DF126" s="28" t="str">
        <f>IFERROR(VLOOKUP(DD126,Horarios!$H:$I,2,0),"")</f>
        <v/>
      </c>
      <c r="DG126" s="28" t="str">
        <f>IFERROR(VLOOKUP(DE126,Horarios!$H:$I,2,0),"")</f>
        <v/>
      </c>
      <c r="DH126" s="28" t="str">
        <f t="shared" si="67"/>
        <v>00:00</v>
      </c>
      <c r="DI126" s="29"/>
      <c r="DJ126" s="27"/>
      <c r="DK126" s="27"/>
      <c r="DL126" s="28" t="str">
        <f>IFERROR(VLOOKUP(DJ126,Horarios!$H:$I,2,0),"")</f>
        <v/>
      </c>
      <c r="DM126" s="28" t="str">
        <f>IFERROR(VLOOKUP(DK126,Horarios!$H:$I,2,0),"")</f>
        <v/>
      </c>
      <c r="DN126" s="28" t="str">
        <f t="shared" si="68"/>
        <v>00:00</v>
      </c>
      <c r="DO126" s="29"/>
      <c r="DP126" s="27"/>
      <c r="DQ126" s="27"/>
      <c r="DR126" s="28" t="str">
        <f>IFERROR(VLOOKUP(DP126,Horarios!$H:$I,2,0),"")</f>
        <v/>
      </c>
      <c r="DS126" s="28" t="str">
        <f>IFERROR(VLOOKUP(DQ126,Horarios!$H:$I,2,0),"")</f>
        <v/>
      </c>
      <c r="DT126" s="28" t="str">
        <f t="shared" si="69"/>
        <v>00:00</v>
      </c>
      <c r="DU126" s="29"/>
      <c r="DV126" s="27"/>
      <c r="DW126" s="27"/>
      <c r="DX126" s="28" t="str">
        <f>IFERROR(VLOOKUP(DV126,Horarios!$H:$I,2,0),"")</f>
        <v/>
      </c>
      <c r="DY126" s="28" t="str">
        <f>IFERROR(VLOOKUP(DW126,Horarios!$H:$I,2,0),"")</f>
        <v/>
      </c>
      <c r="DZ126" s="28" t="str">
        <f t="shared" si="70"/>
        <v>00:00</v>
      </c>
      <c r="EA126" s="29"/>
      <c r="EB126" s="31" t="str">
        <f t="shared" si="71"/>
        <v/>
      </c>
      <c r="EC126" s="27"/>
      <c r="ED126" s="27"/>
      <c r="EE126" s="28" t="str">
        <f>IFERROR(VLOOKUP(EC126,Horarios!$H:$I,2,0),"")</f>
        <v/>
      </c>
      <c r="EF126" s="28" t="str">
        <f>IFERROR(VLOOKUP(ED126,Horarios!$H:$I,2,0),"")</f>
        <v/>
      </c>
      <c r="EG126" s="28" t="str">
        <f t="shared" si="72"/>
        <v>00:00</v>
      </c>
      <c r="EH126" s="29"/>
      <c r="EI126" s="27"/>
      <c r="EJ126" s="27"/>
      <c r="EK126" s="28" t="str">
        <f>IFERROR(VLOOKUP(EI126,Horarios!$H:$I,2,0),"")</f>
        <v/>
      </c>
      <c r="EL126" s="28" t="str">
        <f>IFERROR(VLOOKUP(EJ126,Horarios!$H:$I,2,0),"")</f>
        <v/>
      </c>
      <c r="EM126" s="28" t="str">
        <f t="shared" si="73"/>
        <v>00:00</v>
      </c>
      <c r="EN126" s="29"/>
      <c r="EO126" s="27"/>
      <c r="EP126" s="27"/>
      <c r="EQ126" s="28" t="str">
        <f>IFERROR(VLOOKUP(EO126,Horarios!$H:$I,2,0),"")</f>
        <v/>
      </c>
      <c r="ER126" s="28" t="str">
        <f>IFERROR(VLOOKUP(EP126,Horarios!$H:$I,2,0),"")</f>
        <v/>
      </c>
      <c r="ES126" s="28" t="str">
        <f t="shared" si="74"/>
        <v>00:00</v>
      </c>
      <c r="ET126" s="29"/>
      <c r="EU126" s="27"/>
      <c r="EV126" s="27"/>
      <c r="EW126" s="28" t="str">
        <f>IFERROR(VLOOKUP(EU126,Horarios!$H:$I,2,0),"")</f>
        <v/>
      </c>
      <c r="EX126" s="28" t="str">
        <f>IFERROR(VLOOKUP(EV126,Horarios!$H:$I,2,0),"")</f>
        <v/>
      </c>
      <c r="EY126" s="28" t="str">
        <f t="shared" si="75"/>
        <v>00:00</v>
      </c>
      <c r="EZ126" s="29"/>
      <c r="FA126" s="27"/>
      <c r="FB126" s="27"/>
      <c r="FC126" s="28" t="str">
        <f>IFERROR(VLOOKUP(FA126,Horarios!$H:$I,2,0),"")</f>
        <v/>
      </c>
      <c r="FD126" s="28" t="str">
        <f>IFERROR(VLOOKUP(FB126,Horarios!$H:$I,2,0),"")</f>
        <v/>
      </c>
      <c r="FE126" s="28" t="str">
        <f t="shared" si="76"/>
        <v>00:00</v>
      </c>
      <c r="FF126" s="29"/>
      <c r="FG126" s="27"/>
      <c r="FH126" s="27"/>
      <c r="FI126" s="28" t="str">
        <f>IFERROR(VLOOKUP(FG126,Horarios!$H:$I,2,0),"")</f>
        <v/>
      </c>
      <c r="FJ126" s="28" t="str">
        <f>IFERROR(VLOOKUP(FH126,Horarios!$H:$I,2,0),"")</f>
        <v/>
      </c>
      <c r="FK126" s="28" t="str">
        <f t="shared" si="77"/>
        <v>00:00</v>
      </c>
      <c r="FL126" s="29"/>
      <c r="FM126" s="27"/>
      <c r="FN126" s="27"/>
      <c r="FO126" s="28" t="str">
        <f>IFERROR(VLOOKUP(FM126,Horarios!$H:$I,2,0),"")</f>
        <v/>
      </c>
      <c r="FP126" s="28" t="str">
        <f>IFERROR(VLOOKUP(FN126,Horarios!$H:$I,2,0),"")</f>
        <v/>
      </c>
      <c r="FQ126" s="28" t="str">
        <f t="shared" si="78"/>
        <v>00:00</v>
      </c>
      <c r="FR126" s="29"/>
      <c r="FS126" s="31" t="str">
        <f t="shared" si="79"/>
        <v/>
      </c>
      <c r="FT126" s="27"/>
      <c r="FU126" s="27"/>
      <c r="FV126" s="28" t="str">
        <f>IFERROR(VLOOKUP(FT126,Horarios!$H:$I,2,0),"")</f>
        <v/>
      </c>
      <c r="FW126" s="28" t="str">
        <f>IFERROR(VLOOKUP(FU126,Horarios!$H:$I,2,0),"")</f>
        <v/>
      </c>
      <c r="FX126" s="28" t="str">
        <f t="shared" si="80"/>
        <v>00:00</v>
      </c>
      <c r="FY126" s="29"/>
      <c r="FZ126" s="27"/>
      <c r="GA126" s="27"/>
      <c r="GB126" s="28" t="str">
        <f>IFERROR(VLOOKUP(FZ126,Horarios!$H:$I,2,0),"")</f>
        <v/>
      </c>
      <c r="GC126" s="28" t="str">
        <f>IFERROR(VLOOKUP(GA126,Horarios!$H:$I,2,0),"")</f>
        <v/>
      </c>
      <c r="GD126" s="28" t="str">
        <f t="shared" si="81"/>
        <v>00:00</v>
      </c>
      <c r="GE126" s="29"/>
      <c r="GF126" s="27"/>
      <c r="GG126" s="27"/>
      <c r="GH126" s="28" t="str">
        <f>IFERROR(VLOOKUP(GF126,Horarios!$H:$I,2,0),"")</f>
        <v/>
      </c>
      <c r="GI126" s="28" t="str">
        <f>IFERROR(VLOOKUP(GG126,Horarios!$H:$I,2,0),"")</f>
        <v/>
      </c>
      <c r="GJ126" s="28" t="str">
        <f t="shared" si="82"/>
        <v>00:00</v>
      </c>
      <c r="GK126" s="29"/>
      <c r="GL126" s="27"/>
      <c r="GM126" s="27"/>
      <c r="GN126" s="28" t="str">
        <f>IFERROR(VLOOKUP(GL126,Horarios!$H:$I,2,0),"")</f>
        <v/>
      </c>
      <c r="GO126" s="28" t="str">
        <f>IFERROR(VLOOKUP(GM126,Horarios!$H:$I,2,0),"")</f>
        <v/>
      </c>
      <c r="GP126" s="28" t="str">
        <f t="shared" si="83"/>
        <v>00:00</v>
      </c>
      <c r="GQ126" s="29"/>
      <c r="GR126" s="27"/>
      <c r="GS126" s="27"/>
      <c r="GT126" s="28" t="str">
        <f>IFERROR(VLOOKUP(GR126,Horarios!$H:$I,2,0),"")</f>
        <v/>
      </c>
      <c r="GU126" s="28" t="str">
        <f>IFERROR(VLOOKUP(GS126,Horarios!$H:$I,2,0),"")</f>
        <v/>
      </c>
      <c r="GV126" s="28" t="str">
        <f t="shared" si="84"/>
        <v>00:00</v>
      </c>
      <c r="GW126" s="29"/>
      <c r="GX126" s="27"/>
      <c r="GY126" s="27"/>
      <c r="GZ126" s="28" t="str">
        <f>IFERROR(VLOOKUP(GX126,Horarios!$H:$I,2,0),"")</f>
        <v/>
      </c>
      <c r="HA126" s="28" t="str">
        <f>IFERROR(VLOOKUP(GY126,Horarios!$H:$I,2,0),"")</f>
        <v/>
      </c>
      <c r="HB126" s="28" t="str">
        <f t="shared" si="85"/>
        <v>00:00</v>
      </c>
      <c r="HC126" s="29"/>
      <c r="HD126" s="27"/>
      <c r="HE126" s="27"/>
      <c r="HF126" s="28" t="str">
        <f>IFERROR(VLOOKUP(HD126,Horarios!$H:$I,2,0),"")</f>
        <v/>
      </c>
      <c r="HG126" s="28" t="str">
        <f>IFERROR(VLOOKUP(HE126,Horarios!$H:$I,2,0),"")</f>
        <v/>
      </c>
      <c r="HH126" s="28" t="str">
        <f t="shared" si="86"/>
        <v>00:00</v>
      </c>
      <c r="HI126" s="29"/>
      <c r="HJ126" s="31" t="str">
        <f t="shared" si="87"/>
        <v/>
      </c>
      <c r="HK126" s="27"/>
      <c r="HL126" s="27"/>
      <c r="HM126" s="28" t="str">
        <f>IFERROR(VLOOKUP(HK126,Horarios!$H:$I,2,0),"")</f>
        <v/>
      </c>
      <c r="HN126" s="28" t="str">
        <f>IFERROR(VLOOKUP(HL126,Horarios!$H:$I,2,0),"")</f>
        <v/>
      </c>
      <c r="HO126" s="28" t="str">
        <f t="shared" si="88"/>
        <v>00:00</v>
      </c>
      <c r="HP126" s="29"/>
      <c r="HQ126" s="27"/>
      <c r="HR126" s="27"/>
      <c r="HS126" s="28" t="str">
        <f>IFERROR(VLOOKUP(HQ126,Horarios!$H:$I,2,0),"")</f>
        <v/>
      </c>
      <c r="HT126" s="28" t="str">
        <f>IFERROR(VLOOKUP(HR126,Horarios!$H:$I,2,0),"")</f>
        <v/>
      </c>
      <c r="HU126" s="28" t="str">
        <f t="shared" si="89"/>
        <v>00:00</v>
      </c>
      <c r="HV126" s="29"/>
      <c r="HW126" s="27"/>
      <c r="HX126" s="27"/>
      <c r="HY126" s="28" t="str">
        <f>IFERROR(VLOOKUP(HW126,Horarios!$H:$I,2,0),"")</f>
        <v/>
      </c>
      <c r="HZ126" s="28" t="str">
        <f>IFERROR(VLOOKUP(HX126,Horarios!$H:$I,2,0),"")</f>
        <v/>
      </c>
      <c r="IA126" s="28" t="str">
        <f t="shared" si="90"/>
        <v>00:00</v>
      </c>
      <c r="IB126" s="29"/>
      <c r="IC126" s="27"/>
      <c r="ID126" s="27"/>
      <c r="IE126" s="28" t="str">
        <f>IFERROR(VLOOKUP(IC126,Horarios!$H:$I,2,0),"")</f>
        <v/>
      </c>
      <c r="IF126" s="28" t="str">
        <f>IFERROR(VLOOKUP(ID126,Horarios!$H:$I,2,0),"")</f>
        <v/>
      </c>
      <c r="IG126" s="28" t="str">
        <f t="shared" si="91"/>
        <v>00:00</v>
      </c>
      <c r="IH126" s="29"/>
      <c r="II126" s="27"/>
      <c r="IJ126" s="27"/>
      <c r="IK126" s="28" t="str">
        <f>IFERROR(VLOOKUP(II126,Horarios!$H:$I,2,0),"")</f>
        <v/>
      </c>
      <c r="IL126" s="28" t="str">
        <f>IFERROR(VLOOKUP(IJ126,Horarios!$H:$I,2,0),"")</f>
        <v/>
      </c>
      <c r="IM126" s="28" t="str">
        <f t="shared" si="92"/>
        <v>00:00</v>
      </c>
      <c r="IN126" s="29"/>
      <c r="IO126" s="27"/>
      <c r="IP126" s="27"/>
      <c r="IQ126" s="28" t="str">
        <f>IFERROR(VLOOKUP(IO126,Horarios!$H:$I,2,0),"")</f>
        <v/>
      </c>
      <c r="IR126" s="28" t="str">
        <f>IFERROR(VLOOKUP(IP126,Horarios!$H:$I,2,0),"")</f>
        <v/>
      </c>
      <c r="IS126" s="28" t="str">
        <f t="shared" si="93"/>
        <v>00:00</v>
      </c>
      <c r="IT126" s="29"/>
      <c r="IU126" s="27"/>
      <c r="IV126" s="27"/>
      <c r="IW126" s="28" t="str">
        <f>IFERROR(VLOOKUP(IU126,Horarios!$H:$I,2,0),"")</f>
        <v/>
      </c>
      <c r="IX126" s="28" t="str">
        <f>IFERROR(VLOOKUP(IV126,Horarios!$H:$I,2,0),"")</f>
        <v/>
      </c>
      <c r="IY126" s="28" t="str">
        <f t="shared" si="94"/>
        <v>00:00</v>
      </c>
      <c r="IZ126" s="29"/>
      <c r="JA126" s="31" t="str">
        <f t="shared" si="95"/>
        <v/>
      </c>
    </row>
    <row r="127" spans="1:261" s="24" customFormat="1" ht="17.399999999999999" x14ac:dyDescent="0.25">
      <c r="A127" s="25"/>
      <c r="B127" s="26" t="str">
        <f>IFERROR(VLOOKUP(A127,BaseNombres!A:B,2,0),"")</f>
        <v/>
      </c>
      <c r="C127" s="26" t="str">
        <f>IFERROR(VLOOKUP(A127,BaseNombres!A:C,3,0),"")</f>
        <v/>
      </c>
      <c r="D127" s="27"/>
      <c r="E127" s="27"/>
      <c r="F127" s="28" t="str">
        <f>IFERROR(VLOOKUP(D127,Horarios!$H:$I,2,0),"")</f>
        <v/>
      </c>
      <c r="G127" s="28" t="str">
        <f>IFERROR(VLOOKUP(E127,Horarios!$H:$I,2,0),"")</f>
        <v/>
      </c>
      <c r="H127" s="28" t="str">
        <f t="shared" si="48"/>
        <v>00:00</v>
      </c>
      <c r="I127" s="29"/>
      <c r="J127" s="27"/>
      <c r="K127" s="27"/>
      <c r="L127" s="28" t="str">
        <f>IFERROR(VLOOKUP(J127,Horarios!$H:$I,2,0),"")</f>
        <v/>
      </c>
      <c r="M127" s="28" t="str">
        <f>IFERROR(VLOOKUP(K127,Horarios!$H:$I,2,0),"")</f>
        <v/>
      </c>
      <c r="N127" s="28" t="str">
        <f t="shared" si="49"/>
        <v>00:00</v>
      </c>
      <c r="O127" s="29"/>
      <c r="P127" s="27"/>
      <c r="Q127" s="27"/>
      <c r="R127" s="28" t="str">
        <f>IFERROR(VLOOKUP(P127,Horarios!$H:$I,2,0),"")</f>
        <v/>
      </c>
      <c r="S127" s="28" t="str">
        <f>IFERROR(VLOOKUP(Q127,Horarios!$H:$I,2,0),"")</f>
        <v/>
      </c>
      <c r="T127" s="28" t="str">
        <f t="shared" si="50"/>
        <v>00:00</v>
      </c>
      <c r="U127" s="29"/>
      <c r="V127" s="27"/>
      <c r="W127" s="27"/>
      <c r="X127" s="28" t="str">
        <f>IFERROR(VLOOKUP(V127,Horarios!$H:$I,2,0),"")</f>
        <v/>
      </c>
      <c r="Y127" s="28" t="str">
        <f>IFERROR(VLOOKUP(W127,Horarios!$H:$I,2,0),"")</f>
        <v/>
      </c>
      <c r="Z127" s="28" t="str">
        <f t="shared" si="51"/>
        <v>00:00</v>
      </c>
      <c r="AA127" s="29"/>
      <c r="AB127" s="27"/>
      <c r="AC127" s="27"/>
      <c r="AD127" s="28" t="str">
        <f>IFERROR(VLOOKUP(AB127,Horarios!$H:$I,2,0),"")</f>
        <v/>
      </c>
      <c r="AE127" s="28" t="str">
        <f>IFERROR(VLOOKUP(AC127,Horarios!$H:$I,2,0),"")</f>
        <v/>
      </c>
      <c r="AF127" s="28" t="str">
        <f t="shared" si="52"/>
        <v>00:00</v>
      </c>
      <c r="AG127" s="29"/>
      <c r="AH127" s="27"/>
      <c r="AI127" s="27"/>
      <c r="AJ127" s="28" t="str">
        <f>IFERROR(VLOOKUP(AH127,Horarios!$H:$I,2,0),"")</f>
        <v/>
      </c>
      <c r="AK127" s="28" t="str">
        <f>IFERROR(VLOOKUP(AI127,Horarios!$H:$I,2,0),"")</f>
        <v/>
      </c>
      <c r="AL127" s="28" t="str">
        <f t="shared" si="53"/>
        <v>00:00</v>
      </c>
      <c r="AM127" s="29"/>
      <c r="AN127" s="27"/>
      <c r="AO127" s="27"/>
      <c r="AP127" s="28" t="str">
        <f>IFERROR(VLOOKUP(AN127,Horarios!$H:$I,2,0),"")</f>
        <v/>
      </c>
      <c r="AQ127" s="28" t="str">
        <f>IFERROR(VLOOKUP(AO127,Horarios!$H:$I,2,0),"")</f>
        <v/>
      </c>
      <c r="AR127" s="28" t="str">
        <f t="shared" si="54"/>
        <v>00:00</v>
      </c>
      <c r="AS127" s="29"/>
      <c r="AT127" s="31" t="str">
        <f t="shared" si="55"/>
        <v/>
      </c>
      <c r="AU127" s="27"/>
      <c r="AV127" s="27"/>
      <c r="AW127" s="28" t="str">
        <f>IFERROR(VLOOKUP(AU127,Horarios!$H:$I,2,0),"")</f>
        <v/>
      </c>
      <c r="AX127" s="28" t="str">
        <f>IFERROR(VLOOKUP(AV127,Horarios!$H:$I,2,0),"")</f>
        <v/>
      </c>
      <c r="AY127" s="28" t="str">
        <f t="shared" si="56"/>
        <v>00:00</v>
      </c>
      <c r="AZ127" s="29"/>
      <c r="BA127" s="27"/>
      <c r="BB127" s="27"/>
      <c r="BC127" s="28" t="str">
        <f>IFERROR(VLOOKUP(BA127,Horarios!$H:$I,2,0),"")</f>
        <v/>
      </c>
      <c r="BD127" s="28" t="str">
        <f>IFERROR(VLOOKUP(BB127,Horarios!$H:$I,2,0),"")</f>
        <v/>
      </c>
      <c r="BE127" s="28" t="str">
        <f t="shared" si="57"/>
        <v>00:00</v>
      </c>
      <c r="BF127" s="29"/>
      <c r="BG127" s="27"/>
      <c r="BH127" s="27"/>
      <c r="BI127" s="28" t="str">
        <f>IFERROR(VLOOKUP(BG127,Horarios!$H:$I,2,0),"")</f>
        <v/>
      </c>
      <c r="BJ127" s="28" t="str">
        <f>IFERROR(VLOOKUP(BH127,Horarios!$H:$I,2,0),"")</f>
        <v/>
      </c>
      <c r="BK127" s="28" t="str">
        <f t="shared" si="58"/>
        <v>00:00</v>
      </c>
      <c r="BL127" s="29"/>
      <c r="BM127" s="27"/>
      <c r="BN127" s="27"/>
      <c r="BO127" s="28" t="str">
        <f>IFERROR(VLOOKUP(BM127,Horarios!$H:$I,2,0),"")</f>
        <v/>
      </c>
      <c r="BP127" s="28" t="str">
        <f>IFERROR(VLOOKUP(BN127,Horarios!$H:$I,2,0),"")</f>
        <v/>
      </c>
      <c r="BQ127" s="28" t="str">
        <f t="shared" si="59"/>
        <v>00:00</v>
      </c>
      <c r="BR127" s="29"/>
      <c r="BS127" s="27"/>
      <c r="BT127" s="27"/>
      <c r="BU127" s="28" t="str">
        <f>IFERROR(VLOOKUP(BS127,Horarios!$H:$I,2,0),"")</f>
        <v/>
      </c>
      <c r="BV127" s="28" t="str">
        <f>IFERROR(VLOOKUP(BT127,Horarios!$H:$I,2,0),"")</f>
        <v/>
      </c>
      <c r="BW127" s="28" t="str">
        <f t="shared" si="60"/>
        <v>00:00</v>
      </c>
      <c r="BX127" s="29"/>
      <c r="BY127" s="27"/>
      <c r="BZ127" s="27"/>
      <c r="CA127" s="28" t="str">
        <f>IFERROR(VLOOKUP(BY127,Horarios!$H:$I,2,0),"")</f>
        <v/>
      </c>
      <c r="CB127" s="28" t="str">
        <f>IFERROR(VLOOKUP(BZ127,Horarios!$H:$I,2,0),"")</f>
        <v/>
      </c>
      <c r="CC127" s="28" t="str">
        <f t="shared" si="61"/>
        <v>00:00</v>
      </c>
      <c r="CD127" s="29"/>
      <c r="CE127" s="27"/>
      <c r="CF127" s="27"/>
      <c r="CG127" s="28" t="str">
        <f>IFERROR(VLOOKUP(CE127,Horarios!$H:$I,2,0),"")</f>
        <v/>
      </c>
      <c r="CH127" s="28" t="str">
        <f>IFERROR(VLOOKUP(CF127,Horarios!$H:$I,2,0),"")</f>
        <v/>
      </c>
      <c r="CI127" s="28" t="str">
        <f t="shared" si="62"/>
        <v>00:00</v>
      </c>
      <c r="CJ127" s="29"/>
      <c r="CK127" s="31" t="str">
        <f t="shared" si="63"/>
        <v/>
      </c>
      <c r="CL127" s="27"/>
      <c r="CM127" s="27"/>
      <c r="CN127" s="28" t="str">
        <f>IFERROR(VLOOKUP(CL127,Horarios!$H:$I,2,0),"")</f>
        <v/>
      </c>
      <c r="CO127" s="28" t="str">
        <f>IFERROR(VLOOKUP(CM127,Horarios!$H:$I,2,0),"")</f>
        <v/>
      </c>
      <c r="CP127" s="28" t="str">
        <f t="shared" si="64"/>
        <v>00:00</v>
      </c>
      <c r="CQ127" s="29"/>
      <c r="CR127" s="27"/>
      <c r="CS127" s="27"/>
      <c r="CT127" s="28" t="str">
        <f>IFERROR(VLOOKUP(CR127,Horarios!$H:$I,2,0),"")</f>
        <v/>
      </c>
      <c r="CU127" s="28" t="str">
        <f>IFERROR(VLOOKUP(CS127,Horarios!$H:$I,2,0),"")</f>
        <v/>
      </c>
      <c r="CV127" s="28" t="str">
        <f t="shared" si="65"/>
        <v>00:00</v>
      </c>
      <c r="CW127" s="29"/>
      <c r="CX127" s="27"/>
      <c r="CY127" s="27"/>
      <c r="CZ127" s="28" t="str">
        <f>IFERROR(VLOOKUP(CX127,Horarios!$H:$I,2,0),"")</f>
        <v/>
      </c>
      <c r="DA127" s="28" t="str">
        <f>IFERROR(VLOOKUP(CY127,Horarios!$H:$I,2,0),"")</f>
        <v/>
      </c>
      <c r="DB127" s="28" t="str">
        <f t="shared" si="66"/>
        <v>00:00</v>
      </c>
      <c r="DC127" s="29"/>
      <c r="DD127" s="27"/>
      <c r="DE127" s="27"/>
      <c r="DF127" s="28" t="str">
        <f>IFERROR(VLOOKUP(DD127,Horarios!$H:$I,2,0),"")</f>
        <v/>
      </c>
      <c r="DG127" s="28" t="str">
        <f>IFERROR(VLOOKUP(DE127,Horarios!$H:$I,2,0),"")</f>
        <v/>
      </c>
      <c r="DH127" s="28" t="str">
        <f t="shared" si="67"/>
        <v>00:00</v>
      </c>
      <c r="DI127" s="29"/>
      <c r="DJ127" s="27"/>
      <c r="DK127" s="27"/>
      <c r="DL127" s="28" t="str">
        <f>IFERROR(VLOOKUP(DJ127,Horarios!$H:$I,2,0),"")</f>
        <v/>
      </c>
      <c r="DM127" s="28" t="str">
        <f>IFERROR(VLOOKUP(DK127,Horarios!$H:$I,2,0),"")</f>
        <v/>
      </c>
      <c r="DN127" s="28" t="str">
        <f t="shared" si="68"/>
        <v>00:00</v>
      </c>
      <c r="DO127" s="29"/>
      <c r="DP127" s="27"/>
      <c r="DQ127" s="27"/>
      <c r="DR127" s="28" t="str">
        <f>IFERROR(VLOOKUP(DP127,Horarios!$H:$I,2,0),"")</f>
        <v/>
      </c>
      <c r="DS127" s="28" t="str">
        <f>IFERROR(VLOOKUP(DQ127,Horarios!$H:$I,2,0),"")</f>
        <v/>
      </c>
      <c r="DT127" s="28" t="str">
        <f t="shared" si="69"/>
        <v>00:00</v>
      </c>
      <c r="DU127" s="29"/>
      <c r="DV127" s="27"/>
      <c r="DW127" s="27"/>
      <c r="DX127" s="28" t="str">
        <f>IFERROR(VLOOKUP(DV127,Horarios!$H:$I,2,0),"")</f>
        <v/>
      </c>
      <c r="DY127" s="28" t="str">
        <f>IFERROR(VLOOKUP(DW127,Horarios!$H:$I,2,0),"")</f>
        <v/>
      </c>
      <c r="DZ127" s="28" t="str">
        <f t="shared" si="70"/>
        <v>00:00</v>
      </c>
      <c r="EA127" s="29"/>
      <c r="EB127" s="31" t="str">
        <f t="shared" si="71"/>
        <v/>
      </c>
      <c r="EC127" s="27"/>
      <c r="ED127" s="27"/>
      <c r="EE127" s="28" t="str">
        <f>IFERROR(VLOOKUP(EC127,Horarios!$H:$I,2,0),"")</f>
        <v/>
      </c>
      <c r="EF127" s="28" t="str">
        <f>IFERROR(VLOOKUP(ED127,Horarios!$H:$I,2,0),"")</f>
        <v/>
      </c>
      <c r="EG127" s="28" t="str">
        <f t="shared" si="72"/>
        <v>00:00</v>
      </c>
      <c r="EH127" s="29"/>
      <c r="EI127" s="27"/>
      <c r="EJ127" s="27"/>
      <c r="EK127" s="28" t="str">
        <f>IFERROR(VLOOKUP(EI127,Horarios!$H:$I,2,0),"")</f>
        <v/>
      </c>
      <c r="EL127" s="28" t="str">
        <f>IFERROR(VLOOKUP(EJ127,Horarios!$H:$I,2,0),"")</f>
        <v/>
      </c>
      <c r="EM127" s="28" t="str">
        <f t="shared" si="73"/>
        <v>00:00</v>
      </c>
      <c r="EN127" s="29"/>
      <c r="EO127" s="27"/>
      <c r="EP127" s="27"/>
      <c r="EQ127" s="28" t="str">
        <f>IFERROR(VLOOKUP(EO127,Horarios!$H:$I,2,0),"")</f>
        <v/>
      </c>
      <c r="ER127" s="28" t="str">
        <f>IFERROR(VLOOKUP(EP127,Horarios!$H:$I,2,0),"")</f>
        <v/>
      </c>
      <c r="ES127" s="28" t="str">
        <f t="shared" si="74"/>
        <v>00:00</v>
      </c>
      <c r="ET127" s="29"/>
      <c r="EU127" s="27"/>
      <c r="EV127" s="27"/>
      <c r="EW127" s="28" t="str">
        <f>IFERROR(VLOOKUP(EU127,Horarios!$H:$I,2,0),"")</f>
        <v/>
      </c>
      <c r="EX127" s="28" t="str">
        <f>IFERROR(VLOOKUP(EV127,Horarios!$H:$I,2,0),"")</f>
        <v/>
      </c>
      <c r="EY127" s="28" t="str">
        <f t="shared" si="75"/>
        <v>00:00</v>
      </c>
      <c r="EZ127" s="29"/>
      <c r="FA127" s="27"/>
      <c r="FB127" s="27"/>
      <c r="FC127" s="28" t="str">
        <f>IFERROR(VLOOKUP(FA127,Horarios!$H:$I,2,0),"")</f>
        <v/>
      </c>
      <c r="FD127" s="28" t="str">
        <f>IFERROR(VLOOKUP(FB127,Horarios!$H:$I,2,0),"")</f>
        <v/>
      </c>
      <c r="FE127" s="28" t="str">
        <f t="shared" si="76"/>
        <v>00:00</v>
      </c>
      <c r="FF127" s="29"/>
      <c r="FG127" s="27"/>
      <c r="FH127" s="27"/>
      <c r="FI127" s="28" t="str">
        <f>IFERROR(VLOOKUP(FG127,Horarios!$H:$I,2,0),"")</f>
        <v/>
      </c>
      <c r="FJ127" s="28" t="str">
        <f>IFERROR(VLOOKUP(FH127,Horarios!$H:$I,2,0),"")</f>
        <v/>
      </c>
      <c r="FK127" s="28" t="str">
        <f t="shared" si="77"/>
        <v>00:00</v>
      </c>
      <c r="FL127" s="29"/>
      <c r="FM127" s="27"/>
      <c r="FN127" s="27"/>
      <c r="FO127" s="28" t="str">
        <f>IFERROR(VLOOKUP(FM127,Horarios!$H:$I,2,0),"")</f>
        <v/>
      </c>
      <c r="FP127" s="28" t="str">
        <f>IFERROR(VLOOKUP(FN127,Horarios!$H:$I,2,0),"")</f>
        <v/>
      </c>
      <c r="FQ127" s="28" t="str">
        <f t="shared" si="78"/>
        <v>00:00</v>
      </c>
      <c r="FR127" s="29"/>
      <c r="FS127" s="31" t="str">
        <f t="shared" si="79"/>
        <v/>
      </c>
      <c r="FT127" s="27"/>
      <c r="FU127" s="27"/>
      <c r="FV127" s="28" t="str">
        <f>IFERROR(VLOOKUP(FT127,Horarios!$H:$I,2,0),"")</f>
        <v/>
      </c>
      <c r="FW127" s="28" t="str">
        <f>IFERROR(VLOOKUP(FU127,Horarios!$H:$I,2,0),"")</f>
        <v/>
      </c>
      <c r="FX127" s="28" t="str">
        <f t="shared" si="80"/>
        <v>00:00</v>
      </c>
      <c r="FY127" s="29"/>
      <c r="FZ127" s="27"/>
      <c r="GA127" s="27"/>
      <c r="GB127" s="28" t="str">
        <f>IFERROR(VLOOKUP(FZ127,Horarios!$H:$I,2,0),"")</f>
        <v/>
      </c>
      <c r="GC127" s="28" t="str">
        <f>IFERROR(VLOOKUP(GA127,Horarios!$H:$I,2,0),"")</f>
        <v/>
      </c>
      <c r="GD127" s="28" t="str">
        <f t="shared" si="81"/>
        <v>00:00</v>
      </c>
      <c r="GE127" s="29"/>
      <c r="GF127" s="27"/>
      <c r="GG127" s="27"/>
      <c r="GH127" s="28" t="str">
        <f>IFERROR(VLOOKUP(GF127,Horarios!$H:$I,2,0),"")</f>
        <v/>
      </c>
      <c r="GI127" s="28" t="str">
        <f>IFERROR(VLOOKUP(GG127,Horarios!$H:$I,2,0),"")</f>
        <v/>
      </c>
      <c r="GJ127" s="28" t="str">
        <f t="shared" si="82"/>
        <v>00:00</v>
      </c>
      <c r="GK127" s="29"/>
      <c r="GL127" s="27"/>
      <c r="GM127" s="27"/>
      <c r="GN127" s="28" t="str">
        <f>IFERROR(VLOOKUP(GL127,Horarios!$H:$I,2,0),"")</f>
        <v/>
      </c>
      <c r="GO127" s="28" t="str">
        <f>IFERROR(VLOOKUP(GM127,Horarios!$H:$I,2,0),"")</f>
        <v/>
      </c>
      <c r="GP127" s="28" t="str">
        <f t="shared" si="83"/>
        <v>00:00</v>
      </c>
      <c r="GQ127" s="29"/>
      <c r="GR127" s="27"/>
      <c r="GS127" s="27"/>
      <c r="GT127" s="28" t="str">
        <f>IFERROR(VLOOKUP(GR127,Horarios!$H:$I,2,0),"")</f>
        <v/>
      </c>
      <c r="GU127" s="28" t="str">
        <f>IFERROR(VLOOKUP(GS127,Horarios!$H:$I,2,0),"")</f>
        <v/>
      </c>
      <c r="GV127" s="28" t="str">
        <f t="shared" si="84"/>
        <v>00:00</v>
      </c>
      <c r="GW127" s="29"/>
      <c r="GX127" s="27"/>
      <c r="GY127" s="27"/>
      <c r="GZ127" s="28" t="str">
        <f>IFERROR(VLOOKUP(GX127,Horarios!$H:$I,2,0),"")</f>
        <v/>
      </c>
      <c r="HA127" s="28" t="str">
        <f>IFERROR(VLOOKUP(GY127,Horarios!$H:$I,2,0),"")</f>
        <v/>
      </c>
      <c r="HB127" s="28" t="str">
        <f t="shared" si="85"/>
        <v>00:00</v>
      </c>
      <c r="HC127" s="29"/>
      <c r="HD127" s="27"/>
      <c r="HE127" s="27"/>
      <c r="HF127" s="28" t="str">
        <f>IFERROR(VLOOKUP(HD127,Horarios!$H:$I,2,0),"")</f>
        <v/>
      </c>
      <c r="HG127" s="28" t="str">
        <f>IFERROR(VLOOKUP(HE127,Horarios!$H:$I,2,0),"")</f>
        <v/>
      </c>
      <c r="HH127" s="28" t="str">
        <f t="shared" si="86"/>
        <v>00:00</v>
      </c>
      <c r="HI127" s="29"/>
      <c r="HJ127" s="31" t="str">
        <f t="shared" si="87"/>
        <v/>
      </c>
      <c r="HK127" s="27"/>
      <c r="HL127" s="27"/>
      <c r="HM127" s="28" t="str">
        <f>IFERROR(VLOOKUP(HK127,Horarios!$H:$I,2,0),"")</f>
        <v/>
      </c>
      <c r="HN127" s="28" t="str">
        <f>IFERROR(VLOOKUP(HL127,Horarios!$H:$I,2,0),"")</f>
        <v/>
      </c>
      <c r="HO127" s="28" t="str">
        <f t="shared" si="88"/>
        <v>00:00</v>
      </c>
      <c r="HP127" s="29"/>
      <c r="HQ127" s="27"/>
      <c r="HR127" s="27"/>
      <c r="HS127" s="28" t="str">
        <f>IFERROR(VLOOKUP(HQ127,Horarios!$H:$I,2,0),"")</f>
        <v/>
      </c>
      <c r="HT127" s="28" t="str">
        <f>IFERROR(VLOOKUP(HR127,Horarios!$H:$I,2,0),"")</f>
        <v/>
      </c>
      <c r="HU127" s="28" t="str">
        <f t="shared" si="89"/>
        <v>00:00</v>
      </c>
      <c r="HV127" s="29"/>
      <c r="HW127" s="27"/>
      <c r="HX127" s="27"/>
      <c r="HY127" s="28" t="str">
        <f>IFERROR(VLOOKUP(HW127,Horarios!$H:$I,2,0),"")</f>
        <v/>
      </c>
      <c r="HZ127" s="28" t="str">
        <f>IFERROR(VLOOKUP(HX127,Horarios!$H:$I,2,0),"")</f>
        <v/>
      </c>
      <c r="IA127" s="28" t="str">
        <f t="shared" si="90"/>
        <v>00:00</v>
      </c>
      <c r="IB127" s="29"/>
      <c r="IC127" s="27"/>
      <c r="ID127" s="27"/>
      <c r="IE127" s="28" t="str">
        <f>IFERROR(VLOOKUP(IC127,Horarios!$H:$I,2,0),"")</f>
        <v/>
      </c>
      <c r="IF127" s="28" t="str">
        <f>IFERROR(VLOOKUP(ID127,Horarios!$H:$I,2,0),"")</f>
        <v/>
      </c>
      <c r="IG127" s="28" t="str">
        <f t="shared" si="91"/>
        <v>00:00</v>
      </c>
      <c r="IH127" s="29"/>
      <c r="II127" s="27"/>
      <c r="IJ127" s="27"/>
      <c r="IK127" s="28" t="str">
        <f>IFERROR(VLOOKUP(II127,Horarios!$H:$I,2,0),"")</f>
        <v/>
      </c>
      <c r="IL127" s="28" t="str">
        <f>IFERROR(VLOOKUP(IJ127,Horarios!$H:$I,2,0),"")</f>
        <v/>
      </c>
      <c r="IM127" s="28" t="str">
        <f t="shared" si="92"/>
        <v>00:00</v>
      </c>
      <c r="IN127" s="29"/>
      <c r="IO127" s="27"/>
      <c r="IP127" s="27"/>
      <c r="IQ127" s="28" t="str">
        <f>IFERROR(VLOOKUP(IO127,Horarios!$H:$I,2,0),"")</f>
        <v/>
      </c>
      <c r="IR127" s="28" t="str">
        <f>IFERROR(VLOOKUP(IP127,Horarios!$H:$I,2,0),"")</f>
        <v/>
      </c>
      <c r="IS127" s="28" t="str">
        <f t="shared" si="93"/>
        <v>00:00</v>
      </c>
      <c r="IT127" s="29"/>
      <c r="IU127" s="27"/>
      <c r="IV127" s="27"/>
      <c r="IW127" s="28" t="str">
        <f>IFERROR(VLOOKUP(IU127,Horarios!$H:$I,2,0),"")</f>
        <v/>
      </c>
      <c r="IX127" s="28" t="str">
        <f>IFERROR(VLOOKUP(IV127,Horarios!$H:$I,2,0),"")</f>
        <v/>
      </c>
      <c r="IY127" s="28" t="str">
        <f t="shared" si="94"/>
        <v>00:00</v>
      </c>
      <c r="IZ127" s="29"/>
      <c r="JA127" s="31" t="str">
        <f t="shared" si="95"/>
        <v/>
      </c>
    </row>
    <row r="128" spans="1:261" s="24" customFormat="1" ht="17.399999999999999" x14ac:dyDescent="0.25">
      <c r="A128" s="25"/>
      <c r="B128" s="26" t="str">
        <f>IFERROR(VLOOKUP(A128,BaseNombres!A:B,2,0),"")</f>
        <v/>
      </c>
      <c r="C128" s="26" t="str">
        <f>IFERROR(VLOOKUP(A128,BaseNombres!A:C,3,0),"")</f>
        <v/>
      </c>
      <c r="D128" s="27"/>
      <c r="E128" s="27"/>
      <c r="F128" s="28" t="str">
        <f>IFERROR(VLOOKUP(D128,Horarios!$H:$I,2,0),"")</f>
        <v/>
      </c>
      <c r="G128" s="28" t="str">
        <f>IFERROR(VLOOKUP(E128,Horarios!$H:$I,2,0),"")</f>
        <v/>
      </c>
      <c r="H128" s="28" t="str">
        <f t="shared" si="48"/>
        <v>00:00</v>
      </c>
      <c r="I128" s="29"/>
      <c r="J128" s="27"/>
      <c r="K128" s="27"/>
      <c r="L128" s="28" t="str">
        <f>IFERROR(VLOOKUP(J128,Horarios!$H:$I,2,0),"")</f>
        <v/>
      </c>
      <c r="M128" s="28" t="str">
        <f>IFERROR(VLOOKUP(K128,Horarios!$H:$I,2,0),"")</f>
        <v/>
      </c>
      <c r="N128" s="28" t="str">
        <f t="shared" si="49"/>
        <v>00:00</v>
      </c>
      <c r="O128" s="29"/>
      <c r="P128" s="27"/>
      <c r="Q128" s="27"/>
      <c r="R128" s="28" t="str">
        <f>IFERROR(VLOOKUP(P128,Horarios!$H:$I,2,0),"")</f>
        <v/>
      </c>
      <c r="S128" s="28" t="str">
        <f>IFERROR(VLOOKUP(Q128,Horarios!$H:$I,2,0),"")</f>
        <v/>
      </c>
      <c r="T128" s="28" t="str">
        <f t="shared" si="50"/>
        <v>00:00</v>
      </c>
      <c r="U128" s="29"/>
      <c r="V128" s="27"/>
      <c r="W128" s="27"/>
      <c r="X128" s="28" t="str">
        <f>IFERROR(VLOOKUP(V128,Horarios!$H:$I,2,0),"")</f>
        <v/>
      </c>
      <c r="Y128" s="28" t="str">
        <f>IFERROR(VLOOKUP(W128,Horarios!$H:$I,2,0),"")</f>
        <v/>
      </c>
      <c r="Z128" s="28" t="str">
        <f t="shared" si="51"/>
        <v>00:00</v>
      </c>
      <c r="AA128" s="29"/>
      <c r="AB128" s="27"/>
      <c r="AC128" s="27"/>
      <c r="AD128" s="28" t="str">
        <f>IFERROR(VLOOKUP(AB128,Horarios!$H:$I,2,0),"")</f>
        <v/>
      </c>
      <c r="AE128" s="28" t="str">
        <f>IFERROR(VLOOKUP(AC128,Horarios!$H:$I,2,0),"")</f>
        <v/>
      </c>
      <c r="AF128" s="28" t="str">
        <f t="shared" si="52"/>
        <v>00:00</v>
      </c>
      <c r="AG128" s="29"/>
      <c r="AH128" s="27"/>
      <c r="AI128" s="27"/>
      <c r="AJ128" s="28" t="str">
        <f>IFERROR(VLOOKUP(AH128,Horarios!$H:$I,2,0),"")</f>
        <v/>
      </c>
      <c r="AK128" s="28" t="str">
        <f>IFERROR(VLOOKUP(AI128,Horarios!$H:$I,2,0),"")</f>
        <v/>
      </c>
      <c r="AL128" s="28" t="str">
        <f t="shared" si="53"/>
        <v>00:00</v>
      </c>
      <c r="AM128" s="29"/>
      <c r="AN128" s="27"/>
      <c r="AO128" s="27"/>
      <c r="AP128" s="28" t="str">
        <f>IFERROR(VLOOKUP(AN128,Horarios!$H:$I,2,0),"")</f>
        <v/>
      </c>
      <c r="AQ128" s="28" t="str">
        <f>IFERROR(VLOOKUP(AO128,Horarios!$H:$I,2,0),"")</f>
        <v/>
      </c>
      <c r="AR128" s="28" t="str">
        <f t="shared" si="54"/>
        <v>00:00</v>
      </c>
      <c r="AS128" s="29"/>
      <c r="AT128" s="31" t="str">
        <f t="shared" si="55"/>
        <v/>
      </c>
      <c r="AU128" s="27"/>
      <c r="AV128" s="27"/>
      <c r="AW128" s="28" t="str">
        <f>IFERROR(VLOOKUP(AU128,Horarios!$H:$I,2,0),"")</f>
        <v/>
      </c>
      <c r="AX128" s="28" t="str">
        <f>IFERROR(VLOOKUP(AV128,Horarios!$H:$I,2,0),"")</f>
        <v/>
      </c>
      <c r="AY128" s="28" t="str">
        <f t="shared" si="56"/>
        <v>00:00</v>
      </c>
      <c r="AZ128" s="29"/>
      <c r="BA128" s="27"/>
      <c r="BB128" s="27"/>
      <c r="BC128" s="28" t="str">
        <f>IFERROR(VLOOKUP(BA128,Horarios!$H:$I,2,0),"")</f>
        <v/>
      </c>
      <c r="BD128" s="28" t="str">
        <f>IFERROR(VLOOKUP(BB128,Horarios!$H:$I,2,0),"")</f>
        <v/>
      </c>
      <c r="BE128" s="28" t="str">
        <f t="shared" si="57"/>
        <v>00:00</v>
      </c>
      <c r="BF128" s="29"/>
      <c r="BG128" s="27"/>
      <c r="BH128" s="27"/>
      <c r="BI128" s="28" t="str">
        <f>IFERROR(VLOOKUP(BG128,Horarios!$H:$I,2,0),"")</f>
        <v/>
      </c>
      <c r="BJ128" s="28" t="str">
        <f>IFERROR(VLOOKUP(BH128,Horarios!$H:$I,2,0),"")</f>
        <v/>
      </c>
      <c r="BK128" s="28" t="str">
        <f t="shared" si="58"/>
        <v>00:00</v>
      </c>
      <c r="BL128" s="29"/>
      <c r="BM128" s="27"/>
      <c r="BN128" s="27"/>
      <c r="BO128" s="28" t="str">
        <f>IFERROR(VLOOKUP(BM128,Horarios!$H:$I,2,0),"")</f>
        <v/>
      </c>
      <c r="BP128" s="28" t="str">
        <f>IFERROR(VLOOKUP(BN128,Horarios!$H:$I,2,0),"")</f>
        <v/>
      </c>
      <c r="BQ128" s="28" t="str">
        <f t="shared" si="59"/>
        <v>00:00</v>
      </c>
      <c r="BR128" s="29"/>
      <c r="BS128" s="27"/>
      <c r="BT128" s="27"/>
      <c r="BU128" s="28" t="str">
        <f>IFERROR(VLOOKUP(BS128,Horarios!$H:$I,2,0),"")</f>
        <v/>
      </c>
      <c r="BV128" s="28" t="str">
        <f>IFERROR(VLOOKUP(BT128,Horarios!$H:$I,2,0),"")</f>
        <v/>
      </c>
      <c r="BW128" s="28" t="str">
        <f t="shared" si="60"/>
        <v>00:00</v>
      </c>
      <c r="BX128" s="29"/>
      <c r="BY128" s="27"/>
      <c r="BZ128" s="27"/>
      <c r="CA128" s="28" t="str">
        <f>IFERROR(VLOOKUP(BY128,Horarios!$H:$I,2,0),"")</f>
        <v/>
      </c>
      <c r="CB128" s="28" t="str">
        <f>IFERROR(VLOOKUP(BZ128,Horarios!$H:$I,2,0),"")</f>
        <v/>
      </c>
      <c r="CC128" s="28" t="str">
        <f t="shared" si="61"/>
        <v>00:00</v>
      </c>
      <c r="CD128" s="29"/>
      <c r="CE128" s="27"/>
      <c r="CF128" s="27"/>
      <c r="CG128" s="28" t="str">
        <f>IFERROR(VLOOKUP(CE128,Horarios!$H:$I,2,0),"")</f>
        <v/>
      </c>
      <c r="CH128" s="28" t="str">
        <f>IFERROR(VLOOKUP(CF128,Horarios!$H:$I,2,0),"")</f>
        <v/>
      </c>
      <c r="CI128" s="28" t="str">
        <f t="shared" si="62"/>
        <v>00:00</v>
      </c>
      <c r="CJ128" s="29"/>
      <c r="CK128" s="31" t="str">
        <f t="shared" si="63"/>
        <v/>
      </c>
      <c r="CL128" s="27"/>
      <c r="CM128" s="27"/>
      <c r="CN128" s="28" t="str">
        <f>IFERROR(VLOOKUP(CL128,Horarios!$H:$I,2,0),"")</f>
        <v/>
      </c>
      <c r="CO128" s="28" t="str">
        <f>IFERROR(VLOOKUP(CM128,Horarios!$H:$I,2,0),"")</f>
        <v/>
      </c>
      <c r="CP128" s="28" t="str">
        <f t="shared" si="64"/>
        <v>00:00</v>
      </c>
      <c r="CQ128" s="29"/>
      <c r="CR128" s="27"/>
      <c r="CS128" s="27"/>
      <c r="CT128" s="28" t="str">
        <f>IFERROR(VLOOKUP(CR128,Horarios!$H:$I,2,0),"")</f>
        <v/>
      </c>
      <c r="CU128" s="28" t="str">
        <f>IFERROR(VLOOKUP(CS128,Horarios!$H:$I,2,0),"")</f>
        <v/>
      </c>
      <c r="CV128" s="28" t="str">
        <f t="shared" si="65"/>
        <v>00:00</v>
      </c>
      <c r="CW128" s="29"/>
      <c r="CX128" s="27"/>
      <c r="CY128" s="27"/>
      <c r="CZ128" s="28" t="str">
        <f>IFERROR(VLOOKUP(CX128,Horarios!$H:$I,2,0),"")</f>
        <v/>
      </c>
      <c r="DA128" s="28" t="str">
        <f>IFERROR(VLOOKUP(CY128,Horarios!$H:$I,2,0),"")</f>
        <v/>
      </c>
      <c r="DB128" s="28" t="str">
        <f t="shared" si="66"/>
        <v>00:00</v>
      </c>
      <c r="DC128" s="29"/>
      <c r="DD128" s="27"/>
      <c r="DE128" s="27"/>
      <c r="DF128" s="28" t="str">
        <f>IFERROR(VLOOKUP(DD128,Horarios!$H:$I,2,0),"")</f>
        <v/>
      </c>
      <c r="DG128" s="28" t="str">
        <f>IFERROR(VLOOKUP(DE128,Horarios!$H:$I,2,0),"")</f>
        <v/>
      </c>
      <c r="DH128" s="28" t="str">
        <f t="shared" si="67"/>
        <v>00:00</v>
      </c>
      <c r="DI128" s="29"/>
      <c r="DJ128" s="27"/>
      <c r="DK128" s="27"/>
      <c r="DL128" s="28" t="str">
        <f>IFERROR(VLOOKUP(DJ128,Horarios!$H:$I,2,0),"")</f>
        <v/>
      </c>
      <c r="DM128" s="28" t="str">
        <f>IFERROR(VLOOKUP(DK128,Horarios!$H:$I,2,0),"")</f>
        <v/>
      </c>
      <c r="DN128" s="28" t="str">
        <f t="shared" si="68"/>
        <v>00:00</v>
      </c>
      <c r="DO128" s="29"/>
      <c r="DP128" s="27"/>
      <c r="DQ128" s="27"/>
      <c r="DR128" s="28" t="str">
        <f>IFERROR(VLOOKUP(DP128,Horarios!$H:$I,2,0),"")</f>
        <v/>
      </c>
      <c r="DS128" s="28" t="str">
        <f>IFERROR(VLOOKUP(DQ128,Horarios!$H:$I,2,0),"")</f>
        <v/>
      </c>
      <c r="DT128" s="28" t="str">
        <f t="shared" si="69"/>
        <v>00:00</v>
      </c>
      <c r="DU128" s="29"/>
      <c r="DV128" s="27"/>
      <c r="DW128" s="27"/>
      <c r="DX128" s="28" t="str">
        <f>IFERROR(VLOOKUP(DV128,Horarios!$H:$I,2,0),"")</f>
        <v/>
      </c>
      <c r="DY128" s="28" t="str">
        <f>IFERROR(VLOOKUP(DW128,Horarios!$H:$I,2,0),"")</f>
        <v/>
      </c>
      <c r="DZ128" s="28" t="str">
        <f t="shared" si="70"/>
        <v>00:00</v>
      </c>
      <c r="EA128" s="29"/>
      <c r="EB128" s="31" t="str">
        <f t="shared" si="71"/>
        <v/>
      </c>
      <c r="EC128" s="27"/>
      <c r="ED128" s="27"/>
      <c r="EE128" s="28" t="str">
        <f>IFERROR(VLOOKUP(EC128,Horarios!$H:$I,2,0),"")</f>
        <v/>
      </c>
      <c r="EF128" s="28" t="str">
        <f>IFERROR(VLOOKUP(ED128,Horarios!$H:$I,2,0),"")</f>
        <v/>
      </c>
      <c r="EG128" s="28" t="str">
        <f t="shared" si="72"/>
        <v>00:00</v>
      </c>
      <c r="EH128" s="29"/>
      <c r="EI128" s="27"/>
      <c r="EJ128" s="27"/>
      <c r="EK128" s="28" t="str">
        <f>IFERROR(VLOOKUP(EI128,Horarios!$H:$I,2,0),"")</f>
        <v/>
      </c>
      <c r="EL128" s="28" t="str">
        <f>IFERROR(VLOOKUP(EJ128,Horarios!$H:$I,2,0),"")</f>
        <v/>
      </c>
      <c r="EM128" s="28" t="str">
        <f t="shared" si="73"/>
        <v>00:00</v>
      </c>
      <c r="EN128" s="29"/>
      <c r="EO128" s="27"/>
      <c r="EP128" s="27"/>
      <c r="EQ128" s="28" t="str">
        <f>IFERROR(VLOOKUP(EO128,Horarios!$H:$I,2,0),"")</f>
        <v/>
      </c>
      <c r="ER128" s="28" t="str">
        <f>IFERROR(VLOOKUP(EP128,Horarios!$H:$I,2,0),"")</f>
        <v/>
      </c>
      <c r="ES128" s="28" t="str">
        <f t="shared" si="74"/>
        <v>00:00</v>
      </c>
      <c r="ET128" s="29"/>
      <c r="EU128" s="27"/>
      <c r="EV128" s="27"/>
      <c r="EW128" s="28" t="str">
        <f>IFERROR(VLOOKUP(EU128,Horarios!$H:$I,2,0),"")</f>
        <v/>
      </c>
      <c r="EX128" s="28" t="str">
        <f>IFERROR(VLOOKUP(EV128,Horarios!$H:$I,2,0),"")</f>
        <v/>
      </c>
      <c r="EY128" s="28" t="str">
        <f t="shared" si="75"/>
        <v>00:00</v>
      </c>
      <c r="EZ128" s="29"/>
      <c r="FA128" s="27"/>
      <c r="FB128" s="27"/>
      <c r="FC128" s="28" t="str">
        <f>IFERROR(VLOOKUP(FA128,Horarios!$H:$I,2,0),"")</f>
        <v/>
      </c>
      <c r="FD128" s="28" t="str">
        <f>IFERROR(VLOOKUP(FB128,Horarios!$H:$I,2,0),"")</f>
        <v/>
      </c>
      <c r="FE128" s="28" t="str">
        <f t="shared" si="76"/>
        <v>00:00</v>
      </c>
      <c r="FF128" s="29"/>
      <c r="FG128" s="27"/>
      <c r="FH128" s="27"/>
      <c r="FI128" s="28" t="str">
        <f>IFERROR(VLOOKUP(FG128,Horarios!$H:$I,2,0),"")</f>
        <v/>
      </c>
      <c r="FJ128" s="28" t="str">
        <f>IFERROR(VLOOKUP(FH128,Horarios!$H:$I,2,0),"")</f>
        <v/>
      </c>
      <c r="FK128" s="28" t="str">
        <f t="shared" si="77"/>
        <v>00:00</v>
      </c>
      <c r="FL128" s="29"/>
      <c r="FM128" s="27"/>
      <c r="FN128" s="27"/>
      <c r="FO128" s="28" t="str">
        <f>IFERROR(VLOOKUP(FM128,Horarios!$H:$I,2,0),"")</f>
        <v/>
      </c>
      <c r="FP128" s="28" t="str">
        <f>IFERROR(VLOOKUP(FN128,Horarios!$H:$I,2,0),"")</f>
        <v/>
      </c>
      <c r="FQ128" s="28" t="str">
        <f t="shared" si="78"/>
        <v>00:00</v>
      </c>
      <c r="FR128" s="29"/>
      <c r="FS128" s="31" t="str">
        <f t="shared" si="79"/>
        <v/>
      </c>
      <c r="FT128" s="27"/>
      <c r="FU128" s="27"/>
      <c r="FV128" s="28" t="str">
        <f>IFERROR(VLOOKUP(FT128,Horarios!$H:$I,2,0),"")</f>
        <v/>
      </c>
      <c r="FW128" s="28" t="str">
        <f>IFERROR(VLOOKUP(FU128,Horarios!$H:$I,2,0),"")</f>
        <v/>
      </c>
      <c r="FX128" s="28" t="str">
        <f t="shared" si="80"/>
        <v>00:00</v>
      </c>
      <c r="FY128" s="29"/>
      <c r="FZ128" s="27"/>
      <c r="GA128" s="27"/>
      <c r="GB128" s="28" t="str">
        <f>IFERROR(VLOOKUP(FZ128,Horarios!$H:$I,2,0),"")</f>
        <v/>
      </c>
      <c r="GC128" s="28" t="str">
        <f>IFERROR(VLOOKUP(GA128,Horarios!$H:$I,2,0),"")</f>
        <v/>
      </c>
      <c r="GD128" s="28" t="str">
        <f t="shared" si="81"/>
        <v>00:00</v>
      </c>
      <c r="GE128" s="29"/>
      <c r="GF128" s="27"/>
      <c r="GG128" s="27"/>
      <c r="GH128" s="28" t="str">
        <f>IFERROR(VLOOKUP(GF128,Horarios!$H:$I,2,0),"")</f>
        <v/>
      </c>
      <c r="GI128" s="28" t="str">
        <f>IFERROR(VLOOKUP(GG128,Horarios!$H:$I,2,0),"")</f>
        <v/>
      </c>
      <c r="GJ128" s="28" t="str">
        <f t="shared" si="82"/>
        <v>00:00</v>
      </c>
      <c r="GK128" s="29"/>
      <c r="GL128" s="27"/>
      <c r="GM128" s="27"/>
      <c r="GN128" s="28" t="str">
        <f>IFERROR(VLOOKUP(GL128,Horarios!$H:$I,2,0),"")</f>
        <v/>
      </c>
      <c r="GO128" s="28" t="str">
        <f>IFERROR(VLOOKUP(GM128,Horarios!$H:$I,2,0),"")</f>
        <v/>
      </c>
      <c r="GP128" s="28" t="str">
        <f t="shared" si="83"/>
        <v>00:00</v>
      </c>
      <c r="GQ128" s="29"/>
      <c r="GR128" s="27"/>
      <c r="GS128" s="27"/>
      <c r="GT128" s="28" t="str">
        <f>IFERROR(VLOOKUP(GR128,Horarios!$H:$I,2,0),"")</f>
        <v/>
      </c>
      <c r="GU128" s="28" t="str">
        <f>IFERROR(VLOOKUP(GS128,Horarios!$H:$I,2,0),"")</f>
        <v/>
      </c>
      <c r="GV128" s="28" t="str">
        <f t="shared" si="84"/>
        <v>00:00</v>
      </c>
      <c r="GW128" s="29"/>
      <c r="GX128" s="27"/>
      <c r="GY128" s="27"/>
      <c r="GZ128" s="28" t="str">
        <f>IFERROR(VLOOKUP(GX128,Horarios!$H:$I,2,0),"")</f>
        <v/>
      </c>
      <c r="HA128" s="28" t="str">
        <f>IFERROR(VLOOKUP(GY128,Horarios!$H:$I,2,0),"")</f>
        <v/>
      </c>
      <c r="HB128" s="28" t="str">
        <f t="shared" si="85"/>
        <v>00:00</v>
      </c>
      <c r="HC128" s="29"/>
      <c r="HD128" s="27"/>
      <c r="HE128" s="27"/>
      <c r="HF128" s="28" t="str">
        <f>IFERROR(VLOOKUP(HD128,Horarios!$H:$I,2,0),"")</f>
        <v/>
      </c>
      <c r="HG128" s="28" t="str">
        <f>IFERROR(VLOOKUP(HE128,Horarios!$H:$I,2,0),"")</f>
        <v/>
      </c>
      <c r="HH128" s="28" t="str">
        <f t="shared" si="86"/>
        <v>00:00</v>
      </c>
      <c r="HI128" s="29"/>
      <c r="HJ128" s="31" t="str">
        <f t="shared" si="87"/>
        <v/>
      </c>
      <c r="HK128" s="27"/>
      <c r="HL128" s="27"/>
      <c r="HM128" s="28" t="str">
        <f>IFERROR(VLOOKUP(HK128,Horarios!$H:$I,2,0),"")</f>
        <v/>
      </c>
      <c r="HN128" s="28" t="str">
        <f>IFERROR(VLOOKUP(HL128,Horarios!$H:$I,2,0),"")</f>
        <v/>
      </c>
      <c r="HO128" s="28" t="str">
        <f t="shared" si="88"/>
        <v>00:00</v>
      </c>
      <c r="HP128" s="29"/>
      <c r="HQ128" s="27"/>
      <c r="HR128" s="27"/>
      <c r="HS128" s="28" t="str">
        <f>IFERROR(VLOOKUP(HQ128,Horarios!$H:$I,2,0),"")</f>
        <v/>
      </c>
      <c r="HT128" s="28" t="str">
        <f>IFERROR(VLOOKUP(HR128,Horarios!$H:$I,2,0),"")</f>
        <v/>
      </c>
      <c r="HU128" s="28" t="str">
        <f t="shared" si="89"/>
        <v>00:00</v>
      </c>
      <c r="HV128" s="29"/>
      <c r="HW128" s="27"/>
      <c r="HX128" s="27"/>
      <c r="HY128" s="28" t="str">
        <f>IFERROR(VLOOKUP(HW128,Horarios!$H:$I,2,0),"")</f>
        <v/>
      </c>
      <c r="HZ128" s="28" t="str">
        <f>IFERROR(VLOOKUP(HX128,Horarios!$H:$I,2,0),"")</f>
        <v/>
      </c>
      <c r="IA128" s="28" t="str">
        <f t="shared" si="90"/>
        <v>00:00</v>
      </c>
      <c r="IB128" s="29"/>
      <c r="IC128" s="27"/>
      <c r="ID128" s="27"/>
      <c r="IE128" s="28" t="str">
        <f>IFERROR(VLOOKUP(IC128,Horarios!$H:$I,2,0),"")</f>
        <v/>
      </c>
      <c r="IF128" s="28" t="str">
        <f>IFERROR(VLOOKUP(ID128,Horarios!$H:$I,2,0),"")</f>
        <v/>
      </c>
      <c r="IG128" s="28" t="str">
        <f t="shared" si="91"/>
        <v>00:00</v>
      </c>
      <c r="IH128" s="29"/>
      <c r="II128" s="27"/>
      <c r="IJ128" s="27"/>
      <c r="IK128" s="28" t="str">
        <f>IFERROR(VLOOKUP(II128,Horarios!$H:$I,2,0),"")</f>
        <v/>
      </c>
      <c r="IL128" s="28" t="str">
        <f>IFERROR(VLOOKUP(IJ128,Horarios!$H:$I,2,0),"")</f>
        <v/>
      </c>
      <c r="IM128" s="28" t="str">
        <f t="shared" si="92"/>
        <v>00:00</v>
      </c>
      <c r="IN128" s="29"/>
      <c r="IO128" s="27"/>
      <c r="IP128" s="27"/>
      <c r="IQ128" s="28" t="str">
        <f>IFERROR(VLOOKUP(IO128,Horarios!$H:$I,2,0),"")</f>
        <v/>
      </c>
      <c r="IR128" s="28" t="str">
        <f>IFERROR(VLOOKUP(IP128,Horarios!$H:$I,2,0),"")</f>
        <v/>
      </c>
      <c r="IS128" s="28" t="str">
        <f t="shared" si="93"/>
        <v>00:00</v>
      </c>
      <c r="IT128" s="29"/>
      <c r="IU128" s="27"/>
      <c r="IV128" s="27"/>
      <c r="IW128" s="28" t="str">
        <f>IFERROR(VLOOKUP(IU128,Horarios!$H:$I,2,0),"")</f>
        <v/>
      </c>
      <c r="IX128" s="28" t="str">
        <f>IFERROR(VLOOKUP(IV128,Horarios!$H:$I,2,0),"")</f>
        <v/>
      </c>
      <c r="IY128" s="28" t="str">
        <f t="shared" si="94"/>
        <v>00:00</v>
      </c>
      <c r="IZ128" s="29"/>
      <c r="JA128" s="31" t="str">
        <f t="shared" si="95"/>
        <v/>
      </c>
    </row>
    <row r="129" spans="1:261" s="24" customFormat="1" ht="17.399999999999999" x14ac:dyDescent="0.25">
      <c r="A129" s="25"/>
      <c r="B129" s="26" t="str">
        <f>IFERROR(VLOOKUP(A129,BaseNombres!A:B,2,0),"")</f>
        <v/>
      </c>
      <c r="C129" s="26" t="str">
        <f>IFERROR(VLOOKUP(A129,BaseNombres!A:C,3,0),"")</f>
        <v/>
      </c>
      <c r="D129" s="27"/>
      <c r="E129" s="27"/>
      <c r="F129" s="28" t="str">
        <f>IFERROR(VLOOKUP(D129,Horarios!$H:$I,2,0),"")</f>
        <v/>
      </c>
      <c r="G129" s="28" t="str">
        <f>IFERROR(VLOOKUP(E129,Horarios!$H:$I,2,0),"")</f>
        <v/>
      </c>
      <c r="H129" s="28" t="str">
        <f t="shared" si="48"/>
        <v>00:00</v>
      </c>
      <c r="I129" s="29"/>
      <c r="J129" s="27"/>
      <c r="K129" s="27"/>
      <c r="L129" s="28" t="str">
        <f>IFERROR(VLOOKUP(J129,Horarios!$H:$I,2,0),"")</f>
        <v/>
      </c>
      <c r="M129" s="28" t="str">
        <f>IFERROR(VLOOKUP(K129,Horarios!$H:$I,2,0),"")</f>
        <v/>
      </c>
      <c r="N129" s="28" t="str">
        <f t="shared" si="49"/>
        <v>00:00</v>
      </c>
      <c r="O129" s="29"/>
      <c r="P129" s="27"/>
      <c r="Q129" s="27"/>
      <c r="R129" s="28" t="str">
        <f>IFERROR(VLOOKUP(P129,Horarios!$H:$I,2,0),"")</f>
        <v/>
      </c>
      <c r="S129" s="28" t="str">
        <f>IFERROR(VLOOKUP(Q129,Horarios!$H:$I,2,0),"")</f>
        <v/>
      </c>
      <c r="T129" s="28" t="str">
        <f t="shared" si="50"/>
        <v>00:00</v>
      </c>
      <c r="U129" s="29"/>
      <c r="V129" s="27"/>
      <c r="W129" s="27"/>
      <c r="X129" s="28" t="str">
        <f>IFERROR(VLOOKUP(V129,Horarios!$H:$I,2,0),"")</f>
        <v/>
      </c>
      <c r="Y129" s="28" t="str">
        <f>IFERROR(VLOOKUP(W129,Horarios!$H:$I,2,0),"")</f>
        <v/>
      </c>
      <c r="Z129" s="28" t="str">
        <f t="shared" si="51"/>
        <v>00:00</v>
      </c>
      <c r="AA129" s="29"/>
      <c r="AB129" s="27"/>
      <c r="AC129" s="27"/>
      <c r="AD129" s="28" t="str">
        <f>IFERROR(VLOOKUP(AB129,Horarios!$H:$I,2,0),"")</f>
        <v/>
      </c>
      <c r="AE129" s="28" t="str">
        <f>IFERROR(VLOOKUP(AC129,Horarios!$H:$I,2,0),"")</f>
        <v/>
      </c>
      <c r="AF129" s="28" t="str">
        <f t="shared" si="52"/>
        <v>00:00</v>
      </c>
      <c r="AG129" s="29"/>
      <c r="AH129" s="27"/>
      <c r="AI129" s="27"/>
      <c r="AJ129" s="28" t="str">
        <f>IFERROR(VLOOKUP(AH129,Horarios!$H:$I,2,0),"")</f>
        <v/>
      </c>
      <c r="AK129" s="28" t="str">
        <f>IFERROR(VLOOKUP(AI129,Horarios!$H:$I,2,0),"")</f>
        <v/>
      </c>
      <c r="AL129" s="28" t="str">
        <f t="shared" si="53"/>
        <v>00:00</v>
      </c>
      <c r="AM129" s="29"/>
      <c r="AN129" s="27"/>
      <c r="AO129" s="27"/>
      <c r="AP129" s="28" t="str">
        <f>IFERROR(VLOOKUP(AN129,Horarios!$H:$I,2,0),"")</f>
        <v/>
      </c>
      <c r="AQ129" s="28" t="str">
        <f>IFERROR(VLOOKUP(AO129,Horarios!$H:$I,2,0),"")</f>
        <v/>
      </c>
      <c r="AR129" s="28" t="str">
        <f t="shared" si="54"/>
        <v>00:00</v>
      </c>
      <c r="AS129" s="29"/>
      <c r="AT129" s="31" t="str">
        <f t="shared" si="55"/>
        <v/>
      </c>
      <c r="AU129" s="27"/>
      <c r="AV129" s="27"/>
      <c r="AW129" s="28" t="str">
        <f>IFERROR(VLOOKUP(AU129,Horarios!$H:$I,2,0),"")</f>
        <v/>
      </c>
      <c r="AX129" s="28" t="str">
        <f>IFERROR(VLOOKUP(AV129,Horarios!$H:$I,2,0),"")</f>
        <v/>
      </c>
      <c r="AY129" s="28" t="str">
        <f t="shared" si="56"/>
        <v>00:00</v>
      </c>
      <c r="AZ129" s="29"/>
      <c r="BA129" s="27"/>
      <c r="BB129" s="27"/>
      <c r="BC129" s="28" t="str">
        <f>IFERROR(VLOOKUP(BA129,Horarios!$H:$I,2,0),"")</f>
        <v/>
      </c>
      <c r="BD129" s="28" t="str">
        <f>IFERROR(VLOOKUP(BB129,Horarios!$H:$I,2,0),"")</f>
        <v/>
      </c>
      <c r="BE129" s="28" t="str">
        <f t="shared" si="57"/>
        <v>00:00</v>
      </c>
      <c r="BF129" s="29"/>
      <c r="BG129" s="27"/>
      <c r="BH129" s="27"/>
      <c r="BI129" s="28" t="str">
        <f>IFERROR(VLOOKUP(BG129,Horarios!$H:$I,2,0),"")</f>
        <v/>
      </c>
      <c r="BJ129" s="28" t="str">
        <f>IFERROR(VLOOKUP(BH129,Horarios!$H:$I,2,0),"")</f>
        <v/>
      </c>
      <c r="BK129" s="28" t="str">
        <f t="shared" si="58"/>
        <v>00:00</v>
      </c>
      <c r="BL129" s="29"/>
      <c r="BM129" s="27"/>
      <c r="BN129" s="27"/>
      <c r="BO129" s="28" t="str">
        <f>IFERROR(VLOOKUP(BM129,Horarios!$H:$I,2,0),"")</f>
        <v/>
      </c>
      <c r="BP129" s="28" t="str">
        <f>IFERROR(VLOOKUP(BN129,Horarios!$H:$I,2,0),"")</f>
        <v/>
      </c>
      <c r="BQ129" s="28" t="str">
        <f t="shared" si="59"/>
        <v>00:00</v>
      </c>
      <c r="BR129" s="29"/>
      <c r="BS129" s="27"/>
      <c r="BT129" s="27"/>
      <c r="BU129" s="28" t="str">
        <f>IFERROR(VLOOKUP(BS129,Horarios!$H:$I,2,0),"")</f>
        <v/>
      </c>
      <c r="BV129" s="28" t="str">
        <f>IFERROR(VLOOKUP(BT129,Horarios!$H:$I,2,0),"")</f>
        <v/>
      </c>
      <c r="BW129" s="28" t="str">
        <f t="shared" si="60"/>
        <v>00:00</v>
      </c>
      <c r="BX129" s="29"/>
      <c r="BY129" s="27"/>
      <c r="BZ129" s="27"/>
      <c r="CA129" s="28" t="str">
        <f>IFERROR(VLOOKUP(BY129,Horarios!$H:$I,2,0),"")</f>
        <v/>
      </c>
      <c r="CB129" s="28" t="str">
        <f>IFERROR(VLOOKUP(BZ129,Horarios!$H:$I,2,0),"")</f>
        <v/>
      </c>
      <c r="CC129" s="28" t="str">
        <f t="shared" si="61"/>
        <v>00:00</v>
      </c>
      <c r="CD129" s="29"/>
      <c r="CE129" s="27"/>
      <c r="CF129" s="27"/>
      <c r="CG129" s="28" t="str">
        <f>IFERROR(VLOOKUP(CE129,Horarios!$H:$I,2,0),"")</f>
        <v/>
      </c>
      <c r="CH129" s="28" t="str">
        <f>IFERROR(VLOOKUP(CF129,Horarios!$H:$I,2,0),"")</f>
        <v/>
      </c>
      <c r="CI129" s="28" t="str">
        <f t="shared" si="62"/>
        <v>00:00</v>
      </c>
      <c r="CJ129" s="29"/>
      <c r="CK129" s="31" t="str">
        <f t="shared" si="63"/>
        <v/>
      </c>
      <c r="CL129" s="27"/>
      <c r="CM129" s="27"/>
      <c r="CN129" s="28" t="str">
        <f>IFERROR(VLOOKUP(CL129,Horarios!$H:$I,2,0),"")</f>
        <v/>
      </c>
      <c r="CO129" s="28" t="str">
        <f>IFERROR(VLOOKUP(CM129,Horarios!$H:$I,2,0),"")</f>
        <v/>
      </c>
      <c r="CP129" s="28" t="str">
        <f t="shared" si="64"/>
        <v>00:00</v>
      </c>
      <c r="CQ129" s="29"/>
      <c r="CR129" s="27"/>
      <c r="CS129" s="27"/>
      <c r="CT129" s="28" t="str">
        <f>IFERROR(VLOOKUP(CR129,Horarios!$H:$I,2,0),"")</f>
        <v/>
      </c>
      <c r="CU129" s="28" t="str">
        <f>IFERROR(VLOOKUP(CS129,Horarios!$H:$I,2,0),"")</f>
        <v/>
      </c>
      <c r="CV129" s="28" t="str">
        <f t="shared" si="65"/>
        <v>00:00</v>
      </c>
      <c r="CW129" s="29"/>
      <c r="CX129" s="27"/>
      <c r="CY129" s="27"/>
      <c r="CZ129" s="28" t="str">
        <f>IFERROR(VLOOKUP(CX129,Horarios!$H:$I,2,0),"")</f>
        <v/>
      </c>
      <c r="DA129" s="28" t="str">
        <f>IFERROR(VLOOKUP(CY129,Horarios!$H:$I,2,0),"")</f>
        <v/>
      </c>
      <c r="DB129" s="28" t="str">
        <f t="shared" si="66"/>
        <v>00:00</v>
      </c>
      <c r="DC129" s="29"/>
      <c r="DD129" s="27"/>
      <c r="DE129" s="27"/>
      <c r="DF129" s="28" t="str">
        <f>IFERROR(VLOOKUP(DD129,Horarios!$H:$I,2,0),"")</f>
        <v/>
      </c>
      <c r="DG129" s="28" t="str">
        <f>IFERROR(VLOOKUP(DE129,Horarios!$H:$I,2,0),"")</f>
        <v/>
      </c>
      <c r="DH129" s="28" t="str">
        <f t="shared" si="67"/>
        <v>00:00</v>
      </c>
      <c r="DI129" s="29"/>
      <c r="DJ129" s="27"/>
      <c r="DK129" s="27"/>
      <c r="DL129" s="28" t="str">
        <f>IFERROR(VLOOKUP(DJ129,Horarios!$H:$I,2,0),"")</f>
        <v/>
      </c>
      <c r="DM129" s="28" t="str">
        <f>IFERROR(VLOOKUP(DK129,Horarios!$H:$I,2,0),"")</f>
        <v/>
      </c>
      <c r="DN129" s="28" t="str">
        <f t="shared" si="68"/>
        <v>00:00</v>
      </c>
      <c r="DO129" s="29"/>
      <c r="DP129" s="27"/>
      <c r="DQ129" s="27"/>
      <c r="DR129" s="28" t="str">
        <f>IFERROR(VLOOKUP(DP129,Horarios!$H:$I,2,0),"")</f>
        <v/>
      </c>
      <c r="DS129" s="28" t="str">
        <f>IFERROR(VLOOKUP(DQ129,Horarios!$H:$I,2,0),"")</f>
        <v/>
      </c>
      <c r="DT129" s="28" t="str">
        <f t="shared" si="69"/>
        <v>00:00</v>
      </c>
      <c r="DU129" s="29"/>
      <c r="DV129" s="27"/>
      <c r="DW129" s="27"/>
      <c r="DX129" s="28" t="str">
        <f>IFERROR(VLOOKUP(DV129,Horarios!$H:$I,2,0),"")</f>
        <v/>
      </c>
      <c r="DY129" s="28" t="str">
        <f>IFERROR(VLOOKUP(DW129,Horarios!$H:$I,2,0),"")</f>
        <v/>
      </c>
      <c r="DZ129" s="28" t="str">
        <f t="shared" si="70"/>
        <v>00:00</v>
      </c>
      <c r="EA129" s="29"/>
      <c r="EB129" s="31" t="str">
        <f t="shared" si="71"/>
        <v/>
      </c>
      <c r="EC129" s="27"/>
      <c r="ED129" s="27"/>
      <c r="EE129" s="28" t="str">
        <f>IFERROR(VLOOKUP(EC129,Horarios!$H:$I,2,0),"")</f>
        <v/>
      </c>
      <c r="EF129" s="28" t="str">
        <f>IFERROR(VLOOKUP(ED129,Horarios!$H:$I,2,0),"")</f>
        <v/>
      </c>
      <c r="EG129" s="28" t="str">
        <f t="shared" si="72"/>
        <v>00:00</v>
      </c>
      <c r="EH129" s="29"/>
      <c r="EI129" s="27"/>
      <c r="EJ129" s="27"/>
      <c r="EK129" s="28" t="str">
        <f>IFERROR(VLOOKUP(EI129,Horarios!$H:$I,2,0),"")</f>
        <v/>
      </c>
      <c r="EL129" s="28" t="str">
        <f>IFERROR(VLOOKUP(EJ129,Horarios!$H:$I,2,0),"")</f>
        <v/>
      </c>
      <c r="EM129" s="28" t="str">
        <f t="shared" si="73"/>
        <v>00:00</v>
      </c>
      <c r="EN129" s="29"/>
      <c r="EO129" s="27"/>
      <c r="EP129" s="27"/>
      <c r="EQ129" s="28" t="str">
        <f>IFERROR(VLOOKUP(EO129,Horarios!$H:$I,2,0),"")</f>
        <v/>
      </c>
      <c r="ER129" s="28" t="str">
        <f>IFERROR(VLOOKUP(EP129,Horarios!$H:$I,2,0),"")</f>
        <v/>
      </c>
      <c r="ES129" s="28" t="str">
        <f t="shared" si="74"/>
        <v>00:00</v>
      </c>
      <c r="ET129" s="29"/>
      <c r="EU129" s="27"/>
      <c r="EV129" s="27"/>
      <c r="EW129" s="28" t="str">
        <f>IFERROR(VLOOKUP(EU129,Horarios!$H:$I,2,0),"")</f>
        <v/>
      </c>
      <c r="EX129" s="28" t="str">
        <f>IFERROR(VLOOKUP(EV129,Horarios!$H:$I,2,0),"")</f>
        <v/>
      </c>
      <c r="EY129" s="28" t="str">
        <f t="shared" si="75"/>
        <v>00:00</v>
      </c>
      <c r="EZ129" s="29"/>
      <c r="FA129" s="27"/>
      <c r="FB129" s="27"/>
      <c r="FC129" s="28" t="str">
        <f>IFERROR(VLOOKUP(FA129,Horarios!$H:$I,2,0),"")</f>
        <v/>
      </c>
      <c r="FD129" s="28" t="str">
        <f>IFERROR(VLOOKUP(FB129,Horarios!$H:$I,2,0),"")</f>
        <v/>
      </c>
      <c r="FE129" s="28" t="str">
        <f t="shared" si="76"/>
        <v>00:00</v>
      </c>
      <c r="FF129" s="29"/>
      <c r="FG129" s="27"/>
      <c r="FH129" s="27"/>
      <c r="FI129" s="28" t="str">
        <f>IFERROR(VLOOKUP(FG129,Horarios!$H:$I,2,0),"")</f>
        <v/>
      </c>
      <c r="FJ129" s="28" t="str">
        <f>IFERROR(VLOOKUP(FH129,Horarios!$H:$I,2,0),"")</f>
        <v/>
      </c>
      <c r="FK129" s="28" t="str">
        <f t="shared" si="77"/>
        <v>00:00</v>
      </c>
      <c r="FL129" s="29"/>
      <c r="FM129" s="27"/>
      <c r="FN129" s="27"/>
      <c r="FO129" s="28" t="str">
        <f>IFERROR(VLOOKUP(FM129,Horarios!$H:$I,2,0),"")</f>
        <v/>
      </c>
      <c r="FP129" s="28" t="str">
        <f>IFERROR(VLOOKUP(FN129,Horarios!$H:$I,2,0),"")</f>
        <v/>
      </c>
      <c r="FQ129" s="28" t="str">
        <f t="shared" si="78"/>
        <v>00:00</v>
      </c>
      <c r="FR129" s="29"/>
      <c r="FS129" s="31" t="str">
        <f t="shared" si="79"/>
        <v/>
      </c>
      <c r="FT129" s="27"/>
      <c r="FU129" s="27"/>
      <c r="FV129" s="28" t="str">
        <f>IFERROR(VLOOKUP(FT129,Horarios!$H:$I,2,0),"")</f>
        <v/>
      </c>
      <c r="FW129" s="28" t="str">
        <f>IFERROR(VLOOKUP(FU129,Horarios!$H:$I,2,0),"")</f>
        <v/>
      </c>
      <c r="FX129" s="28" t="str">
        <f t="shared" si="80"/>
        <v>00:00</v>
      </c>
      <c r="FY129" s="29"/>
      <c r="FZ129" s="27"/>
      <c r="GA129" s="27"/>
      <c r="GB129" s="28" t="str">
        <f>IFERROR(VLOOKUP(FZ129,Horarios!$H:$I,2,0),"")</f>
        <v/>
      </c>
      <c r="GC129" s="28" t="str">
        <f>IFERROR(VLOOKUP(GA129,Horarios!$H:$I,2,0),"")</f>
        <v/>
      </c>
      <c r="GD129" s="28" t="str">
        <f t="shared" si="81"/>
        <v>00:00</v>
      </c>
      <c r="GE129" s="29"/>
      <c r="GF129" s="27"/>
      <c r="GG129" s="27"/>
      <c r="GH129" s="28" t="str">
        <f>IFERROR(VLOOKUP(GF129,Horarios!$H:$I,2,0),"")</f>
        <v/>
      </c>
      <c r="GI129" s="28" t="str">
        <f>IFERROR(VLOOKUP(GG129,Horarios!$H:$I,2,0),"")</f>
        <v/>
      </c>
      <c r="GJ129" s="28" t="str">
        <f t="shared" si="82"/>
        <v>00:00</v>
      </c>
      <c r="GK129" s="29"/>
      <c r="GL129" s="27"/>
      <c r="GM129" s="27"/>
      <c r="GN129" s="28" t="str">
        <f>IFERROR(VLOOKUP(GL129,Horarios!$H:$I,2,0),"")</f>
        <v/>
      </c>
      <c r="GO129" s="28" t="str">
        <f>IFERROR(VLOOKUP(GM129,Horarios!$H:$I,2,0),"")</f>
        <v/>
      </c>
      <c r="GP129" s="28" t="str">
        <f t="shared" si="83"/>
        <v>00:00</v>
      </c>
      <c r="GQ129" s="29"/>
      <c r="GR129" s="27"/>
      <c r="GS129" s="27"/>
      <c r="GT129" s="28" t="str">
        <f>IFERROR(VLOOKUP(GR129,Horarios!$H:$I,2,0),"")</f>
        <v/>
      </c>
      <c r="GU129" s="28" t="str">
        <f>IFERROR(VLOOKUP(GS129,Horarios!$H:$I,2,0),"")</f>
        <v/>
      </c>
      <c r="GV129" s="28" t="str">
        <f t="shared" si="84"/>
        <v>00:00</v>
      </c>
      <c r="GW129" s="29"/>
      <c r="GX129" s="27"/>
      <c r="GY129" s="27"/>
      <c r="GZ129" s="28" t="str">
        <f>IFERROR(VLOOKUP(GX129,Horarios!$H:$I,2,0),"")</f>
        <v/>
      </c>
      <c r="HA129" s="28" t="str">
        <f>IFERROR(VLOOKUP(GY129,Horarios!$H:$I,2,0),"")</f>
        <v/>
      </c>
      <c r="HB129" s="28" t="str">
        <f t="shared" si="85"/>
        <v>00:00</v>
      </c>
      <c r="HC129" s="29"/>
      <c r="HD129" s="27"/>
      <c r="HE129" s="27"/>
      <c r="HF129" s="28" t="str">
        <f>IFERROR(VLOOKUP(HD129,Horarios!$H:$I,2,0),"")</f>
        <v/>
      </c>
      <c r="HG129" s="28" t="str">
        <f>IFERROR(VLOOKUP(HE129,Horarios!$H:$I,2,0),"")</f>
        <v/>
      </c>
      <c r="HH129" s="28" t="str">
        <f t="shared" si="86"/>
        <v>00:00</v>
      </c>
      <c r="HI129" s="29"/>
      <c r="HJ129" s="31" t="str">
        <f t="shared" si="87"/>
        <v/>
      </c>
      <c r="HK129" s="27"/>
      <c r="HL129" s="27"/>
      <c r="HM129" s="28" t="str">
        <f>IFERROR(VLOOKUP(HK129,Horarios!$H:$I,2,0),"")</f>
        <v/>
      </c>
      <c r="HN129" s="28" t="str">
        <f>IFERROR(VLOOKUP(HL129,Horarios!$H:$I,2,0),"")</f>
        <v/>
      </c>
      <c r="HO129" s="28" t="str">
        <f t="shared" si="88"/>
        <v>00:00</v>
      </c>
      <c r="HP129" s="29"/>
      <c r="HQ129" s="27"/>
      <c r="HR129" s="27"/>
      <c r="HS129" s="28" t="str">
        <f>IFERROR(VLOOKUP(HQ129,Horarios!$H:$I,2,0),"")</f>
        <v/>
      </c>
      <c r="HT129" s="28" t="str">
        <f>IFERROR(VLOOKUP(HR129,Horarios!$H:$I,2,0),"")</f>
        <v/>
      </c>
      <c r="HU129" s="28" t="str">
        <f t="shared" si="89"/>
        <v>00:00</v>
      </c>
      <c r="HV129" s="29"/>
      <c r="HW129" s="27"/>
      <c r="HX129" s="27"/>
      <c r="HY129" s="28" t="str">
        <f>IFERROR(VLOOKUP(HW129,Horarios!$H:$I,2,0),"")</f>
        <v/>
      </c>
      <c r="HZ129" s="28" t="str">
        <f>IFERROR(VLOOKUP(HX129,Horarios!$H:$I,2,0),"")</f>
        <v/>
      </c>
      <c r="IA129" s="28" t="str">
        <f t="shared" si="90"/>
        <v>00:00</v>
      </c>
      <c r="IB129" s="29"/>
      <c r="IC129" s="27"/>
      <c r="ID129" s="27"/>
      <c r="IE129" s="28" t="str">
        <f>IFERROR(VLOOKUP(IC129,Horarios!$H:$I,2,0),"")</f>
        <v/>
      </c>
      <c r="IF129" s="28" t="str">
        <f>IFERROR(VLOOKUP(ID129,Horarios!$H:$I,2,0),"")</f>
        <v/>
      </c>
      <c r="IG129" s="28" t="str">
        <f t="shared" si="91"/>
        <v>00:00</v>
      </c>
      <c r="IH129" s="29"/>
      <c r="II129" s="27"/>
      <c r="IJ129" s="27"/>
      <c r="IK129" s="28" t="str">
        <f>IFERROR(VLOOKUP(II129,Horarios!$H:$I,2,0),"")</f>
        <v/>
      </c>
      <c r="IL129" s="28" t="str">
        <f>IFERROR(VLOOKUP(IJ129,Horarios!$H:$I,2,0),"")</f>
        <v/>
      </c>
      <c r="IM129" s="28" t="str">
        <f t="shared" si="92"/>
        <v>00:00</v>
      </c>
      <c r="IN129" s="29"/>
      <c r="IO129" s="27"/>
      <c r="IP129" s="27"/>
      <c r="IQ129" s="28" t="str">
        <f>IFERROR(VLOOKUP(IO129,Horarios!$H:$I,2,0),"")</f>
        <v/>
      </c>
      <c r="IR129" s="28" t="str">
        <f>IFERROR(VLOOKUP(IP129,Horarios!$H:$I,2,0),"")</f>
        <v/>
      </c>
      <c r="IS129" s="28" t="str">
        <f t="shared" si="93"/>
        <v>00:00</v>
      </c>
      <c r="IT129" s="29"/>
      <c r="IU129" s="27"/>
      <c r="IV129" s="27"/>
      <c r="IW129" s="28" t="str">
        <f>IFERROR(VLOOKUP(IU129,Horarios!$H:$I,2,0),"")</f>
        <v/>
      </c>
      <c r="IX129" s="28" t="str">
        <f>IFERROR(VLOOKUP(IV129,Horarios!$H:$I,2,0),"")</f>
        <v/>
      </c>
      <c r="IY129" s="28" t="str">
        <f t="shared" si="94"/>
        <v>00:00</v>
      </c>
      <c r="IZ129" s="29"/>
      <c r="JA129" s="31" t="str">
        <f t="shared" si="95"/>
        <v/>
      </c>
    </row>
    <row r="130" spans="1:261" s="24" customFormat="1" ht="17.399999999999999" x14ac:dyDescent="0.25">
      <c r="A130" s="25"/>
      <c r="B130" s="26" t="str">
        <f>IFERROR(VLOOKUP(A130,BaseNombres!A:B,2,0),"")</f>
        <v/>
      </c>
      <c r="C130" s="26" t="str">
        <f>IFERROR(VLOOKUP(A130,BaseNombres!A:C,3,0),"")</f>
        <v/>
      </c>
      <c r="D130" s="27"/>
      <c r="E130" s="27"/>
      <c r="F130" s="28" t="str">
        <f>IFERROR(VLOOKUP(D130,Horarios!$H:$I,2,0),"")</f>
        <v/>
      </c>
      <c r="G130" s="28" t="str">
        <f>IFERROR(VLOOKUP(E130,Horarios!$H:$I,2,0),"")</f>
        <v/>
      </c>
      <c r="H130" s="28" t="str">
        <f t="shared" si="48"/>
        <v>00:00</v>
      </c>
      <c r="I130" s="29"/>
      <c r="J130" s="27"/>
      <c r="K130" s="27"/>
      <c r="L130" s="28" t="str">
        <f>IFERROR(VLOOKUP(J130,Horarios!$H:$I,2,0),"")</f>
        <v/>
      </c>
      <c r="M130" s="28" t="str">
        <f>IFERROR(VLOOKUP(K130,Horarios!$H:$I,2,0),"")</f>
        <v/>
      </c>
      <c r="N130" s="28" t="str">
        <f t="shared" si="49"/>
        <v>00:00</v>
      </c>
      <c r="O130" s="29"/>
      <c r="P130" s="27"/>
      <c r="Q130" s="27"/>
      <c r="R130" s="28" t="str">
        <f>IFERROR(VLOOKUP(P130,Horarios!$H:$I,2,0),"")</f>
        <v/>
      </c>
      <c r="S130" s="28" t="str">
        <f>IFERROR(VLOOKUP(Q130,Horarios!$H:$I,2,0),"")</f>
        <v/>
      </c>
      <c r="T130" s="28" t="str">
        <f t="shared" si="50"/>
        <v>00:00</v>
      </c>
      <c r="U130" s="29"/>
      <c r="V130" s="27"/>
      <c r="W130" s="27"/>
      <c r="X130" s="28" t="str">
        <f>IFERROR(VLOOKUP(V130,Horarios!$H:$I,2,0),"")</f>
        <v/>
      </c>
      <c r="Y130" s="28" t="str">
        <f>IFERROR(VLOOKUP(W130,Horarios!$H:$I,2,0),"")</f>
        <v/>
      </c>
      <c r="Z130" s="28" t="str">
        <f t="shared" si="51"/>
        <v>00:00</v>
      </c>
      <c r="AA130" s="29"/>
      <c r="AB130" s="27"/>
      <c r="AC130" s="27"/>
      <c r="AD130" s="28" t="str">
        <f>IFERROR(VLOOKUP(AB130,Horarios!$H:$I,2,0),"")</f>
        <v/>
      </c>
      <c r="AE130" s="28" t="str">
        <f>IFERROR(VLOOKUP(AC130,Horarios!$H:$I,2,0),"")</f>
        <v/>
      </c>
      <c r="AF130" s="28" t="str">
        <f t="shared" si="52"/>
        <v>00:00</v>
      </c>
      <c r="AG130" s="29"/>
      <c r="AH130" s="27"/>
      <c r="AI130" s="27"/>
      <c r="AJ130" s="28" t="str">
        <f>IFERROR(VLOOKUP(AH130,Horarios!$H:$I,2,0),"")</f>
        <v/>
      </c>
      <c r="AK130" s="28" t="str">
        <f>IFERROR(VLOOKUP(AI130,Horarios!$H:$I,2,0),"")</f>
        <v/>
      </c>
      <c r="AL130" s="28" t="str">
        <f t="shared" si="53"/>
        <v>00:00</v>
      </c>
      <c r="AM130" s="29"/>
      <c r="AN130" s="27"/>
      <c r="AO130" s="27"/>
      <c r="AP130" s="28" t="str">
        <f>IFERROR(VLOOKUP(AN130,Horarios!$H:$I,2,0),"")</f>
        <v/>
      </c>
      <c r="AQ130" s="28" t="str">
        <f>IFERROR(VLOOKUP(AO130,Horarios!$H:$I,2,0),"")</f>
        <v/>
      </c>
      <c r="AR130" s="28" t="str">
        <f t="shared" si="54"/>
        <v>00:00</v>
      </c>
      <c r="AS130" s="29"/>
      <c r="AT130" s="31" t="str">
        <f t="shared" si="55"/>
        <v/>
      </c>
      <c r="AU130" s="27"/>
      <c r="AV130" s="27"/>
      <c r="AW130" s="28" t="str">
        <f>IFERROR(VLOOKUP(AU130,Horarios!$H:$I,2,0),"")</f>
        <v/>
      </c>
      <c r="AX130" s="28" t="str">
        <f>IFERROR(VLOOKUP(AV130,Horarios!$H:$I,2,0),"")</f>
        <v/>
      </c>
      <c r="AY130" s="28" t="str">
        <f t="shared" si="56"/>
        <v>00:00</v>
      </c>
      <c r="AZ130" s="29"/>
      <c r="BA130" s="27"/>
      <c r="BB130" s="27"/>
      <c r="BC130" s="28" t="str">
        <f>IFERROR(VLOOKUP(BA130,Horarios!$H:$I,2,0),"")</f>
        <v/>
      </c>
      <c r="BD130" s="28" t="str">
        <f>IFERROR(VLOOKUP(BB130,Horarios!$H:$I,2,0),"")</f>
        <v/>
      </c>
      <c r="BE130" s="28" t="str">
        <f t="shared" si="57"/>
        <v>00:00</v>
      </c>
      <c r="BF130" s="29"/>
      <c r="BG130" s="27"/>
      <c r="BH130" s="27"/>
      <c r="BI130" s="28" t="str">
        <f>IFERROR(VLOOKUP(BG130,Horarios!$H:$I,2,0),"")</f>
        <v/>
      </c>
      <c r="BJ130" s="28" t="str">
        <f>IFERROR(VLOOKUP(BH130,Horarios!$H:$I,2,0),"")</f>
        <v/>
      </c>
      <c r="BK130" s="28" t="str">
        <f t="shared" si="58"/>
        <v>00:00</v>
      </c>
      <c r="BL130" s="29"/>
      <c r="BM130" s="27"/>
      <c r="BN130" s="27"/>
      <c r="BO130" s="28" t="str">
        <f>IFERROR(VLOOKUP(BM130,Horarios!$H:$I,2,0),"")</f>
        <v/>
      </c>
      <c r="BP130" s="28" t="str">
        <f>IFERROR(VLOOKUP(BN130,Horarios!$H:$I,2,0),"")</f>
        <v/>
      </c>
      <c r="BQ130" s="28" t="str">
        <f t="shared" si="59"/>
        <v>00:00</v>
      </c>
      <c r="BR130" s="29"/>
      <c r="BS130" s="27"/>
      <c r="BT130" s="27"/>
      <c r="BU130" s="28" t="str">
        <f>IFERROR(VLOOKUP(BS130,Horarios!$H:$I,2,0),"")</f>
        <v/>
      </c>
      <c r="BV130" s="28" t="str">
        <f>IFERROR(VLOOKUP(BT130,Horarios!$H:$I,2,0),"")</f>
        <v/>
      </c>
      <c r="BW130" s="28" t="str">
        <f t="shared" si="60"/>
        <v>00:00</v>
      </c>
      <c r="BX130" s="29"/>
      <c r="BY130" s="27"/>
      <c r="BZ130" s="27"/>
      <c r="CA130" s="28" t="str">
        <f>IFERROR(VLOOKUP(BY130,Horarios!$H:$I,2,0),"")</f>
        <v/>
      </c>
      <c r="CB130" s="28" t="str">
        <f>IFERROR(VLOOKUP(BZ130,Horarios!$H:$I,2,0),"")</f>
        <v/>
      </c>
      <c r="CC130" s="28" t="str">
        <f t="shared" si="61"/>
        <v>00:00</v>
      </c>
      <c r="CD130" s="29"/>
      <c r="CE130" s="27"/>
      <c r="CF130" s="27"/>
      <c r="CG130" s="28" t="str">
        <f>IFERROR(VLOOKUP(CE130,Horarios!$H:$I,2,0),"")</f>
        <v/>
      </c>
      <c r="CH130" s="28" t="str">
        <f>IFERROR(VLOOKUP(CF130,Horarios!$H:$I,2,0),"")</f>
        <v/>
      </c>
      <c r="CI130" s="28" t="str">
        <f t="shared" si="62"/>
        <v>00:00</v>
      </c>
      <c r="CJ130" s="29"/>
      <c r="CK130" s="31" t="str">
        <f t="shared" si="63"/>
        <v/>
      </c>
      <c r="CL130" s="27"/>
      <c r="CM130" s="27"/>
      <c r="CN130" s="28" t="str">
        <f>IFERROR(VLOOKUP(CL130,Horarios!$H:$I,2,0),"")</f>
        <v/>
      </c>
      <c r="CO130" s="28" t="str">
        <f>IFERROR(VLOOKUP(CM130,Horarios!$H:$I,2,0),"")</f>
        <v/>
      </c>
      <c r="CP130" s="28" t="str">
        <f t="shared" si="64"/>
        <v>00:00</v>
      </c>
      <c r="CQ130" s="29"/>
      <c r="CR130" s="27"/>
      <c r="CS130" s="27"/>
      <c r="CT130" s="28" t="str">
        <f>IFERROR(VLOOKUP(CR130,Horarios!$H:$I,2,0),"")</f>
        <v/>
      </c>
      <c r="CU130" s="28" t="str">
        <f>IFERROR(VLOOKUP(CS130,Horarios!$H:$I,2,0),"")</f>
        <v/>
      </c>
      <c r="CV130" s="28" t="str">
        <f t="shared" si="65"/>
        <v>00:00</v>
      </c>
      <c r="CW130" s="29"/>
      <c r="CX130" s="27"/>
      <c r="CY130" s="27"/>
      <c r="CZ130" s="28" t="str">
        <f>IFERROR(VLOOKUP(CX130,Horarios!$H:$I,2,0),"")</f>
        <v/>
      </c>
      <c r="DA130" s="28" t="str">
        <f>IFERROR(VLOOKUP(CY130,Horarios!$H:$I,2,0),"")</f>
        <v/>
      </c>
      <c r="DB130" s="28" t="str">
        <f t="shared" si="66"/>
        <v>00:00</v>
      </c>
      <c r="DC130" s="29"/>
      <c r="DD130" s="27"/>
      <c r="DE130" s="27"/>
      <c r="DF130" s="28" t="str">
        <f>IFERROR(VLOOKUP(DD130,Horarios!$H:$I,2,0),"")</f>
        <v/>
      </c>
      <c r="DG130" s="28" t="str">
        <f>IFERROR(VLOOKUP(DE130,Horarios!$H:$I,2,0),"")</f>
        <v/>
      </c>
      <c r="DH130" s="28" t="str">
        <f t="shared" si="67"/>
        <v>00:00</v>
      </c>
      <c r="DI130" s="29"/>
      <c r="DJ130" s="27"/>
      <c r="DK130" s="27"/>
      <c r="DL130" s="28" t="str">
        <f>IFERROR(VLOOKUP(DJ130,Horarios!$H:$I,2,0),"")</f>
        <v/>
      </c>
      <c r="DM130" s="28" t="str">
        <f>IFERROR(VLOOKUP(DK130,Horarios!$H:$I,2,0),"")</f>
        <v/>
      </c>
      <c r="DN130" s="28" t="str">
        <f t="shared" si="68"/>
        <v>00:00</v>
      </c>
      <c r="DO130" s="29"/>
      <c r="DP130" s="27"/>
      <c r="DQ130" s="27"/>
      <c r="DR130" s="28" t="str">
        <f>IFERROR(VLOOKUP(DP130,Horarios!$H:$I,2,0),"")</f>
        <v/>
      </c>
      <c r="DS130" s="28" t="str">
        <f>IFERROR(VLOOKUP(DQ130,Horarios!$H:$I,2,0),"")</f>
        <v/>
      </c>
      <c r="DT130" s="28" t="str">
        <f t="shared" si="69"/>
        <v>00:00</v>
      </c>
      <c r="DU130" s="29"/>
      <c r="DV130" s="27"/>
      <c r="DW130" s="27"/>
      <c r="DX130" s="28" t="str">
        <f>IFERROR(VLOOKUP(DV130,Horarios!$H:$I,2,0),"")</f>
        <v/>
      </c>
      <c r="DY130" s="28" t="str">
        <f>IFERROR(VLOOKUP(DW130,Horarios!$H:$I,2,0),"")</f>
        <v/>
      </c>
      <c r="DZ130" s="28" t="str">
        <f t="shared" si="70"/>
        <v>00:00</v>
      </c>
      <c r="EA130" s="29"/>
      <c r="EB130" s="31" t="str">
        <f t="shared" si="71"/>
        <v/>
      </c>
      <c r="EC130" s="27"/>
      <c r="ED130" s="27"/>
      <c r="EE130" s="28" t="str">
        <f>IFERROR(VLOOKUP(EC130,Horarios!$H:$I,2,0),"")</f>
        <v/>
      </c>
      <c r="EF130" s="28" t="str">
        <f>IFERROR(VLOOKUP(ED130,Horarios!$H:$I,2,0),"")</f>
        <v/>
      </c>
      <c r="EG130" s="28" t="str">
        <f t="shared" si="72"/>
        <v>00:00</v>
      </c>
      <c r="EH130" s="29"/>
      <c r="EI130" s="27"/>
      <c r="EJ130" s="27"/>
      <c r="EK130" s="28" t="str">
        <f>IFERROR(VLOOKUP(EI130,Horarios!$H:$I,2,0),"")</f>
        <v/>
      </c>
      <c r="EL130" s="28" t="str">
        <f>IFERROR(VLOOKUP(EJ130,Horarios!$H:$I,2,0),"")</f>
        <v/>
      </c>
      <c r="EM130" s="28" t="str">
        <f t="shared" si="73"/>
        <v>00:00</v>
      </c>
      <c r="EN130" s="29"/>
      <c r="EO130" s="27"/>
      <c r="EP130" s="27"/>
      <c r="EQ130" s="28" t="str">
        <f>IFERROR(VLOOKUP(EO130,Horarios!$H:$I,2,0),"")</f>
        <v/>
      </c>
      <c r="ER130" s="28" t="str">
        <f>IFERROR(VLOOKUP(EP130,Horarios!$H:$I,2,0),"")</f>
        <v/>
      </c>
      <c r="ES130" s="28" t="str">
        <f t="shared" si="74"/>
        <v>00:00</v>
      </c>
      <c r="ET130" s="29"/>
      <c r="EU130" s="27"/>
      <c r="EV130" s="27"/>
      <c r="EW130" s="28" t="str">
        <f>IFERROR(VLOOKUP(EU130,Horarios!$H:$I,2,0),"")</f>
        <v/>
      </c>
      <c r="EX130" s="28" t="str">
        <f>IFERROR(VLOOKUP(EV130,Horarios!$H:$I,2,0),"")</f>
        <v/>
      </c>
      <c r="EY130" s="28" t="str">
        <f t="shared" si="75"/>
        <v>00:00</v>
      </c>
      <c r="EZ130" s="29"/>
      <c r="FA130" s="27"/>
      <c r="FB130" s="27"/>
      <c r="FC130" s="28" t="str">
        <f>IFERROR(VLOOKUP(FA130,Horarios!$H:$I,2,0),"")</f>
        <v/>
      </c>
      <c r="FD130" s="28" t="str">
        <f>IFERROR(VLOOKUP(FB130,Horarios!$H:$I,2,0),"")</f>
        <v/>
      </c>
      <c r="FE130" s="28" t="str">
        <f t="shared" si="76"/>
        <v>00:00</v>
      </c>
      <c r="FF130" s="29"/>
      <c r="FG130" s="27"/>
      <c r="FH130" s="27"/>
      <c r="FI130" s="28" t="str">
        <f>IFERROR(VLOOKUP(FG130,Horarios!$H:$I,2,0),"")</f>
        <v/>
      </c>
      <c r="FJ130" s="28" t="str">
        <f>IFERROR(VLOOKUP(FH130,Horarios!$H:$I,2,0),"")</f>
        <v/>
      </c>
      <c r="FK130" s="28" t="str">
        <f t="shared" si="77"/>
        <v>00:00</v>
      </c>
      <c r="FL130" s="29"/>
      <c r="FM130" s="27"/>
      <c r="FN130" s="27"/>
      <c r="FO130" s="28" t="str">
        <f>IFERROR(VLOOKUP(FM130,Horarios!$H:$I,2,0),"")</f>
        <v/>
      </c>
      <c r="FP130" s="28" t="str">
        <f>IFERROR(VLOOKUP(FN130,Horarios!$H:$I,2,0),"")</f>
        <v/>
      </c>
      <c r="FQ130" s="28" t="str">
        <f t="shared" si="78"/>
        <v>00:00</v>
      </c>
      <c r="FR130" s="29"/>
      <c r="FS130" s="31" t="str">
        <f t="shared" si="79"/>
        <v/>
      </c>
      <c r="FT130" s="27"/>
      <c r="FU130" s="27"/>
      <c r="FV130" s="28" t="str">
        <f>IFERROR(VLOOKUP(FT130,Horarios!$H:$I,2,0),"")</f>
        <v/>
      </c>
      <c r="FW130" s="28" t="str">
        <f>IFERROR(VLOOKUP(FU130,Horarios!$H:$I,2,0),"")</f>
        <v/>
      </c>
      <c r="FX130" s="28" t="str">
        <f t="shared" si="80"/>
        <v>00:00</v>
      </c>
      <c r="FY130" s="29"/>
      <c r="FZ130" s="27"/>
      <c r="GA130" s="27"/>
      <c r="GB130" s="28" t="str">
        <f>IFERROR(VLOOKUP(FZ130,Horarios!$H:$I,2,0),"")</f>
        <v/>
      </c>
      <c r="GC130" s="28" t="str">
        <f>IFERROR(VLOOKUP(GA130,Horarios!$H:$I,2,0),"")</f>
        <v/>
      </c>
      <c r="GD130" s="28" t="str">
        <f t="shared" si="81"/>
        <v>00:00</v>
      </c>
      <c r="GE130" s="29"/>
      <c r="GF130" s="27"/>
      <c r="GG130" s="27"/>
      <c r="GH130" s="28" t="str">
        <f>IFERROR(VLOOKUP(GF130,Horarios!$H:$I,2,0),"")</f>
        <v/>
      </c>
      <c r="GI130" s="28" t="str">
        <f>IFERROR(VLOOKUP(GG130,Horarios!$H:$I,2,0),"")</f>
        <v/>
      </c>
      <c r="GJ130" s="28" t="str">
        <f t="shared" si="82"/>
        <v>00:00</v>
      </c>
      <c r="GK130" s="29"/>
      <c r="GL130" s="27"/>
      <c r="GM130" s="27"/>
      <c r="GN130" s="28" t="str">
        <f>IFERROR(VLOOKUP(GL130,Horarios!$H:$I,2,0),"")</f>
        <v/>
      </c>
      <c r="GO130" s="28" t="str">
        <f>IFERROR(VLOOKUP(GM130,Horarios!$H:$I,2,0),"")</f>
        <v/>
      </c>
      <c r="GP130" s="28" t="str">
        <f t="shared" si="83"/>
        <v>00:00</v>
      </c>
      <c r="GQ130" s="29"/>
      <c r="GR130" s="27"/>
      <c r="GS130" s="27"/>
      <c r="GT130" s="28" t="str">
        <f>IFERROR(VLOOKUP(GR130,Horarios!$H:$I,2,0),"")</f>
        <v/>
      </c>
      <c r="GU130" s="28" t="str">
        <f>IFERROR(VLOOKUP(GS130,Horarios!$H:$I,2,0),"")</f>
        <v/>
      </c>
      <c r="GV130" s="28" t="str">
        <f t="shared" si="84"/>
        <v>00:00</v>
      </c>
      <c r="GW130" s="29"/>
      <c r="GX130" s="27"/>
      <c r="GY130" s="27"/>
      <c r="GZ130" s="28" t="str">
        <f>IFERROR(VLOOKUP(GX130,Horarios!$H:$I,2,0),"")</f>
        <v/>
      </c>
      <c r="HA130" s="28" t="str">
        <f>IFERROR(VLOOKUP(GY130,Horarios!$H:$I,2,0),"")</f>
        <v/>
      </c>
      <c r="HB130" s="28" t="str">
        <f t="shared" si="85"/>
        <v>00:00</v>
      </c>
      <c r="HC130" s="29"/>
      <c r="HD130" s="27"/>
      <c r="HE130" s="27"/>
      <c r="HF130" s="28" t="str">
        <f>IFERROR(VLOOKUP(HD130,Horarios!$H:$I,2,0),"")</f>
        <v/>
      </c>
      <c r="HG130" s="28" t="str">
        <f>IFERROR(VLOOKUP(HE130,Horarios!$H:$I,2,0),"")</f>
        <v/>
      </c>
      <c r="HH130" s="28" t="str">
        <f t="shared" si="86"/>
        <v>00:00</v>
      </c>
      <c r="HI130" s="29"/>
      <c r="HJ130" s="31" t="str">
        <f t="shared" si="87"/>
        <v/>
      </c>
      <c r="HK130" s="27"/>
      <c r="HL130" s="27"/>
      <c r="HM130" s="28" t="str">
        <f>IFERROR(VLOOKUP(HK130,Horarios!$H:$I,2,0),"")</f>
        <v/>
      </c>
      <c r="HN130" s="28" t="str">
        <f>IFERROR(VLOOKUP(HL130,Horarios!$H:$I,2,0),"")</f>
        <v/>
      </c>
      <c r="HO130" s="28" t="str">
        <f t="shared" si="88"/>
        <v>00:00</v>
      </c>
      <c r="HP130" s="29"/>
      <c r="HQ130" s="27"/>
      <c r="HR130" s="27"/>
      <c r="HS130" s="28" t="str">
        <f>IFERROR(VLOOKUP(HQ130,Horarios!$H:$I,2,0),"")</f>
        <v/>
      </c>
      <c r="HT130" s="28" t="str">
        <f>IFERROR(VLOOKUP(HR130,Horarios!$H:$I,2,0),"")</f>
        <v/>
      </c>
      <c r="HU130" s="28" t="str">
        <f t="shared" si="89"/>
        <v>00:00</v>
      </c>
      <c r="HV130" s="29"/>
      <c r="HW130" s="27"/>
      <c r="HX130" s="27"/>
      <c r="HY130" s="28" t="str">
        <f>IFERROR(VLOOKUP(HW130,Horarios!$H:$I,2,0),"")</f>
        <v/>
      </c>
      <c r="HZ130" s="28" t="str">
        <f>IFERROR(VLOOKUP(HX130,Horarios!$H:$I,2,0),"")</f>
        <v/>
      </c>
      <c r="IA130" s="28" t="str">
        <f t="shared" si="90"/>
        <v>00:00</v>
      </c>
      <c r="IB130" s="29"/>
      <c r="IC130" s="27"/>
      <c r="ID130" s="27"/>
      <c r="IE130" s="28" t="str">
        <f>IFERROR(VLOOKUP(IC130,Horarios!$H:$I,2,0),"")</f>
        <v/>
      </c>
      <c r="IF130" s="28" t="str">
        <f>IFERROR(VLOOKUP(ID130,Horarios!$H:$I,2,0),"")</f>
        <v/>
      </c>
      <c r="IG130" s="28" t="str">
        <f t="shared" si="91"/>
        <v>00:00</v>
      </c>
      <c r="IH130" s="29"/>
      <c r="II130" s="27"/>
      <c r="IJ130" s="27"/>
      <c r="IK130" s="28" t="str">
        <f>IFERROR(VLOOKUP(II130,Horarios!$H:$I,2,0),"")</f>
        <v/>
      </c>
      <c r="IL130" s="28" t="str">
        <f>IFERROR(VLOOKUP(IJ130,Horarios!$H:$I,2,0),"")</f>
        <v/>
      </c>
      <c r="IM130" s="28" t="str">
        <f t="shared" si="92"/>
        <v>00:00</v>
      </c>
      <c r="IN130" s="29"/>
      <c r="IO130" s="27"/>
      <c r="IP130" s="27"/>
      <c r="IQ130" s="28" t="str">
        <f>IFERROR(VLOOKUP(IO130,Horarios!$H:$I,2,0),"")</f>
        <v/>
      </c>
      <c r="IR130" s="28" t="str">
        <f>IFERROR(VLOOKUP(IP130,Horarios!$H:$I,2,0),"")</f>
        <v/>
      </c>
      <c r="IS130" s="28" t="str">
        <f t="shared" si="93"/>
        <v>00:00</v>
      </c>
      <c r="IT130" s="29"/>
      <c r="IU130" s="27"/>
      <c r="IV130" s="27"/>
      <c r="IW130" s="28" t="str">
        <f>IFERROR(VLOOKUP(IU130,Horarios!$H:$I,2,0),"")</f>
        <v/>
      </c>
      <c r="IX130" s="28" t="str">
        <f>IFERROR(VLOOKUP(IV130,Horarios!$H:$I,2,0),"")</f>
        <v/>
      </c>
      <c r="IY130" s="28" t="str">
        <f t="shared" si="94"/>
        <v>00:00</v>
      </c>
      <c r="IZ130" s="29"/>
      <c r="JA130" s="31" t="str">
        <f t="shared" si="95"/>
        <v/>
      </c>
    </row>
    <row r="131" spans="1:261" s="24" customFormat="1" ht="17.399999999999999" x14ac:dyDescent="0.25">
      <c r="A131" s="25"/>
      <c r="B131" s="26" t="str">
        <f>IFERROR(VLOOKUP(A131,BaseNombres!A:B,2,0),"")</f>
        <v/>
      </c>
      <c r="C131" s="26" t="str">
        <f>IFERROR(VLOOKUP(A131,BaseNombres!A:C,3,0),"")</f>
        <v/>
      </c>
      <c r="D131" s="27"/>
      <c r="E131" s="27"/>
      <c r="F131" s="28" t="str">
        <f>IFERROR(VLOOKUP(D131,Horarios!$H:$I,2,0),"")</f>
        <v/>
      </c>
      <c r="G131" s="28" t="str">
        <f>IFERROR(VLOOKUP(E131,Horarios!$H:$I,2,0),"")</f>
        <v/>
      </c>
      <c r="H131" s="28" t="str">
        <f t="shared" si="48"/>
        <v>00:00</v>
      </c>
      <c r="I131" s="29"/>
      <c r="J131" s="27"/>
      <c r="K131" s="27"/>
      <c r="L131" s="28" t="str">
        <f>IFERROR(VLOOKUP(J131,Horarios!$H:$I,2,0),"")</f>
        <v/>
      </c>
      <c r="M131" s="28" t="str">
        <f>IFERROR(VLOOKUP(K131,Horarios!$H:$I,2,0),"")</f>
        <v/>
      </c>
      <c r="N131" s="28" t="str">
        <f t="shared" si="49"/>
        <v>00:00</v>
      </c>
      <c r="O131" s="29"/>
      <c r="P131" s="27"/>
      <c r="Q131" s="27"/>
      <c r="R131" s="28" t="str">
        <f>IFERROR(VLOOKUP(P131,Horarios!$H:$I,2,0),"")</f>
        <v/>
      </c>
      <c r="S131" s="28" t="str">
        <f>IFERROR(VLOOKUP(Q131,Horarios!$H:$I,2,0),"")</f>
        <v/>
      </c>
      <c r="T131" s="28" t="str">
        <f t="shared" si="50"/>
        <v>00:00</v>
      </c>
      <c r="U131" s="29"/>
      <c r="V131" s="27"/>
      <c r="W131" s="27"/>
      <c r="X131" s="28" t="str">
        <f>IFERROR(VLOOKUP(V131,Horarios!$H:$I,2,0),"")</f>
        <v/>
      </c>
      <c r="Y131" s="28" t="str">
        <f>IFERROR(VLOOKUP(W131,Horarios!$H:$I,2,0),"")</f>
        <v/>
      </c>
      <c r="Z131" s="28" t="str">
        <f t="shared" si="51"/>
        <v>00:00</v>
      </c>
      <c r="AA131" s="29"/>
      <c r="AB131" s="27"/>
      <c r="AC131" s="27"/>
      <c r="AD131" s="28" t="str">
        <f>IFERROR(VLOOKUP(AB131,Horarios!$H:$I,2,0),"")</f>
        <v/>
      </c>
      <c r="AE131" s="28" t="str">
        <f>IFERROR(VLOOKUP(AC131,Horarios!$H:$I,2,0),"")</f>
        <v/>
      </c>
      <c r="AF131" s="28" t="str">
        <f t="shared" si="52"/>
        <v>00:00</v>
      </c>
      <c r="AG131" s="29"/>
      <c r="AH131" s="27"/>
      <c r="AI131" s="27"/>
      <c r="AJ131" s="28" t="str">
        <f>IFERROR(VLOOKUP(AH131,Horarios!$H:$I,2,0),"")</f>
        <v/>
      </c>
      <c r="AK131" s="28" t="str">
        <f>IFERROR(VLOOKUP(AI131,Horarios!$H:$I,2,0),"")</f>
        <v/>
      </c>
      <c r="AL131" s="28" t="str">
        <f t="shared" si="53"/>
        <v>00:00</v>
      </c>
      <c r="AM131" s="29"/>
      <c r="AN131" s="27"/>
      <c r="AO131" s="27"/>
      <c r="AP131" s="28" t="str">
        <f>IFERROR(VLOOKUP(AN131,Horarios!$H:$I,2,0),"")</f>
        <v/>
      </c>
      <c r="AQ131" s="28" t="str">
        <f>IFERROR(VLOOKUP(AO131,Horarios!$H:$I,2,0),"")</f>
        <v/>
      </c>
      <c r="AR131" s="28" t="str">
        <f t="shared" si="54"/>
        <v>00:00</v>
      </c>
      <c r="AS131" s="29"/>
      <c r="AT131" s="31" t="str">
        <f t="shared" si="55"/>
        <v/>
      </c>
      <c r="AU131" s="27"/>
      <c r="AV131" s="27"/>
      <c r="AW131" s="28" t="str">
        <f>IFERROR(VLOOKUP(AU131,Horarios!$H:$I,2,0),"")</f>
        <v/>
      </c>
      <c r="AX131" s="28" t="str">
        <f>IFERROR(VLOOKUP(AV131,Horarios!$H:$I,2,0),"")</f>
        <v/>
      </c>
      <c r="AY131" s="28" t="str">
        <f t="shared" si="56"/>
        <v>00:00</v>
      </c>
      <c r="AZ131" s="29"/>
      <c r="BA131" s="27"/>
      <c r="BB131" s="27"/>
      <c r="BC131" s="28" t="str">
        <f>IFERROR(VLOOKUP(BA131,Horarios!$H:$I,2,0),"")</f>
        <v/>
      </c>
      <c r="BD131" s="28" t="str">
        <f>IFERROR(VLOOKUP(BB131,Horarios!$H:$I,2,0),"")</f>
        <v/>
      </c>
      <c r="BE131" s="28" t="str">
        <f t="shared" si="57"/>
        <v>00:00</v>
      </c>
      <c r="BF131" s="29"/>
      <c r="BG131" s="27"/>
      <c r="BH131" s="27"/>
      <c r="BI131" s="28" t="str">
        <f>IFERROR(VLOOKUP(BG131,Horarios!$H:$I,2,0),"")</f>
        <v/>
      </c>
      <c r="BJ131" s="28" t="str">
        <f>IFERROR(VLOOKUP(BH131,Horarios!$H:$I,2,0),"")</f>
        <v/>
      </c>
      <c r="BK131" s="28" t="str">
        <f t="shared" si="58"/>
        <v>00:00</v>
      </c>
      <c r="BL131" s="29"/>
      <c r="BM131" s="27"/>
      <c r="BN131" s="27"/>
      <c r="BO131" s="28" t="str">
        <f>IFERROR(VLOOKUP(BM131,Horarios!$H:$I,2,0),"")</f>
        <v/>
      </c>
      <c r="BP131" s="28" t="str">
        <f>IFERROR(VLOOKUP(BN131,Horarios!$H:$I,2,0),"")</f>
        <v/>
      </c>
      <c r="BQ131" s="28" t="str">
        <f t="shared" si="59"/>
        <v>00:00</v>
      </c>
      <c r="BR131" s="29"/>
      <c r="BS131" s="27"/>
      <c r="BT131" s="27"/>
      <c r="BU131" s="28" t="str">
        <f>IFERROR(VLOOKUP(BS131,Horarios!$H:$I,2,0),"")</f>
        <v/>
      </c>
      <c r="BV131" s="28" t="str">
        <f>IFERROR(VLOOKUP(BT131,Horarios!$H:$I,2,0),"")</f>
        <v/>
      </c>
      <c r="BW131" s="28" t="str">
        <f t="shared" si="60"/>
        <v>00:00</v>
      </c>
      <c r="BX131" s="29"/>
      <c r="BY131" s="27"/>
      <c r="BZ131" s="27"/>
      <c r="CA131" s="28" t="str">
        <f>IFERROR(VLOOKUP(BY131,Horarios!$H:$I,2,0),"")</f>
        <v/>
      </c>
      <c r="CB131" s="28" t="str">
        <f>IFERROR(VLOOKUP(BZ131,Horarios!$H:$I,2,0),"")</f>
        <v/>
      </c>
      <c r="CC131" s="28" t="str">
        <f t="shared" si="61"/>
        <v>00:00</v>
      </c>
      <c r="CD131" s="29"/>
      <c r="CE131" s="27"/>
      <c r="CF131" s="27"/>
      <c r="CG131" s="28" t="str">
        <f>IFERROR(VLOOKUP(CE131,Horarios!$H:$I,2,0),"")</f>
        <v/>
      </c>
      <c r="CH131" s="28" t="str">
        <f>IFERROR(VLOOKUP(CF131,Horarios!$H:$I,2,0),"")</f>
        <v/>
      </c>
      <c r="CI131" s="28" t="str">
        <f t="shared" si="62"/>
        <v>00:00</v>
      </c>
      <c r="CJ131" s="29"/>
      <c r="CK131" s="31" t="str">
        <f t="shared" si="63"/>
        <v/>
      </c>
      <c r="CL131" s="27"/>
      <c r="CM131" s="27"/>
      <c r="CN131" s="28" t="str">
        <f>IFERROR(VLOOKUP(CL131,Horarios!$H:$I,2,0),"")</f>
        <v/>
      </c>
      <c r="CO131" s="28" t="str">
        <f>IFERROR(VLOOKUP(CM131,Horarios!$H:$I,2,0),"")</f>
        <v/>
      </c>
      <c r="CP131" s="28" t="str">
        <f t="shared" si="64"/>
        <v>00:00</v>
      </c>
      <c r="CQ131" s="29"/>
      <c r="CR131" s="27"/>
      <c r="CS131" s="27"/>
      <c r="CT131" s="28" t="str">
        <f>IFERROR(VLOOKUP(CR131,Horarios!$H:$I,2,0),"")</f>
        <v/>
      </c>
      <c r="CU131" s="28" t="str">
        <f>IFERROR(VLOOKUP(CS131,Horarios!$H:$I,2,0),"")</f>
        <v/>
      </c>
      <c r="CV131" s="28" t="str">
        <f t="shared" si="65"/>
        <v>00:00</v>
      </c>
      <c r="CW131" s="29"/>
      <c r="CX131" s="27"/>
      <c r="CY131" s="27"/>
      <c r="CZ131" s="28" t="str">
        <f>IFERROR(VLOOKUP(CX131,Horarios!$H:$I,2,0),"")</f>
        <v/>
      </c>
      <c r="DA131" s="28" t="str">
        <f>IFERROR(VLOOKUP(CY131,Horarios!$H:$I,2,0),"")</f>
        <v/>
      </c>
      <c r="DB131" s="28" t="str">
        <f t="shared" si="66"/>
        <v>00:00</v>
      </c>
      <c r="DC131" s="29"/>
      <c r="DD131" s="27"/>
      <c r="DE131" s="27"/>
      <c r="DF131" s="28" t="str">
        <f>IFERROR(VLOOKUP(DD131,Horarios!$H:$I,2,0),"")</f>
        <v/>
      </c>
      <c r="DG131" s="28" t="str">
        <f>IFERROR(VLOOKUP(DE131,Horarios!$H:$I,2,0),"")</f>
        <v/>
      </c>
      <c r="DH131" s="28" t="str">
        <f t="shared" si="67"/>
        <v>00:00</v>
      </c>
      <c r="DI131" s="29"/>
      <c r="DJ131" s="27"/>
      <c r="DK131" s="27"/>
      <c r="DL131" s="28" t="str">
        <f>IFERROR(VLOOKUP(DJ131,Horarios!$H:$I,2,0),"")</f>
        <v/>
      </c>
      <c r="DM131" s="28" t="str">
        <f>IFERROR(VLOOKUP(DK131,Horarios!$H:$I,2,0),"")</f>
        <v/>
      </c>
      <c r="DN131" s="28" t="str">
        <f t="shared" si="68"/>
        <v>00:00</v>
      </c>
      <c r="DO131" s="29"/>
      <c r="DP131" s="27"/>
      <c r="DQ131" s="27"/>
      <c r="DR131" s="28" t="str">
        <f>IFERROR(VLOOKUP(DP131,Horarios!$H:$I,2,0),"")</f>
        <v/>
      </c>
      <c r="DS131" s="28" t="str">
        <f>IFERROR(VLOOKUP(DQ131,Horarios!$H:$I,2,0),"")</f>
        <v/>
      </c>
      <c r="DT131" s="28" t="str">
        <f t="shared" si="69"/>
        <v>00:00</v>
      </c>
      <c r="DU131" s="29"/>
      <c r="DV131" s="27"/>
      <c r="DW131" s="27"/>
      <c r="DX131" s="28" t="str">
        <f>IFERROR(VLOOKUP(DV131,Horarios!$H:$I,2,0),"")</f>
        <v/>
      </c>
      <c r="DY131" s="28" t="str">
        <f>IFERROR(VLOOKUP(DW131,Horarios!$H:$I,2,0),"")</f>
        <v/>
      </c>
      <c r="DZ131" s="28" t="str">
        <f t="shared" si="70"/>
        <v>00:00</v>
      </c>
      <c r="EA131" s="29"/>
      <c r="EB131" s="31" t="str">
        <f t="shared" si="71"/>
        <v/>
      </c>
      <c r="EC131" s="27"/>
      <c r="ED131" s="27"/>
      <c r="EE131" s="28" t="str">
        <f>IFERROR(VLOOKUP(EC131,Horarios!$H:$I,2,0),"")</f>
        <v/>
      </c>
      <c r="EF131" s="28" t="str">
        <f>IFERROR(VLOOKUP(ED131,Horarios!$H:$I,2,0),"")</f>
        <v/>
      </c>
      <c r="EG131" s="28" t="str">
        <f t="shared" si="72"/>
        <v>00:00</v>
      </c>
      <c r="EH131" s="29"/>
      <c r="EI131" s="27"/>
      <c r="EJ131" s="27"/>
      <c r="EK131" s="28" t="str">
        <f>IFERROR(VLOOKUP(EI131,Horarios!$H:$I,2,0),"")</f>
        <v/>
      </c>
      <c r="EL131" s="28" t="str">
        <f>IFERROR(VLOOKUP(EJ131,Horarios!$H:$I,2,0),"")</f>
        <v/>
      </c>
      <c r="EM131" s="28" t="str">
        <f t="shared" si="73"/>
        <v>00:00</v>
      </c>
      <c r="EN131" s="29"/>
      <c r="EO131" s="27"/>
      <c r="EP131" s="27"/>
      <c r="EQ131" s="28" t="str">
        <f>IFERROR(VLOOKUP(EO131,Horarios!$H:$I,2,0),"")</f>
        <v/>
      </c>
      <c r="ER131" s="28" t="str">
        <f>IFERROR(VLOOKUP(EP131,Horarios!$H:$I,2,0),"")</f>
        <v/>
      </c>
      <c r="ES131" s="28" t="str">
        <f t="shared" si="74"/>
        <v>00:00</v>
      </c>
      <c r="ET131" s="29"/>
      <c r="EU131" s="27"/>
      <c r="EV131" s="27"/>
      <c r="EW131" s="28" t="str">
        <f>IFERROR(VLOOKUP(EU131,Horarios!$H:$I,2,0),"")</f>
        <v/>
      </c>
      <c r="EX131" s="28" t="str">
        <f>IFERROR(VLOOKUP(EV131,Horarios!$H:$I,2,0),"")</f>
        <v/>
      </c>
      <c r="EY131" s="28" t="str">
        <f t="shared" si="75"/>
        <v>00:00</v>
      </c>
      <c r="EZ131" s="29"/>
      <c r="FA131" s="27"/>
      <c r="FB131" s="27"/>
      <c r="FC131" s="28" t="str">
        <f>IFERROR(VLOOKUP(FA131,Horarios!$H:$I,2,0),"")</f>
        <v/>
      </c>
      <c r="FD131" s="28" t="str">
        <f>IFERROR(VLOOKUP(FB131,Horarios!$H:$I,2,0),"")</f>
        <v/>
      </c>
      <c r="FE131" s="28" t="str">
        <f t="shared" si="76"/>
        <v>00:00</v>
      </c>
      <c r="FF131" s="29"/>
      <c r="FG131" s="27"/>
      <c r="FH131" s="27"/>
      <c r="FI131" s="28" t="str">
        <f>IFERROR(VLOOKUP(FG131,Horarios!$H:$I,2,0),"")</f>
        <v/>
      </c>
      <c r="FJ131" s="28" t="str">
        <f>IFERROR(VLOOKUP(FH131,Horarios!$H:$I,2,0),"")</f>
        <v/>
      </c>
      <c r="FK131" s="28" t="str">
        <f t="shared" si="77"/>
        <v>00:00</v>
      </c>
      <c r="FL131" s="29"/>
      <c r="FM131" s="27"/>
      <c r="FN131" s="27"/>
      <c r="FO131" s="28" t="str">
        <f>IFERROR(VLOOKUP(FM131,Horarios!$H:$I,2,0),"")</f>
        <v/>
      </c>
      <c r="FP131" s="28" t="str">
        <f>IFERROR(VLOOKUP(FN131,Horarios!$H:$I,2,0),"")</f>
        <v/>
      </c>
      <c r="FQ131" s="28" t="str">
        <f t="shared" si="78"/>
        <v>00:00</v>
      </c>
      <c r="FR131" s="29"/>
      <c r="FS131" s="31" t="str">
        <f t="shared" si="79"/>
        <v/>
      </c>
      <c r="FT131" s="27"/>
      <c r="FU131" s="27"/>
      <c r="FV131" s="28" t="str">
        <f>IFERROR(VLOOKUP(FT131,Horarios!$H:$I,2,0),"")</f>
        <v/>
      </c>
      <c r="FW131" s="28" t="str">
        <f>IFERROR(VLOOKUP(FU131,Horarios!$H:$I,2,0),"")</f>
        <v/>
      </c>
      <c r="FX131" s="28" t="str">
        <f t="shared" si="80"/>
        <v>00:00</v>
      </c>
      <c r="FY131" s="29"/>
      <c r="FZ131" s="27"/>
      <c r="GA131" s="27"/>
      <c r="GB131" s="28" t="str">
        <f>IFERROR(VLOOKUP(FZ131,Horarios!$H:$I,2,0),"")</f>
        <v/>
      </c>
      <c r="GC131" s="28" t="str">
        <f>IFERROR(VLOOKUP(GA131,Horarios!$H:$I,2,0),"")</f>
        <v/>
      </c>
      <c r="GD131" s="28" t="str">
        <f t="shared" si="81"/>
        <v>00:00</v>
      </c>
      <c r="GE131" s="29"/>
      <c r="GF131" s="27"/>
      <c r="GG131" s="27"/>
      <c r="GH131" s="28" t="str">
        <f>IFERROR(VLOOKUP(GF131,Horarios!$H:$I,2,0),"")</f>
        <v/>
      </c>
      <c r="GI131" s="28" t="str">
        <f>IFERROR(VLOOKUP(GG131,Horarios!$H:$I,2,0),"")</f>
        <v/>
      </c>
      <c r="GJ131" s="28" t="str">
        <f t="shared" si="82"/>
        <v>00:00</v>
      </c>
      <c r="GK131" s="29"/>
      <c r="GL131" s="27"/>
      <c r="GM131" s="27"/>
      <c r="GN131" s="28" t="str">
        <f>IFERROR(VLOOKUP(GL131,Horarios!$H:$I,2,0),"")</f>
        <v/>
      </c>
      <c r="GO131" s="28" t="str">
        <f>IFERROR(VLOOKUP(GM131,Horarios!$H:$I,2,0),"")</f>
        <v/>
      </c>
      <c r="GP131" s="28" t="str">
        <f t="shared" si="83"/>
        <v>00:00</v>
      </c>
      <c r="GQ131" s="29"/>
      <c r="GR131" s="27"/>
      <c r="GS131" s="27"/>
      <c r="GT131" s="28" t="str">
        <f>IFERROR(VLOOKUP(GR131,Horarios!$H:$I,2,0),"")</f>
        <v/>
      </c>
      <c r="GU131" s="28" t="str">
        <f>IFERROR(VLOOKUP(GS131,Horarios!$H:$I,2,0),"")</f>
        <v/>
      </c>
      <c r="GV131" s="28" t="str">
        <f t="shared" si="84"/>
        <v>00:00</v>
      </c>
      <c r="GW131" s="29"/>
      <c r="GX131" s="27"/>
      <c r="GY131" s="27"/>
      <c r="GZ131" s="28" t="str">
        <f>IFERROR(VLOOKUP(GX131,Horarios!$H:$I,2,0),"")</f>
        <v/>
      </c>
      <c r="HA131" s="28" t="str">
        <f>IFERROR(VLOOKUP(GY131,Horarios!$H:$I,2,0),"")</f>
        <v/>
      </c>
      <c r="HB131" s="28" t="str">
        <f t="shared" si="85"/>
        <v>00:00</v>
      </c>
      <c r="HC131" s="29"/>
      <c r="HD131" s="27"/>
      <c r="HE131" s="27"/>
      <c r="HF131" s="28" t="str">
        <f>IFERROR(VLOOKUP(HD131,Horarios!$H:$I,2,0),"")</f>
        <v/>
      </c>
      <c r="HG131" s="28" t="str">
        <f>IFERROR(VLOOKUP(HE131,Horarios!$H:$I,2,0),"")</f>
        <v/>
      </c>
      <c r="HH131" s="28" t="str">
        <f t="shared" si="86"/>
        <v>00:00</v>
      </c>
      <c r="HI131" s="29"/>
      <c r="HJ131" s="31" t="str">
        <f t="shared" si="87"/>
        <v/>
      </c>
      <c r="HK131" s="27"/>
      <c r="HL131" s="27"/>
      <c r="HM131" s="28" t="str">
        <f>IFERROR(VLOOKUP(HK131,Horarios!$H:$I,2,0),"")</f>
        <v/>
      </c>
      <c r="HN131" s="28" t="str">
        <f>IFERROR(VLOOKUP(HL131,Horarios!$H:$I,2,0),"")</f>
        <v/>
      </c>
      <c r="HO131" s="28" t="str">
        <f t="shared" si="88"/>
        <v>00:00</v>
      </c>
      <c r="HP131" s="29"/>
      <c r="HQ131" s="27"/>
      <c r="HR131" s="27"/>
      <c r="HS131" s="28" t="str">
        <f>IFERROR(VLOOKUP(HQ131,Horarios!$H:$I,2,0),"")</f>
        <v/>
      </c>
      <c r="HT131" s="28" t="str">
        <f>IFERROR(VLOOKUP(HR131,Horarios!$H:$I,2,0),"")</f>
        <v/>
      </c>
      <c r="HU131" s="28" t="str">
        <f t="shared" si="89"/>
        <v>00:00</v>
      </c>
      <c r="HV131" s="29"/>
      <c r="HW131" s="27"/>
      <c r="HX131" s="27"/>
      <c r="HY131" s="28" t="str">
        <f>IFERROR(VLOOKUP(HW131,Horarios!$H:$I,2,0),"")</f>
        <v/>
      </c>
      <c r="HZ131" s="28" t="str">
        <f>IFERROR(VLOOKUP(HX131,Horarios!$H:$I,2,0),"")</f>
        <v/>
      </c>
      <c r="IA131" s="28" t="str">
        <f t="shared" si="90"/>
        <v>00:00</v>
      </c>
      <c r="IB131" s="29"/>
      <c r="IC131" s="27"/>
      <c r="ID131" s="27"/>
      <c r="IE131" s="28" t="str">
        <f>IFERROR(VLOOKUP(IC131,Horarios!$H:$I,2,0),"")</f>
        <v/>
      </c>
      <c r="IF131" s="28" t="str">
        <f>IFERROR(VLOOKUP(ID131,Horarios!$H:$I,2,0),"")</f>
        <v/>
      </c>
      <c r="IG131" s="28" t="str">
        <f t="shared" si="91"/>
        <v>00:00</v>
      </c>
      <c r="IH131" s="29"/>
      <c r="II131" s="27"/>
      <c r="IJ131" s="27"/>
      <c r="IK131" s="28" t="str">
        <f>IFERROR(VLOOKUP(II131,Horarios!$H:$I,2,0),"")</f>
        <v/>
      </c>
      <c r="IL131" s="28" t="str">
        <f>IFERROR(VLOOKUP(IJ131,Horarios!$H:$I,2,0),"")</f>
        <v/>
      </c>
      <c r="IM131" s="28" t="str">
        <f t="shared" si="92"/>
        <v>00:00</v>
      </c>
      <c r="IN131" s="29"/>
      <c r="IO131" s="27"/>
      <c r="IP131" s="27"/>
      <c r="IQ131" s="28" t="str">
        <f>IFERROR(VLOOKUP(IO131,Horarios!$H:$I,2,0),"")</f>
        <v/>
      </c>
      <c r="IR131" s="28" t="str">
        <f>IFERROR(VLOOKUP(IP131,Horarios!$H:$I,2,0),"")</f>
        <v/>
      </c>
      <c r="IS131" s="28" t="str">
        <f t="shared" si="93"/>
        <v>00:00</v>
      </c>
      <c r="IT131" s="29"/>
      <c r="IU131" s="27"/>
      <c r="IV131" s="27"/>
      <c r="IW131" s="28" t="str">
        <f>IFERROR(VLOOKUP(IU131,Horarios!$H:$I,2,0),"")</f>
        <v/>
      </c>
      <c r="IX131" s="28" t="str">
        <f>IFERROR(VLOOKUP(IV131,Horarios!$H:$I,2,0),"")</f>
        <v/>
      </c>
      <c r="IY131" s="28" t="str">
        <f t="shared" si="94"/>
        <v>00:00</v>
      </c>
      <c r="IZ131" s="29"/>
      <c r="JA131" s="31" t="str">
        <f t="shared" si="95"/>
        <v/>
      </c>
    </row>
    <row r="132" spans="1:261" s="24" customFormat="1" ht="17.399999999999999" x14ac:dyDescent="0.25">
      <c r="A132" s="25"/>
      <c r="B132" s="26" t="str">
        <f>IFERROR(VLOOKUP(A132,BaseNombres!A:B,2,0),"")</f>
        <v/>
      </c>
      <c r="C132" s="26" t="str">
        <f>IFERROR(VLOOKUP(A132,BaseNombres!A:C,3,0),"")</f>
        <v/>
      </c>
      <c r="D132" s="27"/>
      <c r="E132" s="27"/>
      <c r="F132" s="28" t="str">
        <f>IFERROR(VLOOKUP(D132,Horarios!$H:$I,2,0),"")</f>
        <v/>
      </c>
      <c r="G132" s="28" t="str">
        <f>IFERROR(VLOOKUP(E132,Horarios!$H:$I,2,0),"")</f>
        <v/>
      </c>
      <c r="H132" s="28" t="str">
        <f t="shared" si="48"/>
        <v>00:00</v>
      </c>
      <c r="I132" s="29"/>
      <c r="J132" s="27"/>
      <c r="K132" s="27"/>
      <c r="L132" s="28" t="str">
        <f>IFERROR(VLOOKUP(J132,Horarios!$H:$I,2,0),"")</f>
        <v/>
      </c>
      <c r="M132" s="28" t="str">
        <f>IFERROR(VLOOKUP(K132,Horarios!$H:$I,2,0),"")</f>
        <v/>
      </c>
      <c r="N132" s="28" t="str">
        <f t="shared" si="49"/>
        <v>00:00</v>
      </c>
      <c r="O132" s="29"/>
      <c r="P132" s="27"/>
      <c r="Q132" s="27"/>
      <c r="R132" s="28" t="str">
        <f>IFERROR(VLOOKUP(P132,Horarios!$H:$I,2,0),"")</f>
        <v/>
      </c>
      <c r="S132" s="28" t="str">
        <f>IFERROR(VLOOKUP(Q132,Horarios!$H:$I,2,0),"")</f>
        <v/>
      </c>
      <c r="T132" s="28" t="str">
        <f t="shared" si="50"/>
        <v>00:00</v>
      </c>
      <c r="U132" s="29"/>
      <c r="V132" s="27"/>
      <c r="W132" s="27"/>
      <c r="X132" s="28" t="str">
        <f>IFERROR(VLOOKUP(V132,Horarios!$H:$I,2,0),"")</f>
        <v/>
      </c>
      <c r="Y132" s="28" t="str">
        <f>IFERROR(VLOOKUP(W132,Horarios!$H:$I,2,0),"")</f>
        <v/>
      </c>
      <c r="Z132" s="28" t="str">
        <f t="shared" si="51"/>
        <v>00:00</v>
      </c>
      <c r="AA132" s="29"/>
      <c r="AB132" s="27"/>
      <c r="AC132" s="27"/>
      <c r="AD132" s="28" t="str">
        <f>IFERROR(VLOOKUP(AB132,Horarios!$H:$I,2,0),"")</f>
        <v/>
      </c>
      <c r="AE132" s="28" t="str">
        <f>IFERROR(VLOOKUP(AC132,Horarios!$H:$I,2,0),"")</f>
        <v/>
      </c>
      <c r="AF132" s="28" t="str">
        <f t="shared" si="52"/>
        <v>00:00</v>
      </c>
      <c r="AG132" s="29"/>
      <c r="AH132" s="27"/>
      <c r="AI132" s="27"/>
      <c r="AJ132" s="28" t="str">
        <f>IFERROR(VLOOKUP(AH132,Horarios!$H:$I,2,0),"")</f>
        <v/>
      </c>
      <c r="AK132" s="28" t="str">
        <f>IFERROR(VLOOKUP(AI132,Horarios!$H:$I,2,0),"")</f>
        <v/>
      </c>
      <c r="AL132" s="28" t="str">
        <f t="shared" si="53"/>
        <v>00:00</v>
      </c>
      <c r="AM132" s="29"/>
      <c r="AN132" s="27"/>
      <c r="AO132" s="27"/>
      <c r="AP132" s="28" t="str">
        <f>IFERROR(VLOOKUP(AN132,Horarios!$H:$I,2,0),"")</f>
        <v/>
      </c>
      <c r="AQ132" s="28" t="str">
        <f>IFERROR(VLOOKUP(AO132,Horarios!$H:$I,2,0),"")</f>
        <v/>
      </c>
      <c r="AR132" s="28" t="str">
        <f t="shared" si="54"/>
        <v>00:00</v>
      </c>
      <c r="AS132" s="29"/>
      <c r="AT132" s="31" t="str">
        <f t="shared" si="55"/>
        <v/>
      </c>
      <c r="AU132" s="27"/>
      <c r="AV132" s="27"/>
      <c r="AW132" s="28" t="str">
        <f>IFERROR(VLOOKUP(AU132,Horarios!$H:$I,2,0),"")</f>
        <v/>
      </c>
      <c r="AX132" s="28" t="str">
        <f>IFERROR(VLOOKUP(AV132,Horarios!$H:$I,2,0),"")</f>
        <v/>
      </c>
      <c r="AY132" s="28" t="str">
        <f t="shared" si="56"/>
        <v>00:00</v>
      </c>
      <c r="AZ132" s="29"/>
      <c r="BA132" s="27"/>
      <c r="BB132" s="27"/>
      <c r="BC132" s="28" t="str">
        <f>IFERROR(VLOOKUP(BA132,Horarios!$H:$I,2,0),"")</f>
        <v/>
      </c>
      <c r="BD132" s="28" t="str">
        <f>IFERROR(VLOOKUP(BB132,Horarios!$H:$I,2,0),"")</f>
        <v/>
      </c>
      <c r="BE132" s="28" t="str">
        <f t="shared" si="57"/>
        <v>00:00</v>
      </c>
      <c r="BF132" s="29"/>
      <c r="BG132" s="27"/>
      <c r="BH132" s="27"/>
      <c r="BI132" s="28" t="str">
        <f>IFERROR(VLOOKUP(BG132,Horarios!$H:$I,2,0),"")</f>
        <v/>
      </c>
      <c r="BJ132" s="28" t="str">
        <f>IFERROR(VLOOKUP(BH132,Horarios!$H:$I,2,0),"")</f>
        <v/>
      </c>
      <c r="BK132" s="28" t="str">
        <f t="shared" si="58"/>
        <v>00:00</v>
      </c>
      <c r="BL132" s="29"/>
      <c r="BM132" s="27"/>
      <c r="BN132" s="27"/>
      <c r="BO132" s="28" t="str">
        <f>IFERROR(VLOOKUP(BM132,Horarios!$H:$I,2,0),"")</f>
        <v/>
      </c>
      <c r="BP132" s="28" t="str">
        <f>IFERROR(VLOOKUP(BN132,Horarios!$H:$I,2,0),"")</f>
        <v/>
      </c>
      <c r="BQ132" s="28" t="str">
        <f t="shared" si="59"/>
        <v>00:00</v>
      </c>
      <c r="BR132" s="29"/>
      <c r="BS132" s="27"/>
      <c r="BT132" s="27"/>
      <c r="BU132" s="28" t="str">
        <f>IFERROR(VLOOKUP(BS132,Horarios!$H:$I,2,0),"")</f>
        <v/>
      </c>
      <c r="BV132" s="28" t="str">
        <f>IFERROR(VLOOKUP(BT132,Horarios!$H:$I,2,0),"")</f>
        <v/>
      </c>
      <c r="BW132" s="28" t="str">
        <f t="shared" si="60"/>
        <v>00:00</v>
      </c>
      <c r="BX132" s="29"/>
      <c r="BY132" s="27"/>
      <c r="BZ132" s="27"/>
      <c r="CA132" s="28" t="str">
        <f>IFERROR(VLOOKUP(BY132,Horarios!$H:$I,2,0),"")</f>
        <v/>
      </c>
      <c r="CB132" s="28" t="str">
        <f>IFERROR(VLOOKUP(BZ132,Horarios!$H:$I,2,0),"")</f>
        <v/>
      </c>
      <c r="CC132" s="28" t="str">
        <f t="shared" si="61"/>
        <v>00:00</v>
      </c>
      <c r="CD132" s="29"/>
      <c r="CE132" s="27"/>
      <c r="CF132" s="27"/>
      <c r="CG132" s="28" t="str">
        <f>IFERROR(VLOOKUP(CE132,Horarios!$H:$I,2,0),"")</f>
        <v/>
      </c>
      <c r="CH132" s="28" t="str">
        <f>IFERROR(VLOOKUP(CF132,Horarios!$H:$I,2,0),"")</f>
        <v/>
      </c>
      <c r="CI132" s="28" t="str">
        <f t="shared" si="62"/>
        <v>00:00</v>
      </c>
      <c r="CJ132" s="29"/>
      <c r="CK132" s="31" t="str">
        <f t="shared" si="63"/>
        <v/>
      </c>
      <c r="CL132" s="27"/>
      <c r="CM132" s="27"/>
      <c r="CN132" s="28" t="str">
        <f>IFERROR(VLOOKUP(CL132,Horarios!$H:$I,2,0),"")</f>
        <v/>
      </c>
      <c r="CO132" s="28" t="str">
        <f>IFERROR(VLOOKUP(CM132,Horarios!$H:$I,2,0),"")</f>
        <v/>
      </c>
      <c r="CP132" s="28" t="str">
        <f t="shared" si="64"/>
        <v>00:00</v>
      </c>
      <c r="CQ132" s="29"/>
      <c r="CR132" s="27"/>
      <c r="CS132" s="27"/>
      <c r="CT132" s="28" t="str">
        <f>IFERROR(VLOOKUP(CR132,Horarios!$H:$I,2,0),"")</f>
        <v/>
      </c>
      <c r="CU132" s="28" t="str">
        <f>IFERROR(VLOOKUP(CS132,Horarios!$H:$I,2,0),"")</f>
        <v/>
      </c>
      <c r="CV132" s="28" t="str">
        <f t="shared" si="65"/>
        <v>00:00</v>
      </c>
      <c r="CW132" s="29"/>
      <c r="CX132" s="27"/>
      <c r="CY132" s="27"/>
      <c r="CZ132" s="28" t="str">
        <f>IFERROR(VLOOKUP(CX132,Horarios!$H:$I,2,0),"")</f>
        <v/>
      </c>
      <c r="DA132" s="28" t="str">
        <f>IFERROR(VLOOKUP(CY132,Horarios!$H:$I,2,0),"")</f>
        <v/>
      </c>
      <c r="DB132" s="28" t="str">
        <f t="shared" si="66"/>
        <v>00:00</v>
      </c>
      <c r="DC132" s="29"/>
      <c r="DD132" s="27"/>
      <c r="DE132" s="27"/>
      <c r="DF132" s="28" t="str">
        <f>IFERROR(VLOOKUP(DD132,Horarios!$H:$I,2,0),"")</f>
        <v/>
      </c>
      <c r="DG132" s="28" t="str">
        <f>IFERROR(VLOOKUP(DE132,Horarios!$H:$I,2,0),"")</f>
        <v/>
      </c>
      <c r="DH132" s="28" t="str">
        <f t="shared" si="67"/>
        <v>00:00</v>
      </c>
      <c r="DI132" s="29"/>
      <c r="DJ132" s="27"/>
      <c r="DK132" s="27"/>
      <c r="DL132" s="28" t="str">
        <f>IFERROR(VLOOKUP(DJ132,Horarios!$H:$I,2,0),"")</f>
        <v/>
      </c>
      <c r="DM132" s="28" t="str">
        <f>IFERROR(VLOOKUP(DK132,Horarios!$H:$I,2,0),"")</f>
        <v/>
      </c>
      <c r="DN132" s="28" t="str">
        <f t="shared" si="68"/>
        <v>00:00</v>
      </c>
      <c r="DO132" s="29"/>
      <c r="DP132" s="27"/>
      <c r="DQ132" s="27"/>
      <c r="DR132" s="28" t="str">
        <f>IFERROR(VLOOKUP(DP132,Horarios!$H:$I,2,0),"")</f>
        <v/>
      </c>
      <c r="DS132" s="28" t="str">
        <f>IFERROR(VLOOKUP(DQ132,Horarios!$H:$I,2,0),"")</f>
        <v/>
      </c>
      <c r="DT132" s="28" t="str">
        <f t="shared" si="69"/>
        <v>00:00</v>
      </c>
      <c r="DU132" s="29"/>
      <c r="DV132" s="27"/>
      <c r="DW132" s="27"/>
      <c r="DX132" s="28" t="str">
        <f>IFERROR(VLOOKUP(DV132,Horarios!$H:$I,2,0),"")</f>
        <v/>
      </c>
      <c r="DY132" s="28" t="str">
        <f>IFERROR(VLOOKUP(DW132,Horarios!$H:$I,2,0),"")</f>
        <v/>
      </c>
      <c r="DZ132" s="28" t="str">
        <f t="shared" si="70"/>
        <v>00:00</v>
      </c>
      <c r="EA132" s="29"/>
      <c r="EB132" s="31" t="str">
        <f t="shared" si="71"/>
        <v/>
      </c>
      <c r="EC132" s="27"/>
      <c r="ED132" s="27"/>
      <c r="EE132" s="28" t="str">
        <f>IFERROR(VLOOKUP(EC132,Horarios!$H:$I,2,0),"")</f>
        <v/>
      </c>
      <c r="EF132" s="28" t="str">
        <f>IFERROR(VLOOKUP(ED132,Horarios!$H:$I,2,0),"")</f>
        <v/>
      </c>
      <c r="EG132" s="28" t="str">
        <f t="shared" si="72"/>
        <v>00:00</v>
      </c>
      <c r="EH132" s="29"/>
      <c r="EI132" s="27"/>
      <c r="EJ132" s="27"/>
      <c r="EK132" s="28" t="str">
        <f>IFERROR(VLOOKUP(EI132,Horarios!$H:$I,2,0),"")</f>
        <v/>
      </c>
      <c r="EL132" s="28" t="str">
        <f>IFERROR(VLOOKUP(EJ132,Horarios!$H:$I,2,0),"")</f>
        <v/>
      </c>
      <c r="EM132" s="28" t="str">
        <f t="shared" si="73"/>
        <v>00:00</v>
      </c>
      <c r="EN132" s="29"/>
      <c r="EO132" s="27"/>
      <c r="EP132" s="27"/>
      <c r="EQ132" s="28" t="str">
        <f>IFERROR(VLOOKUP(EO132,Horarios!$H:$I,2,0),"")</f>
        <v/>
      </c>
      <c r="ER132" s="28" t="str">
        <f>IFERROR(VLOOKUP(EP132,Horarios!$H:$I,2,0),"")</f>
        <v/>
      </c>
      <c r="ES132" s="28" t="str">
        <f t="shared" si="74"/>
        <v>00:00</v>
      </c>
      <c r="ET132" s="29"/>
      <c r="EU132" s="27"/>
      <c r="EV132" s="27"/>
      <c r="EW132" s="28" t="str">
        <f>IFERROR(VLOOKUP(EU132,Horarios!$H:$I,2,0),"")</f>
        <v/>
      </c>
      <c r="EX132" s="28" t="str">
        <f>IFERROR(VLOOKUP(EV132,Horarios!$H:$I,2,0),"")</f>
        <v/>
      </c>
      <c r="EY132" s="28" t="str">
        <f t="shared" si="75"/>
        <v>00:00</v>
      </c>
      <c r="EZ132" s="29"/>
      <c r="FA132" s="27"/>
      <c r="FB132" s="27"/>
      <c r="FC132" s="28" t="str">
        <f>IFERROR(VLOOKUP(FA132,Horarios!$H:$I,2,0),"")</f>
        <v/>
      </c>
      <c r="FD132" s="28" t="str">
        <f>IFERROR(VLOOKUP(FB132,Horarios!$H:$I,2,0),"")</f>
        <v/>
      </c>
      <c r="FE132" s="28" t="str">
        <f t="shared" si="76"/>
        <v>00:00</v>
      </c>
      <c r="FF132" s="29"/>
      <c r="FG132" s="27"/>
      <c r="FH132" s="27"/>
      <c r="FI132" s="28" t="str">
        <f>IFERROR(VLOOKUP(FG132,Horarios!$H:$I,2,0),"")</f>
        <v/>
      </c>
      <c r="FJ132" s="28" t="str">
        <f>IFERROR(VLOOKUP(FH132,Horarios!$H:$I,2,0),"")</f>
        <v/>
      </c>
      <c r="FK132" s="28" t="str">
        <f t="shared" si="77"/>
        <v>00:00</v>
      </c>
      <c r="FL132" s="29"/>
      <c r="FM132" s="27"/>
      <c r="FN132" s="27"/>
      <c r="FO132" s="28" t="str">
        <f>IFERROR(VLOOKUP(FM132,Horarios!$H:$I,2,0),"")</f>
        <v/>
      </c>
      <c r="FP132" s="28" t="str">
        <f>IFERROR(VLOOKUP(FN132,Horarios!$H:$I,2,0),"")</f>
        <v/>
      </c>
      <c r="FQ132" s="28" t="str">
        <f t="shared" si="78"/>
        <v>00:00</v>
      </c>
      <c r="FR132" s="29"/>
      <c r="FS132" s="31" t="str">
        <f t="shared" si="79"/>
        <v/>
      </c>
      <c r="FT132" s="27"/>
      <c r="FU132" s="27"/>
      <c r="FV132" s="28" t="str">
        <f>IFERROR(VLOOKUP(FT132,Horarios!$H:$I,2,0),"")</f>
        <v/>
      </c>
      <c r="FW132" s="28" t="str">
        <f>IFERROR(VLOOKUP(FU132,Horarios!$H:$I,2,0),"")</f>
        <v/>
      </c>
      <c r="FX132" s="28" t="str">
        <f t="shared" si="80"/>
        <v>00:00</v>
      </c>
      <c r="FY132" s="29"/>
      <c r="FZ132" s="27"/>
      <c r="GA132" s="27"/>
      <c r="GB132" s="28" t="str">
        <f>IFERROR(VLOOKUP(FZ132,Horarios!$H:$I,2,0),"")</f>
        <v/>
      </c>
      <c r="GC132" s="28" t="str">
        <f>IFERROR(VLOOKUP(GA132,Horarios!$H:$I,2,0),"")</f>
        <v/>
      </c>
      <c r="GD132" s="28" t="str">
        <f t="shared" si="81"/>
        <v>00:00</v>
      </c>
      <c r="GE132" s="29"/>
      <c r="GF132" s="27"/>
      <c r="GG132" s="27"/>
      <c r="GH132" s="28" t="str">
        <f>IFERROR(VLOOKUP(GF132,Horarios!$H:$I,2,0),"")</f>
        <v/>
      </c>
      <c r="GI132" s="28" t="str">
        <f>IFERROR(VLOOKUP(GG132,Horarios!$H:$I,2,0),"")</f>
        <v/>
      </c>
      <c r="GJ132" s="28" t="str">
        <f t="shared" si="82"/>
        <v>00:00</v>
      </c>
      <c r="GK132" s="29"/>
      <c r="GL132" s="27"/>
      <c r="GM132" s="27"/>
      <c r="GN132" s="28" t="str">
        <f>IFERROR(VLOOKUP(GL132,Horarios!$H:$I,2,0),"")</f>
        <v/>
      </c>
      <c r="GO132" s="28" t="str">
        <f>IFERROR(VLOOKUP(GM132,Horarios!$H:$I,2,0),"")</f>
        <v/>
      </c>
      <c r="GP132" s="28" t="str">
        <f t="shared" si="83"/>
        <v>00:00</v>
      </c>
      <c r="GQ132" s="29"/>
      <c r="GR132" s="27"/>
      <c r="GS132" s="27"/>
      <c r="GT132" s="28" t="str">
        <f>IFERROR(VLOOKUP(GR132,Horarios!$H:$I,2,0),"")</f>
        <v/>
      </c>
      <c r="GU132" s="28" t="str">
        <f>IFERROR(VLOOKUP(GS132,Horarios!$H:$I,2,0),"")</f>
        <v/>
      </c>
      <c r="GV132" s="28" t="str">
        <f t="shared" si="84"/>
        <v>00:00</v>
      </c>
      <c r="GW132" s="29"/>
      <c r="GX132" s="27"/>
      <c r="GY132" s="27"/>
      <c r="GZ132" s="28" t="str">
        <f>IFERROR(VLOOKUP(GX132,Horarios!$H:$I,2,0),"")</f>
        <v/>
      </c>
      <c r="HA132" s="28" t="str">
        <f>IFERROR(VLOOKUP(GY132,Horarios!$H:$I,2,0),"")</f>
        <v/>
      </c>
      <c r="HB132" s="28" t="str">
        <f t="shared" si="85"/>
        <v>00:00</v>
      </c>
      <c r="HC132" s="29"/>
      <c r="HD132" s="27"/>
      <c r="HE132" s="27"/>
      <c r="HF132" s="28" t="str">
        <f>IFERROR(VLOOKUP(HD132,Horarios!$H:$I,2,0),"")</f>
        <v/>
      </c>
      <c r="HG132" s="28" t="str">
        <f>IFERROR(VLOOKUP(HE132,Horarios!$H:$I,2,0),"")</f>
        <v/>
      </c>
      <c r="HH132" s="28" t="str">
        <f t="shared" si="86"/>
        <v>00:00</v>
      </c>
      <c r="HI132" s="29"/>
      <c r="HJ132" s="31" t="str">
        <f t="shared" si="87"/>
        <v/>
      </c>
      <c r="HK132" s="27"/>
      <c r="HL132" s="27"/>
      <c r="HM132" s="28" t="str">
        <f>IFERROR(VLOOKUP(HK132,Horarios!$H:$I,2,0),"")</f>
        <v/>
      </c>
      <c r="HN132" s="28" t="str">
        <f>IFERROR(VLOOKUP(HL132,Horarios!$H:$I,2,0),"")</f>
        <v/>
      </c>
      <c r="HO132" s="28" t="str">
        <f t="shared" si="88"/>
        <v>00:00</v>
      </c>
      <c r="HP132" s="29"/>
      <c r="HQ132" s="27"/>
      <c r="HR132" s="27"/>
      <c r="HS132" s="28" t="str">
        <f>IFERROR(VLOOKUP(HQ132,Horarios!$H:$I,2,0),"")</f>
        <v/>
      </c>
      <c r="HT132" s="28" t="str">
        <f>IFERROR(VLOOKUP(HR132,Horarios!$H:$I,2,0),"")</f>
        <v/>
      </c>
      <c r="HU132" s="28" t="str">
        <f t="shared" si="89"/>
        <v>00:00</v>
      </c>
      <c r="HV132" s="29"/>
      <c r="HW132" s="27"/>
      <c r="HX132" s="27"/>
      <c r="HY132" s="28" t="str">
        <f>IFERROR(VLOOKUP(HW132,Horarios!$H:$I,2,0),"")</f>
        <v/>
      </c>
      <c r="HZ132" s="28" t="str">
        <f>IFERROR(VLOOKUP(HX132,Horarios!$H:$I,2,0),"")</f>
        <v/>
      </c>
      <c r="IA132" s="28" t="str">
        <f t="shared" si="90"/>
        <v>00:00</v>
      </c>
      <c r="IB132" s="29"/>
      <c r="IC132" s="27"/>
      <c r="ID132" s="27"/>
      <c r="IE132" s="28" t="str">
        <f>IFERROR(VLOOKUP(IC132,Horarios!$H:$I,2,0),"")</f>
        <v/>
      </c>
      <c r="IF132" s="28" t="str">
        <f>IFERROR(VLOOKUP(ID132,Horarios!$H:$I,2,0),"")</f>
        <v/>
      </c>
      <c r="IG132" s="28" t="str">
        <f t="shared" si="91"/>
        <v>00:00</v>
      </c>
      <c r="IH132" s="29"/>
      <c r="II132" s="27"/>
      <c r="IJ132" s="27"/>
      <c r="IK132" s="28" t="str">
        <f>IFERROR(VLOOKUP(II132,Horarios!$H:$I,2,0),"")</f>
        <v/>
      </c>
      <c r="IL132" s="28" t="str">
        <f>IFERROR(VLOOKUP(IJ132,Horarios!$H:$I,2,0),"")</f>
        <v/>
      </c>
      <c r="IM132" s="28" t="str">
        <f t="shared" si="92"/>
        <v>00:00</v>
      </c>
      <c r="IN132" s="29"/>
      <c r="IO132" s="27"/>
      <c r="IP132" s="27"/>
      <c r="IQ132" s="28" t="str">
        <f>IFERROR(VLOOKUP(IO132,Horarios!$H:$I,2,0),"")</f>
        <v/>
      </c>
      <c r="IR132" s="28" t="str">
        <f>IFERROR(VLOOKUP(IP132,Horarios!$H:$I,2,0),"")</f>
        <v/>
      </c>
      <c r="IS132" s="28" t="str">
        <f t="shared" si="93"/>
        <v>00:00</v>
      </c>
      <c r="IT132" s="29"/>
      <c r="IU132" s="27"/>
      <c r="IV132" s="27"/>
      <c r="IW132" s="28" t="str">
        <f>IFERROR(VLOOKUP(IU132,Horarios!$H:$I,2,0),"")</f>
        <v/>
      </c>
      <c r="IX132" s="28" t="str">
        <f>IFERROR(VLOOKUP(IV132,Horarios!$H:$I,2,0),"")</f>
        <v/>
      </c>
      <c r="IY132" s="28" t="str">
        <f t="shared" si="94"/>
        <v>00:00</v>
      </c>
      <c r="IZ132" s="29"/>
      <c r="JA132" s="31" t="str">
        <f t="shared" si="95"/>
        <v/>
      </c>
    </row>
    <row r="133" spans="1:261" s="24" customFormat="1" ht="17.399999999999999" x14ac:dyDescent="0.25">
      <c r="A133" s="25"/>
      <c r="B133" s="26" t="str">
        <f>IFERROR(VLOOKUP(A133,BaseNombres!A:B,2,0),"")</f>
        <v/>
      </c>
      <c r="C133" s="26" t="str">
        <f>IFERROR(VLOOKUP(A133,BaseNombres!A:C,3,0),"")</f>
        <v/>
      </c>
      <c r="D133" s="27"/>
      <c r="E133" s="27"/>
      <c r="F133" s="28" t="str">
        <f>IFERROR(VLOOKUP(D133,Horarios!$H:$I,2,0),"")</f>
        <v/>
      </c>
      <c r="G133" s="28" t="str">
        <f>IFERROR(VLOOKUP(E133,Horarios!$H:$I,2,0),"")</f>
        <v/>
      </c>
      <c r="H133" s="28" t="str">
        <f t="shared" si="48"/>
        <v>00:00</v>
      </c>
      <c r="I133" s="29"/>
      <c r="J133" s="27"/>
      <c r="K133" s="27"/>
      <c r="L133" s="28" t="str">
        <f>IFERROR(VLOOKUP(J133,Horarios!$H:$I,2,0),"")</f>
        <v/>
      </c>
      <c r="M133" s="28" t="str">
        <f>IFERROR(VLOOKUP(K133,Horarios!$H:$I,2,0),"")</f>
        <v/>
      </c>
      <c r="N133" s="28" t="str">
        <f t="shared" si="49"/>
        <v>00:00</v>
      </c>
      <c r="O133" s="29"/>
      <c r="P133" s="27"/>
      <c r="Q133" s="27"/>
      <c r="R133" s="28" t="str">
        <f>IFERROR(VLOOKUP(P133,Horarios!$H:$I,2,0),"")</f>
        <v/>
      </c>
      <c r="S133" s="28" t="str">
        <f>IFERROR(VLOOKUP(Q133,Horarios!$H:$I,2,0),"")</f>
        <v/>
      </c>
      <c r="T133" s="28" t="str">
        <f t="shared" si="50"/>
        <v>00:00</v>
      </c>
      <c r="U133" s="29"/>
      <c r="V133" s="27"/>
      <c r="W133" s="27"/>
      <c r="X133" s="28" t="str">
        <f>IFERROR(VLOOKUP(V133,Horarios!$H:$I,2,0),"")</f>
        <v/>
      </c>
      <c r="Y133" s="28" t="str">
        <f>IFERROR(VLOOKUP(W133,Horarios!$H:$I,2,0),"")</f>
        <v/>
      </c>
      <c r="Z133" s="28" t="str">
        <f t="shared" si="51"/>
        <v>00:00</v>
      </c>
      <c r="AA133" s="29"/>
      <c r="AB133" s="27"/>
      <c r="AC133" s="27"/>
      <c r="AD133" s="28" t="str">
        <f>IFERROR(VLOOKUP(AB133,Horarios!$H:$I,2,0),"")</f>
        <v/>
      </c>
      <c r="AE133" s="28" t="str">
        <f>IFERROR(VLOOKUP(AC133,Horarios!$H:$I,2,0),"")</f>
        <v/>
      </c>
      <c r="AF133" s="28" t="str">
        <f t="shared" si="52"/>
        <v>00:00</v>
      </c>
      <c r="AG133" s="29"/>
      <c r="AH133" s="27"/>
      <c r="AI133" s="27"/>
      <c r="AJ133" s="28" t="str">
        <f>IFERROR(VLOOKUP(AH133,Horarios!$H:$I,2,0),"")</f>
        <v/>
      </c>
      <c r="AK133" s="28" t="str">
        <f>IFERROR(VLOOKUP(AI133,Horarios!$H:$I,2,0),"")</f>
        <v/>
      </c>
      <c r="AL133" s="28" t="str">
        <f t="shared" si="53"/>
        <v>00:00</v>
      </c>
      <c r="AM133" s="29"/>
      <c r="AN133" s="27"/>
      <c r="AO133" s="27"/>
      <c r="AP133" s="28" t="str">
        <f>IFERROR(VLOOKUP(AN133,Horarios!$H:$I,2,0),"")</f>
        <v/>
      </c>
      <c r="AQ133" s="28" t="str">
        <f>IFERROR(VLOOKUP(AO133,Horarios!$H:$I,2,0),"")</f>
        <v/>
      </c>
      <c r="AR133" s="28" t="str">
        <f t="shared" si="54"/>
        <v>00:00</v>
      </c>
      <c r="AS133" s="29"/>
      <c r="AT133" s="31" t="str">
        <f t="shared" si="55"/>
        <v/>
      </c>
      <c r="AU133" s="27"/>
      <c r="AV133" s="27"/>
      <c r="AW133" s="28" t="str">
        <f>IFERROR(VLOOKUP(AU133,Horarios!$H:$I,2,0),"")</f>
        <v/>
      </c>
      <c r="AX133" s="28" t="str">
        <f>IFERROR(VLOOKUP(AV133,Horarios!$H:$I,2,0),"")</f>
        <v/>
      </c>
      <c r="AY133" s="28" t="str">
        <f t="shared" si="56"/>
        <v>00:00</v>
      </c>
      <c r="AZ133" s="29"/>
      <c r="BA133" s="27"/>
      <c r="BB133" s="27"/>
      <c r="BC133" s="28" t="str">
        <f>IFERROR(VLOOKUP(BA133,Horarios!$H:$I,2,0),"")</f>
        <v/>
      </c>
      <c r="BD133" s="28" t="str">
        <f>IFERROR(VLOOKUP(BB133,Horarios!$H:$I,2,0),"")</f>
        <v/>
      </c>
      <c r="BE133" s="28" t="str">
        <f t="shared" si="57"/>
        <v>00:00</v>
      </c>
      <c r="BF133" s="29"/>
      <c r="BG133" s="27"/>
      <c r="BH133" s="27"/>
      <c r="BI133" s="28" t="str">
        <f>IFERROR(VLOOKUP(BG133,Horarios!$H:$I,2,0),"")</f>
        <v/>
      </c>
      <c r="BJ133" s="28" t="str">
        <f>IFERROR(VLOOKUP(BH133,Horarios!$H:$I,2,0),"")</f>
        <v/>
      </c>
      <c r="BK133" s="28" t="str">
        <f t="shared" si="58"/>
        <v>00:00</v>
      </c>
      <c r="BL133" s="29"/>
      <c r="BM133" s="27"/>
      <c r="BN133" s="27"/>
      <c r="BO133" s="28" t="str">
        <f>IFERROR(VLOOKUP(BM133,Horarios!$H:$I,2,0),"")</f>
        <v/>
      </c>
      <c r="BP133" s="28" t="str">
        <f>IFERROR(VLOOKUP(BN133,Horarios!$H:$I,2,0),"")</f>
        <v/>
      </c>
      <c r="BQ133" s="28" t="str">
        <f t="shared" si="59"/>
        <v>00:00</v>
      </c>
      <c r="BR133" s="29"/>
      <c r="BS133" s="27"/>
      <c r="BT133" s="27"/>
      <c r="BU133" s="28" t="str">
        <f>IFERROR(VLOOKUP(BS133,Horarios!$H:$I,2,0),"")</f>
        <v/>
      </c>
      <c r="BV133" s="28" t="str">
        <f>IFERROR(VLOOKUP(BT133,Horarios!$H:$I,2,0),"")</f>
        <v/>
      </c>
      <c r="BW133" s="28" t="str">
        <f t="shared" si="60"/>
        <v>00:00</v>
      </c>
      <c r="BX133" s="29"/>
      <c r="BY133" s="27"/>
      <c r="BZ133" s="27"/>
      <c r="CA133" s="28" t="str">
        <f>IFERROR(VLOOKUP(BY133,Horarios!$H:$I,2,0),"")</f>
        <v/>
      </c>
      <c r="CB133" s="28" t="str">
        <f>IFERROR(VLOOKUP(BZ133,Horarios!$H:$I,2,0),"")</f>
        <v/>
      </c>
      <c r="CC133" s="28" t="str">
        <f t="shared" si="61"/>
        <v>00:00</v>
      </c>
      <c r="CD133" s="29"/>
      <c r="CE133" s="27"/>
      <c r="CF133" s="27"/>
      <c r="CG133" s="28" t="str">
        <f>IFERROR(VLOOKUP(CE133,Horarios!$H:$I,2,0),"")</f>
        <v/>
      </c>
      <c r="CH133" s="28" t="str">
        <f>IFERROR(VLOOKUP(CF133,Horarios!$H:$I,2,0),"")</f>
        <v/>
      </c>
      <c r="CI133" s="28" t="str">
        <f t="shared" si="62"/>
        <v>00:00</v>
      </c>
      <c r="CJ133" s="29"/>
      <c r="CK133" s="31" t="str">
        <f t="shared" si="63"/>
        <v/>
      </c>
      <c r="CL133" s="27"/>
      <c r="CM133" s="27"/>
      <c r="CN133" s="28" t="str">
        <f>IFERROR(VLOOKUP(CL133,Horarios!$H:$I,2,0),"")</f>
        <v/>
      </c>
      <c r="CO133" s="28" t="str">
        <f>IFERROR(VLOOKUP(CM133,Horarios!$H:$I,2,0),"")</f>
        <v/>
      </c>
      <c r="CP133" s="28" t="str">
        <f t="shared" si="64"/>
        <v>00:00</v>
      </c>
      <c r="CQ133" s="29"/>
      <c r="CR133" s="27"/>
      <c r="CS133" s="27"/>
      <c r="CT133" s="28" t="str">
        <f>IFERROR(VLOOKUP(CR133,Horarios!$H:$I,2,0),"")</f>
        <v/>
      </c>
      <c r="CU133" s="28" t="str">
        <f>IFERROR(VLOOKUP(CS133,Horarios!$H:$I,2,0),"")</f>
        <v/>
      </c>
      <c r="CV133" s="28" t="str">
        <f t="shared" si="65"/>
        <v>00:00</v>
      </c>
      <c r="CW133" s="29"/>
      <c r="CX133" s="27"/>
      <c r="CY133" s="27"/>
      <c r="CZ133" s="28" t="str">
        <f>IFERROR(VLOOKUP(CX133,Horarios!$H:$I,2,0),"")</f>
        <v/>
      </c>
      <c r="DA133" s="28" t="str">
        <f>IFERROR(VLOOKUP(CY133,Horarios!$H:$I,2,0),"")</f>
        <v/>
      </c>
      <c r="DB133" s="28" t="str">
        <f t="shared" si="66"/>
        <v>00:00</v>
      </c>
      <c r="DC133" s="29"/>
      <c r="DD133" s="27"/>
      <c r="DE133" s="27"/>
      <c r="DF133" s="28" t="str">
        <f>IFERROR(VLOOKUP(DD133,Horarios!$H:$I,2,0),"")</f>
        <v/>
      </c>
      <c r="DG133" s="28" t="str">
        <f>IFERROR(VLOOKUP(DE133,Horarios!$H:$I,2,0),"")</f>
        <v/>
      </c>
      <c r="DH133" s="28" t="str">
        <f t="shared" si="67"/>
        <v>00:00</v>
      </c>
      <c r="DI133" s="29"/>
      <c r="DJ133" s="27"/>
      <c r="DK133" s="27"/>
      <c r="DL133" s="28" t="str">
        <f>IFERROR(VLOOKUP(DJ133,Horarios!$H:$I,2,0),"")</f>
        <v/>
      </c>
      <c r="DM133" s="28" t="str">
        <f>IFERROR(VLOOKUP(DK133,Horarios!$H:$I,2,0),"")</f>
        <v/>
      </c>
      <c r="DN133" s="28" t="str">
        <f t="shared" si="68"/>
        <v>00:00</v>
      </c>
      <c r="DO133" s="29"/>
      <c r="DP133" s="27"/>
      <c r="DQ133" s="27"/>
      <c r="DR133" s="28" t="str">
        <f>IFERROR(VLOOKUP(DP133,Horarios!$H:$I,2,0),"")</f>
        <v/>
      </c>
      <c r="DS133" s="28" t="str">
        <f>IFERROR(VLOOKUP(DQ133,Horarios!$H:$I,2,0),"")</f>
        <v/>
      </c>
      <c r="DT133" s="28" t="str">
        <f t="shared" si="69"/>
        <v>00:00</v>
      </c>
      <c r="DU133" s="29"/>
      <c r="DV133" s="27"/>
      <c r="DW133" s="27"/>
      <c r="DX133" s="28" t="str">
        <f>IFERROR(VLOOKUP(DV133,Horarios!$H:$I,2,0),"")</f>
        <v/>
      </c>
      <c r="DY133" s="28" t="str">
        <f>IFERROR(VLOOKUP(DW133,Horarios!$H:$I,2,0),"")</f>
        <v/>
      </c>
      <c r="DZ133" s="28" t="str">
        <f t="shared" si="70"/>
        <v>00:00</v>
      </c>
      <c r="EA133" s="29"/>
      <c r="EB133" s="31" t="str">
        <f t="shared" si="71"/>
        <v/>
      </c>
      <c r="EC133" s="27"/>
      <c r="ED133" s="27"/>
      <c r="EE133" s="28" t="str">
        <f>IFERROR(VLOOKUP(EC133,Horarios!$H:$I,2,0),"")</f>
        <v/>
      </c>
      <c r="EF133" s="28" t="str">
        <f>IFERROR(VLOOKUP(ED133,Horarios!$H:$I,2,0),"")</f>
        <v/>
      </c>
      <c r="EG133" s="28" t="str">
        <f t="shared" si="72"/>
        <v>00:00</v>
      </c>
      <c r="EH133" s="29"/>
      <c r="EI133" s="27"/>
      <c r="EJ133" s="27"/>
      <c r="EK133" s="28" t="str">
        <f>IFERROR(VLOOKUP(EI133,Horarios!$H:$I,2,0),"")</f>
        <v/>
      </c>
      <c r="EL133" s="28" t="str">
        <f>IFERROR(VLOOKUP(EJ133,Horarios!$H:$I,2,0),"")</f>
        <v/>
      </c>
      <c r="EM133" s="28" t="str">
        <f t="shared" si="73"/>
        <v>00:00</v>
      </c>
      <c r="EN133" s="29"/>
      <c r="EO133" s="27"/>
      <c r="EP133" s="27"/>
      <c r="EQ133" s="28" t="str">
        <f>IFERROR(VLOOKUP(EO133,Horarios!$H:$I,2,0),"")</f>
        <v/>
      </c>
      <c r="ER133" s="28" t="str">
        <f>IFERROR(VLOOKUP(EP133,Horarios!$H:$I,2,0),"")</f>
        <v/>
      </c>
      <c r="ES133" s="28" t="str">
        <f t="shared" si="74"/>
        <v>00:00</v>
      </c>
      <c r="ET133" s="29"/>
      <c r="EU133" s="27"/>
      <c r="EV133" s="27"/>
      <c r="EW133" s="28" t="str">
        <f>IFERROR(VLOOKUP(EU133,Horarios!$H:$I,2,0),"")</f>
        <v/>
      </c>
      <c r="EX133" s="28" t="str">
        <f>IFERROR(VLOOKUP(EV133,Horarios!$H:$I,2,0),"")</f>
        <v/>
      </c>
      <c r="EY133" s="28" t="str">
        <f t="shared" si="75"/>
        <v>00:00</v>
      </c>
      <c r="EZ133" s="29"/>
      <c r="FA133" s="27"/>
      <c r="FB133" s="27"/>
      <c r="FC133" s="28" t="str">
        <f>IFERROR(VLOOKUP(FA133,Horarios!$H:$I,2,0),"")</f>
        <v/>
      </c>
      <c r="FD133" s="28" t="str">
        <f>IFERROR(VLOOKUP(FB133,Horarios!$H:$I,2,0),"")</f>
        <v/>
      </c>
      <c r="FE133" s="28" t="str">
        <f t="shared" si="76"/>
        <v>00:00</v>
      </c>
      <c r="FF133" s="29"/>
      <c r="FG133" s="27"/>
      <c r="FH133" s="27"/>
      <c r="FI133" s="28" t="str">
        <f>IFERROR(VLOOKUP(FG133,Horarios!$H:$I,2,0),"")</f>
        <v/>
      </c>
      <c r="FJ133" s="28" t="str">
        <f>IFERROR(VLOOKUP(FH133,Horarios!$H:$I,2,0),"")</f>
        <v/>
      </c>
      <c r="FK133" s="28" t="str">
        <f t="shared" si="77"/>
        <v>00:00</v>
      </c>
      <c r="FL133" s="29"/>
      <c r="FM133" s="27"/>
      <c r="FN133" s="27"/>
      <c r="FO133" s="28" t="str">
        <f>IFERROR(VLOOKUP(FM133,Horarios!$H:$I,2,0),"")</f>
        <v/>
      </c>
      <c r="FP133" s="28" t="str">
        <f>IFERROR(VLOOKUP(FN133,Horarios!$H:$I,2,0),"")</f>
        <v/>
      </c>
      <c r="FQ133" s="28" t="str">
        <f t="shared" si="78"/>
        <v>00:00</v>
      </c>
      <c r="FR133" s="29"/>
      <c r="FS133" s="31" t="str">
        <f t="shared" si="79"/>
        <v/>
      </c>
      <c r="FT133" s="27"/>
      <c r="FU133" s="27"/>
      <c r="FV133" s="28" t="str">
        <f>IFERROR(VLOOKUP(FT133,Horarios!$H:$I,2,0),"")</f>
        <v/>
      </c>
      <c r="FW133" s="28" t="str">
        <f>IFERROR(VLOOKUP(FU133,Horarios!$H:$I,2,0),"")</f>
        <v/>
      </c>
      <c r="FX133" s="28" t="str">
        <f t="shared" si="80"/>
        <v>00:00</v>
      </c>
      <c r="FY133" s="29"/>
      <c r="FZ133" s="27"/>
      <c r="GA133" s="27"/>
      <c r="GB133" s="28" t="str">
        <f>IFERROR(VLOOKUP(FZ133,Horarios!$H:$I,2,0),"")</f>
        <v/>
      </c>
      <c r="GC133" s="28" t="str">
        <f>IFERROR(VLOOKUP(GA133,Horarios!$H:$I,2,0),"")</f>
        <v/>
      </c>
      <c r="GD133" s="28" t="str">
        <f t="shared" si="81"/>
        <v>00:00</v>
      </c>
      <c r="GE133" s="29"/>
      <c r="GF133" s="27"/>
      <c r="GG133" s="27"/>
      <c r="GH133" s="28" t="str">
        <f>IFERROR(VLOOKUP(GF133,Horarios!$H:$I,2,0),"")</f>
        <v/>
      </c>
      <c r="GI133" s="28" t="str">
        <f>IFERROR(VLOOKUP(GG133,Horarios!$H:$I,2,0),"")</f>
        <v/>
      </c>
      <c r="GJ133" s="28" t="str">
        <f t="shared" si="82"/>
        <v>00:00</v>
      </c>
      <c r="GK133" s="29"/>
      <c r="GL133" s="27"/>
      <c r="GM133" s="27"/>
      <c r="GN133" s="28" t="str">
        <f>IFERROR(VLOOKUP(GL133,Horarios!$H:$I,2,0),"")</f>
        <v/>
      </c>
      <c r="GO133" s="28" t="str">
        <f>IFERROR(VLOOKUP(GM133,Horarios!$H:$I,2,0),"")</f>
        <v/>
      </c>
      <c r="GP133" s="28" t="str">
        <f t="shared" si="83"/>
        <v>00:00</v>
      </c>
      <c r="GQ133" s="29"/>
      <c r="GR133" s="27"/>
      <c r="GS133" s="27"/>
      <c r="GT133" s="28" t="str">
        <f>IFERROR(VLOOKUP(GR133,Horarios!$H:$I,2,0),"")</f>
        <v/>
      </c>
      <c r="GU133" s="28" t="str">
        <f>IFERROR(VLOOKUP(GS133,Horarios!$H:$I,2,0),"")</f>
        <v/>
      </c>
      <c r="GV133" s="28" t="str">
        <f t="shared" si="84"/>
        <v>00:00</v>
      </c>
      <c r="GW133" s="29"/>
      <c r="GX133" s="27"/>
      <c r="GY133" s="27"/>
      <c r="GZ133" s="28" t="str">
        <f>IFERROR(VLOOKUP(GX133,Horarios!$H:$I,2,0),"")</f>
        <v/>
      </c>
      <c r="HA133" s="28" t="str">
        <f>IFERROR(VLOOKUP(GY133,Horarios!$H:$I,2,0),"")</f>
        <v/>
      </c>
      <c r="HB133" s="28" t="str">
        <f t="shared" si="85"/>
        <v>00:00</v>
      </c>
      <c r="HC133" s="29"/>
      <c r="HD133" s="27"/>
      <c r="HE133" s="27"/>
      <c r="HF133" s="28" t="str">
        <f>IFERROR(VLOOKUP(HD133,Horarios!$H:$I,2,0),"")</f>
        <v/>
      </c>
      <c r="HG133" s="28" t="str">
        <f>IFERROR(VLOOKUP(HE133,Horarios!$H:$I,2,0),"")</f>
        <v/>
      </c>
      <c r="HH133" s="28" t="str">
        <f t="shared" si="86"/>
        <v>00:00</v>
      </c>
      <c r="HI133" s="29"/>
      <c r="HJ133" s="31" t="str">
        <f t="shared" si="87"/>
        <v/>
      </c>
      <c r="HK133" s="27"/>
      <c r="HL133" s="27"/>
      <c r="HM133" s="28" t="str">
        <f>IFERROR(VLOOKUP(HK133,Horarios!$H:$I,2,0),"")</f>
        <v/>
      </c>
      <c r="HN133" s="28" t="str">
        <f>IFERROR(VLOOKUP(HL133,Horarios!$H:$I,2,0),"")</f>
        <v/>
      </c>
      <c r="HO133" s="28" t="str">
        <f t="shared" si="88"/>
        <v>00:00</v>
      </c>
      <c r="HP133" s="29"/>
      <c r="HQ133" s="27"/>
      <c r="HR133" s="27"/>
      <c r="HS133" s="28" t="str">
        <f>IFERROR(VLOOKUP(HQ133,Horarios!$H:$I,2,0),"")</f>
        <v/>
      </c>
      <c r="HT133" s="28" t="str">
        <f>IFERROR(VLOOKUP(HR133,Horarios!$H:$I,2,0),"")</f>
        <v/>
      </c>
      <c r="HU133" s="28" t="str">
        <f t="shared" si="89"/>
        <v>00:00</v>
      </c>
      <c r="HV133" s="29"/>
      <c r="HW133" s="27"/>
      <c r="HX133" s="27"/>
      <c r="HY133" s="28" t="str">
        <f>IFERROR(VLOOKUP(HW133,Horarios!$H:$I,2,0),"")</f>
        <v/>
      </c>
      <c r="HZ133" s="28" t="str">
        <f>IFERROR(VLOOKUP(HX133,Horarios!$H:$I,2,0),"")</f>
        <v/>
      </c>
      <c r="IA133" s="28" t="str">
        <f t="shared" si="90"/>
        <v>00:00</v>
      </c>
      <c r="IB133" s="29"/>
      <c r="IC133" s="27"/>
      <c r="ID133" s="27"/>
      <c r="IE133" s="28" t="str">
        <f>IFERROR(VLOOKUP(IC133,Horarios!$H:$I,2,0),"")</f>
        <v/>
      </c>
      <c r="IF133" s="28" t="str">
        <f>IFERROR(VLOOKUP(ID133,Horarios!$H:$I,2,0),"")</f>
        <v/>
      </c>
      <c r="IG133" s="28" t="str">
        <f t="shared" si="91"/>
        <v>00:00</v>
      </c>
      <c r="IH133" s="29"/>
      <c r="II133" s="27"/>
      <c r="IJ133" s="27"/>
      <c r="IK133" s="28" t="str">
        <f>IFERROR(VLOOKUP(II133,Horarios!$H:$I,2,0),"")</f>
        <v/>
      </c>
      <c r="IL133" s="28" t="str">
        <f>IFERROR(VLOOKUP(IJ133,Horarios!$H:$I,2,0),"")</f>
        <v/>
      </c>
      <c r="IM133" s="28" t="str">
        <f t="shared" si="92"/>
        <v>00:00</v>
      </c>
      <c r="IN133" s="29"/>
      <c r="IO133" s="27"/>
      <c r="IP133" s="27"/>
      <c r="IQ133" s="28" t="str">
        <f>IFERROR(VLOOKUP(IO133,Horarios!$H:$I,2,0),"")</f>
        <v/>
      </c>
      <c r="IR133" s="28" t="str">
        <f>IFERROR(VLOOKUP(IP133,Horarios!$H:$I,2,0),"")</f>
        <v/>
      </c>
      <c r="IS133" s="28" t="str">
        <f t="shared" si="93"/>
        <v>00:00</v>
      </c>
      <c r="IT133" s="29"/>
      <c r="IU133" s="27"/>
      <c r="IV133" s="27"/>
      <c r="IW133" s="28" t="str">
        <f>IFERROR(VLOOKUP(IU133,Horarios!$H:$I,2,0),"")</f>
        <v/>
      </c>
      <c r="IX133" s="28" t="str">
        <f>IFERROR(VLOOKUP(IV133,Horarios!$H:$I,2,0),"")</f>
        <v/>
      </c>
      <c r="IY133" s="28" t="str">
        <f t="shared" si="94"/>
        <v>00:00</v>
      </c>
      <c r="IZ133" s="29"/>
      <c r="JA133" s="31" t="str">
        <f t="shared" si="95"/>
        <v/>
      </c>
    </row>
    <row r="134" spans="1:261" s="24" customFormat="1" ht="17.399999999999999" x14ac:dyDescent="0.25">
      <c r="A134" s="25"/>
      <c r="B134" s="26" t="str">
        <f>IFERROR(VLOOKUP(A134,BaseNombres!A:B,2,0),"")</f>
        <v/>
      </c>
      <c r="C134" s="26" t="str">
        <f>IFERROR(VLOOKUP(A134,BaseNombres!A:C,3,0),"")</f>
        <v/>
      </c>
      <c r="D134" s="27"/>
      <c r="E134" s="27"/>
      <c r="F134" s="28" t="str">
        <f>IFERROR(VLOOKUP(D134,Horarios!$H:$I,2,0),"")</f>
        <v/>
      </c>
      <c r="G134" s="28" t="str">
        <f>IFERROR(VLOOKUP(E134,Horarios!$H:$I,2,0),"")</f>
        <v/>
      </c>
      <c r="H134" s="28" t="str">
        <f t="shared" si="48"/>
        <v>00:00</v>
      </c>
      <c r="I134" s="29"/>
      <c r="J134" s="27"/>
      <c r="K134" s="27"/>
      <c r="L134" s="28" t="str">
        <f>IFERROR(VLOOKUP(J134,Horarios!$H:$I,2,0),"")</f>
        <v/>
      </c>
      <c r="M134" s="28" t="str">
        <f>IFERROR(VLOOKUP(K134,Horarios!$H:$I,2,0),"")</f>
        <v/>
      </c>
      <c r="N134" s="28" t="str">
        <f t="shared" si="49"/>
        <v>00:00</v>
      </c>
      <c r="O134" s="29"/>
      <c r="P134" s="27"/>
      <c r="Q134" s="27"/>
      <c r="R134" s="28" t="str">
        <f>IFERROR(VLOOKUP(P134,Horarios!$H:$I,2,0),"")</f>
        <v/>
      </c>
      <c r="S134" s="28" t="str">
        <f>IFERROR(VLOOKUP(Q134,Horarios!$H:$I,2,0),"")</f>
        <v/>
      </c>
      <c r="T134" s="28" t="str">
        <f t="shared" si="50"/>
        <v>00:00</v>
      </c>
      <c r="U134" s="29"/>
      <c r="V134" s="27"/>
      <c r="W134" s="27"/>
      <c r="X134" s="28" t="str">
        <f>IFERROR(VLOOKUP(V134,Horarios!$H:$I,2,0),"")</f>
        <v/>
      </c>
      <c r="Y134" s="28" t="str">
        <f>IFERROR(VLOOKUP(W134,Horarios!$H:$I,2,0),"")</f>
        <v/>
      </c>
      <c r="Z134" s="28" t="str">
        <f t="shared" si="51"/>
        <v>00:00</v>
      </c>
      <c r="AA134" s="29"/>
      <c r="AB134" s="27"/>
      <c r="AC134" s="27"/>
      <c r="AD134" s="28" t="str">
        <f>IFERROR(VLOOKUP(AB134,Horarios!$H:$I,2,0),"")</f>
        <v/>
      </c>
      <c r="AE134" s="28" t="str">
        <f>IFERROR(VLOOKUP(AC134,Horarios!$H:$I,2,0),"")</f>
        <v/>
      </c>
      <c r="AF134" s="28" t="str">
        <f t="shared" si="52"/>
        <v>00:00</v>
      </c>
      <c r="AG134" s="29"/>
      <c r="AH134" s="27"/>
      <c r="AI134" s="27"/>
      <c r="AJ134" s="28" t="str">
        <f>IFERROR(VLOOKUP(AH134,Horarios!$H:$I,2,0),"")</f>
        <v/>
      </c>
      <c r="AK134" s="28" t="str">
        <f>IFERROR(VLOOKUP(AI134,Horarios!$H:$I,2,0),"")</f>
        <v/>
      </c>
      <c r="AL134" s="28" t="str">
        <f t="shared" si="53"/>
        <v>00:00</v>
      </c>
      <c r="AM134" s="29"/>
      <c r="AN134" s="27"/>
      <c r="AO134" s="27"/>
      <c r="AP134" s="28" t="str">
        <f>IFERROR(VLOOKUP(AN134,Horarios!$H:$I,2,0),"")</f>
        <v/>
      </c>
      <c r="AQ134" s="28" t="str">
        <f>IFERROR(VLOOKUP(AO134,Horarios!$H:$I,2,0),"")</f>
        <v/>
      </c>
      <c r="AR134" s="28" t="str">
        <f t="shared" si="54"/>
        <v>00:00</v>
      </c>
      <c r="AS134" s="29"/>
      <c r="AT134" s="31" t="str">
        <f t="shared" si="55"/>
        <v/>
      </c>
      <c r="AU134" s="27"/>
      <c r="AV134" s="27"/>
      <c r="AW134" s="28" t="str">
        <f>IFERROR(VLOOKUP(AU134,Horarios!$H:$I,2,0),"")</f>
        <v/>
      </c>
      <c r="AX134" s="28" t="str">
        <f>IFERROR(VLOOKUP(AV134,Horarios!$H:$I,2,0),"")</f>
        <v/>
      </c>
      <c r="AY134" s="28" t="str">
        <f t="shared" si="56"/>
        <v>00:00</v>
      </c>
      <c r="AZ134" s="29"/>
      <c r="BA134" s="27"/>
      <c r="BB134" s="27"/>
      <c r="BC134" s="28" t="str">
        <f>IFERROR(VLOOKUP(BA134,Horarios!$H:$I,2,0),"")</f>
        <v/>
      </c>
      <c r="BD134" s="28" t="str">
        <f>IFERROR(VLOOKUP(BB134,Horarios!$H:$I,2,0),"")</f>
        <v/>
      </c>
      <c r="BE134" s="28" t="str">
        <f t="shared" si="57"/>
        <v>00:00</v>
      </c>
      <c r="BF134" s="29"/>
      <c r="BG134" s="27"/>
      <c r="BH134" s="27"/>
      <c r="BI134" s="28" t="str">
        <f>IFERROR(VLOOKUP(BG134,Horarios!$H:$I,2,0),"")</f>
        <v/>
      </c>
      <c r="BJ134" s="28" t="str">
        <f>IFERROR(VLOOKUP(BH134,Horarios!$H:$I,2,0),"")</f>
        <v/>
      </c>
      <c r="BK134" s="28" t="str">
        <f t="shared" si="58"/>
        <v>00:00</v>
      </c>
      <c r="BL134" s="29"/>
      <c r="BM134" s="27"/>
      <c r="BN134" s="27"/>
      <c r="BO134" s="28" t="str">
        <f>IFERROR(VLOOKUP(BM134,Horarios!$H:$I,2,0),"")</f>
        <v/>
      </c>
      <c r="BP134" s="28" t="str">
        <f>IFERROR(VLOOKUP(BN134,Horarios!$H:$I,2,0),"")</f>
        <v/>
      </c>
      <c r="BQ134" s="28" t="str">
        <f t="shared" si="59"/>
        <v>00:00</v>
      </c>
      <c r="BR134" s="29"/>
      <c r="BS134" s="27"/>
      <c r="BT134" s="27"/>
      <c r="BU134" s="28" t="str">
        <f>IFERROR(VLOOKUP(BS134,Horarios!$H:$I,2,0),"")</f>
        <v/>
      </c>
      <c r="BV134" s="28" t="str">
        <f>IFERROR(VLOOKUP(BT134,Horarios!$H:$I,2,0),"")</f>
        <v/>
      </c>
      <c r="BW134" s="28" t="str">
        <f t="shared" si="60"/>
        <v>00:00</v>
      </c>
      <c r="BX134" s="29"/>
      <c r="BY134" s="27"/>
      <c r="BZ134" s="27"/>
      <c r="CA134" s="28" t="str">
        <f>IFERROR(VLOOKUP(BY134,Horarios!$H:$I,2,0),"")</f>
        <v/>
      </c>
      <c r="CB134" s="28" t="str">
        <f>IFERROR(VLOOKUP(BZ134,Horarios!$H:$I,2,0),"")</f>
        <v/>
      </c>
      <c r="CC134" s="28" t="str">
        <f t="shared" si="61"/>
        <v>00:00</v>
      </c>
      <c r="CD134" s="29"/>
      <c r="CE134" s="27"/>
      <c r="CF134" s="27"/>
      <c r="CG134" s="28" t="str">
        <f>IFERROR(VLOOKUP(CE134,Horarios!$H:$I,2,0),"")</f>
        <v/>
      </c>
      <c r="CH134" s="28" t="str">
        <f>IFERROR(VLOOKUP(CF134,Horarios!$H:$I,2,0),"")</f>
        <v/>
      </c>
      <c r="CI134" s="28" t="str">
        <f t="shared" si="62"/>
        <v>00:00</v>
      </c>
      <c r="CJ134" s="29"/>
      <c r="CK134" s="31" t="str">
        <f t="shared" si="63"/>
        <v/>
      </c>
      <c r="CL134" s="27"/>
      <c r="CM134" s="27"/>
      <c r="CN134" s="28" t="str">
        <f>IFERROR(VLOOKUP(CL134,Horarios!$H:$I,2,0),"")</f>
        <v/>
      </c>
      <c r="CO134" s="28" t="str">
        <f>IFERROR(VLOOKUP(CM134,Horarios!$H:$I,2,0),"")</f>
        <v/>
      </c>
      <c r="CP134" s="28" t="str">
        <f t="shared" si="64"/>
        <v>00:00</v>
      </c>
      <c r="CQ134" s="29"/>
      <c r="CR134" s="27"/>
      <c r="CS134" s="27"/>
      <c r="CT134" s="28" t="str">
        <f>IFERROR(VLOOKUP(CR134,Horarios!$H:$I,2,0),"")</f>
        <v/>
      </c>
      <c r="CU134" s="28" t="str">
        <f>IFERROR(VLOOKUP(CS134,Horarios!$H:$I,2,0),"")</f>
        <v/>
      </c>
      <c r="CV134" s="28" t="str">
        <f t="shared" si="65"/>
        <v>00:00</v>
      </c>
      <c r="CW134" s="29"/>
      <c r="CX134" s="27"/>
      <c r="CY134" s="27"/>
      <c r="CZ134" s="28" t="str">
        <f>IFERROR(VLOOKUP(CX134,Horarios!$H:$I,2,0),"")</f>
        <v/>
      </c>
      <c r="DA134" s="28" t="str">
        <f>IFERROR(VLOOKUP(CY134,Horarios!$H:$I,2,0),"")</f>
        <v/>
      </c>
      <c r="DB134" s="28" t="str">
        <f t="shared" si="66"/>
        <v>00:00</v>
      </c>
      <c r="DC134" s="29"/>
      <c r="DD134" s="27"/>
      <c r="DE134" s="27"/>
      <c r="DF134" s="28" t="str">
        <f>IFERROR(VLOOKUP(DD134,Horarios!$H:$I,2,0),"")</f>
        <v/>
      </c>
      <c r="DG134" s="28" t="str">
        <f>IFERROR(VLOOKUP(DE134,Horarios!$H:$I,2,0),"")</f>
        <v/>
      </c>
      <c r="DH134" s="28" t="str">
        <f t="shared" si="67"/>
        <v>00:00</v>
      </c>
      <c r="DI134" s="29"/>
      <c r="DJ134" s="27"/>
      <c r="DK134" s="27"/>
      <c r="DL134" s="28" t="str">
        <f>IFERROR(VLOOKUP(DJ134,Horarios!$H:$I,2,0),"")</f>
        <v/>
      </c>
      <c r="DM134" s="28" t="str">
        <f>IFERROR(VLOOKUP(DK134,Horarios!$H:$I,2,0),"")</f>
        <v/>
      </c>
      <c r="DN134" s="28" t="str">
        <f t="shared" si="68"/>
        <v>00:00</v>
      </c>
      <c r="DO134" s="29"/>
      <c r="DP134" s="27"/>
      <c r="DQ134" s="27"/>
      <c r="DR134" s="28" t="str">
        <f>IFERROR(VLOOKUP(DP134,Horarios!$H:$I,2,0),"")</f>
        <v/>
      </c>
      <c r="DS134" s="28" t="str">
        <f>IFERROR(VLOOKUP(DQ134,Horarios!$H:$I,2,0),"")</f>
        <v/>
      </c>
      <c r="DT134" s="28" t="str">
        <f t="shared" si="69"/>
        <v>00:00</v>
      </c>
      <c r="DU134" s="29"/>
      <c r="DV134" s="27"/>
      <c r="DW134" s="27"/>
      <c r="DX134" s="28" t="str">
        <f>IFERROR(VLOOKUP(DV134,Horarios!$H:$I,2,0),"")</f>
        <v/>
      </c>
      <c r="DY134" s="28" t="str">
        <f>IFERROR(VLOOKUP(DW134,Horarios!$H:$I,2,0),"")</f>
        <v/>
      </c>
      <c r="DZ134" s="28" t="str">
        <f t="shared" si="70"/>
        <v>00:00</v>
      </c>
      <c r="EA134" s="29"/>
      <c r="EB134" s="31" t="str">
        <f t="shared" si="71"/>
        <v/>
      </c>
      <c r="EC134" s="27"/>
      <c r="ED134" s="27"/>
      <c r="EE134" s="28" t="str">
        <f>IFERROR(VLOOKUP(EC134,Horarios!$H:$I,2,0),"")</f>
        <v/>
      </c>
      <c r="EF134" s="28" t="str">
        <f>IFERROR(VLOOKUP(ED134,Horarios!$H:$I,2,0),"")</f>
        <v/>
      </c>
      <c r="EG134" s="28" t="str">
        <f t="shared" si="72"/>
        <v>00:00</v>
      </c>
      <c r="EH134" s="29"/>
      <c r="EI134" s="27"/>
      <c r="EJ134" s="27"/>
      <c r="EK134" s="28" t="str">
        <f>IFERROR(VLOOKUP(EI134,Horarios!$H:$I,2,0),"")</f>
        <v/>
      </c>
      <c r="EL134" s="28" t="str">
        <f>IFERROR(VLOOKUP(EJ134,Horarios!$H:$I,2,0),"")</f>
        <v/>
      </c>
      <c r="EM134" s="28" t="str">
        <f t="shared" si="73"/>
        <v>00:00</v>
      </c>
      <c r="EN134" s="29"/>
      <c r="EO134" s="27"/>
      <c r="EP134" s="27"/>
      <c r="EQ134" s="28" t="str">
        <f>IFERROR(VLOOKUP(EO134,Horarios!$H:$I,2,0),"")</f>
        <v/>
      </c>
      <c r="ER134" s="28" t="str">
        <f>IFERROR(VLOOKUP(EP134,Horarios!$H:$I,2,0),"")</f>
        <v/>
      </c>
      <c r="ES134" s="28" t="str">
        <f t="shared" si="74"/>
        <v>00:00</v>
      </c>
      <c r="ET134" s="29"/>
      <c r="EU134" s="27"/>
      <c r="EV134" s="27"/>
      <c r="EW134" s="28" t="str">
        <f>IFERROR(VLOOKUP(EU134,Horarios!$H:$I,2,0),"")</f>
        <v/>
      </c>
      <c r="EX134" s="28" t="str">
        <f>IFERROR(VLOOKUP(EV134,Horarios!$H:$I,2,0),"")</f>
        <v/>
      </c>
      <c r="EY134" s="28" t="str">
        <f t="shared" si="75"/>
        <v>00:00</v>
      </c>
      <c r="EZ134" s="29"/>
      <c r="FA134" s="27"/>
      <c r="FB134" s="27"/>
      <c r="FC134" s="28" t="str">
        <f>IFERROR(VLOOKUP(FA134,Horarios!$H:$I,2,0),"")</f>
        <v/>
      </c>
      <c r="FD134" s="28" t="str">
        <f>IFERROR(VLOOKUP(FB134,Horarios!$H:$I,2,0),"")</f>
        <v/>
      </c>
      <c r="FE134" s="28" t="str">
        <f t="shared" si="76"/>
        <v>00:00</v>
      </c>
      <c r="FF134" s="29"/>
      <c r="FG134" s="27"/>
      <c r="FH134" s="27"/>
      <c r="FI134" s="28" t="str">
        <f>IFERROR(VLOOKUP(FG134,Horarios!$H:$I,2,0),"")</f>
        <v/>
      </c>
      <c r="FJ134" s="28" t="str">
        <f>IFERROR(VLOOKUP(FH134,Horarios!$H:$I,2,0),"")</f>
        <v/>
      </c>
      <c r="FK134" s="28" t="str">
        <f t="shared" si="77"/>
        <v>00:00</v>
      </c>
      <c r="FL134" s="29"/>
      <c r="FM134" s="27"/>
      <c r="FN134" s="27"/>
      <c r="FO134" s="28" t="str">
        <f>IFERROR(VLOOKUP(FM134,Horarios!$H:$I,2,0),"")</f>
        <v/>
      </c>
      <c r="FP134" s="28" t="str">
        <f>IFERROR(VLOOKUP(FN134,Horarios!$H:$I,2,0),"")</f>
        <v/>
      </c>
      <c r="FQ134" s="28" t="str">
        <f t="shared" si="78"/>
        <v>00:00</v>
      </c>
      <c r="FR134" s="29"/>
      <c r="FS134" s="31" t="str">
        <f t="shared" si="79"/>
        <v/>
      </c>
      <c r="FT134" s="27"/>
      <c r="FU134" s="27"/>
      <c r="FV134" s="28" t="str">
        <f>IFERROR(VLOOKUP(FT134,Horarios!$H:$I,2,0),"")</f>
        <v/>
      </c>
      <c r="FW134" s="28" t="str">
        <f>IFERROR(VLOOKUP(FU134,Horarios!$H:$I,2,0),"")</f>
        <v/>
      </c>
      <c r="FX134" s="28" t="str">
        <f t="shared" si="80"/>
        <v>00:00</v>
      </c>
      <c r="FY134" s="29"/>
      <c r="FZ134" s="27"/>
      <c r="GA134" s="27"/>
      <c r="GB134" s="28" t="str">
        <f>IFERROR(VLOOKUP(FZ134,Horarios!$H:$I,2,0),"")</f>
        <v/>
      </c>
      <c r="GC134" s="28" t="str">
        <f>IFERROR(VLOOKUP(GA134,Horarios!$H:$I,2,0),"")</f>
        <v/>
      </c>
      <c r="GD134" s="28" t="str">
        <f t="shared" si="81"/>
        <v>00:00</v>
      </c>
      <c r="GE134" s="29"/>
      <c r="GF134" s="27"/>
      <c r="GG134" s="27"/>
      <c r="GH134" s="28" t="str">
        <f>IFERROR(VLOOKUP(GF134,Horarios!$H:$I,2,0),"")</f>
        <v/>
      </c>
      <c r="GI134" s="28" t="str">
        <f>IFERROR(VLOOKUP(GG134,Horarios!$H:$I,2,0),"")</f>
        <v/>
      </c>
      <c r="GJ134" s="28" t="str">
        <f t="shared" si="82"/>
        <v>00:00</v>
      </c>
      <c r="GK134" s="29"/>
      <c r="GL134" s="27"/>
      <c r="GM134" s="27"/>
      <c r="GN134" s="28" t="str">
        <f>IFERROR(VLOOKUP(GL134,Horarios!$H:$I,2,0),"")</f>
        <v/>
      </c>
      <c r="GO134" s="28" t="str">
        <f>IFERROR(VLOOKUP(GM134,Horarios!$H:$I,2,0),"")</f>
        <v/>
      </c>
      <c r="GP134" s="28" t="str">
        <f t="shared" si="83"/>
        <v>00:00</v>
      </c>
      <c r="GQ134" s="29"/>
      <c r="GR134" s="27"/>
      <c r="GS134" s="27"/>
      <c r="GT134" s="28" t="str">
        <f>IFERROR(VLOOKUP(GR134,Horarios!$H:$I,2,0),"")</f>
        <v/>
      </c>
      <c r="GU134" s="28" t="str">
        <f>IFERROR(VLOOKUP(GS134,Horarios!$H:$I,2,0),"")</f>
        <v/>
      </c>
      <c r="GV134" s="28" t="str">
        <f t="shared" si="84"/>
        <v>00:00</v>
      </c>
      <c r="GW134" s="29"/>
      <c r="GX134" s="27"/>
      <c r="GY134" s="27"/>
      <c r="GZ134" s="28" t="str">
        <f>IFERROR(VLOOKUP(GX134,Horarios!$H:$I,2,0),"")</f>
        <v/>
      </c>
      <c r="HA134" s="28" t="str">
        <f>IFERROR(VLOOKUP(GY134,Horarios!$H:$I,2,0),"")</f>
        <v/>
      </c>
      <c r="HB134" s="28" t="str">
        <f t="shared" si="85"/>
        <v>00:00</v>
      </c>
      <c r="HC134" s="29"/>
      <c r="HD134" s="27"/>
      <c r="HE134" s="27"/>
      <c r="HF134" s="28" t="str">
        <f>IFERROR(VLOOKUP(HD134,Horarios!$H:$I,2,0),"")</f>
        <v/>
      </c>
      <c r="HG134" s="28" t="str">
        <f>IFERROR(VLOOKUP(HE134,Horarios!$H:$I,2,0),"")</f>
        <v/>
      </c>
      <c r="HH134" s="28" t="str">
        <f t="shared" si="86"/>
        <v>00:00</v>
      </c>
      <c r="HI134" s="29"/>
      <c r="HJ134" s="31" t="str">
        <f t="shared" si="87"/>
        <v/>
      </c>
      <c r="HK134" s="27"/>
      <c r="HL134" s="27"/>
      <c r="HM134" s="28" t="str">
        <f>IFERROR(VLOOKUP(HK134,Horarios!$H:$I,2,0),"")</f>
        <v/>
      </c>
      <c r="HN134" s="28" t="str">
        <f>IFERROR(VLOOKUP(HL134,Horarios!$H:$I,2,0),"")</f>
        <v/>
      </c>
      <c r="HO134" s="28" t="str">
        <f t="shared" si="88"/>
        <v>00:00</v>
      </c>
      <c r="HP134" s="29"/>
      <c r="HQ134" s="27"/>
      <c r="HR134" s="27"/>
      <c r="HS134" s="28" t="str">
        <f>IFERROR(VLOOKUP(HQ134,Horarios!$H:$I,2,0),"")</f>
        <v/>
      </c>
      <c r="HT134" s="28" t="str">
        <f>IFERROR(VLOOKUP(HR134,Horarios!$H:$I,2,0),"")</f>
        <v/>
      </c>
      <c r="HU134" s="28" t="str">
        <f t="shared" si="89"/>
        <v>00:00</v>
      </c>
      <c r="HV134" s="29"/>
      <c r="HW134" s="27"/>
      <c r="HX134" s="27"/>
      <c r="HY134" s="28" t="str">
        <f>IFERROR(VLOOKUP(HW134,Horarios!$H:$I,2,0),"")</f>
        <v/>
      </c>
      <c r="HZ134" s="28" t="str">
        <f>IFERROR(VLOOKUP(HX134,Horarios!$H:$I,2,0),"")</f>
        <v/>
      </c>
      <c r="IA134" s="28" t="str">
        <f t="shared" si="90"/>
        <v>00:00</v>
      </c>
      <c r="IB134" s="29"/>
      <c r="IC134" s="27"/>
      <c r="ID134" s="27"/>
      <c r="IE134" s="28" t="str">
        <f>IFERROR(VLOOKUP(IC134,Horarios!$H:$I,2,0),"")</f>
        <v/>
      </c>
      <c r="IF134" s="28" t="str">
        <f>IFERROR(VLOOKUP(ID134,Horarios!$H:$I,2,0),"")</f>
        <v/>
      </c>
      <c r="IG134" s="28" t="str">
        <f t="shared" si="91"/>
        <v>00:00</v>
      </c>
      <c r="IH134" s="29"/>
      <c r="II134" s="27"/>
      <c r="IJ134" s="27"/>
      <c r="IK134" s="28" t="str">
        <f>IFERROR(VLOOKUP(II134,Horarios!$H:$I,2,0),"")</f>
        <v/>
      </c>
      <c r="IL134" s="28" t="str">
        <f>IFERROR(VLOOKUP(IJ134,Horarios!$H:$I,2,0),"")</f>
        <v/>
      </c>
      <c r="IM134" s="28" t="str">
        <f t="shared" si="92"/>
        <v>00:00</v>
      </c>
      <c r="IN134" s="29"/>
      <c r="IO134" s="27"/>
      <c r="IP134" s="27"/>
      <c r="IQ134" s="28" t="str">
        <f>IFERROR(VLOOKUP(IO134,Horarios!$H:$I,2,0),"")</f>
        <v/>
      </c>
      <c r="IR134" s="28" t="str">
        <f>IFERROR(VLOOKUP(IP134,Horarios!$H:$I,2,0),"")</f>
        <v/>
      </c>
      <c r="IS134" s="28" t="str">
        <f t="shared" si="93"/>
        <v>00:00</v>
      </c>
      <c r="IT134" s="29"/>
      <c r="IU134" s="27"/>
      <c r="IV134" s="27"/>
      <c r="IW134" s="28" t="str">
        <f>IFERROR(VLOOKUP(IU134,Horarios!$H:$I,2,0),"")</f>
        <v/>
      </c>
      <c r="IX134" s="28" t="str">
        <f>IFERROR(VLOOKUP(IV134,Horarios!$H:$I,2,0),"")</f>
        <v/>
      </c>
      <c r="IY134" s="28" t="str">
        <f t="shared" si="94"/>
        <v>00:00</v>
      </c>
      <c r="IZ134" s="29"/>
      <c r="JA134" s="31" t="str">
        <f t="shared" si="95"/>
        <v/>
      </c>
    </row>
    <row r="135" spans="1:261" s="24" customFormat="1" ht="17.399999999999999" x14ac:dyDescent="0.25">
      <c r="A135" s="25"/>
      <c r="B135" s="26" t="str">
        <f>IFERROR(VLOOKUP(A135,BaseNombres!A:B,2,0),"")</f>
        <v/>
      </c>
      <c r="C135" s="26" t="str">
        <f>IFERROR(VLOOKUP(A135,BaseNombres!A:C,3,0),"")</f>
        <v/>
      </c>
      <c r="D135" s="27"/>
      <c r="E135" s="27"/>
      <c r="F135" s="28" t="str">
        <f>IFERROR(VLOOKUP(D135,Horarios!$H:$I,2,0),"")</f>
        <v/>
      </c>
      <c r="G135" s="28" t="str">
        <f>IFERROR(VLOOKUP(E135,Horarios!$H:$I,2,0),"")</f>
        <v/>
      </c>
      <c r="H135" s="28" t="str">
        <f t="shared" si="48"/>
        <v>00:00</v>
      </c>
      <c r="I135" s="29"/>
      <c r="J135" s="27"/>
      <c r="K135" s="27"/>
      <c r="L135" s="28" t="str">
        <f>IFERROR(VLOOKUP(J135,Horarios!$H:$I,2,0),"")</f>
        <v/>
      </c>
      <c r="M135" s="28" t="str">
        <f>IFERROR(VLOOKUP(K135,Horarios!$H:$I,2,0),"")</f>
        <v/>
      </c>
      <c r="N135" s="28" t="str">
        <f t="shared" si="49"/>
        <v>00:00</v>
      </c>
      <c r="O135" s="29"/>
      <c r="P135" s="27"/>
      <c r="Q135" s="27"/>
      <c r="R135" s="28" t="str">
        <f>IFERROR(VLOOKUP(P135,Horarios!$H:$I,2,0),"")</f>
        <v/>
      </c>
      <c r="S135" s="28" t="str">
        <f>IFERROR(VLOOKUP(Q135,Horarios!$H:$I,2,0),"")</f>
        <v/>
      </c>
      <c r="T135" s="28" t="str">
        <f t="shared" si="50"/>
        <v>00:00</v>
      </c>
      <c r="U135" s="29"/>
      <c r="V135" s="27"/>
      <c r="W135" s="27"/>
      <c r="X135" s="28" t="str">
        <f>IFERROR(VLOOKUP(V135,Horarios!$H:$I,2,0),"")</f>
        <v/>
      </c>
      <c r="Y135" s="28" t="str">
        <f>IFERROR(VLOOKUP(W135,Horarios!$H:$I,2,0),"")</f>
        <v/>
      </c>
      <c r="Z135" s="28" t="str">
        <f t="shared" si="51"/>
        <v>00:00</v>
      </c>
      <c r="AA135" s="29"/>
      <c r="AB135" s="27"/>
      <c r="AC135" s="27"/>
      <c r="AD135" s="28" t="str">
        <f>IFERROR(VLOOKUP(AB135,Horarios!$H:$I,2,0),"")</f>
        <v/>
      </c>
      <c r="AE135" s="28" t="str">
        <f>IFERROR(VLOOKUP(AC135,Horarios!$H:$I,2,0),"")</f>
        <v/>
      </c>
      <c r="AF135" s="28" t="str">
        <f t="shared" si="52"/>
        <v>00:00</v>
      </c>
      <c r="AG135" s="29"/>
      <c r="AH135" s="27"/>
      <c r="AI135" s="27"/>
      <c r="AJ135" s="28" t="str">
        <f>IFERROR(VLOOKUP(AH135,Horarios!$H:$I,2,0),"")</f>
        <v/>
      </c>
      <c r="AK135" s="28" t="str">
        <f>IFERROR(VLOOKUP(AI135,Horarios!$H:$I,2,0),"")</f>
        <v/>
      </c>
      <c r="AL135" s="28" t="str">
        <f t="shared" si="53"/>
        <v>00:00</v>
      </c>
      <c r="AM135" s="29"/>
      <c r="AN135" s="27"/>
      <c r="AO135" s="27"/>
      <c r="AP135" s="28" t="str">
        <f>IFERROR(VLOOKUP(AN135,Horarios!$H:$I,2,0),"")</f>
        <v/>
      </c>
      <c r="AQ135" s="28" t="str">
        <f>IFERROR(VLOOKUP(AO135,Horarios!$H:$I,2,0),"")</f>
        <v/>
      </c>
      <c r="AR135" s="28" t="str">
        <f t="shared" si="54"/>
        <v>00:00</v>
      </c>
      <c r="AS135" s="29"/>
      <c r="AT135" s="31" t="str">
        <f t="shared" si="55"/>
        <v/>
      </c>
      <c r="AU135" s="27"/>
      <c r="AV135" s="27"/>
      <c r="AW135" s="28" t="str">
        <f>IFERROR(VLOOKUP(AU135,Horarios!$H:$I,2,0),"")</f>
        <v/>
      </c>
      <c r="AX135" s="28" t="str">
        <f>IFERROR(VLOOKUP(AV135,Horarios!$H:$I,2,0),"")</f>
        <v/>
      </c>
      <c r="AY135" s="28" t="str">
        <f t="shared" si="56"/>
        <v>00:00</v>
      </c>
      <c r="AZ135" s="29"/>
      <c r="BA135" s="27"/>
      <c r="BB135" s="27"/>
      <c r="BC135" s="28" t="str">
        <f>IFERROR(VLOOKUP(BA135,Horarios!$H:$I,2,0),"")</f>
        <v/>
      </c>
      <c r="BD135" s="28" t="str">
        <f>IFERROR(VLOOKUP(BB135,Horarios!$H:$I,2,0),"")</f>
        <v/>
      </c>
      <c r="BE135" s="28" t="str">
        <f t="shared" si="57"/>
        <v>00:00</v>
      </c>
      <c r="BF135" s="29"/>
      <c r="BG135" s="27"/>
      <c r="BH135" s="27"/>
      <c r="BI135" s="28" t="str">
        <f>IFERROR(VLOOKUP(BG135,Horarios!$H:$I,2,0),"")</f>
        <v/>
      </c>
      <c r="BJ135" s="28" t="str">
        <f>IFERROR(VLOOKUP(BH135,Horarios!$H:$I,2,0),"")</f>
        <v/>
      </c>
      <c r="BK135" s="28" t="str">
        <f t="shared" si="58"/>
        <v>00:00</v>
      </c>
      <c r="BL135" s="29"/>
      <c r="BM135" s="27"/>
      <c r="BN135" s="27"/>
      <c r="BO135" s="28" t="str">
        <f>IFERROR(VLOOKUP(BM135,Horarios!$H:$I,2,0),"")</f>
        <v/>
      </c>
      <c r="BP135" s="28" t="str">
        <f>IFERROR(VLOOKUP(BN135,Horarios!$H:$I,2,0),"")</f>
        <v/>
      </c>
      <c r="BQ135" s="28" t="str">
        <f t="shared" si="59"/>
        <v>00:00</v>
      </c>
      <c r="BR135" s="29"/>
      <c r="BS135" s="27"/>
      <c r="BT135" s="27"/>
      <c r="BU135" s="28" t="str">
        <f>IFERROR(VLOOKUP(BS135,Horarios!$H:$I,2,0),"")</f>
        <v/>
      </c>
      <c r="BV135" s="28" t="str">
        <f>IFERROR(VLOOKUP(BT135,Horarios!$H:$I,2,0),"")</f>
        <v/>
      </c>
      <c r="BW135" s="28" t="str">
        <f t="shared" si="60"/>
        <v>00:00</v>
      </c>
      <c r="BX135" s="29"/>
      <c r="BY135" s="27"/>
      <c r="BZ135" s="27"/>
      <c r="CA135" s="28" t="str">
        <f>IFERROR(VLOOKUP(BY135,Horarios!$H:$I,2,0),"")</f>
        <v/>
      </c>
      <c r="CB135" s="28" t="str">
        <f>IFERROR(VLOOKUP(BZ135,Horarios!$H:$I,2,0),"")</f>
        <v/>
      </c>
      <c r="CC135" s="28" t="str">
        <f t="shared" si="61"/>
        <v>00:00</v>
      </c>
      <c r="CD135" s="29"/>
      <c r="CE135" s="27"/>
      <c r="CF135" s="27"/>
      <c r="CG135" s="28" t="str">
        <f>IFERROR(VLOOKUP(CE135,Horarios!$H:$I,2,0),"")</f>
        <v/>
      </c>
      <c r="CH135" s="28" t="str">
        <f>IFERROR(VLOOKUP(CF135,Horarios!$H:$I,2,0),"")</f>
        <v/>
      </c>
      <c r="CI135" s="28" t="str">
        <f t="shared" si="62"/>
        <v>00:00</v>
      </c>
      <c r="CJ135" s="29"/>
      <c r="CK135" s="31" t="str">
        <f t="shared" si="63"/>
        <v/>
      </c>
      <c r="CL135" s="27"/>
      <c r="CM135" s="27"/>
      <c r="CN135" s="28" t="str">
        <f>IFERROR(VLOOKUP(CL135,Horarios!$H:$I,2,0),"")</f>
        <v/>
      </c>
      <c r="CO135" s="28" t="str">
        <f>IFERROR(VLOOKUP(CM135,Horarios!$H:$I,2,0),"")</f>
        <v/>
      </c>
      <c r="CP135" s="28" t="str">
        <f t="shared" si="64"/>
        <v>00:00</v>
      </c>
      <c r="CQ135" s="29"/>
      <c r="CR135" s="27"/>
      <c r="CS135" s="27"/>
      <c r="CT135" s="28" t="str">
        <f>IFERROR(VLOOKUP(CR135,Horarios!$H:$I,2,0),"")</f>
        <v/>
      </c>
      <c r="CU135" s="28" t="str">
        <f>IFERROR(VLOOKUP(CS135,Horarios!$H:$I,2,0),"")</f>
        <v/>
      </c>
      <c r="CV135" s="28" t="str">
        <f t="shared" si="65"/>
        <v>00:00</v>
      </c>
      <c r="CW135" s="29"/>
      <c r="CX135" s="27"/>
      <c r="CY135" s="27"/>
      <c r="CZ135" s="28" t="str">
        <f>IFERROR(VLOOKUP(CX135,Horarios!$H:$I,2,0),"")</f>
        <v/>
      </c>
      <c r="DA135" s="28" t="str">
        <f>IFERROR(VLOOKUP(CY135,Horarios!$H:$I,2,0),"")</f>
        <v/>
      </c>
      <c r="DB135" s="28" t="str">
        <f t="shared" si="66"/>
        <v>00:00</v>
      </c>
      <c r="DC135" s="29"/>
      <c r="DD135" s="27"/>
      <c r="DE135" s="27"/>
      <c r="DF135" s="28" t="str">
        <f>IFERROR(VLOOKUP(DD135,Horarios!$H:$I,2,0),"")</f>
        <v/>
      </c>
      <c r="DG135" s="28" t="str">
        <f>IFERROR(VLOOKUP(DE135,Horarios!$H:$I,2,0),"")</f>
        <v/>
      </c>
      <c r="DH135" s="28" t="str">
        <f t="shared" si="67"/>
        <v>00:00</v>
      </c>
      <c r="DI135" s="29"/>
      <c r="DJ135" s="27"/>
      <c r="DK135" s="27"/>
      <c r="DL135" s="28" t="str">
        <f>IFERROR(VLOOKUP(DJ135,Horarios!$H:$I,2,0),"")</f>
        <v/>
      </c>
      <c r="DM135" s="28" t="str">
        <f>IFERROR(VLOOKUP(DK135,Horarios!$H:$I,2,0),"")</f>
        <v/>
      </c>
      <c r="DN135" s="28" t="str">
        <f t="shared" si="68"/>
        <v>00:00</v>
      </c>
      <c r="DO135" s="29"/>
      <c r="DP135" s="27"/>
      <c r="DQ135" s="27"/>
      <c r="DR135" s="28" t="str">
        <f>IFERROR(VLOOKUP(DP135,Horarios!$H:$I,2,0),"")</f>
        <v/>
      </c>
      <c r="DS135" s="28" t="str">
        <f>IFERROR(VLOOKUP(DQ135,Horarios!$H:$I,2,0),"")</f>
        <v/>
      </c>
      <c r="DT135" s="28" t="str">
        <f t="shared" si="69"/>
        <v>00:00</v>
      </c>
      <c r="DU135" s="29"/>
      <c r="DV135" s="27"/>
      <c r="DW135" s="27"/>
      <c r="DX135" s="28" t="str">
        <f>IFERROR(VLOOKUP(DV135,Horarios!$H:$I,2,0),"")</f>
        <v/>
      </c>
      <c r="DY135" s="28" t="str">
        <f>IFERROR(VLOOKUP(DW135,Horarios!$H:$I,2,0),"")</f>
        <v/>
      </c>
      <c r="DZ135" s="28" t="str">
        <f t="shared" si="70"/>
        <v>00:00</v>
      </c>
      <c r="EA135" s="29"/>
      <c r="EB135" s="31" t="str">
        <f t="shared" si="71"/>
        <v/>
      </c>
      <c r="EC135" s="27"/>
      <c r="ED135" s="27"/>
      <c r="EE135" s="28" t="str">
        <f>IFERROR(VLOOKUP(EC135,Horarios!$H:$I,2,0),"")</f>
        <v/>
      </c>
      <c r="EF135" s="28" t="str">
        <f>IFERROR(VLOOKUP(ED135,Horarios!$H:$I,2,0),"")</f>
        <v/>
      </c>
      <c r="EG135" s="28" t="str">
        <f t="shared" si="72"/>
        <v>00:00</v>
      </c>
      <c r="EH135" s="29"/>
      <c r="EI135" s="27"/>
      <c r="EJ135" s="27"/>
      <c r="EK135" s="28" t="str">
        <f>IFERROR(VLOOKUP(EI135,Horarios!$H:$I,2,0),"")</f>
        <v/>
      </c>
      <c r="EL135" s="28" t="str">
        <f>IFERROR(VLOOKUP(EJ135,Horarios!$H:$I,2,0),"")</f>
        <v/>
      </c>
      <c r="EM135" s="28" t="str">
        <f t="shared" si="73"/>
        <v>00:00</v>
      </c>
      <c r="EN135" s="29"/>
      <c r="EO135" s="27"/>
      <c r="EP135" s="27"/>
      <c r="EQ135" s="28" t="str">
        <f>IFERROR(VLOOKUP(EO135,Horarios!$H:$I,2,0),"")</f>
        <v/>
      </c>
      <c r="ER135" s="28" t="str">
        <f>IFERROR(VLOOKUP(EP135,Horarios!$H:$I,2,0),"")</f>
        <v/>
      </c>
      <c r="ES135" s="28" t="str">
        <f t="shared" si="74"/>
        <v>00:00</v>
      </c>
      <c r="ET135" s="29"/>
      <c r="EU135" s="27"/>
      <c r="EV135" s="27"/>
      <c r="EW135" s="28" t="str">
        <f>IFERROR(VLOOKUP(EU135,Horarios!$H:$I,2,0),"")</f>
        <v/>
      </c>
      <c r="EX135" s="28" t="str">
        <f>IFERROR(VLOOKUP(EV135,Horarios!$H:$I,2,0),"")</f>
        <v/>
      </c>
      <c r="EY135" s="28" t="str">
        <f t="shared" si="75"/>
        <v>00:00</v>
      </c>
      <c r="EZ135" s="29"/>
      <c r="FA135" s="27"/>
      <c r="FB135" s="27"/>
      <c r="FC135" s="28" t="str">
        <f>IFERROR(VLOOKUP(FA135,Horarios!$H:$I,2,0),"")</f>
        <v/>
      </c>
      <c r="FD135" s="28" t="str">
        <f>IFERROR(VLOOKUP(FB135,Horarios!$H:$I,2,0),"")</f>
        <v/>
      </c>
      <c r="FE135" s="28" t="str">
        <f t="shared" si="76"/>
        <v>00:00</v>
      </c>
      <c r="FF135" s="29"/>
      <c r="FG135" s="27"/>
      <c r="FH135" s="27"/>
      <c r="FI135" s="28" t="str">
        <f>IFERROR(VLOOKUP(FG135,Horarios!$H:$I,2,0),"")</f>
        <v/>
      </c>
      <c r="FJ135" s="28" t="str">
        <f>IFERROR(VLOOKUP(FH135,Horarios!$H:$I,2,0),"")</f>
        <v/>
      </c>
      <c r="FK135" s="28" t="str">
        <f t="shared" si="77"/>
        <v>00:00</v>
      </c>
      <c r="FL135" s="29"/>
      <c r="FM135" s="27"/>
      <c r="FN135" s="27"/>
      <c r="FO135" s="28" t="str">
        <f>IFERROR(VLOOKUP(FM135,Horarios!$H:$I,2,0),"")</f>
        <v/>
      </c>
      <c r="FP135" s="28" t="str">
        <f>IFERROR(VLOOKUP(FN135,Horarios!$H:$I,2,0),"")</f>
        <v/>
      </c>
      <c r="FQ135" s="28" t="str">
        <f t="shared" si="78"/>
        <v>00:00</v>
      </c>
      <c r="FR135" s="29"/>
      <c r="FS135" s="31" t="str">
        <f t="shared" si="79"/>
        <v/>
      </c>
      <c r="FT135" s="27"/>
      <c r="FU135" s="27"/>
      <c r="FV135" s="28" t="str">
        <f>IFERROR(VLOOKUP(FT135,Horarios!$H:$I,2,0),"")</f>
        <v/>
      </c>
      <c r="FW135" s="28" t="str">
        <f>IFERROR(VLOOKUP(FU135,Horarios!$H:$I,2,0),"")</f>
        <v/>
      </c>
      <c r="FX135" s="28" t="str">
        <f t="shared" si="80"/>
        <v>00:00</v>
      </c>
      <c r="FY135" s="29"/>
      <c r="FZ135" s="27"/>
      <c r="GA135" s="27"/>
      <c r="GB135" s="28" t="str">
        <f>IFERROR(VLOOKUP(FZ135,Horarios!$H:$I,2,0),"")</f>
        <v/>
      </c>
      <c r="GC135" s="28" t="str">
        <f>IFERROR(VLOOKUP(GA135,Horarios!$H:$I,2,0),"")</f>
        <v/>
      </c>
      <c r="GD135" s="28" t="str">
        <f t="shared" si="81"/>
        <v>00:00</v>
      </c>
      <c r="GE135" s="29"/>
      <c r="GF135" s="27"/>
      <c r="GG135" s="27"/>
      <c r="GH135" s="28" t="str">
        <f>IFERROR(VLOOKUP(GF135,Horarios!$H:$I,2,0),"")</f>
        <v/>
      </c>
      <c r="GI135" s="28" t="str">
        <f>IFERROR(VLOOKUP(GG135,Horarios!$H:$I,2,0),"")</f>
        <v/>
      </c>
      <c r="GJ135" s="28" t="str">
        <f t="shared" si="82"/>
        <v>00:00</v>
      </c>
      <c r="GK135" s="29"/>
      <c r="GL135" s="27"/>
      <c r="GM135" s="27"/>
      <c r="GN135" s="28" t="str">
        <f>IFERROR(VLOOKUP(GL135,Horarios!$H:$I,2,0),"")</f>
        <v/>
      </c>
      <c r="GO135" s="28" t="str">
        <f>IFERROR(VLOOKUP(GM135,Horarios!$H:$I,2,0),"")</f>
        <v/>
      </c>
      <c r="GP135" s="28" t="str">
        <f t="shared" si="83"/>
        <v>00:00</v>
      </c>
      <c r="GQ135" s="29"/>
      <c r="GR135" s="27"/>
      <c r="GS135" s="27"/>
      <c r="GT135" s="28" t="str">
        <f>IFERROR(VLOOKUP(GR135,Horarios!$H:$I,2,0),"")</f>
        <v/>
      </c>
      <c r="GU135" s="28" t="str">
        <f>IFERROR(VLOOKUP(GS135,Horarios!$H:$I,2,0),"")</f>
        <v/>
      </c>
      <c r="GV135" s="28" t="str">
        <f t="shared" si="84"/>
        <v>00:00</v>
      </c>
      <c r="GW135" s="29"/>
      <c r="GX135" s="27"/>
      <c r="GY135" s="27"/>
      <c r="GZ135" s="28" t="str">
        <f>IFERROR(VLOOKUP(GX135,Horarios!$H:$I,2,0),"")</f>
        <v/>
      </c>
      <c r="HA135" s="28" t="str">
        <f>IFERROR(VLOOKUP(GY135,Horarios!$H:$I,2,0),"")</f>
        <v/>
      </c>
      <c r="HB135" s="28" t="str">
        <f t="shared" si="85"/>
        <v>00:00</v>
      </c>
      <c r="HC135" s="29"/>
      <c r="HD135" s="27"/>
      <c r="HE135" s="27"/>
      <c r="HF135" s="28" t="str">
        <f>IFERROR(VLOOKUP(HD135,Horarios!$H:$I,2,0),"")</f>
        <v/>
      </c>
      <c r="HG135" s="28" t="str">
        <f>IFERROR(VLOOKUP(HE135,Horarios!$H:$I,2,0),"")</f>
        <v/>
      </c>
      <c r="HH135" s="28" t="str">
        <f t="shared" si="86"/>
        <v>00:00</v>
      </c>
      <c r="HI135" s="29"/>
      <c r="HJ135" s="31" t="str">
        <f t="shared" si="87"/>
        <v/>
      </c>
      <c r="HK135" s="27"/>
      <c r="HL135" s="27"/>
      <c r="HM135" s="28" t="str">
        <f>IFERROR(VLOOKUP(HK135,Horarios!$H:$I,2,0),"")</f>
        <v/>
      </c>
      <c r="HN135" s="28" t="str">
        <f>IFERROR(VLOOKUP(HL135,Horarios!$H:$I,2,0),"")</f>
        <v/>
      </c>
      <c r="HO135" s="28" t="str">
        <f t="shared" si="88"/>
        <v>00:00</v>
      </c>
      <c r="HP135" s="29"/>
      <c r="HQ135" s="27"/>
      <c r="HR135" s="27"/>
      <c r="HS135" s="28" t="str">
        <f>IFERROR(VLOOKUP(HQ135,Horarios!$H:$I,2,0),"")</f>
        <v/>
      </c>
      <c r="HT135" s="28" t="str">
        <f>IFERROR(VLOOKUP(HR135,Horarios!$H:$I,2,0),"")</f>
        <v/>
      </c>
      <c r="HU135" s="28" t="str">
        <f t="shared" si="89"/>
        <v>00:00</v>
      </c>
      <c r="HV135" s="29"/>
      <c r="HW135" s="27"/>
      <c r="HX135" s="27"/>
      <c r="HY135" s="28" t="str">
        <f>IFERROR(VLOOKUP(HW135,Horarios!$H:$I,2,0),"")</f>
        <v/>
      </c>
      <c r="HZ135" s="28" t="str">
        <f>IFERROR(VLOOKUP(HX135,Horarios!$H:$I,2,0),"")</f>
        <v/>
      </c>
      <c r="IA135" s="28" t="str">
        <f t="shared" si="90"/>
        <v>00:00</v>
      </c>
      <c r="IB135" s="29"/>
      <c r="IC135" s="27"/>
      <c r="ID135" s="27"/>
      <c r="IE135" s="28" t="str">
        <f>IFERROR(VLOOKUP(IC135,Horarios!$H:$I,2,0),"")</f>
        <v/>
      </c>
      <c r="IF135" s="28" t="str">
        <f>IFERROR(VLOOKUP(ID135,Horarios!$H:$I,2,0),"")</f>
        <v/>
      </c>
      <c r="IG135" s="28" t="str">
        <f t="shared" si="91"/>
        <v>00:00</v>
      </c>
      <c r="IH135" s="29"/>
      <c r="II135" s="27"/>
      <c r="IJ135" s="27"/>
      <c r="IK135" s="28" t="str">
        <f>IFERROR(VLOOKUP(II135,Horarios!$H:$I,2,0),"")</f>
        <v/>
      </c>
      <c r="IL135" s="28" t="str">
        <f>IFERROR(VLOOKUP(IJ135,Horarios!$H:$I,2,0),"")</f>
        <v/>
      </c>
      <c r="IM135" s="28" t="str">
        <f t="shared" si="92"/>
        <v>00:00</v>
      </c>
      <c r="IN135" s="29"/>
      <c r="IO135" s="27"/>
      <c r="IP135" s="27"/>
      <c r="IQ135" s="28" t="str">
        <f>IFERROR(VLOOKUP(IO135,Horarios!$H:$I,2,0),"")</f>
        <v/>
      </c>
      <c r="IR135" s="28" t="str">
        <f>IFERROR(VLOOKUP(IP135,Horarios!$H:$I,2,0),"")</f>
        <v/>
      </c>
      <c r="IS135" s="28" t="str">
        <f t="shared" si="93"/>
        <v>00:00</v>
      </c>
      <c r="IT135" s="29"/>
      <c r="IU135" s="27"/>
      <c r="IV135" s="27"/>
      <c r="IW135" s="28" t="str">
        <f>IFERROR(VLOOKUP(IU135,Horarios!$H:$I,2,0),"")</f>
        <v/>
      </c>
      <c r="IX135" s="28" t="str">
        <f>IFERROR(VLOOKUP(IV135,Horarios!$H:$I,2,0),"")</f>
        <v/>
      </c>
      <c r="IY135" s="28" t="str">
        <f t="shared" si="94"/>
        <v>00:00</v>
      </c>
      <c r="IZ135" s="29"/>
      <c r="JA135" s="31" t="str">
        <f t="shared" si="95"/>
        <v/>
      </c>
    </row>
    <row r="136" spans="1:261" s="24" customFormat="1" ht="17.399999999999999" x14ac:dyDescent="0.25">
      <c r="A136" s="25"/>
      <c r="B136" s="26" t="str">
        <f>IFERROR(VLOOKUP(A136,BaseNombres!A:B,2,0),"")</f>
        <v/>
      </c>
      <c r="C136" s="26" t="str">
        <f>IFERROR(VLOOKUP(A136,BaseNombres!A:C,3,0),"")</f>
        <v/>
      </c>
      <c r="D136" s="27"/>
      <c r="E136" s="27"/>
      <c r="F136" s="28" t="str">
        <f>IFERROR(VLOOKUP(D136,Horarios!$H:$I,2,0),"")</f>
        <v/>
      </c>
      <c r="G136" s="28" t="str">
        <f>IFERROR(VLOOKUP(E136,Horarios!$H:$I,2,0),"")</f>
        <v/>
      </c>
      <c r="H136" s="28" t="str">
        <f t="shared" si="48"/>
        <v>00:00</v>
      </c>
      <c r="I136" s="29"/>
      <c r="J136" s="27"/>
      <c r="K136" s="27"/>
      <c r="L136" s="28" t="str">
        <f>IFERROR(VLOOKUP(J136,Horarios!$H:$I,2,0),"")</f>
        <v/>
      </c>
      <c r="M136" s="28" t="str">
        <f>IFERROR(VLOOKUP(K136,Horarios!$H:$I,2,0),"")</f>
        <v/>
      </c>
      <c r="N136" s="28" t="str">
        <f t="shared" si="49"/>
        <v>00:00</v>
      </c>
      <c r="O136" s="29"/>
      <c r="P136" s="27"/>
      <c r="Q136" s="27"/>
      <c r="R136" s="28" t="str">
        <f>IFERROR(VLOOKUP(P136,Horarios!$H:$I,2,0),"")</f>
        <v/>
      </c>
      <c r="S136" s="28" t="str">
        <f>IFERROR(VLOOKUP(Q136,Horarios!$H:$I,2,0),"")</f>
        <v/>
      </c>
      <c r="T136" s="28" t="str">
        <f t="shared" si="50"/>
        <v>00:00</v>
      </c>
      <c r="U136" s="29"/>
      <c r="V136" s="27"/>
      <c r="W136" s="27"/>
      <c r="X136" s="28" t="str">
        <f>IFERROR(VLOOKUP(V136,Horarios!$H:$I,2,0),"")</f>
        <v/>
      </c>
      <c r="Y136" s="28" t="str">
        <f>IFERROR(VLOOKUP(W136,Horarios!$H:$I,2,0),"")</f>
        <v/>
      </c>
      <c r="Z136" s="28" t="str">
        <f t="shared" si="51"/>
        <v>00:00</v>
      </c>
      <c r="AA136" s="29"/>
      <c r="AB136" s="27"/>
      <c r="AC136" s="27"/>
      <c r="AD136" s="28" t="str">
        <f>IFERROR(VLOOKUP(AB136,Horarios!$H:$I,2,0),"")</f>
        <v/>
      </c>
      <c r="AE136" s="28" t="str">
        <f>IFERROR(VLOOKUP(AC136,Horarios!$H:$I,2,0),"")</f>
        <v/>
      </c>
      <c r="AF136" s="28" t="str">
        <f t="shared" si="52"/>
        <v>00:00</v>
      </c>
      <c r="AG136" s="29"/>
      <c r="AH136" s="27"/>
      <c r="AI136" s="27"/>
      <c r="AJ136" s="28" t="str">
        <f>IFERROR(VLOOKUP(AH136,Horarios!$H:$I,2,0),"")</f>
        <v/>
      </c>
      <c r="AK136" s="28" t="str">
        <f>IFERROR(VLOOKUP(AI136,Horarios!$H:$I,2,0),"")</f>
        <v/>
      </c>
      <c r="AL136" s="28" t="str">
        <f t="shared" si="53"/>
        <v>00:00</v>
      </c>
      <c r="AM136" s="29"/>
      <c r="AN136" s="27"/>
      <c r="AO136" s="27"/>
      <c r="AP136" s="28" t="str">
        <f>IFERROR(VLOOKUP(AN136,Horarios!$H:$I,2,0),"")</f>
        <v/>
      </c>
      <c r="AQ136" s="28" t="str">
        <f>IFERROR(VLOOKUP(AO136,Horarios!$H:$I,2,0),"")</f>
        <v/>
      </c>
      <c r="AR136" s="28" t="str">
        <f t="shared" si="54"/>
        <v>00:00</v>
      </c>
      <c r="AS136" s="29"/>
      <c r="AT136" s="31" t="str">
        <f t="shared" si="55"/>
        <v/>
      </c>
      <c r="AU136" s="27"/>
      <c r="AV136" s="27"/>
      <c r="AW136" s="28" t="str">
        <f>IFERROR(VLOOKUP(AU136,Horarios!$H:$I,2,0),"")</f>
        <v/>
      </c>
      <c r="AX136" s="28" t="str">
        <f>IFERROR(VLOOKUP(AV136,Horarios!$H:$I,2,0),"")</f>
        <v/>
      </c>
      <c r="AY136" s="28" t="str">
        <f t="shared" si="56"/>
        <v>00:00</v>
      </c>
      <c r="AZ136" s="29"/>
      <c r="BA136" s="27"/>
      <c r="BB136" s="27"/>
      <c r="BC136" s="28" t="str">
        <f>IFERROR(VLOOKUP(BA136,Horarios!$H:$I,2,0),"")</f>
        <v/>
      </c>
      <c r="BD136" s="28" t="str">
        <f>IFERROR(VLOOKUP(BB136,Horarios!$H:$I,2,0),"")</f>
        <v/>
      </c>
      <c r="BE136" s="28" t="str">
        <f t="shared" si="57"/>
        <v>00:00</v>
      </c>
      <c r="BF136" s="29"/>
      <c r="BG136" s="27"/>
      <c r="BH136" s="27"/>
      <c r="BI136" s="28" t="str">
        <f>IFERROR(VLOOKUP(BG136,Horarios!$H:$I,2,0),"")</f>
        <v/>
      </c>
      <c r="BJ136" s="28" t="str">
        <f>IFERROR(VLOOKUP(BH136,Horarios!$H:$I,2,0),"")</f>
        <v/>
      </c>
      <c r="BK136" s="28" t="str">
        <f t="shared" si="58"/>
        <v>00:00</v>
      </c>
      <c r="BL136" s="29"/>
      <c r="BM136" s="27"/>
      <c r="BN136" s="27"/>
      <c r="BO136" s="28" t="str">
        <f>IFERROR(VLOOKUP(BM136,Horarios!$H:$I,2,0),"")</f>
        <v/>
      </c>
      <c r="BP136" s="28" t="str">
        <f>IFERROR(VLOOKUP(BN136,Horarios!$H:$I,2,0),"")</f>
        <v/>
      </c>
      <c r="BQ136" s="28" t="str">
        <f t="shared" si="59"/>
        <v>00:00</v>
      </c>
      <c r="BR136" s="29"/>
      <c r="BS136" s="27"/>
      <c r="BT136" s="27"/>
      <c r="BU136" s="28" t="str">
        <f>IFERROR(VLOOKUP(BS136,Horarios!$H:$I,2,0),"")</f>
        <v/>
      </c>
      <c r="BV136" s="28" t="str">
        <f>IFERROR(VLOOKUP(BT136,Horarios!$H:$I,2,0),"")</f>
        <v/>
      </c>
      <c r="BW136" s="28" t="str">
        <f t="shared" si="60"/>
        <v>00:00</v>
      </c>
      <c r="BX136" s="29"/>
      <c r="BY136" s="27"/>
      <c r="BZ136" s="27"/>
      <c r="CA136" s="28" t="str">
        <f>IFERROR(VLOOKUP(BY136,Horarios!$H:$I,2,0),"")</f>
        <v/>
      </c>
      <c r="CB136" s="28" t="str">
        <f>IFERROR(VLOOKUP(BZ136,Horarios!$H:$I,2,0),"")</f>
        <v/>
      </c>
      <c r="CC136" s="28" t="str">
        <f t="shared" si="61"/>
        <v>00:00</v>
      </c>
      <c r="CD136" s="29"/>
      <c r="CE136" s="27"/>
      <c r="CF136" s="27"/>
      <c r="CG136" s="28" t="str">
        <f>IFERROR(VLOOKUP(CE136,Horarios!$H:$I,2,0),"")</f>
        <v/>
      </c>
      <c r="CH136" s="28" t="str">
        <f>IFERROR(VLOOKUP(CF136,Horarios!$H:$I,2,0),"")</f>
        <v/>
      </c>
      <c r="CI136" s="28" t="str">
        <f t="shared" si="62"/>
        <v>00:00</v>
      </c>
      <c r="CJ136" s="29"/>
      <c r="CK136" s="31" t="str">
        <f t="shared" si="63"/>
        <v/>
      </c>
      <c r="CL136" s="27"/>
      <c r="CM136" s="27"/>
      <c r="CN136" s="28" t="str">
        <f>IFERROR(VLOOKUP(CL136,Horarios!$H:$I,2,0),"")</f>
        <v/>
      </c>
      <c r="CO136" s="28" t="str">
        <f>IFERROR(VLOOKUP(CM136,Horarios!$H:$I,2,0),"")</f>
        <v/>
      </c>
      <c r="CP136" s="28" t="str">
        <f t="shared" si="64"/>
        <v>00:00</v>
      </c>
      <c r="CQ136" s="29"/>
      <c r="CR136" s="27"/>
      <c r="CS136" s="27"/>
      <c r="CT136" s="28" t="str">
        <f>IFERROR(VLOOKUP(CR136,Horarios!$H:$I,2,0),"")</f>
        <v/>
      </c>
      <c r="CU136" s="28" t="str">
        <f>IFERROR(VLOOKUP(CS136,Horarios!$H:$I,2,0),"")</f>
        <v/>
      </c>
      <c r="CV136" s="28" t="str">
        <f t="shared" si="65"/>
        <v>00:00</v>
      </c>
      <c r="CW136" s="29"/>
      <c r="CX136" s="27"/>
      <c r="CY136" s="27"/>
      <c r="CZ136" s="28" t="str">
        <f>IFERROR(VLOOKUP(CX136,Horarios!$H:$I,2,0),"")</f>
        <v/>
      </c>
      <c r="DA136" s="28" t="str">
        <f>IFERROR(VLOOKUP(CY136,Horarios!$H:$I,2,0),"")</f>
        <v/>
      </c>
      <c r="DB136" s="28" t="str">
        <f t="shared" si="66"/>
        <v>00:00</v>
      </c>
      <c r="DC136" s="29"/>
      <c r="DD136" s="27"/>
      <c r="DE136" s="27"/>
      <c r="DF136" s="28" t="str">
        <f>IFERROR(VLOOKUP(DD136,Horarios!$H:$I,2,0),"")</f>
        <v/>
      </c>
      <c r="DG136" s="28" t="str">
        <f>IFERROR(VLOOKUP(DE136,Horarios!$H:$I,2,0),"")</f>
        <v/>
      </c>
      <c r="DH136" s="28" t="str">
        <f t="shared" si="67"/>
        <v>00:00</v>
      </c>
      <c r="DI136" s="29"/>
      <c r="DJ136" s="27"/>
      <c r="DK136" s="27"/>
      <c r="DL136" s="28" t="str">
        <f>IFERROR(VLOOKUP(DJ136,Horarios!$H:$I,2,0),"")</f>
        <v/>
      </c>
      <c r="DM136" s="28" t="str">
        <f>IFERROR(VLOOKUP(DK136,Horarios!$H:$I,2,0),"")</f>
        <v/>
      </c>
      <c r="DN136" s="28" t="str">
        <f t="shared" si="68"/>
        <v>00:00</v>
      </c>
      <c r="DO136" s="29"/>
      <c r="DP136" s="27"/>
      <c r="DQ136" s="27"/>
      <c r="DR136" s="28" t="str">
        <f>IFERROR(VLOOKUP(DP136,Horarios!$H:$I,2,0),"")</f>
        <v/>
      </c>
      <c r="DS136" s="28" t="str">
        <f>IFERROR(VLOOKUP(DQ136,Horarios!$H:$I,2,0),"")</f>
        <v/>
      </c>
      <c r="DT136" s="28" t="str">
        <f t="shared" si="69"/>
        <v>00:00</v>
      </c>
      <c r="DU136" s="29"/>
      <c r="DV136" s="27"/>
      <c r="DW136" s="27"/>
      <c r="DX136" s="28" t="str">
        <f>IFERROR(VLOOKUP(DV136,Horarios!$H:$I,2,0),"")</f>
        <v/>
      </c>
      <c r="DY136" s="28" t="str">
        <f>IFERROR(VLOOKUP(DW136,Horarios!$H:$I,2,0),"")</f>
        <v/>
      </c>
      <c r="DZ136" s="28" t="str">
        <f t="shared" si="70"/>
        <v>00:00</v>
      </c>
      <c r="EA136" s="29"/>
      <c r="EB136" s="31" t="str">
        <f t="shared" si="71"/>
        <v/>
      </c>
      <c r="EC136" s="27"/>
      <c r="ED136" s="27"/>
      <c r="EE136" s="28" t="str">
        <f>IFERROR(VLOOKUP(EC136,Horarios!$H:$I,2,0),"")</f>
        <v/>
      </c>
      <c r="EF136" s="28" t="str">
        <f>IFERROR(VLOOKUP(ED136,Horarios!$H:$I,2,0),"")</f>
        <v/>
      </c>
      <c r="EG136" s="28" t="str">
        <f t="shared" si="72"/>
        <v>00:00</v>
      </c>
      <c r="EH136" s="29"/>
      <c r="EI136" s="27"/>
      <c r="EJ136" s="27"/>
      <c r="EK136" s="28" t="str">
        <f>IFERROR(VLOOKUP(EI136,Horarios!$H:$I,2,0),"")</f>
        <v/>
      </c>
      <c r="EL136" s="28" t="str">
        <f>IFERROR(VLOOKUP(EJ136,Horarios!$H:$I,2,0),"")</f>
        <v/>
      </c>
      <c r="EM136" s="28" t="str">
        <f t="shared" si="73"/>
        <v>00:00</v>
      </c>
      <c r="EN136" s="29"/>
      <c r="EO136" s="27"/>
      <c r="EP136" s="27"/>
      <c r="EQ136" s="28" t="str">
        <f>IFERROR(VLOOKUP(EO136,Horarios!$H:$I,2,0),"")</f>
        <v/>
      </c>
      <c r="ER136" s="28" t="str">
        <f>IFERROR(VLOOKUP(EP136,Horarios!$H:$I,2,0),"")</f>
        <v/>
      </c>
      <c r="ES136" s="28" t="str">
        <f t="shared" si="74"/>
        <v>00:00</v>
      </c>
      <c r="ET136" s="29"/>
      <c r="EU136" s="27"/>
      <c r="EV136" s="27"/>
      <c r="EW136" s="28" t="str">
        <f>IFERROR(VLOOKUP(EU136,Horarios!$H:$I,2,0),"")</f>
        <v/>
      </c>
      <c r="EX136" s="28" t="str">
        <f>IFERROR(VLOOKUP(EV136,Horarios!$H:$I,2,0),"")</f>
        <v/>
      </c>
      <c r="EY136" s="28" t="str">
        <f t="shared" si="75"/>
        <v>00:00</v>
      </c>
      <c r="EZ136" s="29"/>
      <c r="FA136" s="27"/>
      <c r="FB136" s="27"/>
      <c r="FC136" s="28" t="str">
        <f>IFERROR(VLOOKUP(FA136,Horarios!$H:$I,2,0),"")</f>
        <v/>
      </c>
      <c r="FD136" s="28" t="str">
        <f>IFERROR(VLOOKUP(FB136,Horarios!$H:$I,2,0),"")</f>
        <v/>
      </c>
      <c r="FE136" s="28" t="str">
        <f t="shared" si="76"/>
        <v>00:00</v>
      </c>
      <c r="FF136" s="29"/>
      <c r="FG136" s="27"/>
      <c r="FH136" s="27"/>
      <c r="FI136" s="28" t="str">
        <f>IFERROR(VLOOKUP(FG136,Horarios!$H:$I,2,0),"")</f>
        <v/>
      </c>
      <c r="FJ136" s="28" t="str">
        <f>IFERROR(VLOOKUP(FH136,Horarios!$H:$I,2,0),"")</f>
        <v/>
      </c>
      <c r="FK136" s="28" t="str">
        <f t="shared" si="77"/>
        <v>00:00</v>
      </c>
      <c r="FL136" s="29"/>
      <c r="FM136" s="27"/>
      <c r="FN136" s="27"/>
      <c r="FO136" s="28" t="str">
        <f>IFERROR(VLOOKUP(FM136,Horarios!$H:$I,2,0),"")</f>
        <v/>
      </c>
      <c r="FP136" s="28" t="str">
        <f>IFERROR(VLOOKUP(FN136,Horarios!$H:$I,2,0),"")</f>
        <v/>
      </c>
      <c r="FQ136" s="28" t="str">
        <f t="shared" si="78"/>
        <v>00:00</v>
      </c>
      <c r="FR136" s="29"/>
      <c r="FS136" s="31" t="str">
        <f t="shared" si="79"/>
        <v/>
      </c>
      <c r="FT136" s="27"/>
      <c r="FU136" s="27"/>
      <c r="FV136" s="28" t="str">
        <f>IFERROR(VLOOKUP(FT136,Horarios!$H:$I,2,0),"")</f>
        <v/>
      </c>
      <c r="FW136" s="28" t="str">
        <f>IFERROR(VLOOKUP(FU136,Horarios!$H:$I,2,0),"")</f>
        <v/>
      </c>
      <c r="FX136" s="28" t="str">
        <f t="shared" si="80"/>
        <v>00:00</v>
      </c>
      <c r="FY136" s="29"/>
      <c r="FZ136" s="27"/>
      <c r="GA136" s="27"/>
      <c r="GB136" s="28" t="str">
        <f>IFERROR(VLOOKUP(FZ136,Horarios!$H:$I,2,0),"")</f>
        <v/>
      </c>
      <c r="GC136" s="28" t="str">
        <f>IFERROR(VLOOKUP(GA136,Horarios!$H:$I,2,0),"")</f>
        <v/>
      </c>
      <c r="GD136" s="28" t="str">
        <f t="shared" si="81"/>
        <v>00:00</v>
      </c>
      <c r="GE136" s="29"/>
      <c r="GF136" s="27"/>
      <c r="GG136" s="27"/>
      <c r="GH136" s="28" t="str">
        <f>IFERROR(VLOOKUP(GF136,Horarios!$H:$I,2,0),"")</f>
        <v/>
      </c>
      <c r="GI136" s="28" t="str">
        <f>IFERROR(VLOOKUP(GG136,Horarios!$H:$I,2,0),"")</f>
        <v/>
      </c>
      <c r="GJ136" s="28" t="str">
        <f t="shared" si="82"/>
        <v>00:00</v>
      </c>
      <c r="GK136" s="29"/>
      <c r="GL136" s="27"/>
      <c r="GM136" s="27"/>
      <c r="GN136" s="28" t="str">
        <f>IFERROR(VLOOKUP(GL136,Horarios!$H:$I,2,0),"")</f>
        <v/>
      </c>
      <c r="GO136" s="28" t="str">
        <f>IFERROR(VLOOKUP(GM136,Horarios!$H:$I,2,0),"")</f>
        <v/>
      </c>
      <c r="GP136" s="28" t="str">
        <f t="shared" si="83"/>
        <v>00:00</v>
      </c>
      <c r="GQ136" s="29"/>
      <c r="GR136" s="27"/>
      <c r="GS136" s="27"/>
      <c r="GT136" s="28" t="str">
        <f>IFERROR(VLOOKUP(GR136,Horarios!$H:$I,2,0),"")</f>
        <v/>
      </c>
      <c r="GU136" s="28" t="str">
        <f>IFERROR(VLOOKUP(GS136,Horarios!$H:$I,2,0),"")</f>
        <v/>
      </c>
      <c r="GV136" s="28" t="str">
        <f t="shared" si="84"/>
        <v>00:00</v>
      </c>
      <c r="GW136" s="29"/>
      <c r="GX136" s="27"/>
      <c r="GY136" s="27"/>
      <c r="GZ136" s="28" t="str">
        <f>IFERROR(VLOOKUP(GX136,Horarios!$H:$I,2,0),"")</f>
        <v/>
      </c>
      <c r="HA136" s="28" t="str">
        <f>IFERROR(VLOOKUP(GY136,Horarios!$H:$I,2,0),"")</f>
        <v/>
      </c>
      <c r="HB136" s="28" t="str">
        <f t="shared" si="85"/>
        <v>00:00</v>
      </c>
      <c r="HC136" s="29"/>
      <c r="HD136" s="27"/>
      <c r="HE136" s="27"/>
      <c r="HF136" s="28" t="str">
        <f>IFERROR(VLOOKUP(HD136,Horarios!$H:$I,2,0),"")</f>
        <v/>
      </c>
      <c r="HG136" s="28" t="str">
        <f>IFERROR(VLOOKUP(HE136,Horarios!$H:$I,2,0),"")</f>
        <v/>
      </c>
      <c r="HH136" s="28" t="str">
        <f t="shared" si="86"/>
        <v>00:00</v>
      </c>
      <c r="HI136" s="29"/>
      <c r="HJ136" s="31" t="str">
        <f t="shared" si="87"/>
        <v/>
      </c>
      <c r="HK136" s="27"/>
      <c r="HL136" s="27"/>
      <c r="HM136" s="28" t="str">
        <f>IFERROR(VLOOKUP(HK136,Horarios!$H:$I,2,0),"")</f>
        <v/>
      </c>
      <c r="HN136" s="28" t="str">
        <f>IFERROR(VLOOKUP(HL136,Horarios!$H:$I,2,0),"")</f>
        <v/>
      </c>
      <c r="HO136" s="28" t="str">
        <f t="shared" si="88"/>
        <v>00:00</v>
      </c>
      <c r="HP136" s="29"/>
      <c r="HQ136" s="27"/>
      <c r="HR136" s="27"/>
      <c r="HS136" s="28" t="str">
        <f>IFERROR(VLOOKUP(HQ136,Horarios!$H:$I,2,0),"")</f>
        <v/>
      </c>
      <c r="HT136" s="28" t="str">
        <f>IFERROR(VLOOKUP(HR136,Horarios!$H:$I,2,0),"")</f>
        <v/>
      </c>
      <c r="HU136" s="28" t="str">
        <f t="shared" si="89"/>
        <v>00:00</v>
      </c>
      <c r="HV136" s="29"/>
      <c r="HW136" s="27"/>
      <c r="HX136" s="27"/>
      <c r="HY136" s="28" t="str">
        <f>IFERROR(VLOOKUP(HW136,Horarios!$H:$I,2,0),"")</f>
        <v/>
      </c>
      <c r="HZ136" s="28" t="str">
        <f>IFERROR(VLOOKUP(HX136,Horarios!$H:$I,2,0),"")</f>
        <v/>
      </c>
      <c r="IA136" s="28" t="str">
        <f t="shared" si="90"/>
        <v>00:00</v>
      </c>
      <c r="IB136" s="29"/>
      <c r="IC136" s="27"/>
      <c r="ID136" s="27"/>
      <c r="IE136" s="28" t="str">
        <f>IFERROR(VLOOKUP(IC136,Horarios!$H:$I,2,0),"")</f>
        <v/>
      </c>
      <c r="IF136" s="28" t="str">
        <f>IFERROR(VLOOKUP(ID136,Horarios!$H:$I,2,0),"")</f>
        <v/>
      </c>
      <c r="IG136" s="28" t="str">
        <f t="shared" si="91"/>
        <v>00:00</v>
      </c>
      <c r="IH136" s="29"/>
      <c r="II136" s="27"/>
      <c r="IJ136" s="27"/>
      <c r="IK136" s="28" t="str">
        <f>IFERROR(VLOOKUP(II136,Horarios!$H:$I,2,0),"")</f>
        <v/>
      </c>
      <c r="IL136" s="28" t="str">
        <f>IFERROR(VLOOKUP(IJ136,Horarios!$H:$I,2,0),"")</f>
        <v/>
      </c>
      <c r="IM136" s="28" t="str">
        <f t="shared" si="92"/>
        <v>00:00</v>
      </c>
      <c r="IN136" s="29"/>
      <c r="IO136" s="27"/>
      <c r="IP136" s="27"/>
      <c r="IQ136" s="28" t="str">
        <f>IFERROR(VLOOKUP(IO136,Horarios!$H:$I,2,0),"")</f>
        <v/>
      </c>
      <c r="IR136" s="28" t="str">
        <f>IFERROR(VLOOKUP(IP136,Horarios!$H:$I,2,0),"")</f>
        <v/>
      </c>
      <c r="IS136" s="28" t="str">
        <f t="shared" si="93"/>
        <v>00:00</v>
      </c>
      <c r="IT136" s="29"/>
      <c r="IU136" s="27"/>
      <c r="IV136" s="27"/>
      <c r="IW136" s="28" t="str">
        <f>IFERROR(VLOOKUP(IU136,Horarios!$H:$I,2,0),"")</f>
        <v/>
      </c>
      <c r="IX136" s="28" t="str">
        <f>IFERROR(VLOOKUP(IV136,Horarios!$H:$I,2,0),"")</f>
        <v/>
      </c>
      <c r="IY136" s="28" t="str">
        <f t="shared" si="94"/>
        <v>00:00</v>
      </c>
      <c r="IZ136" s="29"/>
      <c r="JA136" s="31" t="str">
        <f t="shared" si="95"/>
        <v/>
      </c>
    </row>
    <row r="137" spans="1:261" s="24" customFormat="1" ht="17.399999999999999" x14ac:dyDescent="0.25">
      <c r="A137" s="25"/>
      <c r="B137" s="26" t="str">
        <f>IFERROR(VLOOKUP(A137,BaseNombres!A:B,2,0),"")</f>
        <v/>
      </c>
      <c r="C137" s="26" t="str">
        <f>IFERROR(VLOOKUP(A137,BaseNombres!A:C,3,0),"")</f>
        <v/>
      </c>
      <c r="D137" s="27"/>
      <c r="E137" s="27"/>
      <c r="F137" s="28" t="str">
        <f>IFERROR(VLOOKUP(D137,Horarios!$H:$I,2,0),"")</f>
        <v/>
      </c>
      <c r="G137" s="28" t="str">
        <f>IFERROR(VLOOKUP(E137,Horarios!$H:$I,2,0),"")</f>
        <v/>
      </c>
      <c r="H137" s="28" t="str">
        <f t="shared" si="48"/>
        <v>00:00</v>
      </c>
      <c r="I137" s="29"/>
      <c r="J137" s="27"/>
      <c r="K137" s="27"/>
      <c r="L137" s="28" t="str">
        <f>IFERROR(VLOOKUP(J137,Horarios!$H:$I,2,0),"")</f>
        <v/>
      </c>
      <c r="M137" s="28" t="str">
        <f>IFERROR(VLOOKUP(K137,Horarios!$H:$I,2,0),"")</f>
        <v/>
      </c>
      <c r="N137" s="28" t="str">
        <f t="shared" si="49"/>
        <v>00:00</v>
      </c>
      <c r="O137" s="29"/>
      <c r="P137" s="27"/>
      <c r="Q137" s="27"/>
      <c r="R137" s="28" t="str">
        <f>IFERROR(VLOOKUP(P137,Horarios!$H:$I,2,0),"")</f>
        <v/>
      </c>
      <c r="S137" s="28" t="str">
        <f>IFERROR(VLOOKUP(Q137,Horarios!$H:$I,2,0),"")</f>
        <v/>
      </c>
      <c r="T137" s="28" t="str">
        <f t="shared" si="50"/>
        <v>00:00</v>
      </c>
      <c r="U137" s="29"/>
      <c r="V137" s="27"/>
      <c r="W137" s="27"/>
      <c r="X137" s="28" t="str">
        <f>IFERROR(VLOOKUP(V137,Horarios!$H:$I,2,0),"")</f>
        <v/>
      </c>
      <c r="Y137" s="28" t="str">
        <f>IFERROR(VLOOKUP(W137,Horarios!$H:$I,2,0),"")</f>
        <v/>
      </c>
      <c r="Z137" s="28" t="str">
        <f t="shared" si="51"/>
        <v>00:00</v>
      </c>
      <c r="AA137" s="29"/>
      <c r="AB137" s="27"/>
      <c r="AC137" s="27"/>
      <c r="AD137" s="28" t="str">
        <f>IFERROR(VLOOKUP(AB137,Horarios!$H:$I,2,0),"")</f>
        <v/>
      </c>
      <c r="AE137" s="28" t="str">
        <f>IFERROR(VLOOKUP(AC137,Horarios!$H:$I,2,0),"")</f>
        <v/>
      </c>
      <c r="AF137" s="28" t="str">
        <f t="shared" si="52"/>
        <v>00:00</v>
      </c>
      <c r="AG137" s="29"/>
      <c r="AH137" s="27"/>
      <c r="AI137" s="27"/>
      <c r="AJ137" s="28" t="str">
        <f>IFERROR(VLOOKUP(AH137,Horarios!$H:$I,2,0),"")</f>
        <v/>
      </c>
      <c r="AK137" s="28" t="str">
        <f>IFERROR(VLOOKUP(AI137,Horarios!$H:$I,2,0),"")</f>
        <v/>
      </c>
      <c r="AL137" s="28" t="str">
        <f t="shared" si="53"/>
        <v>00:00</v>
      </c>
      <c r="AM137" s="29"/>
      <c r="AN137" s="27"/>
      <c r="AO137" s="27"/>
      <c r="AP137" s="28" t="str">
        <f>IFERROR(VLOOKUP(AN137,Horarios!$H:$I,2,0),"")</f>
        <v/>
      </c>
      <c r="AQ137" s="28" t="str">
        <f>IFERROR(VLOOKUP(AO137,Horarios!$H:$I,2,0),"")</f>
        <v/>
      </c>
      <c r="AR137" s="28" t="str">
        <f t="shared" si="54"/>
        <v>00:00</v>
      </c>
      <c r="AS137" s="29"/>
      <c r="AT137" s="31" t="str">
        <f t="shared" si="55"/>
        <v/>
      </c>
      <c r="AU137" s="27"/>
      <c r="AV137" s="27"/>
      <c r="AW137" s="28" t="str">
        <f>IFERROR(VLOOKUP(AU137,Horarios!$H:$I,2,0),"")</f>
        <v/>
      </c>
      <c r="AX137" s="28" t="str">
        <f>IFERROR(VLOOKUP(AV137,Horarios!$H:$I,2,0),"")</f>
        <v/>
      </c>
      <c r="AY137" s="28" t="str">
        <f t="shared" si="56"/>
        <v>00:00</v>
      </c>
      <c r="AZ137" s="29"/>
      <c r="BA137" s="27"/>
      <c r="BB137" s="27"/>
      <c r="BC137" s="28" t="str">
        <f>IFERROR(VLOOKUP(BA137,Horarios!$H:$I,2,0),"")</f>
        <v/>
      </c>
      <c r="BD137" s="28" t="str">
        <f>IFERROR(VLOOKUP(BB137,Horarios!$H:$I,2,0),"")</f>
        <v/>
      </c>
      <c r="BE137" s="28" t="str">
        <f t="shared" si="57"/>
        <v>00:00</v>
      </c>
      <c r="BF137" s="29"/>
      <c r="BG137" s="27"/>
      <c r="BH137" s="27"/>
      <c r="BI137" s="28" t="str">
        <f>IFERROR(VLOOKUP(BG137,Horarios!$H:$I,2,0),"")</f>
        <v/>
      </c>
      <c r="BJ137" s="28" t="str">
        <f>IFERROR(VLOOKUP(BH137,Horarios!$H:$I,2,0),"")</f>
        <v/>
      </c>
      <c r="BK137" s="28" t="str">
        <f t="shared" si="58"/>
        <v>00:00</v>
      </c>
      <c r="BL137" s="29"/>
      <c r="BM137" s="27"/>
      <c r="BN137" s="27"/>
      <c r="BO137" s="28" t="str">
        <f>IFERROR(VLOOKUP(BM137,Horarios!$H:$I,2,0),"")</f>
        <v/>
      </c>
      <c r="BP137" s="28" t="str">
        <f>IFERROR(VLOOKUP(BN137,Horarios!$H:$I,2,0),"")</f>
        <v/>
      </c>
      <c r="BQ137" s="28" t="str">
        <f t="shared" si="59"/>
        <v>00:00</v>
      </c>
      <c r="BR137" s="29"/>
      <c r="BS137" s="27"/>
      <c r="BT137" s="27"/>
      <c r="BU137" s="28" t="str">
        <f>IFERROR(VLOOKUP(BS137,Horarios!$H:$I,2,0),"")</f>
        <v/>
      </c>
      <c r="BV137" s="28" t="str">
        <f>IFERROR(VLOOKUP(BT137,Horarios!$H:$I,2,0),"")</f>
        <v/>
      </c>
      <c r="BW137" s="28" t="str">
        <f t="shared" si="60"/>
        <v>00:00</v>
      </c>
      <c r="BX137" s="29"/>
      <c r="BY137" s="27"/>
      <c r="BZ137" s="27"/>
      <c r="CA137" s="28" t="str">
        <f>IFERROR(VLOOKUP(BY137,Horarios!$H:$I,2,0),"")</f>
        <v/>
      </c>
      <c r="CB137" s="28" t="str">
        <f>IFERROR(VLOOKUP(BZ137,Horarios!$H:$I,2,0),"")</f>
        <v/>
      </c>
      <c r="CC137" s="28" t="str">
        <f t="shared" si="61"/>
        <v>00:00</v>
      </c>
      <c r="CD137" s="29"/>
      <c r="CE137" s="27"/>
      <c r="CF137" s="27"/>
      <c r="CG137" s="28" t="str">
        <f>IFERROR(VLOOKUP(CE137,Horarios!$H:$I,2,0),"")</f>
        <v/>
      </c>
      <c r="CH137" s="28" t="str">
        <f>IFERROR(VLOOKUP(CF137,Horarios!$H:$I,2,0),"")</f>
        <v/>
      </c>
      <c r="CI137" s="28" t="str">
        <f t="shared" si="62"/>
        <v>00:00</v>
      </c>
      <c r="CJ137" s="29"/>
      <c r="CK137" s="31" t="str">
        <f t="shared" si="63"/>
        <v/>
      </c>
      <c r="CL137" s="27"/>
      <c r="CM137" s="27"/>
      <c r="CN137" s="28" t="str">
        <f>IFERROR(VLOOKUP(CL137,Horarios!$H:$I,2,0),"")</f>
        <v/>
      </c>
      <c r="CO137" s="28" t="str">
        <f>IFERROR(VLOOKUP(CM137,Horarios!$H:$I,2,0),"")</f>
        <v/>
      </c>
      <c r="CP137" s="28" t="str">
        <f t="shared" si="64"/>
        <v>00:00</v>
      </c>
      <c r="CQ137" s="29"/>
      <c r="CR137" s="27"/>
      <c r="CS137" s="27"/>
      <c r="CT137" s="28" t="str">
        <f>IFERROR(VLOOKUP(CR137,Horarios!$H:$I,2,0),"")</f>
        <v/>
      </c>
      <c r="CU137" s="28" t="str">
        <f>IFERROR(VLOOKUP(CS137,Horarios!$H:$I,2,0),"")</f>
        <v/>
      </c>
      <c r="CV137" s="28" t="str">
        <f t="shared" si="65"/>
        <v>00:00</v>
      </c>
      <c r="CW137" s="29"/>
      <c r="CX137" s="27"/>
      <c r="CY137" s="27"/>
      <c r="CZ137" s="28" t="str">
        <f>IFERROR(VLOOKUP(CX137,Horarios!$H:$I,2,0),"")</f>
        <v/>
      </c>
      <c r="DA137" s="28" t="str">
        <f>IFERROR(VLOOKUP(CY137,Horarios!$H:$I,2,0),"")</f>
        <v/>
      </c>
      <c r="DB137" s="28" t="str">
        <f t="shared" si="66"/>
        <v>00:00</v>
      </c>
      <c r="DC137" s="29"/>
      <c r="DD137" s="27"/>
      <c r="DE137" s="27"/>
      <c r="DF137" s="28" t="str">
        <f>IFERROR(VLOOKUP(DD137,Horarios!$H:$I,2,0),"")</f>
        <v/>
      </c>
      <c r="DG137" s="28" t="str">
        <f>IFERROR(VLOOKUP(DE137,Horarios!$H:$I,2,0),"")</f>
        <v/>
      </c>
      <c r="DH137" s="28" t="str">
        <f t="shared" si="67"/>
        <v>00:00</v>
      </c>
      <c r="DI137" s="29"/>
      <c r="DJ137" s="27"/>
      <c r="DK137" s="27"/>
      <c r="DL137" s="28" t="str">
        <f>IFERROR(VLOOKUP(DJ137,Horarios!$H:$I,2,0),"")</f>
        <v/>
      </c>
      <c r="DM137" s="28" t="str">
        <f>IFERROR(VLOOKUP(DK137,Horarios!$H:$I,2,0),"")</f>
        <v/>
      </c>
      <c r="DN137" s="28" t="str">
        <f t="shared" si="68"/>
        <v>00:00</v>
      </c>
      <c r="DO137" s="29"/>
      <c r="DP137" s="27"/>
      <c r="DQ137" s="27"/>
      <c r="DR137" s="28" t="str">
        <f>IFERROR(VLOOKUP(DP137,Horarios!$H:$I,2,0),"")</f>
        <v/>
      </c>
      <c r="DS137" s="28" t="str">
        <f>IFERROR(VLOOKUP(DQ137,Horarios!$H:$I,2,0),"")</f>
        <v/>
      </c>
      <c r="DT137" s="28" t="str">
        <f t="shared" si="69"/>
        <v>00:00</v>
      </c>
      <c r="DU137" s="29"/>
      <c r="DV137" s="27"/>
      <c r="DW137" s="27"/>
      <c r="DX137" s="28" t="str">
        <f>IFERROR(VLOOKUP(DV137,Horarios!$H:$I,2,0),"")</f>
        <v/>
      </c>
      <c r="DY137" s="28" t="str">
        <f>IFERROR(VLOOKUP(DW137,Horarios!$H:$I,2,0),"")</f>
        <v/>
      </c>
      <c r="DZ137" s="28" t="str">
        <f t="shared" si="70"/>
        <v>00:00</v>
      </c>
      <c r="EA137" s="29"/>
      <c r="EB137" s="31" t="str">
        <f t="shared" si="71"/>
        <v/>
      </c>
      <c r="EC137" s="27"/>
      <c r="ED137" s="27"/>
      <c r="EE137" s="28" t="str">
        <f>IFERROR(VLOOKUP(EC137,Horarios!$H:$I,2,0),"")</f>
        <v/>
      </c>
      <c r="EF137" s="28" t="str">
        <f>IFERROR(VLOOKUP(ED137,Horarios!$H:$I,2,0),"")</f>
        <v/>
      </c>
      <c r="EG137" s="28" t="str">
        <f t="shared" si="72"/>
        <v>00:00</v>
      </c>
      <c r="EH137" s="29"/>
      <c r="EI137" s="27"/>
      <c r="EJ137" s="27"/>
      <c r="EK137" s="28" t="str">
        <f>IFERROR(VLOOKUP(EI137,Horarios!$H:$I,2,0),"")</f>
        <v/>
      </c>
      <c r="EL137" s="28" t="str">
        <f>IFERROR(VLOOKUP(EJ137,Horarios!$H:$I,2,0),"")</f>
        <v/>
      </c>
      <c r="EM137" s="28" t="str">
        <f t="shared" si="73"/>
        <v>00:00</v>
      </c>
      <c r="EN137" s="29"/>
      <c r="EO137" s="27"/>
      <c r="EP137" s="27"/>
      <c r="EQ137" s="28" t="str">
        <f>IFERROR(VLOOKUP(EO137,Horarios!$H:$I,2,0),"")</f>
        <v/>
      </c>
      <c r="ER137" s="28" t="str">
        <f>IFERROR(VLOOKUP(EP137,Horarios!$H:$I,2,0),"")</f>
        <v/>
      </c>
      <c r="ES137" s="28" t="str">
        <f t="shared" si="74"/>
        <v>00:00</v>
      </c>
      <c r="ET137" s="29"/>
      <c r="EU137" s="27"/>
      <c r="EV137" s="27"/>
      <c r="EW137" s="28" t="str">
        <f>IFERROR(VLOOKUP(EU137,Horarios!$H:$I,2,0),"")</f>
        <v/>
      </c>
      <c r="EX137" s="28" t="str">
        <f>IFERROR(VLOOKUP(EV137,Horarios!$H:$I,2,0),"")</f>
        <v/>
      </c>
      <c r="EY137" s="28" t="str">
        <f t="shared" si="75"/>
        <v>00:00</v>
      </c>
      <c r="EZ137" s="29"/>
      <c r="FA137" s="27"/>
      <c r="FB137" s="27"/>
      <c r="FC137" s="28" t="str">
        <f>IFERROR(VLOOKUP(FA137,Horarios!$H:$I,2,0),"")</f>
        <v/>
      </c>
      <c r="FD137" s="28" t="str">
        <f>IFERROR(VLOOKUP(FB137,Horarios!$H:$I,2,0),"")</f>
        <v/>
      </c>
      <c r="FE137" s="28" t="str">
        <f t="shared" si="76"/>
        <v>00:00</v>
      </c>
      <c r="FF137" s="29"/>
      <c r="FG137" s="27"/>
      <c r="FH137" s="27"/>
      <c r="FI137" s="28" t="str">
        <f>IFERROR(VLOOKUP(FG137,Horarios!$H:$I,2,0),"")</f>
        <v/>
      </c>
      <c r="FJ137" s="28" t="str">
        <f>IFERROR(VLOOKUP(FH137,Horarios!$H:$I,2,0),"")</f>
        <v/>
      </c>
      <c r="FK137" s="28" t="str">
        <f t="shared" si="77"/>
        <v>00:00</v>
      </c>
      <c r="FL137" s="29"/>
      <c r="FM137" s="27"/>
      <c r="FN137" s="27"/>
      <c r="FO137" s="28" t="str">
        <f>IFERROR(VLOOKUP(FM137,Horarios!$H:$I,2,0),"")</f>
        <v/>
      </c>
      <c r="FP137" s="28" t="str">
        <f>IFERROR(VLOOKUP(FN137,Horarios!$H:$I,2,0),"")</f>
        <v/>
      </c>
      <c r="FQ137" s="28" t="str">
        <f t="shared" si="78"/>
        <v>00:00</v>
      </c>
      <c r="FR137" s="29"/>
      <c r="FS137" s="31" t="str">
        <f t="shared" si="79"/>
        <v/>
      </c>
      <c r="FT137" s="27"/>
      <c r="FU137" s="27"/>
      <c r="FV137" s="28" t="str">
        <f>IFERROR(VLOOKUP(FT137,Horarios!$H:$I,2,0),"")</f>
        <v/>
      </c>
      <c r="FW137" s="28" t="str">
        <f>IFERROR(VLOOKUP(FU137,Horarios!$H:$I,2,0),"")</f>
        <v/>
      </c>
      <c r="FX137" s="28" t="str">
        <f t="shared" si="80"/>
        <v>00:00</v>
      </c>
      <c r="FY137" s="29"/>
      <c r="FZ137" s="27"/>
      <c r="GA137" s="27"/>
      <c r="GB137" s="28" t="str">
        <f>IFERROR(VLOOKUP(FZ137,Horarios!$H:$I,2,0),"")</f>
        <v/>
      </c>
      <c r="GC137" s="28" t="str">
        <f>IFERROR(VLOOKUP(GA137,Horarios!$H:$I,2,0),"")</f>
        <v/>
      </c>
      <c r="GD137" s="28" t="str">
        <f t="shared" si="81"/>
        <v>00:00</v>
      </c>
      <c r="GE137" s="29"/>
      <c r="GF137" s="27"/>
      <c r="GG137" s="27"/>
      <c r="GH137" s="28" t="str">
        <f>IFERROR(VLOOKUP(GF137,Horarios!$H:$I,2,0),"")</f>
        <v/>
      </c>
      <c r="GI137" s="28" t="str">
        <f>IFERROR(VLOOKUP(GG137,Horarios!$H:$I,2,0),"")</f>
        <v/>
      </c>
      <c r="GJ137" s="28" t="str">
        <f t="shared" si="82"/>
        <v>00:00</v>
      </c>
      <c r="GK137" s="29"/>
      <c r="GL137" s="27"/>
      <c r="GM137" s="27"/>
      <c r="GN137" s="28" t="str">
        <f>IFERROR(VLOOKUP(GL137,Horarios!$H:$I,2,0),"")</f>
        <v/>
      </c>
      <c r="GO137" s="28" t="str">
        <f>IFERROR(VLOOKUP(GM137,Horarios!$H:$I,2,0),"")</f>
        <v/>
      </c>
      <c r="GP137" s="28" t="str">
        <f t="shared" si="83"/>
        <v>00:00</v>
      </c>
      <c r="GQ137" s="29"/>
      <c r="GR137" s="27"/>
      <c r="GS137" s="27"/>
      <c r="GT137" s="28" t="str">
        <f>IFERROR(VLOOKUP(GR137,Horarios!$H:$I,2,0),"")</f>
        <v/>
      </c>
      <c r="GU137" s="28" t="str">
        <f>IFERROR(VLOOKUP(GS137,Horarios!$H:$I,2,0),"")</f>
        <v/>
      </c>
      <c r="GV137" s="28" t="str">
        <f t="shared" si="84"/>
        <v>00:00</v>
      </c>
      <c r="GW137" s="29"/>
      <c r="GX137" s="27"/>
      <c r="GY137" s="27"/>
      <c r="GZ137" s="28" t="str">
        <f>IFERROR(VLOOKUP(GX137,Horarios!$H:$I,2,0),"")</f>
        <v/>
      </c>
      <c r="HA137" s="28" t="str">
        <f>IFERROR(VLOOKUP(GY137,Horarios!$H:$I,2,0),"")</f>
        <v/>
      </c>
      <c r="HB137" s="28" t="str">
        <f t="shared" si="85"/>
        <v>00:00</v>
      </c>
      <c r="HC137" s="29"/>
      <c r="HD137" s="27"/>
      <c r="HE137" s="27"/>
      <c r="HF137" s="28" t="str">
        <f>IFERROR(VLOOKUP(HD137,Horarios!$H:$I,2,0),"")</f>
        <v/>
      </c>
      <c r="HG137" s="28" t="str">
        <f>IFERROR(VLOOKUP(HE137,Horarios!$H:$I,2,0),"")</f>
        <v/>
      </c>
      <c r="HH137" s="28" t="str">
        <f t="shared" si="86"/>
        <v>00:00</v>
      </c>
      <c r="HI137" s="29"/>
      <c r="HJ137" s="31" t="str">
        <f t="shared" si="87"/>
        <v/>
      </c>
      <c r="HK137" s="27"/>
      <c r="HL137" s="27"/>
      <c r="HM137" s="28" t="str">
        <f>IFERROR(VLOOKUP(HK137,Horarios!$H:$I,2,0),"")</f>
        <v/>
      </c>
      <c r="HN137" s="28" t="str">
        <f>IFERROR(VLOOKUP(HL137,Horarios!$H:$I,2,0),"")</f>
        <v/>
      </c>
      <c r="HO137" s="28" t="str">
        <f t="shared" si="88"/>
        <v>00:00</v>
      </c>
      <c r="HP137" s="29"/>
      <c r="HQ137" s="27"/>
      <c r="HR137" s="27"/>
      <c r="HS137" s="28" t="str">
        <f>IFERROR(VLOOKUP(HQ137,Horarios!$H:$I,2,0),"")</f>
        <v/>
      </c>
      <c r="HT137" s="28" t="str">
        <f>IFERROR(VLOOKUP(HR137,Horarios!$H:$I,2,0),"")</f>
        <v/>
      </c>
      <c r="HU137" s="28" t="str">
        <f t="shared" si="89"/>
        <v>00:00</v>
      </c>
      <c r="HV137" s="29"/>
      <c r="HW137" s="27"/>
      <c r="HX137" s="27"/>
      <c r="HY137" s="28" t="str">
        <f>IFERROR(VLOOKUP(HW137,Horarios!$H:$I,2,0),"")</f>
        <v/>
      </c>
      <c r="HZ137" s="28" t="str">
        <f>IFERROR(VLOOKUP(HX137,Horarios!$H:$I,2,0),"")</f>
        <v/>
      </c>
      <c r="IA137" s="28" t="str">
        <f t="shared" si="90"/>
        <v>00:00</v>
      </c>
      <c r="IB137" s="29"/>
      <c r="IC137" s="27"/>
      <c r="ID137" s="27"/>
      <c r="IE137" s="28" t="str">
        <f>IFERROR(VLOOKUP(IC137,Horarios!$H:$I,2,0),"")</f>
        <v/>
      </c>
      <c r="IF137" s="28" t="str">
        <f>IFERROR(VLOOKUP(ID137,Horarios!$H:$I,2,0),"")</f>
        <v/>
      </c>
      <c r="IG137" s="28" t="str">
        <f t="shared" si="91"/>
        <v>00:00</v>
      </c>
      <c r="IH137" s="29"/>
      <c r="II137" s="27"/>
      <c r="IJ137" s="27"/>
      <c r="IK137" s="28" t="str">
        <f>IFERROR(VLOOKUP(II137,Horarios!$H:$I,2,0),"")</f>
        <v/>
      </c>
      <c r="IL137" s="28" t="str">
        <f>IFERROR(VLOOKUP(IJ137,Horarios!$H:$I,2,0),"")</f>
        <v/>
      </c>
      <c r="IM137" s="28" t="str">
        <f t="shared" si="92"/>
        <v>00:00</v>
      </c>
      <c r="IN137" s="29"/>
      <c r="IO137" s="27"/>
      <c r="IP137" s="27"/>
      <c r="IQ137" s="28" t="str">
        <f>IFERROR(VLOOKUP(IO137,Horarios!$H:$I,2,0),"")</f>
        <v/>
      </c>
      <c r="IR137" s="28" t="str">
        <f>IFERROR(VLOOKUP(IP137,Horarios!$H:$I,2,0),"")</f>
        <v/>
      </c>
      <c r="IS137" s="28" t="str">
        <f t="shared" si="93"/>
        <v>00:00</v>
      </c>
      <c r="IT137" s="29"/>
      <c r="IU137" s="27"/>
      <c r="IV137" s="27"/>
      <c r="IW137" s="28" t="str">
        <f>IFERROR(VLOOKUP(IU137,Horarios!$H:$I,2,0),"")</f>
        <v/>
      </c>
      <c r="IX137" s="28" t="str">
        <f>IFERROR(VLOOKUP(IV137,Horarios!$H:$I,2,0),"")</f>
        <v/>
      </c>
      <c r="IY137" s="28" t="str">
        <f t="shared" si="94"/>
        <v>00:00</v>
      </c>
      <c r="IZ137" s="29"/>
      <c r="JA137" s="31" t="str">
        <f t="shared" si="95"/>
        <v/>
      </c>
    </row>
    <row r="138" spans="1:261" s="24" customFormat="1" ht="17.399999999999999" x14ac:dyDescent="0.25">
      <c r="A138" s="25"/>
      <c r="B138" s="26" t="str">
        <f>IFERROR(VLOOKUP(A138,BaseNombres!A:B,2,0),"")</f>
        <v/>
      </c>
      <c r="C138" s="26" t="str">
        <f>IFERROR(VLOOKUP(A138,BaseNombres!A:C,3,0),"")</f>
        <v/>
      </c>
      <c r="D138" s="27"/>
      <c r="E138" s="27"/>
      <c r="F138" s="28" t="str">
        <f>IFERROR(VLOOKUP(D138,Horarios!$H:$I,2,0),"")</f>
        <v/>
      </c>
      <c r="G138" s="28" t="str">
        <f>IFERROR(VLOOKUP(E138,Horarios!$H:$I,2,0),"")</f>
        <v/>
      </c>
      <c r="H138" s="28" t="str">
        <f t="shared" si="48"/>
        <v>00:00</v>
      </c>
      <c r="I138" s="29"/>
      <c r="J138" s="27"/>
      <c r="K138" s="27"/>
      <c r="L138" s="28" t="str">
        <f>IFERROR(VLOOKUP(J138,Horarios!$H:$I,2,0),"")</f>
        <v/>
      </c>
      <c r="M138" s="28" t="str">
        <f>IFERROR(VLOOKUP(K138,Horarios!$H:$I,2,0),"")</f>
        <v/>
      </c>
      <c r="N138" s="28" t="str">
        <f t="shared" si="49"/>
        <v>00:00</v>
      </c>
      <c r="O138" s="29"/>
      <c r="P138" s="27"/>
      <c r="Q138" s="27"/>
      <c r="R138" s="28" t="str">
        <f>IFERROR(VLOOKUP(P138,Horarios!$H:$I,2,0),"")</f>
        <v/>
      </c>
      <c r="S138" s="28" t="str">
        <f>IFERROR(VLOOKUP(Q138,Horarios!$H:$I,2,0),"")</f>
        <v/>
      </c>
      <c r="T138" s="28" t="str">
        <f t="shared" si="50"/>
        <v>00:00</v>
      </c>
      <c r="U138" s="29"/>
      <c r="V138" s="27"/>
      <c r="W138" s="27"/>
      <c r="X138" s="28" t="str">
        <f>IFERROR(VLOOKUP(V138,Horarios!$H:$I,2,0),"")</f>
        <v/>
      </c>
      <c r="Y138" s="28" t="str">
        <f>IFERROR(VLOOKUP(W138,Horarios!$H:$I,2,0),"")</f>
        <v/>
      </c>
      <c r="Z138" s="28" t="str">
        <f t="shared" si="51"/>
        <v>00:00</v>
      </c>
      <c r="AA138" s="29"/>
      <c r="AB138" s="27"/>
      <c r="AC138" s="27"/>
      <c r="AD138" s="28" t="str">
        <f>IFERROR(VLOOKUP(AB138,Horarios!$H:$I,2,0),"")</f>
        <v/>
      </c>
      <c r="AE138" s="28" t="str">
        <f>IFERROR(VLOOKUP(AC138,Horarios!$H:$I,2,0),"")</f>
        <v/>
      </c>
      <c r="AF138" s="28" t="str">
        <f t="shared" si="52"/>
        <v>00:00</v>
      </c>
      <c r="AG138" s="29"/>
      <c r="AH138" s="27"/>
      <c r="AI138" s="27"/>
      <c r="AJ138" s="28" t="str">
        <f>IFERROR(VLOOKUP(AH138,Horarios!$H:$I,2,0),"")</f>
        <v/>
      </c>
      <c r="AK138" s="28" t="str">
        <f>IFERROR(VLOOKUP(AI138,Horarios!$H:$I,2,0),"")</f>
        <v/>
      </c>
      <c r="AL138" s="28" t="str">
        <f t="shared" si="53"/>
        <v>00:00</v>
      </c>
      <c r="AM138" s="29"/>
      <c r="AN138" s="27"/>
      <c r="AO138" s="27"/>
      <c r="AP138" s="28" t="str">
        <f>IFERROR(VLOOKUP(AN138,Horarios!$H:$I,2,0),"")</f>
        <v/>
      </c>
      <c r="AQ138" s="28" t="str">
        <f>IFERROR(VLOOKUP(AO138,Horarios!$H:$I,2,0),"")</f>
        <v/>
      </c>
      <c r="AR138" s="28" t="str">
        <f t="shared" si="54"/>
        <v>00:00</v>
      </c>
      <c r="AS138" s="29"/>
      <c r="AT138" s="31" t="str">
        <f t="shared" si="55"/>
        <v/>
      </c>
      <c r="AU138" s="27"/>
      <c r="AV138" s="27"/>
      <c r="AW138" s="28" t="str">
        <f>IFERROR(VLOOKUP(AU138,Horarios!$H:$I,2,0),"")</f>
        <v/>
      </c>
      <c r="AX138" s="28" t="str">
        <f>IFERROR(VLOOKUP(AV138,Horarios!$H:$I,2,0),"")</f>
        <v/>
      </c>
      <c r="AY138" s="28" t="str">
        <f t="shared" si="56"/>
        <v>00:00</v>
      </c>
      <c r="AZ138" s="29"/>
      <c r="BA138" s="27"/>
      <c r="BB138" s="27"/>
      <c r="BC138" s="28" t="str">
        <f>IFERROR(VLOOKUP(BA138,Horarios!$H:$I,2,0),"")</f>
        <v/>
      </c>
      <c r="BD138" s="28" t="str">
        <f>IFERROR(VLOOKUP(BB138,Horarios!$H:$I,2,0),"")</f>
        <v/>
      </c>
      <c r="BE138" s="28" t="str">
        <f t="shared" si="57"/>
        <v>00:00</v>
      </c>
      <c r="BF138" s="29"/>
      <c r="BG138" s="27"/>
      <c r="BH138" s="27"/>
      <c r="BI138" s="28" t="str">
        <f>IFERROR(VLOOKUP(BG138,Horarios!$H:$I,2,0),"")</f>
        <v/>
      </c>
      <c r="BJ138" s="28" t="str">
        <f>IFERROR(VLOOKUP(BH138,Horarios!$H:$I,2,0),"")</f>
        <v/>
      </c>
      <c r="BK138" s="28" t="str">
        <f t="shared" si="58"/>
        <v>00:00</v>
      </c>
      <c r="BL138" s="29"/>
      <c r="BM138" s="27"/>
      <c r="BN138" s="27"/>
      <c r="BO138" s="28" t="str">
        <f>IFERROR(VLOOKUP(BM138,Horarios!$H:$I,2,0),"")</f>
        <v/>
      </c>
      <c r="BP138" s="28" t="str">
        <f>IFERROR(VLOOKUP(BN138,Horarios!$H:$I,2,0),"")</f>
        <v/>
      </c>
      <c r="BQ138" s="28" t="str">
        <f t="shared" si="59"/>
        <v>00:00</v>
      </c>
      <c r="BR138" s="29"/>
      <c r="BS138" s="27"/>
      <c r="BT138" s="27"/>
      <c r="BU138" s="28" t="str">
        <f>IFERROR(VLOOKUP(BS138,Horarios!$H:$I,2,0),"")</f>
        <v/>
      </c>
      <c r="BV138" s="28" t="str">
        <f>IFERROR(VLOOKUP(BT138,Horarios!$H:$I,2,0),"")</f>
        <v/>
      </c>
      <c r="BW138" s="28" t="str">
        <f t="shared" si="60"/>
        <v>00:00</v>
      </c>
      <c r="BX138" s="29"/>
      <c r="BY138" s="27"/>
      <c r="BZ138" s="27"/>
      <c r="CA138" s="28" t="str">
        <f>IFERROR(VLOOKUP(BY138,Horarios!$H:$I,2,0),"")</f>
        <v/>
      </c>
      <c r="CB138" s="28" t="str">
        <f>IFERROR(VLOOKUP(BZ138,Horarios!$H:$I,2,0),"")</f>
        <v/>
      </c>
      <c r="CC138" s="28" t="str">
        <f t="shared" si="61"/>
        <v>00:00</v>
      </c>
      <c r="CD138" s="29"/>
      <c r="CE138" s="27"/>
      <c r="CF138" s="27"/>
      <c r="CG138" s="28" t="str">
        <f>IFERROR(VLOOKUP(CE138,Horarios!$H:$I,2,0),"")</f>
        <v/>
      </c>
      <c r="CH138" s="28" t="str">
        <f>IFERROR(VLOOKUP(CF138,Horarios!$H:$I,2,0),"")</f>
        <v/>
      </c>
      <c r="CI138" s="28" t="str">
        <f t="shared" si="62"/>
        <v>00:00</v>
      </c>
      <c r="CJ138" s="29"/>
      <c r="CK138" s="31" t="str">
        <f t="shared" si="63"/>
        <v/>
      </c>
      <c r="CL138" s="27"/>
      <c r="CM138" s="27"/>
      <c r="CN138" s="28" t="str">
        <f>IFERROR(VLOOKUP(CL138,Horarios!$H:$I,2,0),"")</f>
        <v/>
      </c>
      <c r="CO138" s="28" t="str">
        <f>IFERROR(VLOOKUP(CM138,Horarios!$H:$I,2,0),"")</f>
        <v/>
      </c>
      <c r="CP138" s="28" t="str">
        <f t="shared" si="64"/>
        <v>00:00</v>
      </c>
      <c r="CQ138" s="29"/>
      <c r="CR138" s="27"/>
      <c r="CS138" s="27"/>
      <c r="CT138" s="28" t="str">
        <f>IFERROR(VLOOKUP(CR138,Horarios!$H:$I,2,0),"")</f>
        <v/>
      </c>
      <c r="CU138" s="28" t="str">
        <f>IFERROR(VLOOKUP(CS138,Horarios!$H:$I,2,0),"")</f>
        <v/>
      </c>
      <c r="CV138" s="28" t="str">
        <f t="shared" si="65"/>
        <v>00:00</v>
      </c>
      <c r="CW138" s="29"/>
      <c r="CX138" s="27"/>
      <c r="CY138" s="27"/>
      <c r="CZ138" s="28" t="str">
        <f>IFERROR(VLOOKUP(CX138,Horarios!$H:$I,2,0),"")</f>
        <v/>
      </c>
      <c r="DA138" s="28" t="str">
        <f>IFERROR(VLOOKUP(CY138,Horarios!$H:$I,2,0),"")</f>
        <v/>
      </c>
      <c r="DB138" s="28" t="str">
        <f t="shared" si="66"/>
        <v>00:00</v>
      </c>
      <c r="DC138" s="29"/>
      <c r="DD138" s="27"/>
      <c r="DE138" s="27"/>
      <c r="DF138" s="28" t="str">
        <f>IFERROR(VLOOKUP(DD138,Horarios!$H:$I,2,0),"")</f>
        <v/>
      </c>
      <c r="DG138" s="28" t="str">
        <f>IFERROR(VLOOKUP(DE138,Horarios!$H:$I,2,0),"")</f>
        <v/>
      </c>
      <c r="DH138" s="28" t="str">
        <f t="shared" si="67"/>
        <v>00:00</v>
      </c>
      <c r="DI138" s="29"/>
      <c r="DJ138" s="27"/>
      <c r="DK138" s="27"/>
      <c r="DL138" s="28" t="str">
        <f>IFERROR(VLOOKUP(DJ138,Horarios!$H:$I,2,0),"")</f>
        <v/>
      </c>
      <c r="DM138" s="28" t="str">
        <f>IFERROR(VLOOKUP(DK138,Horarios!$H:$I,2,0),"")</f>
        <v/>
      </c>
      <c r="DN138" s="28" t="str">
        <f t="shared" si="68"/>
        <v>00:00</v>
      </c>
      <c r="DO138" s="29"/>
      <c r="DP138" s="27"/>
      <c r="DQ138" s="27"/>
      <c r="DR138" s="28" t="str">
        <f>IFERROR(VLOOKUP(DP138,Horarios!$H:$I,2,0),"")</f>
        <v/>
      </c>
      <c r="DS138" s="28" t="str">
        <f>IFERROR(VLOOKUP(DQ138,Horarios!$H:$I,2,0),"")</f>
        <v/>
      </c>
      <c r="DT138" s="28" t="str">
        <f t="shared" si="69"/>
        <v>00:00</v>
      </c>
      <c r="DU138" s="29"/>
      <c r="DV138" s="27"/>
      <c r="DW138" s="27"/>
      <c r="DX138" s="28" t="str">
        <f>IFERROR(VLOOKUP(DV138,Horarios!$H:$I,2,0),"")</f>
        <v/>
      </c>
      <c r="DY138" s="28" t="str">
        <f>IFERROR(VLOOKUP(DW138,Horarios!$H:$I,2,0),"")</f>
        <v/>
      </c>
      <c r="DZ138" s="28" t="str">
        <f t="shared" si="70"/>
        <v>00:00</v>
      </c>
      <c r="EA138" s="29"/>
      <c r="EB138" s="31" t="str">
        <f t="shared" si="71"/>
        <v/>
      </c>
      <c r="EC138" s="27"/>
      <c r="ED138" s="27"/>
      <c r="EE138" s="28" t="str">
        <f>IFERROR(VLOOKUP(EC138,Horarios!$H:$I,2,0),"")</f>
        <v/>
      </c>
      <c r="EF138" s="28" t="str">
        <f>IFERROR(VLOOKUP(ED138,Horarios!$H:$I,2,0),"")</f>
        <v/>
      </c>
      <c r="EG138" s="28" t="str">
        <f t="shared" si="72"/>
        <v>00:00</v>
      </c>
      <c r="EH138" s="29"/>
      <c r="EI138" s="27"/>
      <c r="EJ138" s="27"/>
      <c r="EK138" s="28" t="str">
        <f>IFERROR(VLOOKUP(EI138,Horarios!$H:$I,2,0),"")</f>
        <v/>
      </c>
      <c r="EL138" s="28" t="str">
        <f>IFERROR(VLOOKUP(EJ138,Horarios!$H:$I,2,0),"")</f>
        <v/>
      </c>
      <c r="EM138" s="28" t="str">
        <f t="shared" si="73"/>
        <v>00:00</v>
      </c>
      <c r="EN138" s="29"/>
      <c r="EO138" s="27"/>
      <c r="EP138" s="27"/>
      <c r="EQ138" s="28" t="str">
        <f>IFERROR(VLOOKUP(EO138,Horarios!$H:$I,2,0),"")</f>
        <v/>
      </c>
      <c r="ER138" s="28" t="str">
        <f>IFERROR(VLOOKUP(EP138,Horarios!$H:$I,2,0),"")</f>
        <v/>
      </c>
      <c r="ES138" s="28" t="str">
        <f t="shared" si="74"/>
        <v>00:00</v>
      </c>
      <c r="ET138" s="29"/>
      <c r="EU138" s="27"/>
      <c r="EV138" s="27"/>
      <c r="EW138" s="28" t="str">
        <f>IFERROR(VLOOKUP(EU138,Horarios!$H:$I,2,0),"")</f>
        <v/>
      </c>
      <c r="EX138" s="28" t="str">
        <f>IFERROR(VLOOKUP(EV138,Horarios!$H:$I,2,0),"")</f>
        <v/>
      </c>
      <c r="EY138" s="28" t="str">
        <f t="shared" si="75"/>
        <v>00:00</v>
      </c>
      <c r="EZ138" s="29"/>
      <c r="FA138" s="27"/>
      <c r="FB138" s="27"/>
      <c r="FC138" s="28" t="str">
        <f>IFERROR(VLOOKUP(FA138,Horarios!$H:$I,2,0),"")</f>
        <v/>
      </c>
      <c r="FD138" s="28" t="str">
        <f>IFERROR(VLOOKUP(FB138,Horarios!$H:$I,2,0),"")</f>
        <v/>
      </c>
      <c r="FE138" s="28" t="str">
        <f t="shared" si="76"/>
        <v>00:00</v>
      </c>
      <c r="FF138" s="29"/>
      <c r="FG138" s="27"/>
      <c r="FH138" s="27"/>
      <c r="FI138" s="28" t="str">
        <f>IFERROR(VLOOKUP(FG138,Horarios!$H:$I,2,0),"")</f>
        <v/>
      </c>
      <c r="FJ138" s="28" t="str">
        <f>IFERROR(VLOOKUP(FH138,Horarios!$H:$I,2,0),"")</f>
        <v/>
      </c>
      <c r="FK138" s="28" t="str">
        <f t="shared" si="77"/>
        <v>00:00</v>
      </c>
      <c r="FL138" s="29"/>
      <c r="FM138" s="27"/>
      <c r="FN138" s="27"/>
      <c r="FO138" s="28" t="str">
        <f>IFERROR(VLOOKUP(FM138,Horarios!$H:$I,2,0),"")</f>
        <v/>
      </c>
      <c r="FP138" s="28" t="str">
        <f>IFERROR(VLOOKUP(FN138,Horarios!$H:$I,2,0),"")</f>
        <v/>
      </c>
      <c r="FQ138" s="28" t="str">
        <f t="shared" si="78"/>
        <v>00:00</v>
      </c>
      <c r="FR138" s="29"/>
      <c r="FS138" s="31" t="str">
        <f t="shared" si="79"/>
        <v/>
      </c>
      <c r="FT138" s="27"/>
      <c r="FU138" s="27"/>
      <c r="FV138" s="28" t="str">
        <f>IFERROR(VLOOKUP(FT138,Horarios!$H:$I,2,0),"")</f>
        <v/>
      </c>
      <c r="FW138" s="28" t="str">
        <f>IFERROR(VLOOKUP(FU138,Horarios!$H:$I,2,0),"")</f>
        <v/>
      </c>
      <c r="FX138" s="28" t="str">
        <f t="shared" si="80"/>
        <v>00:00</v>
      </c>
      <c r="FY138" s="29"/>
      <c r="FZ138" s="27"/>
      <c r="GA138" s="27"/>
      <c r="GB138" s="28" t="str">
        <f>IFERROR(VLOOKUP(FZ138,Horarios!$H:$I,2,0),"")</f>
        <v/>
      </c>
      <c r="GC138" s="28" t="str">
        <f>IFERROR(VLOOKUP(GA138,Horarios!$H:$I,2,0),"")</f>
        <v/>
      </c>
      <c r="GD138" s="28" t="str">
        <f t="shared" si="81"/>
        <v>00:00</v>
      </c>
      <c r="GE138" s="29"/>
      <c r="GF138" s="27"/>
      <c r="GG138" s="27"/>
      <c r="GH138" s="28" t="str">
        <f>IFERROR(VLOOKUP(GF138,Horarios!$H:$I,2,0),"")</f>
        <v/>
      </c>
      <c r="GI138" s="28" t="str">
        <f>IFERROR(VLOOKUP(GG138,Horarios!$H:$I,2,0),"")</f>
        <v/>
      </c>
      <c r="GJ138" s="28" t="str">
        <f t="shared" si="82"/>
        <v>00:00</v>
      </c>
      <c r="GK138" s="29"/>
      <c r="GL138" s="27"/>
      <c r="GM138" s="27"/>
      <c r="GN138" s="28" t="str">
        <f>IFERROR(VLOOKUP(GL138,Horarios!$H:$I,2,0),"")</f>
        <v/>
      </c>
      <c r="GO138" s="28" t="str">
        <f>IFERROR(VLOOKUP(GM138,Horarios!$H:$I,2,0),"")</f>
        <v/>
      </c>
      <c r="GP138" s="28" t="str">
        <f t="shared" si="83"/>
        <v>00:00</v>
      </c>
      <c r="GQ138" s="29"/>
      <c r="GR138" s="27"/>
      <c r="GS138" s="27"/>
      <c r="GT138" s="28" t="str">
        <f>IFERROR(VLOOKUP(GR138,Horarios!$H:$I,2,0),"")</f>
        <v/>
      </c>
      <c r="GU138" s="28" t="str">
        <f>IFERROR(VLOOKUP(GS138,Horarios!$H:$I,2,0),"")</f>
        <v/>
      </c>
      <c r="GV138" s="28" t="str">
        <f t="shared" si="84"/>
        <v>00:00</v>
      </c>
      <c r="GW138" s="29"/>
      <c r="GX138" s="27"/>
      <c r="GY138" s="27"/>
      <c r="GZ138" s="28" t="str">
        <f>IFERROR(VLOOKUP(GX138,Horarios!$H:$I,2,0),"")</f>
        <v/>
      </c>
      <c r="HA138" s="28" t="str">
        <f>IFERROR(VLOOKUP(GY138,Horarios!$H:$I,2,0),"")</f>
        <v/>
      </c>
      <c r="HB138" s="28" t="str">
        <f t="shared" si="85"/>
        <v>00:00</v>
      </c>
      <c r="HC138" s="29"/>
      <c r="HD138" s="27"/>
      <c r="HE138" s="27"/>
      <c r="HF138" s="28" t="str">
        <f>IFERROR(VLOOKUP(HD138,Horarios!$H:$I,2,0),"")</f>
        <v/>
      </c>
      <c r="HG138" s="28" t="str">
        <f>IFERROR(VLOOKUP(HE138,Horarios!$H:$I,2,0),"")</f>
        <v/>
      </c>
      <c r="HH138" s="28" t="str">
        <f t="shared" si="86"/>
        <v>00:00</v>
      </c>
      <c r="HI138" s="29"/>
      <c r="HJ138" s="31" t="str">
        <f t="shared" si="87"/>
        <v/>
      </c>
      <c r="HK138" s="27"/>
      <c r="HL138" s="27"/>
      <c r="HM138" s="28" t="str">
        <f>IFERROR(VLOOKUP(HK138,Horarios!$H:$I,2,0),"")</f>
        <v/>
      </c>
      <c r="HN138" s="28" t="str">
        <f>IFERROR(VLOOKUP(HL138,Horarios!$H:$I,2,0),"")</f>
        <v/>
      </c>
      <c r="HO138" s="28" t="str">
        <f t="shared" si="88"/>
        <v>00:00</v>
      </c>
      <c r="HP138" s="29"/>
      <c r="HQ138" s="27"/>
      <c r="HR138" s="27"/>
      <c r="HS138" s="28" t="str">
        <f>IFERROR(VLOOKUP(HQ138,Horarios!$H:$I,2,0),"")</f>
        <v/>
      </c>
      <c r="HT138" s="28" t="str">
        <f>IFERROR(VLOOKUP(HR138,Horarios!$H:$I,2,0),"")</f>
        <v/>
      </c>
      <c r="HU138" s="28" t="str">
        <f t="shared" si="89"/>
        <v>00:00</v>
      </c>
      <c r="HV138" s="29"/>
      <c r="HW138" s="27"/>
      <c r="HX138" s="27"/>
      <c r="HY138" s="28" t="str">
        <f>IFERROR(VLOOKUP(HW138,Horarios!$H:$I,2,0),"")</f>
        <v/>
      </c>
      <c r="HZ138" s="28" t="str">
        <f>IFERROR(VLOOKUP(HX138,Horarios!$H:$I,2,0),"")</f>
        <v/>
      </c>
      <c r="IA138" s="28" t="str">
        <f t="shared" si="90"/>
        <v>00:00</v>
      </c>
      <c r="IB138" s="29"/>
      <c r="IC138" s="27"/>
      <c r="ID138" s="27"/>
      <c r="IE138" s="28" t="str">
        <f>IFERROR(VLOOKUP(IC138,Horarios!$H:$I,2,0),"")</f>
        <v/>
      </c>
      <c r="IF138" s="28" t="str">
        <f>IFERROR(VLOOKUP(ID138,Horarios!$H:$I,2,0),"")</f>
        <v/>
      </c>
      <c r="IG138" s="28" t="str">
        <f t="shared" si="91"/>
        <v>00:00</v>
      </c>
      <c r="IH138" s="29"/>
      <c r="II138" s="27"/>
      <c r="IJ138" s="27"/>
      <c r="IK138" s="28" t="str">
        <f>IFERROR(VLOOKUP(II138,Horarios!$H:$I,2,0),"")</f>
        <v/>
      </c>
      <c r="IL138" s="28" t="str">
        <f>IFERROR(VLOOKUP(IJ138,Horarios!$H:$I,2,0),"")</f>
        <v/>
      </c>
      <c r="IM138" s="28" t="str">
        <f t="shared" si="92"/>
        <v>00:00</v>
      </c>
      <c r="IN138" s="29"/>
      <c r="IO138" s="27"/>
      <c r="IP138" s="27"/>
      <c r="IQ138" s="28" t="str">
        <f>IFERROR(VLOOKUP(IO138,Horarios!$H:$I,2,0),"")</f>
        <v/>
      </c>
      <c r="IR138" s="28" t="str">
        <f>IFERROR(VLOOKUP(IP138,Horarios!$H:$I,2,0),"")</f>
        <v/>
      </c>
      <c r="IS138" s="28" t="str">
        <f t="shared" si="93"/>
        <v>00:00</v>
      </c>
      <c r="IT138" s="29"/>
      <c r="IU138" s="27"/>
      <c r="IV138" s="27"/>
      <c r="IW138" s="28" t="str">
        <f>IFERROR(VLOOKUP(IU138,Horarios!$H:$I,2,0),"")</f>
        <v/>
      </c>
      <c r="IX138" s="28" t="str">
        <f>IFERROR(VLOOKUP(IV138,Horarios!$H:$I,2,0),"")</f>
        <v/>
      </c>
      <c r="IY138" s="28" t="str">
        <f t="shared" si="94"/>
        <v>00:00</v>
      </c>
      <c r="IZ138" s="29"/>
      <c r="JA138" s="31" t="str">
        <f t="shared" si="95"/>
        <v/>
      </c>
    </row>
    <row r="139" spans="1:261" s="24" customFormat="1" ht="17.399999999999999" x14ac:dyDescent="0.25">
      <c r="A139" s="25"/>
      <c r="B139" s="26" t="str">
        <f>IFERROR(VLOOKUP(A139,BaseNombres!A:B,2,0),"")</f>
        <v/>
      </c>
      <c r="C139" s="26" t="str">
        <f>IFERROR(VLOOKUP(A139,BaseNombres!A:C,3,0),"")</f>
        <v/>
      </c>
      <c r="D139" s="27"/>
      <c r="E139" s="27"/>
      <c r="F139" s="28" t="str">
        <f>IFERROR(VLOOKUP(D139,Horarios!$H:$I,2,0),"")</f>
        <v/>
      </c>
      <c r="G139" s="28" t="str">
        <f>IFERROR(VLOOKUP(E139,Horarios!$H:$I,2,0),"")</f>
        <v/>
      </c>
      <c r="H139" s="28" t="str">
        <f t="shared" ref="H139:H202" si="96">IF(SUM(F139,G139)=0,"00:00",SUM(F139,G139))</f>
        <v>00:00</v>
      </c>
      <c r="I139" s="29"/>
      <c r="J139" s="27"/>
      <c r="K139" s="27"/>
      <c r="L139" s="28" t="str">
        <f>IFERROR(VLOOKUP(J139,Horarios!$H:$I,2,0),"")</f>
        <v/>
      </c>
      <c r="M139" s="28" t="str">
        <f>IFERROR(VLOOKUP(K139,Horarios!$H:$I,2,0),"")</f>
        <v/>
      </c>
      <c r="N139" s="28" t="str">
        <f t="shared" ref="N139:N202" si="97">IF(SUM(L139,M139)=0,"00:00",SUM(L139,M139))</f>
        <v>00:00</v>
      </c>
      <c r="O139" s="29"/>
      <c r="P139" s="27"/>
      <c r="Q139" s="27"/>
      <c r="R139" s="28" t="str">
        <f>IFERROR(VLOOKUP(P139,Horarios!$H:$I,2,0),"")</f>
        <v/>
      </c>
      <c r="S139" s="28" t="str">
        <f>IFERROR(VLOOKUP(Q139,Horarios!$H:$I,2,0),"")</f>
        <v/>
      </c>
      <c r="T139" s="28" t="str">
        <f t="shared" ref="T139:T202" si="98">IF(SUM(R139,S139)=0,"00:00",SUM(R139,S139))</f>
        <v>00:00</v>
      </c>
      <c r="U139" s="29"/>
      <c r="V139" s="27"/>
      <c r="W139" s="27"/>
      <c r="X139" s="28" t="str">
        <f>IFERROR(VLOOKUP(V139,Horarios!$H:$I,2,0),"")</f>
        <v/>
      </c>
      <c r="Y139" s="28" t="str">
        <f>IFERROR(VLOOKUP(W139,Horarios!$H:$I,2,0),"")</f>
        <v/>
      </c>
      <c r="Z139" s="28" t="str">
        <f t="shared" ref="Z139:Z202" si="99">IF(SUM(X139,Y139)=0,"00:00",SUM(X139,Y139))</f>
        <v>00:00</v>
      </c>
      <c r="AA139" s="29"/>
      <c r="AB139" s="27"/>
      <c r="AC139" s="27"/>
      <c r="AD139" s="28" t="str">
        <f>IFERROR(VLOOKUP(AB139,Horarios!$H:$I,2,0),"")</f>
        <v/>
      </c>
      <c r="AE139" s="28" t="str">
        <f>IFERROR(VLOOKUP(AC139,Horarios!$H:$I,2,0),"")</f>
        <v/>
      </c>
      <c r="AF139" s="28" t="str">
        <f t="shared" ref="AF139:AF202" si="100">IF(SUM(AD139,AE139)=0,"00:00",SUM(AD139,AE139))</f>
        <v>00:00</v>
      </c>
      <c r="AG139" s="29"/>
      <c r="AH139" s="27"/>
      <c r="AI139" s="27"/>
      <c r="AJ139" s="28" t="str">
        <f>IFERROR(VLOOKUP(AH139,Horarios!$H:$I,2,0),"")</f>
        <v/>
      </c>
      <c r="AK139" s="28" t="str">
        <f>IFERROR(VLOOKUP(AI139,Horarios!$H:$I,2,0),"")</f>
        <v/>
      </c>
      <c r="AL139" s="28" t="str">
        <f t="shared" ref="AL139:AL202" si="101">IF(SUM(AJ139,AK139)=0,"00:00",SUM(AJ139,AK139))</f>
        <v>00:00</v>
      </c>
      <c r="AM139" s="29"/>
      <c r="AN139" s="27"/>
      <c r="AO139" s="27"/>
      <c r="AP139" s="28" t="str">
        <f>IFERROR(VLOOKUP(AN139,Horarios!$H:$I,2,0),"")</f>
        <v/>
      </c>
      <c r="AQ139" s="28" t="str">
        <f>IFERROR(VLOOKUP(AO139,Horarios!$H:$I,2,0),"")</f>
        <v/>
      </c>
      <c r="AR139" s="28" t="str">
        <f t="shared" ref="AR139:AR202" si="102">IF(SUM(AP139,AQ139)=0,"00:00",SUM(AP139,AQ139))</f>
        <v>00:00</v>
      </c>
      <c r="AS139" s="29"/>
      <c r="AT139" s="31" t="str">
        <f t="shared" ref="AT139:AT202" si="103">IFERROR(IF(SUM(H139,N139,T139,Z139,AF139,AL139,AR139)=0,"",SUM(TEXT(H139,"HH:MM"),TEXT(N139,"HH:MM"),TEXT(T139,"HH:MM"),TEXT(Z139,"HH:MM"),TEXT(AF139,"HH:MM"),TEXT(AL139,"HH:MM"),TEXT(AR139,"HH:MM")))*24,"")</f>
        <v/>
      </c>
      <c r="AU139" s="27"/>
      <c r="AV139" s="27"/>
      <c r="AW139" s="28" t="str">
        <f>IFERROR(VLOOKUP(AU139,Horarios!$H:$I,2,0),"")</f>
        <v/>
      </c>
      <c r="AX139" s="28" t="str">
        <f>IFERROR(VLOOKUP(AV139,Horarios!$H:$I,2,0),"")</f>
        <v/>
      </c>
      <c r="AY139" s="28" t="str">
        <f t="shared" ref="AY139:AY202" si="104">IF(SUM(AW139,AX139)=0,"00:00",SUM(AW139,AX139))</f>
        <v>00:00</v>
      </c>
      <c r="AZ139" s="29"/>
      <c r="BA139" s="27"/>
      <c r="BB139" s="27"/>
      <c r="BC139" s="28" t="str">
        <f>IFERROR(VLOOKUP(BA139,Horarios!$H:$I,2,0),"")</f>
        <v/>
      </c>
      <c r="BD139" s="28" t="str">
        <f>IFERROR(VLOOKUP(BB139,Horarios!$H:$I,2,0),"")</f>
        <v/>
      </c>
      <c r="BE139" s="28" t="str">
        <f t="shared" ref="BE139:BE202" si="105">IF(SUM(BC139,BD139)=0,"00:00",SUM(BC139,BD139))</f>
        <v>00:00</v>
      </c>
      <c r="BF139" s="29"/>
      <c r="BG139" s="27"/>
      <c r="BH139" s="27"/>
      <c r="BI139" s="28" t="str">
        <f>IFERROR(VLOOKUP(BG139,Horarios!$H:$I,2,0),"")</f>
        <v/>
      </c>
      <c r="BJ139" s="28" t="str">
        <f>IFERROR(VLOOKUP(BH139,Horarios!$H:$I,2,0),"")</f>
        <v/>
      </c>
      <c r="BK139" s="28" t="str">
        <f t="shared" ref="BK139:BK202" si="106">IF(SUM(BI139,BJ139)=0,"00:00",SUM(BI139,BJ139))</f>
        <v>00:00</v>
      </c>
      <c r="BL139" s="29"/>
      <c r="BM139" s="27"/>
      <c r="BN139" s="27"/>
      <c r="BO139" s="28" t="str">
        <f>IFERROR(VLOOKUP(BM139,Horarios!$H:$I,2,0),"")</f>
        <v/>
      </c>
      <c r="BP139" s="28" t="str">
        <f>IFERROR(VLOOKUP(BN139,Horarios!$H:$I,2,0),"")</f>
        <v/>
      </c>
      <c r="BQ139" s="28" t="str">
        <f t="shared" ref="BQ139:BQ202" si="107">IF(SUM(BO139,BP139)=0,"00:00",SUM(BO139,BP139))</f>
        <v>00:00</v>
      </c>
      <c r="BR139" s="29"/>
      <c r="BS139" s="27"/>
      <c r="BT139" s="27"/>
      <c r="BU139" s="28" t="str">
        <f>IFERROR(VLOOKUP(BS139,Horarios!$H:$I,2,0),"")</f>
        <v/>
      </c>
      <c r="BV139" s="28" t="str">
        <f>IFERROR(VLOOKUP(BT139,Horarios!$H:$I,2,0),"")</f>
        <v/>
      </c>
      <c r="BW139" s="28" t="str">
        <f t="shared" ref="BW139:BW202" si="108">IF(SUM(BU139,BV139)=0,"00:00",SUM(BU139,BV139))</f>
        <v>00:00</v>
      </c>
      <c r="BX139" s="29"/>
      <c r="BY139" s="27"/>
      <c r="BZ139" s="27"/>
      <c r="CA139" s="28" t="str">
        <f>IFERROR(VLOOKUP(BY139,Horarios!$H:$I,2,0),"")</f>
        <v/>
      </c>
      <c r="CB139" s="28" t="str">
        <f>IFERROR(VLOOKUP(BZ139,Horarios!$H:$I,2,0),"")</f>
        <v/>
      </c>
      <c r="CC139" s="28" t="str">
        <f t="shared" ref="CC139:CC202" si="109">IF(SUM(CA139,CB139)=0,"00:00",SUM(CA139,CB139))</f>
        <v>00:00</v>
      </c>
      <c r="CD139" s="29"/>
      <c r="CE139" s="27"/>
      <c r="CF139" s="27"/>
      <c r="CG139" s="28" t="str">
        <f>IFERROR(VLOOKUP(CE139,Horarios!$H:$I,2,0),"")</f>
        <v/>
      </c>
      <c r="CH139" s="28" t="str">
        <f>IFERROR(VLOOKUP(CF139,Horarios!$H:$I,2,0),"")</f>
        <v/>
      </c>
      <c r="CI139" s="28" t="str">
        <f t="shared" ref="CI139:CI202" si="110">IF(SUM(CG139,CH139)=0,"00:00",SUM(CG139,CH139))</f>
        <v>00:00</v>
      </c>
      <c r="CJ139" s="29"/>
      <c r="CK139" s="31" t="str">
        <f t="shared" ref="CK139:CK202" si="111">IFERROR(IF(SUM(AY139,BE139,BK139,BQ139,BW139,CC139,CI139)=0,"",SUM(TEXT(AY139,"HH:MM"),TEXT(BE139,"HH:MM"),TEXT(BK139,"HH:MM"),TEXT(BQ139,"HH:MM"),TEXT(BW139,"HH:MM"),TEXT(CC139,"HH:MM"),TEXT(CI139,"HH:MM")))*24,"")</f>
        <v/>
      </c>
      <c r="CL139" s="27"/>
      <c r="CM139" s="27"/>
      <c r="CN139" s="28" t="str">
        <f>IFERROR(VLOOKUP(CL139,Horarios!$H:$I,2,0),"")</f>
        <v/>
      </c>
      <c r="CO139" s="28" t="str">
        <f>IFERROR(VLOOKUP(CM139,Horarios!$H:$I,2,0),"")</f>
        <v/>
      </c>
      <c r="CP139" s="28" t="str">
        <f t="shared" ref="CP139:CP202" si="112">IF(SUM(CN139,CO139)=0,"00:00",SUM(CN139,CO139))</f>
        <v>00:00</v>
      </c>
      <c r="CQ139" s="29"/>
      <c r="CR139" s="27"/>
      <c r="CS139" s="27"/>
      <c r="CT139" s="28" t="str">
        <f>IFERROR(VLOOKUP(CR139,Horarios!$H:$I,2,0),"")</f>
        <v/>
      </c>
      <c r="CU139" s="28" t="str">
        <f>IFERROR(VLOOKUP(CS139,Horarios!$H:$I,2,0),"")</f>
        <v/>
      </c>
      <c r="CV139" s="28" t="str">
        <f t="shared" ref="CV139:CV202" si="113">IF(SUM(CT139,CU139)=0,"00:00",SUM(CT139,CU139))</f>
        <v>00:00</v>
      </c>
      <c r="CW139" s="29"/>
      <c r="CX139" s="27"/>
      <c r="CY139" s="27"/>
      <c r="CZ139" s="28" t="str">
        <f>IFERROR(VLOOKUP(CX139,Horarios!$H:$I,2,0),"")</f>
        <v/>
      </c>
      <c r="DA139" s="28" t="str">
        <f>IFERROR(VLOOKUP(CY139,Horarios!$H:$I,2,0),"")</f>
        <v/>
      </c>
      <c r="DB139" s="28" t="str">
        <f t="shared" ref="DB139:DB202" si="114">IF(SUM(CZ139,DA139)=0,"00:00",SUM(CZ139,DA139))</f>
        <v>00:00</v>
      </c>
      <c r="DC139" s="29"/>
      <c r="DD139" s="27"/>
      <c r="DE139" s="27"/>
      <c r="DF139" s="28" t="str">
        <f>IFERROR(VLOOKUP(DD139,Horarios!$H:$I,2,0),"")</f>
        <v/>
      </c>
      <c r="DG139" s="28" t="str">
        <f>IFERROR(VLOOKUP(DE139,Horarios!$H:$I,2,0),"")</f>
        <v/>
      </c>
      <c r="DH139" s="28" t="str">
        <f t="shared" ref="DH139:DH202" si="115">IF(SUM(DF139,DG139)=0,"00:00",SUM(DF139,DG139))</f>
        <v>00:00</v>
      </c>
      <c r="DI139" s="29"/>
      <c r="DJ139" s="27"/>
      <c r="DK139" s="27"/>
      <c r="DL139" s="28" t="str">
        <f>IFERROR(VLOOKUP(DJ139,Horarios!$H:$I,2,0),"")</f>
        <v/>
      </c>
      <c r="DM139" s="28" t="str">
        <f>IFERROR(VLOOKUP(DK139,Horarios!$H:$I,2,0),"")</f>
        <v/>
      </c>
      <c r="DN139" s="28" t="str">
        <f t="shared" ref="DN139:DN202" si="116">IF(SUM(DL139,DM139)=0,"00:00",SUM(DL139,DM139))</f>
        <v>00:00</v>
      </c>
      <c r="DO139" s="29"/>
      <c r="DP139" s="27"/>
      <c r="DQ139" s="27"/>
      <c r="DR139" s="28" t="str">
        <f>IFERROR(VLOOKUP(DP139,Horarios!$H:$I,2,0),"")</f>
        <v/>
      </c>
      <c r="DS139" s="28" t="str">
        <f>IFERROR(VLOOKUP(DQ139,Horarios!$H:$I,2,0),"")</f>
        <v/>
      </c>
      <c r="DT139" s="28" t="str">
        <f t="shared" ref="DT139:DT202" si="117">IF(SUM(DR139,DS139)=0,"00:00",SUM(DR139,DS139))</f>
        <v>00:00</v>
      </c>
      <c r="DU139" s="29"/>
      <c r="DV139" s="27"/>
      <c r="DW139" s="27"/>
      <c r="DX139" s="28" t="str">
        <f>IFERROR(VLOOKUP(DV139,Horarios!$H:$I,2,0),"")</f>
        <v/>
      </c>
      <c r="DY139" s="28" t="str">
        <f>IFERROR(VLOOKUP(DW139,Horarios!$H:$I,2,0),"")</f>
        <v/>
      </c>
      <c r="DZ139" s="28" t="str">
        <f t="shared" ref="DZ139:DZ202" si="118">IF(SUM(DX139,DY139)=0,"00:00",SUM(DX139,DY139))</f>
        <v>00:00</v>
      </c>
      <c r="EA139" s="29"/>
      <c r="EB139" s="31" t="str">
        <f t="shared" ref="EB139:EB202" si="119">IFERROR(IF(SUM(CP139,CV139,DB139,DH139,DN139,DT139,DZ139)=0,"",SUM(TEXT(CP139,"HH:MM"),TEXT(CV139,"HH:MM"),TEXT(DB139,"HH:MM"),TEXT(DH139,"HH:MM"),TEXT(DN139,"HH:MM"),TEXT(DT139,"HH:MM"),TEXT(DZ139,"HH:MM")))*24,"")</f>
        <v/>
      </c>
      <c r="EC139" s="27"/>
      <c r="ED139" s="27"/>
      <c r="EE139" s="28" t="str">
        <f>IFERROR(VLOOKUP(EC139,Horarios!$H:$I,2,0),"")</f>
        <v/>
      </c>
      <c r="EF139" s="28" t="str">
        <f>IFERROR(VLOOKUP(ED139,Horarios!$H:$I,2,0),"")</f>
        <v/>
      </c>
      <c r="EG139" s="28" t="str">
        <f t="shared" ref="EG139:EG202" si="120">IF(SUM(EE139,EF139)=0,"00:00",SUM(EE139,EF139))</f>
        <v>00:00</v>
      </c>
      <c r="EH139" s="29"/>
      <c r="EI139" s="27"/>
      <c r="EJ139" s="27"/>
      <c r="EK139" s="28" t="str">
        <f>IFERROR(VLOOKUP(EI139,Horarios!$H:$I,2,0),"")</f>
        <v/>
      </c>
      <c r="EL139" s="28" t="str">
        <f>IFERROR(VLOOKUP(EJ139,Horarios!$H:$I,2,0),"")</f>
        <v/>
      </c>
      <c r="EM139" s="28" t="str">
        <f t="shared" ref="EM139:EM202" si="121">IF(SUM(EK139,EL139)=0,"00:00",SUM(EK139,EL139))</f>
        <v>00:00</v>
      </c>
      <c r="EN139" s="29"/>
      <c r="EO139" s="27"/>
      <c r="EP139" s="27"/>
      <c r="EQ139" s="28" t="str">
        <f>IFERROR(VLOOKUP(EO139,Horarios!$H:$I,2,0),"")</f>
        <v/>
      </c>
      <c r="ER139" s="28" t="str">
        <f>IFERROR(VLOOKUP(EP139,Horarios!$H:$I,2,0),"")</f>
        <v/>
      </c>
      <c r="ES139" s="28" t="str">
        <f t="shared" ref="ES139:ES202" si="122">IF(SUM(EQ139,ER139)=0,"00:00",SUM(EQ139,ER139))</f>
        <v>00:00</v>
      </c>
      <c r="ET139" s="29"/>
      <c r="EU139" s="27"/>
      <c r="EV139" s="27"/>
      <c r="EW139" s="28" t="str">
        <f>IFERROR(VLOOKUP(EU139,Horarios!$H:$I,2,0),"")</f>
        <v/>
      </c>
      <c r="EX139" s="28" t="str">
        <f>IFERROR(VLOOKUP(EV139,Horarios!$H:$I,2,0),"")</f>
        <v/>
      </c>
      <c r="EY139" s="28" t="str">
        <f t="shared" ref="EY139:EY202" si="123">IF(SUM(EW139,EX139)=0,"00:00",SUM(EW139,EX139))</f>
        <v>00:00</v>
      </c>
      <c r="EZ139" s="29"/>
      <c r="FA139" s="27"/>
      <c r="FB139" s="27"/>
      <c r="FC139" s="28" t="str">
        <f>IFERROR(VLOOKUP(FA139,Horarios!$H:$I,2,0),"")</f>
        <v/>
      </c>
      <c r="FD139" s="28" t="str">
        <f>IFERROR(VLOOKUP(FB139,Horarios!$H:$I,2,0),"")</f>
        <v/>
      </c>
      <c r="FE139" s="28" t="str">
        <f t="shared" ref="FE139:FE202" si="124">IF(SUM(FC139,FD139)=0,"00:00",SUM(FC139,FD139))</f>
        <v>00:00</v>
      </c>
      <c r="FF139" s="29"/>
      <c r="FG139" s="27"/>
      <c r="FH139" s="27"/>
      <c r="FI139" s="28" t="str">
        <f>IFERROR(VLOOKUP(FG139,Horarios!$H:$I,2,0),"")</f>
        <v/>
      </c>
      <c r="FJ139" s="28" t="str">
        <f>IFERROR(VLOOKUP(FH139,Horarios!$H:$I,2,0),"")</f>
        <v/>
      </c>
      <c r="FK139" s="28" t="str">
        <f t="shared" ref="FK139:FK202" si="125">IF(SUM(FI139,FJ139)=0,"00:00",SUM(FI139,FJ139))</f>
        <v>00:00</v>
      </c>
      <c r="FL139" s="29"/>
      <c r="FM139" s="27"/>
      <c r="FN139" s="27"/>
      <c r="FO139" s="28" t="str">
        <f>IFERROR(VLOOKUP(FM139,Horarios!$H:$I,2,0),"")</f>
        <v/>
      </c>
      <c r="FP139" s="28" t="str">
        <f>IFERROR(VLOOKUP(FN139,Horarios!$H:$I,2,0),"")</f>
        <v/>
      </c>
      <c r="FQ139" s="28" t="str">
        <f t="shared" ref="FQ139:FQ202" si="126">IF(SUM(FO139,FP139)=0,"00:00",SUM(FO139,FP139))</f>
        <v>00:00</v>
      </c>
      <c r="FR139" s="29"/>
      <c r="FS139" s="31" t="str">
        <f t="shared" ref="FS139:FS202" si="127">IFERROR(IF(SUM(EG139,EM139,ES139,EY139,FE139,FK139,FQ139)=0,"",SUM(TEXT(EG139,"HH:MM"),TEXT(EM139,"HH:MM"),TEXT(ES139,"HH:MM"),TEXT(EY139,"HH:MM"),TEXT(FE139,"HH:MM"),TEXT(FK139,"HH:MM"),TEXT(FQ139,"HH:MM")))*24,"")</f>
        <v/>
      </c>
      <c r="FT139" s="27"/>
      <c r="FU139" s="27"/>
      <c r="FV139" s="28" t="str">
        <f>IFERROR(VLOOKUP(FT139,Horarios!$H:$I,2,0),"")</f>
        <v/>
      </c>
      <c r="FW139" s="28" t="str">
        <f>IFERROR(VLOOKUP(FU139,Horarios!$H:$I,2,0),"")</f>
        <v/>
      </c>
      <c r="FX139" s="28" t="str">
        <f t="shared" ref="FX139:FX202" si="128">IF(SUM(FV139,FW139)=0,"00:00",SUM(FV139,FW139))</f>
        <v>00:00</v>
      </c>
      <c r="FY139" s="29"/>
      <c r="FZ139" s="27"/>
      <c r="GA139" s="27"/>
      <c r="GB139" s="28" t="str">
        <f>IFERROR(VLOOKUP(FZ139,Horarios!$H:$I,2,0),"")</f>
        <v/>
      </c>
      <c r="GC139" s="28" t="str">
        <f>IFERROR(VLOOKUP(GA139,Horarios!$H:$I,2,0),"")</f>
        <v/>
      </c>
      <c r="GD139" s="28" t="str">
        <f t="shared" ref="GD139:GD202" si="129">IF(SUM(GB139,GC139)=0,"00:00",SUM(GB139,GC139))</f>
        <v>00:00</v>
      </c>
      <c r="GE139" s="29"/>
      <c r="GF139" s="27"/>
      <c r="GG139" s="27"/>
      <c r="GH139" s="28" t="str">
        <f>IFERROR(VLOOKUP(GF139,Horarios!$H:$I,2,0),"")</f>
        <v/>
      </c>
      <c r="GI139" s="28" t="str">
        <f>IFERROR(VLOOKUP(GG139,Horarios!$H:$I,2,0),"")</f>
        <v/>
      </c>
      <c r="GJ139" s="28" t="str">
        <f t="shared" ref="GJ139:GJ202" si="130">IF(SUM(GH139,GI139)=0,"00:00",SUM(GH139,GI139))</f>
        <v>00:00</v>
      </c>
      <c r="GK139" s="29"/>
      <c r="GL139" s="27"/>
      <c r="GM139" s="27"/>
      <c r="GN139" s="28" t="str">
        <f>IFERROR(VLOOKUP(GL139,Horarios!$H:$I,2,0),"")</f>
        <v/>
      </c>
      <c r="GO139" s="28" t="str">
        <f>IFERROR(VLOOKUP(GM139,Horarios!$H:$I,2,0),"")</f>
        <v/>
      </c>
      <c r="GP139" s="28" t="str">
        <f t="shared" ref="GP139:GP202" si="131">IF(SUM(GN139,GO139)=0,"00:00",SUM(GN139,GO139))</f>
        <v>00:00</v>
      </c>
      <c r="GQ139" s="29"/>
      <c r="GR139" s="27"/>
      <c r="GS139" s="27"/>
      <c r="GT139" s="28" t="str">
        <f>IFERROR(VLOOKUP(GR139,Horarios!$H:$I,2,0),"")</f>
        <v/>
      </c>
      <c r="GU139" s="28" t="str">
        <f>IFERROR(VLOOKUP(GS139,Horarios!$H:$I,2,0),"")</f>
        <v/>
      </c>
      <c r="GV139" s="28" t="str">
        <f t="shared" ref="GV139:GV202" si="132">IF(SUM(GT139,GU139)=0,"00:00",SUM(GT139,GU139))</f>
        <v>00:00</v>
      </c>
      <c r="GW139" s="29"/>
      <c r="GX139" s="27"/>
      <c r="GY139" s="27"/>
      <c r="GZ139" s="28" t="str">
        <f>IFERROR(VLOOKUP(GX139,Horarios!$H:$I,2,0),"")</f>
        <v/>
      </c>
      <c r="HA139" s="28" t="str">
        <f>IFERROR(VLOOKUP(GY139,Horarios!$H:$I,2,0),"")</f>
        <v/>
      </c>
      <c r="HB139" s="28" t="str">
        <f t="shared" ref="HB139:HB202" si="133">IF(SUM(GZ139,HA139)=0,"00:00",SUM(GZ139,HA139))</f>
        <v>00:00</v>
      </c>
      <c r="HC139" s="29"/>
      <c r="HD139" s="27"/>
      <c r="HE139" s="27"/>
      <c r="HF139" s="28" t="str">
        <f>IFERROR(VLOOKUP(HD139,Horarios!$H:$I,2,0),"")</f>
        <v/>
      </c>
      <c r="HG139" s="28" t="str">
        <f>IFERROR(VLOOKUP(HE139,Horarios!$H:$I,2,0),"")</f>
        <v/>
      </c>
      <c r="HH139" s="28" t="str">
        <f t="shared" ref="HH139:HH202" si="134">IF(SUM(HF139,HG139)=0,"00:00",SUM(HF139,HG139))</f>
        <v>00:00</v>
      </c>
      <c r="HI139" s="29"/>
      <c r="HJ139" s="31" t="str">
        <f t="shared" ref="HJ139:HJ202" si="135">IFERROR(IF(SUM(FX139,GD139,GJ139,GP139,GV139,HB139,HH139)=0,"",SUM(TEXT(FX139,"HH:MM"),TEXT(GD139,"HH:MM"),TEXT(GJ139,"HH:MM"),TEXT(GP139,"HH:MM"),TEXT(GV139,"HH:MM"),TEXT(HB139,"HH:MM"),TEXT(HH139,"HH:MM")))*24,"")</f>
        <v/>
      </c>
      <c r="HK139" s="27"/>
      <c r="HL139" s="27"/>
      <c r="HM139" s="28" t="str">
        <f>IFERROR(VLOOKUP(HK139,Horarios!$H:$I,2,0),"")</f>
        <v/>
      </c>
      <c r="HN139" s="28" t="str">
        <f>IFERROR(VLOOKUP(HL139,Horarios!$H:$I,2,0),"")</f>
        <v/>
      </c>
      <c r="HO139" s="28" t="str">
        <f t="shared" ref="HO139:HO202" si="136">IF(SUM(HM139,HN139)=0,"00:00",SUM(HM139,HN139))</f>
        <v>00:00</v>
      </c>
      <c r="HP139" s="29"/>
      <c r="HQ139" s="27"/>
      <c r="HR139" s="27"/>
      <c r="HS139" s="28" t="str">
        <f>IFERROR(VLOOKUP(HQ139,Horarios!$H:$I,2,0),"")</f>
        <v/>
      </c>
      <c r="HT139" s="28" t="str">
        <f>IFERROR(VLOOKUP(HR139,Horarios!$H:$I,2,0),"")</f>
        <v/>
      </c>
      <c r="HU139" s="28" t="str">
        <f t="shared" ref="HU139:HU202" si="137">IF(SUM(HS139,HT139)=0,"00:00",SUM(HS139,HT139))</f>
        <v>00:00</v>
      </c>
      <c r="HV139" s="29"/>
      <c r="HW139" s="27"/>
      <c r="HX139" s="27"/>
      <c r="HY139" s="28" t="str">
        <f>IFERROR(VLOOKUP(HW139,Horarios!$H:$I,2,0),"")</f>
        <v/>
      </c>
      <c r="HZ139" s="28" t="str">
        <f>IFERROR(VLOOKUP(HX139,Horarios!$H:$I,2,0),"")</f>
        <v/>
      </c>
      <c r="IA139" s="28" t="str">
        <f t="shared" ref="IA139:IA202" si="138">IF(SUM(HY139,HZ139)=0,"00:00",SUM(HY139,HZ139))</f>
        <v>00:00</v>
      </c>
      <c r="IB139" s="29"/>
      <c r="IC139" s="27"/>
      <c r="ID139" s="27"/>
      <c r="IE139" s="28" t="str">
        <f>IFERROR(VLOOKUP(IC139,Horarios!$H:$I,2,0),"")</f>
        <v/>
      </c>
      <c r="IF139" s="28" t="str">
        <f>IFERROR(VLOOKUP(ID139,Horarios!$H:$I,2,0),"")</f>
        <v/>
      </c>
      <c r="IG139" s="28" t="str">
        <f t="shared" ref="IG139:IG202" si="139">IF(SUM(IE139,IF139)=0,"00:00",SUM(IE139,IF139))</f>
        <v>00:00</v>
      </c>
      <c r="IH139" s="29"/>
      <c r="II139" s="27"/>
      <c r="IJ139" s="27"/>
      <c r="IK139" s="28" t="str">
        <f>IFERROR(VLOOKUP(II139,Horarios!$H:$I,2,0),"")</f>
        <v/>
      </c>
      <c r="IL139" s="28" t="str">
        <f>IFERROR(VLOOKUP(IJ139,Horarios!$H:$I,2,0),"")</f>
        <v/>
      </c>
      <c r="IM139" s="28" t="str">
        <f t="shared" ref="IM139:IM202" si="140">IF(SUM(IK139,IL139)=0,"00:00",SUM(IK139,IL139))</f>
        <v>00:00</v>
      </c>
      <c r="IN139" s="29"/>
      <c r="IO139" s="27"/>
      <c r="IP139" s="27"/>
      <c r="IQ139" s="28" t="str">
        <f>IFERROR(VLOOKUP(IO139,Horarios!$H:$I,2,0),"")</f>
        <v/>
      </c>
      <c r="IR139" s="28" t="str">
        <f>IFERROR(VLOOKUP(IP139,Horarios!$H:$I,2,0),"")</f>
        <v/>
      </c>
      <c r="IS139" s="28" t="str">
        <f t="shared" ref="IS139:IS202" si="141">IF(SUM(IQ139,IR139)=0,"00:00",SUM(IQ139,IR139))</f>
        <v>00:00</v>
      </c>
      <c r="IT139" s="29"/>
      <c r="IU139" s="27"/>
      <c r="IV139" s="27"/>
      <c r="IW139" s="28" t="str">
        <f>IFERROR(VLOOKUP(IU139,Horarios!$H:$I,2,0),"")</f>
        <v/>
      </c>
      <c r="IX139" s="28" t="str">
        <f>IFERROR(VLOOKUP(IV139,Horarios!$H:$I,2,0),"")</f>
        <v/>
      </c>
      <c r="IY139" s="28" t="str">
        <f t="shared" ref="IY139:IY202" si="142">IF(SUM(IW139,IX139)=0,"00:00",SUM(IW139,IX139))</f>
        <v>00:00</v>
      </c>
      <c r="IZ139" s="29"/>
      <c r="JA139" s="31" t="str">
        <f t="shared" ref="JA139:JA202" si="143">IFERROR(IF(SUM(HO139,HU139,IA139,IG139,IM139,IS139,IY139)=0,"",SUM(TEXT(HO139,"HH:MM"),TEXT(HU139,"HH:MM"),TEXT(IA139,"HH:MM"),TEXT(IG139,"HH:MM"),TEXT(IM139,"HH:MM"),TEXT(IS139,"HH:MM"),TEXT(IY139,"HH:MM")))*24,"")</f>
        <v/>
      </c>
    </row>
    <row r="140" spans="1:261" s="24" customFormat="1" ht="17.399999999999999" x14ac:dyDescent="0.25">
      <c r="A140" s="25"/>
      <c r="B140" s="26" t="str">
        <f>IFERROR(VLOOKUP(A140,BaseNombres!A:B,2,0),"")</f>
        <v/>
      </c>
      <c r="C140" s="26" t="str">
        <f>IFERROR(VLOOKUP(A140,BaseNombres!A:C,3,0),"")</f>
        <v/>
      </c>
      <c r="D140" s="27"/>
      <c r="E140" s="27"/>
      <c r="F140" s="28" t="str">
        <f>IFERROR(VLOOKUP(D140,Horarios!$H:$I,2,0),"")</f>
        <v/>
      </c>
      <c r="G140" s="28" t="str">
        <f>IFERROR(VLOOKUP(E140,Horarios!$H:$I,2,0),"")</f>
        <v/>
      </c>
      <c r="H140" s="28" t="str">
        <f t="shared" si="96"/>
        <v>00:00</v>
      </c>
      <c r="I140" s="29"/>
      <c r="J140" s="27"/>
      <c r="K140" s="27"/>
      <c r="L140" s="28" t="str">
        <f>IFERROR(VLOOKUP(J140,Horarios!$H:$I,2,0),"")</f>
        <v/>
      </c>
      <c r="M140" s="28" t="str">
        <f>IFERROR(VLOOKUP(K140,Horarios!$H:$I,2,0),"")</f>
        <v/>
      </c>
      <c r="N140" s="28" t="str">
        <f t="shared" si="97"/>
        <v>00:00</v>
      </c>
      <c r="O140" s="29"/>
      <c r="P140" s="27"/>
      <c r="Q140" s="27"/>
      <c r="R140" s="28" t="str">
        <f>IFERROR(VLOOKUP(P140,Horarios!$H:$I,2,0),"")</f>
        <v/>
      </c>
      <c r="S140" s="28" t="str">
        <f>IFERROR(VLOOKUP(Q140,Horarios!$H:$I,2,0),"")</f>
        <v/>
      </c>
      <c r="T140" s="28" t="str">
        <f t="shared" si="98"/>
        <v>00:00</v>
      </c>
      <c r="U140" s="29"/>
      <c r="V140" s="27"/>
      <c r="W140" s="27"/>
      <c r="X140" s="28" t="str">
        <f>IFERROR(VLOOKUP(V140,Horarios!$H:$I,2,0),"")</f>
        <v/>
      </c>
      <c r="Y140" s="28" t="str">
        <f>IFERROR(VLOOKUP(W140,Horarios!$H:$I,2,0),"")</f>
        <v/>
      </c>
      <c r="Z140" s="28" t="str">
        <f t="shared" si="99"/>
        <v>00:00</v>
      </c>
      <c r="AA140" s="29"/>
      <c r="AB140" s="27"/>
      <c r="AC140" s="27"/>
      <c r="AD140" s="28" t="str">
        <f>IFERROR(VLOOKUP(AB140,Horarios!$H:$I,2,0),"")</f>
        <v/>
      </c>
      <c r="AE140" s="28" t="str">
        <f>IFERROR(VLOOKUP(AC140,Horarios!$H:$I,2,0),"")</f>
        <v/>
      </c>
      <c r="AF140" s="28" t="str">
        <f t="shared" si="100"/>
        <v>00:00</v>
      </c>
      <c r="AG140" s="29"/>
      <c r="AH140" s="27"/>
      <c r="AI140" s="27"/>
      <c r="AJ140" s="28" t="str">
        <f>IFERROR(VLOOKUP(AH140,Horarios!$H:$I,2,0),"")</f>
        <v/>
      </c>
      <c r="AK140" s="28" t="str">
        <f>IFERROR(VLOOKUP(AI140,Horarios!$H:$I,2,0),"")</f>
        <v/>
      </c>
      <c r="AL140" s="28" t="str">
        <f t="shared" si="101"/>
        <v>00:00</v>
      </c>
      <c r="AM140" s="29"/>
      <c r="AN140" s="27"/>
      <c r="AO140" s="27"/>
      <c r="AP140" s="28" t="str">
        <f>IFERROR(VLOOKUP(AN140,Horarios!$H:$I,2,0),"")</f>
        <v/>
      </c>
      <c r="AQ140" s="28" t="str">
        <f>IFERROR(VLOOKUP(AO140,Horarios!$H:$I,2,0),"")</f>
        <v/>
      </c>
      <c r="AR140" s="28" t="str">
        <f t="shared" si="102"/>
        <v>00:00</v>
      </c>
      <c r="AS140" s="29"/>
      <c r="AT140" s="31" t="str">
        <f t="shared" si="103"/>
        <v/>
      </c>
      <c r="AU140" s="27"/>
      <c r="AV140" s="27"/>
      <c r="AW140" s="28" t="str">
        <f>IFERROR(VLOOKUP(AU140,Horarios!$H:$I,2,0),"")</f>
        <v/>
      </c>
      <c r="AX140" s="28" t="str">
        <f>IFERROR(VLOOKUP(AV140,Horarios!$H:$I,2,0),"")</f>
        <v/>
      </c>
      <c r="AY140" s="28" t="str">
        <f t="shared" si="104"/>
        <v>00:00</v>
      </c>
      <c r="AZ140" s="29"/>
      <c r="BA140" s="27"/>
      <c r="BB140" s="27"/>
      <c r="BC140" s="28" t="str">
        <f>IFERROR(VLOOKUP(BA140,Horarios!$H:$I,2,0),"")</f>
        <v/>
      </c>
      <c r="BD140" s="28" t="str">
        <f>IFERROR(VLOOKUP(BB140,Horarios!$H:$I,2,0),"")</f>
        <v/>
      </c>
      <c r="BE140" s="28" t="str">
        <f t="shared" si="105"/>
        <v>00:00</v>
      </c>
      <c r="BF140" s="29"/>
      <c r="BG140" s="27"/>
      <c r="BH140" s="27"/>
      <c r="BI140" s="28" t="str">
        <f>IFERROR(VLOOKUP(BG140,Horarios!$H:$I,2,0),"")</f>
        <v/>
      </c>
      <c r="BJ140" s="28" t="str">
        <f>IFERROR(VLOOKUP(BH140,Horarios!$H:$I,2,0),"")</f>
        <v/>
      </c>
      <c r="BK140" s="28" t="str">
        <f t="shared" si="106"/>
        <v>00:00</v>
      </c>
      <c r="BL140" s="29"/>
      <c r="BM140" s="27"/>
      <c r="BN140" s="27"/>
      <c r="BO140" s="28" t="str">
        <f>IFERROR(VLOOKUP(BM140,Horarios!$H:$I,2,0),"")</f>
        <v/>
      </c>
      <c r="BP140" s="28" t="str">
        <f>IFERROR(VLOOKUP(BN140,Horarios!$H:$I,2,0),"")</f>
        <v/>
      </c>
      <c r="BQ140" s="28" t="str">
        <f t="shared" si="107"/>
        <v>00:00</v>
      </c>
      <c r="BR140" s="29"/>
      <c r="BS140" s="27"/>
      <c r="BT140" s="27"/>
      <c r="BU140" s="28" t="str">
        <f>IFERROR(VLOOKUP(BS140,Horarios!$H:$I,2,0),"")</f>
        <v/>
      </c>
      <c r="BV140" s="28" t="str">
        <f>IFERROR(VLOOKUP(BT140,Horarios!$H:$I,2,0),"")</f>
        <v/>
      </c>
      <c r="BW140" s="28" t="str">
        <f t="shared" si="108"/>
        <v>00:00</v>
      </c>
      <c r="BX140" s="29"/>
      <c r="BY140" s="27"/>
      <c r="BZ140" s="27"/>
      <c r="CA140" s="28" t="str">
        <f>IFERROR(VLOOKUP(BY140,Horarios!$H:$I,2,0),"")</f>
        <v/>
      </c>
      <c r="CB140" s="28" t="str">
        <f>IFERROR(VLOOKUP(BZ140,Horarios!$H:$I,2,0),"")</f>
        <v/>
      </c>
      <c r="CC140" s="28" t="str">
        <f t="shared" si="109"/>
        <v>00:00</v>
      </c>
      <c r="CD140" s="29"/>
      <c r="CE140" s="27"/>
      <c r="CF140" s="27"/>
      <c r="CG140" s="28" t="str">
        <f>IFERROR(VLOOKUP(CE140,Horarios!$H:$I,2,0),"")</f>
        <v/>
      </c>
      <c r="CH140" s="28" t="str">
        <f>IFERROR(VLOOKUP(CF140,Horarios!$H:$I,2,0),"")</f>
        <v/>
      </c>
      <c r="CI140" s="28" t="str">
        <f t="shared" si="110"/>
        <v>00:00</v>
      </c>
      <c r="CJ140" s="29"/>
      <c r="CK140" s="31" t="str">
        <f t="shared" si="111"/>
        <v/>
      </c>
      <c r="CL140" s="27"/>
      <c r="CM140" s="27"/>
      <c r="CN140" s="28" t="str">
        <f>IFERROR(VLOOKUP(CL140,Horarios!$H:$I,2,0),"")</f>
        <v/>
      </c>
      <c r="CO140" s="28" t="str">
        <f>IFERROR(VLOOKUP(CM140,Horarios!$H:$I,2,0),"")</f>
        <v/>
      </c>
      <c r="CP140" s="28" t="str">
        <f t="shared" si="112"/>
        <v>00:00</v>
      </c>
      <c r="CQ140" s="29"/>
      <c r="CR140" s="27"/>
      <c r="CS140" s="27"/>
      <c r="CT140" s="28" t="str">
        <f>IFERROR(VLOOKUP(CR140,Horarios!$H:$I,2,0),"")</f>
        <v/>
      </c>
      <c r="CU140" s="28" t="str">
        <f>IFERROR(VLOOKUP(CS140,Horarios!$H:$I,2,0),"")</f>
        <v/>
      </c>
      <c r="CV140" s="28" t="str">
        <f t="shared" si="113"/>
        <v>00:00</v>
      </c>
      <c r="CW140" s="29"/>
      <c r="CX140" s="27"/>
      <c r="CY140" s="27"/>
      <c r="CZ140" s="28" t="str">
        <f>IFERROR(VLOOKUP(CX140,Horarios!$H:$I,2,0),"")</f>
        <v/>
      </c>
      <c r="DA140" s="28" t="str">
        <f>IFERROR(VLOOKUP(CY140,Horarios!$H:$I,2,0),"")</f>
        <v/>
      </c>
      <c r="DB140" s="28" t="str">
        <f t="shared" si="114"/>
        <v>00:00</v>
      </c>
      <c r="DC140" s="29"/>
      <c r="DD140" s="27"/>
      <c r="DE140" s="27"/>
      <c r="DF140" s="28" t="str">
        <f>IFERROR(VLOOKUP(DD140,Horarios!$H:$I,2,0),"")</f>
        <v/>
      </c>
      <c r="DG140" s="28" t="str">
        <f>IFERROR(VLOOKUP(DE140,Horarios!$H:$I,2,0),"")</f>
        <v/>
      </c>
      <c r="DH140" s="28" t="str">
        <f t="shared" si="115"/>
        <v>00:00</v>
      </c>
      <c r="DI140" s="29"/>
      <c r="DJ140" s="27"/>
      <c r="DK140" s="27"/>
      <c r="DL140" s="28" t="str">
        <f>IFERROR(VLOOKUP(DJ140,Horarios!$H:$I,2,0),"")</f>
        <v/>
      </c>
      <c r="DM140" s="28" t="str">
        <f>IFERROR(VLOOKUP(DK140,Horarios!$H:$I,2,0),"")</f>
        <v/>
      </c>
      <c r="DN140" s="28" t="str">
        <f t="shared" si="116"/>
        <v>00:00</v>
      </c>
      <c r="DO140" s="29"/>
      <c r="DP140" s="27"/>
      <c r="DQ140" s="27"/>
      <c r="DR140" s="28" t="str">
        <f>IFERROR(VLOOKUP(DP140,Horarios!$H:$I,2,0),"")</f>
        <v/>
      </c>
      <c r="DS140" s="28" t="str">
        <f>IFERROR(VLOOKUP(DQ140,Horarios!$H:$I,2,0),"")</f>
        <v/>
      </c>
      <c r="DT140" s="28" t="str">
        <f t="shared" si="117"/>
        <v>00:00</v>
      </c>
      <c r="DU140" s="29"/>
      <c r="DV140" s="27"/>
      <c r="DW140" s="27"/>
      <c r="DX140" s="28" t="str">
        <f>IFERROR(VLOOKUP(DV140,Horarios!$H:$I,2,0),"")</f>
        <v/>
      </c>
      <c r="DY140" s="28" t="str">
        <f>IFERROR(VLOOKUP(DW140,Horarios!$H:$I,2,0),"")</f>
        <v/>
      </c>
      <c r="DZ140" s="28" t="str">
        <f t="shared" si="118"/>
        <v>00:00</v>
      </c>
      <c r="EA140" s="29"/>
      <c r="EB140" s="31" t="str">
        <f t="shared" si="119"/>
        <v/>
      </c>
      <c r="EC140" s="27"/>
      <c r="ED140" s="27"/>
      <c r="EE140" s="28" t="str">
        <f>IFERROR(VLOOKUP(EC140,Horarios!$H:$I,2,0),"")</f>
        <v/>
      </c>
      <c r="EF140" s="28" t="str">
        <f>IFERROR(VLOOKUP(ED140,Horarios!$H:$I,2,0),"")</f>
        <v/>
      </c>
      <c r="EG140" s="28" t="str">
        <f t="shared" si="120"/>
        <v>00:00</v>
      </c>
      <c r="EH140" s="29"/>
      <c r="EI140" s="27"/>
      <c r="EJ140" s="27"/>
      <c r="EK140" s="28" t="str">
        <f>IFERROR(VLOOKUP(EI140,Horarios!$H:$I,2,0),"")</f>
        <v/>
      </c>
      <c r="EL140" s="28" t="str">
        <f>IFERROR(VLOOKUP(EJ140,Horarios!$H:$I,2,0),"")</f>
        <v/>
      </c>
      <c r="EM140" s="28" t="str">
        <f t="shared" si="121"/>
        <v>00:00</v>
      </c>
      <c r="EN140" s="29"/>
      <c r="EO140" s="27"/>
      <c r="EP140" s="27"/>
      <c r="EQ140" s="28" t="str">
        <f>IFERROR(VLOOKUP(EO140,Horarios!$H:$I,2,0),"")</f>
        <v/>
      </c>
      <c r="ER140" s="28" t="str">
        <f>IFERROR(VLOOKUP(EP140,Horarios!$H:$I,2,0),"")</f>
        <v/>
      </c>
      <c r="ES140" s="28" t="str">
        <f t="shared" si="122"/>
        <v>00:00</v>
      </c>
      <c r="ET140" s="29"/>
      <c r="EU140" s="27"/>
      <c r="EV140" s="27"/>
      <c r="EW140" s="28" t="str">
        <f>IFERROR(VLOOKUP(EU140,Horarios!$H:$I,2,0),"")</f>
        <v/>
      </c>
      <c r="EX140" s="28" t="str">
        <f>IFERROR(VLOOKUP(EV140,Horarios!$H:$I,2,0),"")</f>
        <v/>
      </c>
      <c r="EY140" s="28" t="str">
        <f t="shared" si="123"/>
        <v>00:00</v>
      </c>
      <c r="EZ140" s="29"/>
      <c r="FA140" s="27"/>
      <c r="FB140" s="27"/>
      <c r="FC140" s="28" t="str">
        <f>IFERROR(VLOOKUP(FA140,Horarios!$H:$I,2,0),"")</f>
        <v/>
      </c>
      <c r="FD140" s="28" t="str">
        <f>IFERROR(VLOOKUP(FB140,Horarios!$H:$I,2,0),"")</f>
        <v/>
      </c>
      <c r="FE140" s="28" t="str">
        <f t="shared" si="124"/>
        <v>00:00</v>
      </c>
      <c r="FF140" s="29"/>
      <c r="FG140" s="27"/>
      <c r="FH140" s="27"/>
      <c r="FI140" s="28" t="str">
        <f>IFERROR(VLOOKUP(FG140,Horarios!$H:$I,2,0),"")</f>
        <v/>
      </c>
      <c r="FJ140" s="28" t="str">
        <f>IFERROR(VLOOKUP(FH140,Horarios!$H:$I,2,0),"")</f>
        <v/>
      </c>
      <c r="FK140" s="28" t="str">
        <f t="shared" si="125"/>
        <v>00:00</v>
      </c>
      <c r="FL140" s="29"/>
      <c r="FM140" s="27"/>
      <c r="FN140" s="27"/>
      <c r="FO140" s="28" t="str">
        <f>IFERROR(VLOOKUP(FM140,Horarios!$H:$I,2,0),"")</f>
        <v/>
      </c>
      <c r="FP140" s="28" t="str">
        <f>IFERROR(VLOOKUP(FN140,Horarios!$H:$I,2,0),"")</f>
        <v/>
      </c>
      <c r="FQ140" s="28" t="str">
        <f t="shared" si="126"/>
        <v>00:00</v>
      </c>
      <c r="FR140" s="29"/>
      <c r="FS140" s="31" t="str">
        <f t="shared" si="127"/>
        <v/>
      </c>
      <c r="FT140" s="27"/>
      <c r="FU140" s="27"/>
      <c r="FV140" s="28" t="str">
        <f>IFERROR(VLOOKUP(FT140,Horarios!$H:$I,2,0),"")</f>
        <v/>
      </c>
      <c r="FW140" s="28" t="str">
        <f>IFERROR(VLOOKUP(FU140,Horarios!$H:$I,2,0),"")</f>
        <v/>
      </c>
      <c r="FX140" s="28" t="str">
        <f t="shared" si="128"/>
        <v>00:00</v>
      </c>
      <c r="FY140" s="29"/>
      <c r="FZ140" s="27"/>
      <c r="GA140" s="27"/>
      <c r="GB140" s="28" t="str">
        <f>IFERROR(VLOOKUP(FZ140,Horarios!$H:$I,2,0),"")</f>
        <v/>
      </c>
      <c r="GC140" s="28" t="str">
        <f>IFERROR(VLOOKUP(GA140,Horarios!$H:$I,2,0),"")</f>
        <v/>
      </c>
      <c r="GD140" s="28" t="str">
        <f t="shared" si="129"/>
        <v>00:00</v>
      </c>
      <c r="GE140" s="29"/>
      <c r="GF140" s="27"/>
      <c r="GG140" s="27"/>
      <c r="GH140" s="28" t="str">
        <f>IFERROR(VLOOKUP(GF140,Horarios!$H:$I,2,0),"")</f>
        <v/>
      </c>
      <c r="GI140" s="28" t="str">
        <f>IFERROR(VLOOKUP(GG140,Horarios!$H:$I,2,0),"")</f>
        <v/>
      </c>
      <c r="GJ140" s="28" t="str">
        <f t="shared" si="130"/>
        <v>00:00</v>
      </c>
      <c r="GK140" s="29"/>
      <c r="GL140" s="27"/>
      <c r="GM140" s="27"/>
      <c r="GN140" s="28" t="str">
        <f>IFERROR(VLOOKUP(GL140,Horarios!$H:$I,2,0),"")</f>
        <v/>
      </c>
      <c r="GO140" s="28" t="str">
        <f>IFERROR(VLOOKUP(GM140,Horarios!$H:$I,2,0),"")</f>
        <v/>
      </c>
      <c r="GP140" s="28" t="str">
        <f t="shared" si="131"/>
        <v>00:00</v>
      </c>
      <c r="GQ140" s="29"/>
      <c r="GR140" s="27"/>
      <c r="GS140" s="27"/>
      <c r="GT140" s="28" t="str">
        <f>IFERROR(VLOOKUP(GR140,Horarios!$H:$I,2,0),"")</f>
        <v/>
      </c>
      <c r="GU140" s="28" t="str">
        <f>IFERROR(VLOOKUP(GS140,Horarios!$H:$I,2,0),"")</f>
        <v/>
      </c>
      <c r="GV140" s="28" t="str">
        <f t="shared" si="132"/>
        <v>00:00</v>
      </c>
      <c r="GW140" s="29"/>
      <c r="GX140" s="27"/>
      <c r="GY140" s="27"/>
      <c r="GZ140" s="28" t="str">
        <f>IFERROR(VLOOKUP(GX140,Horarios!$H:$I,2,0),"")</f>
        <v/>
      </c>
      <c r="HA140" s="28" t="str">
        <f>IFERROR(VLOOKUP(GY140,Horarios!$H:$I,2,0),"")</f>
        <v/>
      </c>
      <c r="HB140" s="28" t="str">
        <f t="shared" si="133"/>
        <v>00:00</v>
      </c>
      <c r="HC140" s="29"/>
      <c r="HD140" s="27"/>
      <c r="HE140" s="27"/>
      <c r="HF140" s="28" t="str">
        <f>IFERROR(VLOOKUP(HD140,Horarios!$H:$I,2,0),"")</f>
        <v/>
      </c>
      <c r="HG140" s="28" t="str">
        <f>IFERROR(VLOOKUP(HE140,Horarios!$H:$I,2,0),"")</f>
        <v/>
      </c>
      <c r="HH140" s="28" t="str">
        <f t="shared" si="134"/>
        <v>00:00</v>
      </c>
      <c r="HI140" s="29"/>
      <c r="HJ140" s="31" t="str">
        <f t="shared" si="135"/>
        <v/>
      </c>
      <c r="HK140" s="27"/>
      <c r="HL140" s="27"/>
      <c r="HM140" s="28" t="str">
        <f>IFERROR(VLOOKUP(HK140,Horarios!$H:$I,2,0),"")</f>
        <v/>
      </c>
      <c r="HN140" s="28" t="str">
        <f>IFERROR(VLOOKUP(HL140,Horarios!$H:$I,2,0),"")</f>
        <v/>
      </c>
      <c r="HO140" s="28" t="str">
        <f t="shared" si="136"/>
        <v>00:00</v>
      </c>
      <c r="HP140" s="29"/>
      <c r="HQ140" s="27"/>
      <c r="HR140" s="27"/>
      <c r="HS140" s="28" t="str">
        <f>IFERROR(VLOOKUP(HQ140,Horarios!$H:$I,2,0),"")</f>
        <v/>
      </c>
      <c r="HT140" s="28" t="str">
        <f>IFERROR(VLOOKUP(HR140,Horarios!$H:$I,2,0),"")</f>
        <v/>
      </c>
      <c r="HU140" s="28" t="str">
        <f t="shared" si="137"/>
        <v>00:00</v>
      </c>
      <c r="HV140" s="29"/>
      <c r="HW140" s="27"/>
      <c r="HX140" s="27"/>
      <c r="HY140" s="28" t="str">
        <f>IFERROR(VLOOKUP(HW140,Horarios!$H:$I,2,0),"")</f>
        <v/>
      </c>
      <c r="HZ140" s="28" t="str">
        <f>IFERROR(VLOOKUP(HX140,Horarios!$H:$I,2,0),"")</f>
        <v/>
      </c>
      <c r="IA140" s="28" t="str">
        <f t="shared" si="138"/>
        <v>00:00</v>
      </c>
      <c r="IB140" s="29"/>
      <c r="IC140" s="27"/>
      <c r="ID140" s="27"/>
      <c r="IE140" s="28" t="str">
        <f>IFERROR(VLOOKUP(IC140,Horarios!$H:$I,2,0),"")</f>
        <v/>
      </c>
      <c r="IF140" s="28" t="str">
        <f>IFERROR(VLOOKUP(ID140,Horarios!$H:$I,2,0),"")</f>
        <v/>
      </c>
      <c r="IG140" s="28" t="str">
        <f t="shared" si="139"/>
        <v>00:00</v>
      </c>
      <c r="IH140" s="29"/>
      <c r="II140" s="27"/>
      <c r="IJ140" s="27"/>
      <c r="IK140" s="28" t="str">
        <f>IFERROR(VLOOKUP(II140,Horarios!$H:$I,2,0),"")</f>
        <v/>
      </c>
      <c r="IL140" s="28" t="str">
        <f>IFERROR(VLOOKUP(IJ140,Horarios!$H:$I,2,0),"")</f>
        <v/>
      </c>
      <c r="IM140" s="28" t="str">
        <f t="shared" si="140"/>
        <v>00:00</v>
      </c>
      <c r="IN140" s="29"/>
      <c r="IO140" s="27"/>
      <c r="IP140" s="27"/>
      <c r="IQ140" s="28" t="str">
        <f>IFERROR(VLOOKUP(IO140,Horarios!$H:$I,2,0),"")</f>
        <v/>
      </c>
      <c r="IR140" s="28" t="str">
        <f>IFERROR(VLOOKUP(IP140,Horarios!$H:$I,2,0),"")</f>
        <v/>
      </c>
      <c r="IS140" s="28" t="str">
        <f t="shared" si="141"/>
        <v>00:00</v>
      </c>
      <c r="IT140" s="29"/>
      <c r="IU140" s="27"/>
      <c r="IV140" s="27"/>
      <c r="IW140" s="28" t="str">
        <f>IFERROR(VLOOKUP(IU140,Horarios!$H:$I,2,0),"")</f>
        <v/>
      </c>
      <c r="IX140" s="28" t="str">
        <f>IFERROR(VLOOKUP(IV140,Horarios!$H:$I,2,0),"")</f>
        <v/>
      </c>
      <c r="IY140" s="28" t="str">
        <f t="shared" si="142"/>
        <v>00:00</v>
      </c>
      <c r="IZ140" s="29"/>
      <c r="JA140" s="31" t="str">
        <f t="shared" si="143"/>
        <v/>
      </c>
    </row>
    <row r="141" spans="1:261" s="24" customFormat="1" ht="17.399999999999999" x14ac:dyDescent="0.25">
      <c r="A141" s="25"/>
      <c r="B141" s="26" t="str">
        <f>IFERROR(VLOOKUP(A141,BaseNombres!A:B,2,0),"")</f>
        <v/>
      </c>
      <c r="C141" s="26" t="str">
        <f>IFERROR(VLOOKUP(A141,BaseNombres!A:C,3,0),"")</f>
        <v/>
      </c>
      <c r="D141" s="27"/>
      <c r="E141" s="27"/>
      <c r="F141" s="28" t="str">
        <f>IFERROR(VLOOKUP(D141,Horarios!$H:$I,2,0),"")</f>
        <v/>
      </c>
      <c r="G141" s="28" t="str">
        <f>IFERROR(VLOOKUP(E141,Horarios!$H:$I,2,0),"")</f>
        <v/>
      </c>
      <c r="H141" s="28" t="str">
        <f t="shared" si="96"/>
        <v>00:00</v>
      </c>
      <c r="I141" s="29"/>
      <c r="J141" s="27"/>
      <c r="K141" s="27"/>
      <c r="L141" s="28" t="str">
        <f>IFERROR(VLOOKUP(J141,Horarios!$H:$I,2,0),"")</f>
        <v/>
      </c>
      <c r="M141" s="28" t="str">
        <f>IFERROR(VLOOKUP(K141,Horarios!$H:$I,2,0),"")</f>
        <v/>
      </c>
      <c r="N141" s="28" t="str">
        <f t="shared" si="97"/>
        <v>00:00</v>
      </c>
      <c r="O141" s="29"/>
      <c r="P141" s="27"/>
      <c r="Q141" s="27"/>
      <c r="R141" s="28" t="str">
        <f>IFERROR(VLOOKUP(P141,Horarios!$H:$I,2,0),"")</f>
        <v/>
      </c>
      <c r="S141" s="28" t="str">
        <f>IFERROR(VLOOKUP(Q141,Horarios!$H:$I,2,0),"")</f>
        <v/>
      </c>
      <c r="T141" s="28" t="str">
        <f t="shared" si="98"/>
        <v>00:00</v>
      </c>
      <c r="U141" s="29"/>
      <c r="V141" s="27"/>
      <c r="W141" s="27"/>
      <c r="X141" s="28" t="str">
        <f>IFERROR(VLOOKUP(V141,Horarios!$H:$I,2,0),"")</f>
        <v/>
      </c>
      <c r="Y141" s="28" t="str">
        <f>IFERROR(VLOOKUP(W141,Horarios!$H:$I,2,0),"")</f>
        <v/>
      </c>
      <c r="Z141" s="28" t="str">
        <f t="shared" si="99"/>
        <v>00:00</v>
      </c>
      <c r="AA141" s="29"/>
      <c r="AB141" s="27"/>
      <c r="AC141" s="27"/>
      <c r="AD141" s="28" t="str">
        <f>IFERROR(VLOOKUP(AB141,Horarios!$H:$I,2,0),"")</f>
        <v/>
      </c>
      <c r="AE141" s="28" t="str">
        <f>IFERROR(VLOOKUP(AC141,Horarios!$H:$I,2,0),"")</f>
        <v/>
      </c>
      <c r="AF141" s="28" t="str">
        <f t="shared" si="100"/>
        <v>00:00</v>
      </c>
      <c r="AG141" s="29"/>
      <c r="AH141" s="27"/>
      <c r="AI141" s="27"/>
      <c r="AJ141" s="28" t="str">
        <f>IFERROR(VLOOKUP(AH141,Horarios!$H:$I,2,0),"")</f>
        <v/>
      </c>
      <c r="AK141" s="28" t="str">
        <f>IFERROR(VLOOKUP(AI141,Horarios!$H:$I,2,0),"")</f>
        <v/>
      </c>
      <c r="AL141" s="28" t="str">
        <f t="shared" si="101"/>
        <v>00:00</v>
      </c>
      <c r="AM141" s="29"/>
      <c r="AN141" s="27"/>
      <c r="AO141" s="27"/>
      <c r="AP141" s="28" t="str">
        <f>IFERROR(VLOOKUP(AN141,Horarios!$H:$I,2,0),"")</f>
        <v/>
      </c>
      <c r="AQ141" s="28" t="str">
        <f>IFERROR(VLOOKUP(AO141,Horarios!$H:$I,2,0),"")</f>
        <v/>
      </c>
      <c r="AR141" s="28" t="str">
        <f t="shared" si="102"/>
        <v>00:00</v>
      </c>
      <c r="AS141" s="29"/>
      <c r="AT141" s="31" t="str">
        <f t="shared" si="103"/>
        <v/>
      </c>
      <c r="AU141" s="27"/>
      <c r="AV141" s="27"/>
      <c r="AW141" s="28" t="str">
        <f>IFERROR(VLOOKUP(AU141,Horarios!$H:$I,2,0),"")</f>
        <v/>
      </c>
      <c r="AX141" s="28" t="str">
        <f>IFERROR(VLOOKUP(AV141,Horarios!$H:$I,2,0),"")</f>
        <v/>
      </c>
      <c r="AY141" s="28" t="str">
        <f t="shared" si="104"/>
        <v>00:00</v>
      </c>
      <c r="AZ141" s="29"/>
      <c r="BA141" s="27"/>
      <c r="BB141" s="27"/>
      <c r="BC141" s="28" t="str">
        <f>IFERROR(VLOOKUP(BA141,Horarios!$H:$I,2,0),"")</f>
        <v/>
      </c>
      <c r="BD141" s="28" t="str">
        <f>IFERROR(VLOOKUP(BB141,Horarios!$H:$I,2,0),"")</f>
        <v/>
      </c>
      <c r="BE141" s="28" t="str">
        <f t="shared" si="105"/>
        <v>00:00</v>
      </c>
      <c r="BF141" s="29"/>
      <c r="BG141" s="27"/>
      <c r="BH141" s="27"/>
      <c r="BI141" s="28" t="str">
        <f>IFERROR(VLOOKUP(BG141,Horarios!$H:$I,2,0),"")</f>
        <v/>
      </c>
      <c r="BJ141" s="28" t="str">
        <f>IFERROR(VLOOKUP(BH141,Horarios!$H:$I,2,0),"")</f>
        <v/>
      </c>
      <c r="BK141" s="28" t="str">
        <f t="shared" si="106"/>
        <v>00:00</v>
      </c>
      <c r="BL141" s="29"/>
      <c r="BM141" s="27"/>
      <c r="BN141" s="27"/>
      <c r="BO141" s="28" t="str">
        <f>IFERROR(VLOOKUP(BM141,Horarios!$H:$I,2,0),"")</f>
        <v/>
      </c>
      <c r="BP141" s="28" t="str">
        <f>IFERROR(VLOOKUP(BN141,Horarios!$H:$I,2,0),"")</f>
        <v/>
      </c>
      <c r="BQ141" s="28" t="str">
        <f t="shared" si="107"/>
        <v>00:00</v>
      </c>
      <c r="BR141" s="29"/>
      <c r="BS141" s="27"/>
      <c r="BT141" s="27"/>
      <c r="BU141" s="28" t="str">
        <f>IFERROR(VLOOKUP(BS141,Horarios!$H:$I,2,0),"")</f>
        <v/>
      </c>
      <c r="BV141" s="28" t="str">
        <f>IFERROR(VLOOKUP(BT141,Horarios!$H:$I,2,0),"")</f>
        <v/>
      </c>
      <c r="BW141" s="28" t="str">
        <f t="shared" si="108"/>
        <v>00:00</v>
      </c>
      <c r="BX141" s="29"/>
      <c r="BY141" s="27"/>
      <c r="BZ141" s="27"/>
      <c r="CA141" s="28" t="str">
        <f>IFERROR(VLOOKUP(BY141,Horarios!$H:$I,2,0),"")</f>
        <v/>
      </c>
      <c r="CB141" s="28" t="str">
        <f>IFERROR(VLOOKUP(BZ141,Horarios!$H:$I,2,0),"")</f>
        <v/>
      </c>
      <c r="CC141" s="28" t="str">
        <f t="shared" si="109"/>
        <v>00:00</v>
      </c>
      <c r="CD141" s="29"/>
      <c r="CE141" s="27"/>
      <c r="CF141" s="27"/>
      <c r="CG141" s="28" t="str">
        <f>IFERROR(VLOOKUP(CE141,Horarios!$H:$I,2,0),"")</f>
        <v/>
      </c>
      <c r="CH141" s="28" t="str">
        <f>IFERROR(VLOOKUP(CF141,Horarios!$H:$I,2,0),"")</f>
        <v/>
      </c>
      <c r="CI141" s="28" t="str">
        <f t="shared" si="110"/>
        <v>00:00</v>
      </c>
      <c r="CJ141" s="29"/>
      <c r="CK141" s="31" t="str">
        <f t="shared" si="111"/>
        <v/>
      </c>
      <c r="CL141" s="27"/>
      <c r="CM141" s="27"/>
      <c r="CN141" s="28" t="str">
        <f>IFERROR(VLOOKUP(CL141,Horarios!$H:$I,2,0),"")</f>
        <v/>
      </c>
      <c r="CO141" s="28" t="str">
        <f>IFERROR(VLOOKUP(CM141,Horarios!$H:$I,2,0),"")</f>
        <v/>
      </c>
      <c r="CP141" s="28" t="str">
        <f t="shared" si="112"/>
        <v>00:00</v>
      </c>
      <c r="CQ141" s="29"/>
      <c r="CR141" s="27"/>
      <c r="CS141" s="27"/>
      <c r="CT141" s="28" t="str">
        <f>IFERROR(VLOOKUP(CR141,Horarios!$H:$I,2,0),"")</f>
        <v/>
      </c>
      <c r="CU141" s="28" t="str">
        <f>IFERROR(VLOOKUP(CS141,Horarios!$H:$I,2,0),"")</f>
        <v/>
      </c>
      <c r="CV141" s="28" t="str">
        <f t="shared" si="113"/>
        <v>00:00</v>
      </c>
      <c r="CW141" s="29"/>
      <c r="CX141" s="27"/>
      <c r="CY141" s="27"/>
      <c r="CZ141" s="28" t="str">
        <f>IFERROR(VLOOKUP(CX141,Horarios!$H:$I,2,0),"")</f>
        <v/>
      </c>
      <c r="DA141" s="28" t="str">
        <f>IFERROR(VLOOKUP(CY141,Horarios!$H:$I,2,0),"")</f>
        <v/>
      </c>
      <c r="DB141" s="28" t="str">
        <f t="shared" si="114"/>
        <v>00:00</v>
      </c>
      <c r="DC141" s="29"/>
      <c r="DD141" s="27"/>
      <c r="DE141" s="27"/>
      <c r="DF141" s="28" t="str">
        <f>IFERROR(VLOOKUP(DD141,Horarios!$H:$I,2,0),"")</f>
        <v/>
      </c>
      <c r="DG141" s="28" t="str">
        <f>IFERROR(VLOOKUP(DE141,Horarios!$H:$I,2,0),"")</f>
        <v/>
      </c>
      <c r="DH141" s="28" t="str">
        <f t="shared" si="115"/>
        <v>00:00</v>
      </c>
      <c r="DI141" s="29"/>
      <c r="DJ141" s="27"/>
      <c r="DK141" s="27"/>
      <c r="DL141" s="28" t="str">
        <f>IFERROR(VLOOKUP(DJ141,Horarios!$H:$I,2,0),"")</f>
        <v/>
      </c>
      <c r="DM141" s="28" t="str">
        <f>IFERROR(VLOOKUP(DK141,Horarios!$H:$I,2,0),"")</f>
        <v/>
      </c>
      <c r="DN141" s="28" t="str">
        <f t="shared" si="116"/>
        <v>00:00</v>
      </c>
      <c r="DO141" s="29"/>
      <c r="DP141" s="27"/>
      <c r="DQ141" s="27"/>
      <c r="DR141" s="28" t="str">
        <f>IFERROR(VLOOKUP(DP141,Horarios!$H:$I,2,0),"")</f>
        <v/>
      </c>
      <c r="DS141" s="28" t="str">
        <f>IFERROR(VLOOKUP(DQ141,Horarios!$H:$I,2,0),"")</f>
        <v/>
      </c>
      <c r="DT141" s="28" t="str">
        <f t="shared" si="117"/>
        <v>00:00</v>
      </c>
      <c r="DU141" s="29"/>
      <c r="DV141" s="27"/>
      <c r="DW141" s="27"/>
      <c r="DX141" s="28" t="str">
        <f>IFERROR(VLOOKUP(DV141,Horarios!$H:$I,2,0),"")</f>
        <v/>
      </c>
      <c r="DY141" s="28" t="str">
        <f>IFERROR(VLOOKUP(DW141,Horarios!$H:$I,2,0),"")</f>
        <v/>
      </c>
      <c r="DZ141" s="28" t="str">
        <f t="shared" si="118"/>
        <v>00:00</v>
      </c>
      <c r="EA141" s="29"/>
      <c r="EB141" s="31" t="str">
        <f t="shared" si="119"/>
        <v/>
      </c>
      <c r="EC141" s="27"/>
      <c r="ED141" s="27"/>
      <c r="EE141" s="28" t="str">
        <f>IFERROR(VLOOKUP(EC141,Horarios!$H:$I,2,0),"")</f>
        <v/>
      </c>
      <c r="EF141" s="28" t="str">
        <f>IFERROR(VLOOKUP(ED141,Horarios!$H:$I,2,0),"")</f>
        <v/>
      </c>
      <c r="EG141" s="28" t="str">
        <f t="shared" si="120"/>
        <v>00:00</v>
      </c>
      <c r="EH141" s="29"/>
      <c r="EI141" s="27"/>
      <c r="EJ141" s="27"/>
      <c r="EK141" s="28" t="str">
        <f>IFERROR(VLOOKUP(EI141,Horarios!$H:$I,2,0),"")</f>
        <v/>
      </c>
      <c r="EL141" s="28" t="str">
        <f>IFERROR(VLOOKUP(EJ141,Horarios!$H:$I,2,0),"")</f>
        <v/>
      </c>
      <c r="EM141" s="28" t="str">
        <f t="shared" si="121"/>
        <v>00:00</v>
      </c>
      <c r="EN141" s="29"/>
      <c r="EO141" s="27"/>
      <c r="EP141" s="27"/>
      <c r="EQ141" s="28" t="str">
        <f>IFERROR(VLOOKUP(EO141,Horarios!$H:$I,2,0),"")</f>
        <v/>
      </c>
      <c r="ER141" s="28" t="str">
        <f>IFERROR(VLOOKUP(EP141,Horarios!$H:$I,2,0),"")</f>
        <v/>
      </c>
      <c r="ES141" s="28" t="str">
        <f t="shared" si="122"/>
        <v>00:00</v>
      </c>
      <c r="ET141" s="29"/>
      <c r="EU141" s="27"/>
      <c r="EV141" s="27"/>
      <c r="EW141" s="28" t="str">
        <f>IFERROR(VLOOKUP(EU141,Horarios!$H:$I,2,0),"")</f>
        <v/>
      </c>
      <c r="EX141" s="28" t="str">
        <f>IFERROR(VLOOKUP(EV141,Horarios!$H:$I,2,0),"")</f>
        <v/>
      </c>
      <c r="EY141" s="28" t="str">
        <f t="shared" si="123"/>
        <v>00:00</v>
      </c>
      <c r="EZ141" s="29"/>
      <c r="FA141" s="27"/>
      <c r="FB141" s="27"/>
      <c r="FC141" s="28" t="str">
        <f>IFERROR(VLOOKUP(FA141,Horarios!$H:$I,2,0),"")</f>
        <v/>
      </c>
      <c r="FD141" s="28" t="str">
        <f>IFERROR(VLOOKUP(FB141,Horarios!$H:$I,2,0),"")</f>
        <v/>
      </c>
      <c r="FE141" s="28" t="str">
        <f t="shared" si="124"/>
        <v>00:00</v>
      </c>
      <c r="FF141" s="29"/>
      <c r="FG141" s="27"/>
      <c r="FH141" s="27"/>
      <c r="FI141" s="28" t="str">
        <f>IFERROR(VLOOKUP(FG141,Horarios!$H:$I,2,0),"")</f>
        <v/>
      </c>
      <c r="FJ141" s="28" t="str">
        <f>IFERROR(VLOOKUP(FH141,Horarios!$H:$I,2,0),"")</f>
        <v/>
      </c>
      <c r="FK141" s="28" t="str">
        <f t="shared" si="125"/>
        <v>00:00</v>
      </c>
      <c r="FL141" s="29"/>
      <c r="FM141" s="27"/>
      <c r="FN141" s="27"/>
      <c r="FO141" s="28" t="str">
        <f>IFERROR(VLOOKUP(FM141,Horarios!$H:$I,2,0),"")</f>
        <v/>
      </c>
      <c r="FP141" s="28" t="str">
        <f>IFERROR(VLOOKUP(FN141,Horarios!$H:$I,2,0),"")</f>
        <v/>
      </c>
      <c r="FQ141" s="28" t="str">
        <f t="shared" si="126"/>
        <v>00:00</v>
      </c>
      <c r="FR141" s="29"/>
      <c r="FS141" s="31" t="str">
        <f t="shared" si="127"/>
        <v/>
      </c>
      <c r="FT141" s="27"/>
      <c r="FU141" s="27"/>
      <c r="FV141" s="28" t="str">
        <f>IFERROR(VLOOKUP(FT141,Horarios!$H:$I,2,0),"")</f>
        <v/>
      </c>
      <c r="FW141" s="28" t="str">
        <f>IFERROR(VLOOKUP(FU141,Horarios!$H:$I,2,0),"")</f>
        <v/>
      </c>
      <c r="FX141" s="28" t="str">
        <f t="shared" si="128"/>
        <v>00:00</v>
      </c>
      <c r="FY141" s="29"/>
      <c r="FZ141" s="27"/>
      <c r="GA141" s="27"/>
      <c r="GB141" s="28" t="str">
        <f>IFERROR(VLOOKUP(FZ141,Horarios!$H:$I,2,0),"")</f>
        <v/>
      </c>
      <c r="GC141" s="28" t="str">
        <f>IFERROR(VLOOKUP(GA141,Horarios!$H:$I,2,0),"")</f>
        <v/>
      </c>
      <c r="GD141" s="28" t="str">
        <f t="shared" si="129"/>
        <v>00:00</v>
      </c>
      <c r="GE141" s="29"/>
      <c r="GF141" s="27"/>
      <c r="GG141" s="27"/>
      <c r="GH141" s="28" t="str">
        <f>IFERROR(VLOOKUP(GF141,Horarios!$H:$I,2,0),"")</f>
        <v/>
      </c>
      <c r="GI141" s="28" t="str">
        <f>IFERROR(VLOOKUP(GG141,Horarios!$H:$I,2,0),"")</f>
        <v/>
      </c>
      <c r="GJ141" s="28" t="str">
        <f t="shared" si="130"/>
        <v>00:00</v>
      </c>
      <c r="GK141" s="29"/>
      <c r="GL141" s="27"/>
      <c r="GM141" s="27"/>
      <c r="GN141" s="28" t="str">
        <f>IFERROR(VLOOKUP(GL141,Horarios!$H:$I,2,0),"")</f>
        <v/>
      </c>
      <c r="GO141" s="28" t="str">
        <f>IFERROR(VLOOKUP(GM141,Horarios!$H:$I,2,0),"")</f>
        <v/>
      </c>
      <c r="GP141" s="28" t="str">
        <f t="shared" si="131"/>
        <v>00:00</v>
      </c>
      <c r="GQ141" s="29"/>
      <c r="GR141" s="27"/>
      <c r="GS141" s="27"/>
      <c r="GT141" s="28" t="str">
        <f>IFERROR(VLOOKUP(GR141,Horarios!$H:$I,2,0),"")</f>
        <v/>
      </c>
      <c r="GU141" s="28" t="str">
        <f>IFERROR(VLOOKUP(GS141,Horarios!$H:$I,2,0),"")</f>
        <v/>
      </c>
      <c r="GV141" s="28" t="str">
        <f t="shared" si="132"/>
        <v>00:00</v>
      </c>
      <c r="GW141" s="29"/>
      <c r="GX141" s="27"/>
      <c r="GY141" s="27"/>
      <c r="GZ141" s="28" t="str">
        <f>IFERROR(VLOOKUP(GX141,Horarios!$H:$I,2,0),"")</f>
        <v/>
      </c>
      <c r="HA141" s="28" t="str">
        <f>IFERROR(VLOOKUP(GY141,Horarios!$H:$I,2,0),"")</f>
        <v/>
      </c>
      <c r="HB141" s="28" t="str">
        <f t="shared" si="133"/>
        <v>00:00</v>
      </c>
      <c r="HC141" s="29"/>
      <c r="HD141" s="27"/>
      <c r="HE141" s="27"/>
      <c r="HF141" s="28" t="str">
        <f>IFERROR(VLOOKUP(HD141,Horarios!$H:$I,2,0),"")</f>
        <v/>
      </c>
      <c r="HG141" s="28" t="str">
        <f>IFERROR(VLOOKUP(HE141,Horarios!$H:$I,2,0),"")</f>
        <v/>
      </c>
      <c r="HH141" s="28" t="str">
        <f t="shared" si="134"/>
        <v>00:00</v>
      </c>
      <c r="HI141" s="29"/>
      <c r="HJ141" s="31" t="str">
        <f t="shared" si="135"/>
        <v/>
      </c>
      <c r="HK141" s="27"/>
      <c r="HL141" s="27"/>
      <c r="HM141" s="28" t="str">
        <f>IFERROR(VLOOKUP(HK141,Horarios!$H:$I,2,0),"")</f>
        <v/>
      </c>
      <c r="HN141" s="28" t="str">
        <f>IFERROR(VLOOKUP(HL141,Horarios!$H:$I,2,0),"")</f>
        <v/>
      </c>
      <c r="HO141" s="28" t="str">
        <f t="shared" si="136"/>
        <v>00:00</v>
      </c>
      <c r="HP141" s="29"/>
      <c r="HQ141" s="27"/>
      <c r="HR141" s="27"/>
      <c r="HS141" s="28" t="str">
        <f>IFERROR(VLOOKUP(HQ141,Horarios!$H:$I,2,0),"")</f>
        <v/>
      </c>
      <c r="HT141" s="28" t="str">
        <f>IFERROR(VLOOKUP(HR141,Horarios!$H:$I,2,0),"")</f>
        <v/>
      </c>
      <c r="HU141" s="28" t="str">
        <f t="shared" si="137"/>
        <v>00:00</v>
      </c>
      <c r="HV141" s="29"/>
      <c r="HW141" s="27"/>
      <c r="HX141" s="27"/>
      <c r="HY141" s="28" t="str">
        <f>IFERROR(VLOOKUP(HW141,Horarios!$H:$I,2,0),"")</f>
        <v/>
      </c>
      <c r="HZ141" s="28" t="str">
        <f>IFERROR(VLOOKUP(HX141,Horarios!$H:$I,2,0),"")</f>
        <v/>
      </c>
      <c r="IA141" s="28" t="str">
        <f t="shared" si="138"/>
        <v>00:00</v>
      </c>
      <c r="IB141" s="29"/>
      <c r="IC141" s="27"/>
      <c r="ID141" s="27"/>
      <c r="IE141" s="28" t="str">
        <f>IFERROR(VLOOKUP(IC141,Horarios!$H:$I,2,0),"")</f>
        <v/>
      </c>
      <c r="IF141" s="28" t="str">
        <f>IFERROR(VLOOKUP(ID141,Horarios!$H:$I,2,0),"")</f>
        <v/>
      </c>
      <c r="IG141" s="28" t="str">
        <f t="shared" si="139"/>
        <v>00:00</v>
      </c>
      <c r="IH141" s="29"/>
      <c r="II141" s="27"/>
      <c r="IJ141" s="27"/>
      <c r="IK141" s="28" t="str">
        <f>IFERROR(VLOOKUP(II141,Horarios!$H:$I,2,0),"")</f>
        <v/>
      </c>
      <c r="IL141" s="28" t="str">
        <f>IFERROR(VLOOKUP(IJ141,Horarios!$H:$I,2,0),"")</f>
        <v/>
      </c>
      <c r="IM141" s="28" t="str">
        <f t="shared" si="140"/>
        <v>00:00</v>
      </c>
      <c r="IN141" s="29"/>
      <c r="IO141" s="27"/>
      <c r="IP141" s="27"/>
      <c r="IQ141" s="28" t="str">
        <f>IFERROR(VLOOKUP(IO141,Horarios!$H:$I,2,0),"")</f>
        <v/>
      </c>
      <c r="IR141" s="28" t="str">
        <f>IFERROR(VLOOKUP(IP141,Horarios!$H:$I,2,0),"")</f>
        <v/>
      </c>
      <c r="IS141" s="28" t="str">
        <f t="shared" si="141"/>
        <v>00:00</v>
      </c>
      <c r="IT141" s="29"/>
      <c r="IU141" s="27"/>
      <c r="IV141" s="27"/>
      <c r="IW141" s="28" t="str">
        <f>IFERROR(VLOOKUP(IU141,Horarios!$H:$I,2,0),"")</f>
        <v/>
      </c>
      <c r="IX141" s="28" t="str">
        <f>IFERROR(VLOOKUP(IV141,Horarios!$H:$I,2,0),"")</f>
        <v/>
      </c>
      <c r="IY141" s="28" t="str">
        <f t="shared" si="142"/>
        <v>00:00</v>
      </c>
      <c r="IZ141" s="29"/>
      <c r="JA141" s="31" t="str">
        <f t="shared" si="143"/>
        <v/>
      </c>
    </row>
    <row r="142" spans="1:261" s="24" customFormat="1" ht="17.399999999999999" x14ac:dyDescent="0.25">
      <c r="A142" s="25"/>
      <c r="B142" s="26" t="str">
        <f>IFERROR(VLOOKUP(A142,BaseNombres!A:B,2,0),"")</f>
        <v/>
      </c>
      <c r="C142" s="26" t="str">
        <f>IFERROR(VLOOKUP(A142,BaseNombres!A:C,3,0),"")</f>
        <v/>
      </c>
      <c r="D142" s="27"/>
      <c r="E142" s="27"/>
      <c r="F142" s="28" t="str">
        <f>IFERROR(VLOOKUP(D142,Horarios!$H:$I,2,0),"")</f>
        <v/>
      </c>
      <c r="G142" s="28" t="str">
        <f>IFERROR(VLOOKUP(E142,Horarios!$H:$I,2,0),"")</f>
        <v/>
      </c>
      <c r="H142" s="28" t="str">
        <f t="shared" si="96"/>
        <v>00:00</v>
      </c>
      <c r="I142" s="29"/>
      <c r="J142" s="27"/>
      <c r="K142" s="27"/>
      <c r="L142" s="28" t="str">
        <f>IFERROR(VLOOKUP(J142,Horarios!$H:$I,2,0),"")</f>
        <v/>
      </c>
      <c r="M142" s="28" t="str">
        <f>IFERROR(VLOOKUP(K142,Horarios!$H:$I,2,0),"")</f>
        <v/>
      </c>
      <c r="N142" s="28" t="str">
        <f t="shared" si="97"/>
        <v>00:00</v>
      </c>
      <c r="O142" s="29"/>
      <c r="P142" s="27"/>
      <c r="Q142" s="27"/>
      <c r="R142" s="28" t="str">
        <f>IFERROR(VLOOKUP(P142,Horarios!$H:$I,2,0),"")</f>
        <v/>
      </c>
      <c r="S142" s="28" t="str">
        <f>IFERROR(VLOOKUP(Q142,Horarios!$H:$I,2,0),"")</f>
        <v/>
      </c>
      <c r="T142" s="28" t="str">
        <f t="shared" si="98"/>
        <v>00:00</v>
      </c>
      <c r="U142" s="29"/>
      <c r="V142" s="27"/>
      <c r="W142" s="27"/>
      <c r="X142" s="28" t="str">
        <f>IFERROR(VLOOKUP(V142,Horarios!$H:$I,2,0),"")</f>
        <v/>
      </c>
      <c r="Y142" s="28" t="str">
        <f>IFERROR(VLOOKUP(W142,Horarios!$H:$I,2,0),"")</f>
        <v/>
      </c>
      <c r="Z142" s="28" t="str">
        <f t="shared" si="99"/>
        <v>00:00</v>
      </c>
      <c r="AA142" s="29"/>
      <c r="AB142" s="27"/>
      <c r="AC142" s="27"/>
      <c r="AD142" s="28" t="str">
        <f>IFERROR(VLOOKUP(AB142,Horarios!$H:$I,2,0),"")</f>
        <v/>
      </c>
      <c r="AE142" s="28" t="str">
        <f>IFERROR(VLOOKUP(AC142,Horarios!$H:$I,2,0),"")</f>
        <v/>
      </c>
      <c r="AF142" s="28" t="str">
        <f t="shared" si="100"/>
        <v>00:00</v>
      </c>
      <c r="AG142" s="29"/>
      <c r="AH142" s="27"/>
      <c r="AI142" s="27"/>
      <c r="AJ142" s="28" t="str">
        <f>IFERROR(VLOOKUP(AH142,Horarios!$H:$I,2,0),"")</f>
        <v/>
      </c>
      <c r="AK142" s="28" t="str">
        <f>IFERROR(VLOOKUP(AI142,Horarios!$H:$I,2,0),"")</f>
        <v/>
      </c>
      <c r="AL142" s="28" t="str">
        <f t="shared" si="101"/>
        <v>00:00</v>
      </c>
      <c r="AM142" s="29"/>
      <c r="AN142" s="27"/>
      <c r="AO142" s="27"/>
      <c r="AP142" s="28" t="str">
        <f>IFERROR(VLOOKUP(AN142,Horarios!$H:$I,2,0),"")</f>
        <v/>
      </c>
      <c r="AQ142" s="28" t="str">
        <f>IFERROR(VLOOKUP(AO142,Horarios!$H:$I,2,0),"")</f>
        <v/>
      </c>
      <c r="AR142" s="28" t="str">
        <f t="shared" si="102"/>
        <v>00:00</v>
      </c>
      <c r="AS142" s="29"/>
      <c r="AT142" s="31" t="str">
        <f t="shared" si="103"/>
        <v/>
      </c>
      <c r="AU142" s="27"/>
      <c r="AV142" s="27"/>
      <c r="AW142" s="28" t="str">
        <f>IFERROR(VLOOKUP(AU142,Horarios!$H:$I,2,0),"")</f>
        <v/>
      </c>
      <c r="AX142" s="28" t="str">
        <f>IFERROR(VLOOKUP(AV142,Horarios!$H:$I,2,0),"")</f>
        <v/>
      </c>
      <c r="AY142" s="28" t="str">
        <f t="shared" si="104"/>
        <v>00:00</v>
      </c>
      <c r="AZ142" s="29"/>
      <c r="BA142" s="27"/>
      <c r="BB142" s="27"/>
      <c r="BC142" s="28" t="str">
        <f>IFERROR(VLOOKUP(BA142,Horarios!$H:$I,2,0),"")</f>
        <v/>
      </c>
      <c r="BD142" s="28" t="str">
        <f>IFERROR(VLOOKUP(BB142,Horarios!$H:$I,2,0),"")</f>
        <v/>
      </c>
      <c r="BE142" s="28" t="str">
        <f t="shared" si="105"/>
        <v>00:00</v>
      </c>
      <c r="BF142" s="29"/>
      <c r="BG142" s="27"/>
      <c r="BH142" s="27"/>
      <c r="BI142" s="28" t="str">
        <f>IFERROR(VLOOKUP(BG142,Horarios!$H:$I,2,0),"")</f>
        <v/>
      </c>
      <c r="BJ142" s="28" t="str">
        <f>IFERROR(VLOOKUP(BH142,Horarios!$H:$I,2,0),"")</f>
        <v/>
      </c>
      <c r="BK142" s="28" t="str">
        <f t="shared" si="106"/>
        <v>00:00</v>
      </c>
      <c r="BL142" s="29"/>
      <c r="BM142" s="27"/>
      <c r="BN142" s="27"/>
      <c r="BO142" s="28" t="str">
        <f>IFERROR(VLOOKUP(BM142,Horarios!$H:$I,2,0),"")</f>
        <v/>
      </c>
      <c r="BP142" s="28" t="str">
        <f>IFERROR(VLOOKUP(BN142,Horarios!$H:$I,2,0),"")</f>
        <v/>
      </c>
      <c r="BQ142" s="28" t="str">
        <f t="shared" si="107"/>
        <v>00:00</v>
      </c>
      <c r="BR142" s="29"/>
      <c r="BS142" s="27"/>
      <c r="BT142" s="27"/>
      <c r="BU142" s="28" t="str">
        <f>IFERROR(VLOOKUP(BS142,Horarios!$H:$I,2,0),"")</f>
        <v/>
      </c>
      <c r="BV142" s="28" t="str">
        <f>IFERROR(VLOOKUP(BT142,Horarios!$H:$I,2,0),"")</f>
        <v/>
      </c>
      <c r="BW142" s="28" t="str">
        <f t="shared" si="108"/>
        <v>00:00</v>
      </c>
      <c r="BX142" s="29"/>
      <c r="BY142" s="27"/>
      <c r="BZ142" s="27"/>
      <c r="CA142" s="28" t="str">
        <f>IFERROR(VLOOKUP(BY142,Horarios!$H:$I,2,0),"")</f>
        <v/>
      </c>
      <c r="CB142" s="28" t="str">
        <f>IFERROR(VLOOKUP(BZ142,Horarios!$H:$I,2,0),"")</f>
        <v/>
      </c>
      <c r="CC142" s="28" t="str">
        <f t="shared" si="109"/>
        <v>00:00</v>
      </c>
      <c r="CD142" s="29"/>
      <c r="CE142" s="27"/>
      <c r="CF142" s="27"/>
      <c r="CG142" s="28" t="str">
        <f>IFERROR(VLOOKUP(CE142,Horarios!$H:$I,2,0),"")</f>
        <v/>
      </c>
      <c r="CH142" s="28" t="str">
        <f>IFERROR(VLOOKUP(CF142,Horarios!$H:$I,2,0),"")</f>
        <v/>
      </c>
      <c r="CI142" s="28" t="str">
        <f t="shared" si="110"/>
        <v>00:00</v>
      </c>
      <c r="CJ142" s="29"/>
      <c r="CK142" s="31" t="str">
        <f t="shared" si="111"/>
        <v/>
      </c>
      <c r="CL142" s="27"/>
      <c r="CM142" s="27"/>
      <c r="CN142" s="28" t="str">
        <f>IFERROR(VLOOKUP(CL142,Horarios!$H:$I,2,0),"")</f>
        <v/>
      </c>
      <c r="CO142" s="28" t="str">
        <f>IFERROR(VLOOKUP(CM142,Horarios!$H:$I,2,0),"")</f>
        <v/>
      </c>
      <c r="CP142" s="28" t="str">
        <f t="shared" si="112"/>
        <v>00:00</v>
      </c>
      <c r="CQ142" s="29"/>
      <c r="CR142" s="27"/>
      <c r="CS142" s="27"/>
      <c r="CT142" s="28" t="str">
        <f>IFERROR(VLOOKUP(CR142,Horarios!$H:$I,2,0),"")</f>
        <v/>
      </c>
      <c r="CU142" s="28" t="str">
        <f>IFERROR(VLOOKUP(CS142,Horarios!$H:$I,2,0),"")</f>
        <v/>
      </c>
      <c r="CV142" s="28" t="str">
        <f t="shared" si="113"/>
        <v>00:00</v>
      </c>
      <c r="CW142" s="29"/>
      <c r="CX142" s="27"/>
      <c r="CY142" s="27"/>
      <c r="CZ142" s="28" t="str">
        <f>IFERROR(VLOOKUP(CX142,Horarios!$H:$I,2,0),"")</f>
        <v/>
      </c>
      <c r="DA142" s="28" t="str">
        <f>IFERROR(VLOOKUP(CY142,Horarios!$H:$I,2,0),"")</f>
        <v/>
      </c>
      <c r="DB142" s="28" t="str">
        <f t="shared" si="114"/>
        <v>00:00</v>
      </c>
      <c r="DC142" s="29"/>
      <c r="DD142" s="27"/>
      <c r="DE142" s="27"/>
      <c r="DF142" s="28" t="str">
        <f>IFERROR(VLOOKUP(DD142,Horarios!$H:$I,2,0),"")</f>
        <v/>
      </c>
      <c r="DG142" s="28" t="str">
        <f>IFERROR(VLOOKUP(DE142,Horarios!$H:$I,2,0),"")</f>
        <v/>
      </c>
      <c r="DH142" s="28" t="str">
        <f t="shared" si="115"/>
        <v>00:00</v>
      </c>
      <c r="DI142" s="29"/>
      <c r="DJ142" s="27"/>
      <c r="DK142" s="27"/>
      <c r="DL142" s="28" t="str">
        <f>IFERROR(VLOOKUP(DJ142,Horarios!$H:$I,2,0),"")</f>
        <v/>
      </c>
      <c r="DM142" s="28" t="str">
        <f>IFERROR(VLOOKUP(DK142,Horarios!$H:$I,2,0),"")</f>
        <v/>
      </c>
      <c r="DN142" s="28" t="str">
        <f t="shared" si="116"/>
        <v>00:00</v>
      </c>
      <c r="DO142" s="29"/>
      <c r="DP142" s="27"/>
      <c r="DQ142" s="27"/>
      <c r="DR142" s="28" t="str">
        <f>IFERROR(VLOOKUP(DP142,Horarios!$H:$I,2,0),"")</f>
        <v/>
      </c>
      <c r="DS142" s="28" t="str">
        <f>IFERROR(VLOOKUP(DQ142,Horarios!$H:$I,2,0),"")</f>
        <v/>
      </c>
      <c r="DT142" s="28" t="str">
        <f t="shared" si="117"/>
        <v>00:00</v>
      </c>
      <c r="DU142" s="29"/>
      <c r="DV142" s="27"/>
      <c r="DW142" s="27"/>
      <c r="DX142" s="28" t="str">
        <f>IFERROR(VLOOKUP(DV142,Horarios!$H:$I,2,0),"")</f>
        <v/>
      </c>
      <c r="DY142" s="28" t="str">
        <f>IFERROR(VLOOKUP(DW142,Horarios!$H:$I,2,0),"")</f>
        <v/>
      </c>
      <c r="DZ142" s="28" t="str">
        <f t="shared" si="118"/>
        <v>00:00</v>
      </c>
      <c r="EA142" s="29"/>
      <c r="EB142" s="31" t="str">
        <f t="shared" si="119"/>
        <v/>
      </c>
      <c r="EC142" s="27"/>
      <c r="ED142" s="27"/>
      <c r="EE142" s="28" t="str">
        <f>IFERROR(VLOOKUP(EC142,Horarios!$H:$I,2,0),"")</f>
        <v/>
      </c>
      <c r="EF142" s="28" t="str">
        <f>IFERROR(VLOOKUP(ED142,Horarios!$H:$I,2,0),"")</f>
        <v/>
      </c>
      <c r="EG142" s="28" t="str">
        <f t="shared" si="120"/>
        <v>00:00</v>
      </c>
      <c r="EH142" s="29"/>
      <c r="EI142" s="27"/>
      <c r="EJ142" s="27"/>
      <c r="EK142" s="28" t="str">
        <f>IFERROR(VLOOKUP(EI142,Horarios!$H:$I,2,0),"")</f>
        <v/>
      </c>
      <c r="EL142" s="28" t="str">
        <f>IFERROR(VLOOKUP(EJ142,Horarios!$H:$I,2,0),"")</f>
        <v/>
      </c>
      <c r="EM142" s="28" t="str">
        <f t="shared" si="121"/>
        <v>00:00</v>
      </c>
      <c r="EN142" s="29"/>
      <c r="EO142" s="27"/>
      <c r="EP142" s="27"/>
      <c r="EQ142" s="28" t="str">
        <f>IFERROR(VLOOKUP(EO142,Horarios!$H:$I,2,0),"")</f>
        <v/>
      </c>
      <c r="ER142" s="28" t="str">
        <f>IFERROR(VLOOKUP(EP142,Horarios!$H:$I,2,0),"")</f>
        <v/>
      </c>
      <c r="ES142" s="28" t="str">
        <f t="shared" si="122"/>
        <v>00:00</v>
      </c>
      <c r="ET142" s="29"/>
      <c r="EU142" s="27"/>
      <c r="EV142" s="27"/>
      <c r="EW142" s="28" t="str">
        <f>IFERROR(VLOOKUP(EU142,Horarios!$H:$I,2,0),"")</f>
        <v/>
      </c>
      <c r="EX142" s="28" t="str">
        <f>IFERROR(VLOOKUP(EV142,Horarios!$H:$I,2,0),"")</f>
        <v/>
      </c>
      <c r="EY142" s="28" t="str">
        <f t="shared" si="123"/>
        <v>00:00</v>
      </c>
      <c r="EZ142" s="29"/>
      <c r="FA142" s="27"/>
      <c r="FB142" s="27"/>
      <c r="FC142" s="28" t="str">
        <f>IFERROR(VLOOKUP(FA142,Horarios!$H:$I,2,0),"")</f>
        <v/>
      </c>
      <c r="FD142" s="28" t="str">
        <f>IFERROR(VLOOKUP(FB142,Horarios!$H:$I,2,0),"")</f>
        <v/>
      </c>
      <c r="FE142" s="28" t="str">
        <f t="shared" si="124"/>
        <v>00:00</v>
      </c>
      <c r="FF142" s="29"/>
      <c r="FG142" s="27"/>
      <c r="FH142" s="27"/>
      <c r="FI142" s="28" t="str">
        <f>IFERROR(VLOOKUP(FG142,Horarios!$H:$I,2,0),"")</f>
        <v/>
      </c>
      <c r="FJ142" s="28" t="str">
        <f>IFERROR(VLOOKUP(FH142,Horarios!$H:$I,2,0),"")</f>
        <v/>
      </c>
      <c r="FK142" s="28" t="str">
        <f t="shared" si="125"/>
        <v>00:00</v>
      </c>
      <c r="FL142" s="29"/>
      <c r="FM142" s="27"/>
      <c r="FN142" s="27"/>
      <c r="FO142" s="28" t="str">
        <f>IFERROR(VLOOKUP(FM142,Horarios!$H:$I,2,0),"")</f>
        <v/>
      </c>
      <c r="FP142" s="28" t="str">
        <f>IFERROR(VLOOKUP(FN142,Horarios!$H:$I,2,0),"")</f>
        <v/>
      </c>
      <c r="FQ142" s="28" t="str">
        <f t="shared" si="126"/>
        <v>00:00</v>
      </c>
      <c r="FR142" s="29"/>
      <c r="FS142" s="31" t="str">
        <f t="shared" si="127"/>
        <v/>
      </c>
      <c r="FT142" s="27"/>
      <c r="FU142" s="27"/>
      <c r="FV142" s="28" t="str">
        <f>IFERROR(VLOOKUP(FT142,Horarios!$H:$I,2,0),"")</f>
        <v/>
      </c>
      <c r="FW142" s="28" t="str">
        <f>IFERROR(VLOOKUP(FU142,Horarios!$H:$I,2,0),"")</f>
        <v/>
      </c>
      <c r="FX142" s="28" t="str">
        <f t="shared" si="128"/>
        <v>00:00</v>
      </c>
      <c r="FY142" s="29"/>
      <c r="FZ142" s="27"/>
      <c r="GA142" s="27"/>
      <c r="GB142" s="28" t="str">
        <f>IFERROR(VLOOKUP(FZ142,Horarios!$H:$I,2,0),"")</f>
        <v/>
      </c>
      <c r="GC142" s="28" t="str">
        <f>IFERROR(VLOOKUP(GA142,Horarios!$H:$I,2,0),"")</f>
        <v/>
      </c>
      <c r="GD142" s="28" t="str">
        <f t="shared" si="129"/>
        <v>00:00</v>
      </c>
      <c r="GE142" s="29"/>
      <c r="GF142" s="27"/>
      <c r="GG142" s="27"/>
      <c r="GH142" s="28" t="str">
        <f>IFERROR(VLOOKUP(GF142,Horarios!$H:$I,2,0),"")</f>
        <v/>
      </c>
      <c r="GI142" s="28" t="str">
        <f>IFERROR(VLOOKUP(GG142,Horarios!$H:$I,2,0),"")</f>
        <v/>
      </c>
      <c r="GJ142" s="28" t="str">
        <f t="shared" si="130"/>
        <v>00:00</v>
      </c>
      <c r="GK142" s="29"/>
      <c r="GL142" s="27"/>
      <c r="GM142" s="27"/>
      <c r="GN142" s="28" t="str">
        <f>IFERROR(VLOOKUP(GL142,Horarios!$H:$I,2,0),"")</f>
        <v/>
      </c>
      <c r="GO142" s="28" t="str">
        <f>IFERROR(VLOOKUP(GM142,Horarios!$H:$I,2,0),"")</f>
        <v/>
      </c>
      <c r="GP142" s="28" t="str">
        <f t="shared" si="131"/>
        <v>00:00</v>
      </c>
      <c r="GQ142" s="29"/>
      <c r="GR142" s="27"/>
      <c r="GS142" s="27"/>
      <c r="GT142" s="28" t="str">
        <f>IFERROR(VLOOKUP(GR142,Horarios!$H:$I,2,0),"")</f>
        <v/>
      </c>
      <c r="GU142" s="28" t="str">
        <f>IFERROR(VLOOKUP(GS142,Horarios!$H:$I,2,0),"")</f>
        <v/>
      </c>
      <c r="GV142" s="28" t="str">
        <f t="shared" si="132"/>
        <v>00:00</v>
      </c>
      <c r="GW142" s="29"/>
      <c r="GX142" s="27"/>
      <c r="GY142" s="27"/>
      <c r="GZ142" s="28" t="str">
        <f>IFERROR(VLOOKUP(GX142,Horarios!$H:$I,2,0),"")</f>
        <v/>
      </c>
      <c r="HA142" s="28" t="str">
        <f>IFERROR(VLOOKUP(GY142,Horarios!$H:$I,2,0),"")</f>
        <v/>
      </c>
      <c r="HB142" s="28" t="str">
        <f t="shared" si="133"/>
        <v>00:00</v>
      </c>
      <c r="HC142" s="29"/>
      <c r="HD142" s="27"/>
      <c r="HE142" s="27"/>
      <c r="HF142" s="28" t="str">
        <f>IFERROR(VLOOKUP(HD142,Horarios!$H:$I,2,0),"")</f>
        <v/>
      </c>
      <c r="HG142" s="28" t="str">
        <f>IFERROR(VLOOKUP(HE142,Horarios!$H:$I,2,0),"")</f>
        <v/>
      </c>
      <c r="HH142" s="28" t="str">
        <f t="shared" si="134"/>
        <v>00:00</v>
      </c>
      <c r="HI142" s="29"/>
      <c r="HJ142" s="31" t="str">
        <f t="shared" si="135"/>
        <v/>
      </c>
      <c r="HK142" s="27"/>
      <c r="HL142" s="27"/>
      <c r="HM142" s="28" t="str">
        <f>IFERROR(VLOOKUP(HK142,Horarios!$H:$I,2,0),"")</f>
        <v/>
      </c>
      <c r="HN142" s="28" t="str">
        <f>IFERROR(VLOOKUP(HL142,Horarios!$H:$I,2,0),"")</f>
        <v/>
      </c>
      <c r="HO142" s="28" t="str">
        <f t="shared" si="136"/>
        <v>00:00</v>
      </c>
      <c r="HP142" s="29"/>
      <c r="HQ142" s="27"/>
      <c r="HR142" s="27"/>
      <c r="HS142" s="28" t="str">
        <f>IFERROR(VLOOKUP(HQ142,Horarios!$H:$I,2,0),"")</f>
        <v/>
      </c>
      <c r="HT142" s="28" t="str">
        <f>IFERROR(VLOOKUP(HR142,Horarios!$H:$I,2,0),"")</f>
        <v/>
      </c>
      <c r="HU142" s="28" t="str">
        <f t="shared" si="137"/>
        <v>00:00</v>
      </c>
      <c r="HV142" s="29"/>
      <c r="HW142" s="27"/>
      <c r="HX142" s="27"/>
      <c r="HY142" s="28" t="str">
        <f>IFERROR(VLOOKUP(HW142,Horarios!$H:$I,2,0),"")</f>
        <v/>
      </c>
      <c r="HZ142" s="28" t="str">
        <f>IFERROR(VLOOKUP(HX142,Horarios!$H:$I,2,0),"")</f>
        <v/>
      </c>
      <c r="IA142" s="28" t="str">
        <f t="shared" si="138"/>
        <v>00:00</v>
      </c>
      <c r="IB142" s="29"/>
      <c r="IC142" s="27"/>
      <c r="ID142" s="27"/>
      <c r="IE142" s="28" t="str">
        <f>IFERROR(VLOOKUP(IC142,Horarios!$H:$I,2,0),"")</f>
        <v/>
      </c>
      <c r="IF142" s="28" t="str">
        <f>IFERROR(VLOOKUP(ID142,Horarios!$H:$I,2,0),"")</f>
        <v/>
      </c>
      <c r="IG142" s="28" t="str">
        <f t="shared" si="139"/>
        <v>00:00</v>
      </c>
      <c r="IH142" s="29"/>
      <c r="II142" s="27"/>
      <c r="IJ142" s="27"/>
      <c r="IK142" s="28" t="str">
        <f>IFERROR(VLOOKUP(II142,Horarios!$H:$I,2,0),"")</f>
        <v/>
      </c>
      <c r="IL142" s="28" t="str">
        <f>IFERROR(VLOOKUP(IJ142,Horarios!$H:$I,2,0),"")</f>
        <v/>
      </c>
      <c r="IM142" s="28" t="str">
        <f t="shared" si="140"/>
        <v>00:00</v>
      </c>
      <c r="IN142" s="29"/>
      <c r="IO142" s="27"/>
      <c r="IP142" s="27"/>
      <c r="IQ142" s="28" t="str">
        <f>IFERROR(VLOOKUP(IO142,Horarios!$H:$I,2,0),"")</f>
        <v/>
      </c>
      <c r="IR142" s="28" t="str">
        <f>IFERROR(VLOOKUP(IP142,Horarios!$H:$I,2,0),"")</f>
        <v/>
      </c>
      <c r="IS142" s="28" t="str">
        <f t="shared" si="141"/>
        <v>00:00</v>
      </c>
      <c r="IT142" s="29"/>
      <c r="IU142" s="27"/>
      <c r="IV142" s="27"/>
      <c r="IW142" s="28" t="str">
        <f>IFERROR(VLOOKUP(IU142,Horarios!$H:$I,2,0),"")</f>
        <v/>
      </c>
      <c r="IX142" s="28" t="str">
        <f>IFERROR(VLOOKUP(IV142,Horarios!$H:$I,2,0),"")</f>
        <v/>
      </c>
      <c r="IY142" s="28" t="str">
        <f t="shared" si="142"/>
        <v>00:00</v>
      </c>
      <c r="IZ142" s="29"/>
      <c r="JA142" s="31" t="str">
        <f t="shared" si="143"/>
        <v/>
      </c>
    </row>
    <row r="143" spans="1:261" s="24" customFormat="1" ht="17.399999999999999" x14ac:dyDescent="0.25">
      <c r="A143" s="25"/>
      <c r="B143" s="26" t="str">
        <f>IFERROR(VLOOKUP(A143,BaseNombres!A:B,2,0),"")</f>
        <v/>
      </c>
      <c r="C143" s="26" t="str">
        <f>IFERROR(VLOOKUP(A143,BaseNombres!A:C,3,0),"")</f>
        <v/>
      </c>
      <c r="D143" s="27"/>
      <c r="E143" s="27"/>
      <c r="F143" s="28" t="str">
        <f>IFERROR(VLOOKUP(D143,Horarios!$H:$I,2,0),"")</f>
        <v/>
      </c>
      <c r="G143" s="28" t="str">
        <f>IFERROR(VLOOKUP(E143,Horarios!$H:$I,2,0),"")</f>
        <v/>
      </c>
      <c r="H143" s="28" t="str">
        <f t="shared" si="96"/>
        <v>00:00</v>
      </c>
      <c r="I143" s="29"/>
      <c r="J143" s="27"/>
      <c r="K143" s="27"/>
      <c r="L143" s="28" t="str">
        <f>IFERROR(VLOOKUP(J143,Horarios!$H:$I,2,0),"")</f>
        <v/>
      </c>
      <c r="M143" s="28" t="str">
        <f>IFERROR(VLOOKUP(K143,Horarios!$H:$I,2,0),"")</f>
        <v/>
      </c>
      <c r="N143" s="28" t="str">
        <f t="shared" si="97"/>
        <v>00:00</v>
      </c>
      <c r="O143" s="29"/>
      <c r="P143" s="27"/>
      <c r="Q143" s="27"/>
      <c r="R143" s="28" t="str">
        <f>IFERROR(VLOOKUP(P143,Horarios!$H:$I,2,0),"")</f>
        <v/>
      </c>
      <c r="S143" s="28" t="str">
        <f>IFERROR(VLOOKUP(Q143,Horarios!$H:$I,2,0),"")</f>
        <v/>
      </c>
      <c r="T143" s="28" t="str">
        <f t="shared" si="98"/>
        <v>00:00</v>
      </c>
      <c r="U143" s="29"/>
      <c r="V143" s="27"/>
      <c r="W143" s="27"/>
      <c r="X143" s="28" t="str">
        <f>IFERROR(VLOOKUP(V143,Horarios!$H:$I,2,0),"")</f>
        <v/>
      </c>
      <c r="Y143" s="28" t="str">
        <f>IFERROR(VLOOKUP(W143,Horarios!$H:$I,2,0),"")</f>
        <v/>
      </c>
      <c r="Z143" s="28" t="str">
        <f t="shared" si="99"/>
        <v>00:00</v>
      </c>
      <c r="AA143" s="29"/>
      <c r="AB143" s="27"/>
      <c r="AC143" s="27"/>
      <c r="AD143" s="28" t="str">
        <f>IFERROR(VLOOKUP(AB143,Horarios!$H:$I,2,0),"")</f>
        <v/>
      </c>
      <c r="AE143" s="28" t="str">
        <f>IFERROR(VLOOKUP(AC143,Horarios!$H:$I,2,0),"")</f>
        <v/>
      </c>
      <c r="AF143" s="28" t="str">
        <f t="shared" si="100"/>
        <v>00:00</v>
      </c>
      <c r="AG143" s="29"/>
      <c r="AH143" s="27"/>
      <c r="AI143" s="27"/>
      <c r="AJ143" s="28" t="str">
        <f>IFERROR(VLOOKUP(AH143,Horarios!$H:$I,2,0),"")</f>
        <v/>
      </c>
      <c r="AK143" s="28" t="str">
        <f>IFERROR(VLOOKUP(AI143,Horarios!$H:$I,2,0),"")</f>
        <v/>
      </c>
      <c r="AL143" s="28" t="str">
        <f t="shared" si="101"/>
        <v>00:00</v>
      </c>
      <c r="AM143" s="29"/>
      <c r="AN143" s="27"/>
      <c r="AO143" s="27"/>
      <c r="AP143" s="28" t="str">
        <f>IFERROR(VLOOKUP(AN143,Horarios!$H:$I,2,0),"")</f>
        <v/>
      </c>
      <c r="AQ143" s="28" t="str">
        <f>IFERROR(VLOOKUP(AO143,Horarios!$H:$I,2,0),"")</f>
        <v/>
      </c>
      <c r="AR143" s="28" t="str">
        <f t="shared" si="102"/>
        <v>00:00</v>
      </c>
      <c r="AS143" s="29"/>
      <c r="AT143" s="31" t="str">
        <f t="shared" si="103"/>
        <v/>
      </c>
      <c r="AU143" s="27"/>
      <c r="AV143" s="27"/>
      <c r="AW143" s="28" t="str">
        <f>IFERROR(VLOOKUP(AU143,Horarios!$H:$I,2,0),"")</f>
        <v/>
      </c>
      <c r="AX143" s="28" t="str">
        <f>IFERROR(VLOOKUP(AV143,Horarios!$H:$I,2,0),"")</f>
        <v/>
      </c>
      <c r="AY143" s="28" t="str">
        <f t="shared" si="104"/>
        <v>00:00</v>
      </c>
      <c r="AZ143" s="29"/>
      <c r="BA143" s="27"/>
      <c r="BB143" s="27"/>
      <c r="BC143" s="28" t="str">
        <f>IFERROR(VLOOKUP(BA143,Horarios!$H:$I,2,0),"")</f>
        <v/>
      </c>
      <c r="BD143" s="28" t="str">
        <f>IFERROR(VLOOKUP(BB143,Horarios!$H:$I,2,0),"")</f>
        <v/>
      </c>
      <c r="BE143" s="28" t="str">
        <f t="shared" si="105"/>
        <v>00:00</v>
      </c>
      <c r="BF143" s="29"/>
      <c r="BG143" s="27"/>
      <c r="BH143" s="27"/>
      <c r="BI143" s="28" t="str">
        <f>IFERROR(VLOOKUP(BG143,Horarios!$H:$I,2,0),"")</f>
        <v/>
      </c>
      <c r="BJ143" s="28" t="str">
        <f>IFERROR(VLOOKUP(BH143,Horarios!$H:$I,2,0),"")</f>
        <v/>
      </c>
      <c r="BK143" s="28" t="str">
        <f t="shared" si="106"/>
        <v>00:00</v>
      </c>
      <c r="BL143" s="29"/>
      <c r="BM143" s="27"/>
      <c r="BN143" s="27"/>
      <c r="BO143" s="28" t="str">
        <f>IFERROR(VLOOKUP(BM143,Horarios!$H:$I,2,0),"")</f>
        <v/>
      </c>
      <c r="BP143" s="28" t="str">
        <f>IFERROR(VLOOKUP(BN143,Horarios!$H:$I,2,0),"")</f>
        <v/>
      </c>
      <c r="BQ143" s="28" t="str">
        <f t="shared" si="107"/>
        <v>00:00</v>
      </c>
      <c r="BR143" s="29"/>
      <c r="BS143" s="27"/>
      <c r="BT143" s="27"/>
      <c r="BU143" s="28" t="str">
        <f>IFERROR(VLOOKUP(BS143,Horarios!$H:$I,2,0),"")</f>
        <v/>
      </c>
      <c r="BV143" s="28" t="str">
        <f>IFERROR(VLOOKUP(BT143,Horarios!$H:$I,2,0),"")</f>
        <v/>
      </c>
      <c r="BW143" s="28" t="str">
        <f t="shared" si="108"/>
        <v>00:00</v>
      </c>
      <c r="BX143" s="29"/>
      <c r="BY143" s="27"/>
      <c r="BZ143" s="27"/>
      <c r="CA143" s="28" t="str">
        <f>IFERROR(VLOOKUP(BY143,Horarios!$H:$I,2,0),"")</f>
        <v/>
      </c>
      <c r="CB143" s="28" t="str">
        <f>IFERROR(VLOOKUP(BZ143,Horarios!$H:$I,2,0),"")</f>
        <v/>
      </c>
      <c r="CC143" s="28" t="str">
        <f t="shared" si="109"/>
        <v>00:00</v>
      </c>
      <c r="CD143" s="29"/>
      <c r="CE143" s="27"/>
      <c r="CF143" s="27"/>
      <c r="CG143" s="28" t="str">
        <f>IFERROR(VLOOKUP(CE143,Horarios!$H:$I,2,0),"")</f>
        <v/>
      </c>
      <c r="CH143" s="28" t="str">
        <f>IFERROR(VLOOKUP(CF143,Horarios!$H:$I,2,0),"")</f>
        <v/>
      </c>
      <c r="CI143" s="28" t="str">
        <f t="shared" si="110"/>
        <v>00:00</v>
      </c>
      <c r="CJ143" s="29"/>
      <c r="CK143" s="31" t="str">
        <f t="shared" si="111"/>
        <v/>
      </c>
      <c r="CL143" s="27"/>
      <c r="CM143" s="27"/>
      <c r="CN143" s="28" t="str">
        <f>IFERROR(VLOOKUP(CL143,Horarios!$H:$I,2,0),"")</f>
        <v/>
      </c>
      <c r="CO143" s="28" t="str">
        <f>IFERROR(VLOOKUP(CM143,Horarios!$H:$I,2,0),"")</f>
        <v/>
      </c>
      <c r="CP143" s="28" t="str">
        <f t="shared" si="112"/>
        <v>00:00</v>
      </c>
      <c r="CQ143" s="29"/>
      <c r="CR143" s="27"/>
      <c r="CS143" s="27"/>
      <c r="CT143" s="28" t="str">
        <f>IFERROR(VLOOKUP(CR143,Horarios!$H:$I,2,0),"")</f>
        <v/>
      </c>
      <c r="CU143" s="28" t="str">
        <f>IFERROR(VLOOKUP(CS143,Horarios!$H:$I,2,0),"")</f>
        <v/>
      </c>
      <c r="CV143" s="28" t="str">
        <f t="shared" si="113"/>
        <v>00:00</v>
      </c>
      <c r="CW143" s="29"/>
      <c r="CX143" s="27"/>
      <c r="CY143" s="27"/>
      <c r="CZ143" s="28" t="str">
        <f>IFERROR(VLOOKUP(CX143,Horarios!$H:$I,2,0),"")</f>
        <v/>
      </c>
      <c r="DA143" s="28" t="str">
        <f>IFERROR(VLOOKUP(CY143,Horarios!$H:$I,2,0),"")</f>
        <v/>
      </c>
      <c r="DB143" s="28" t="str">
        <f t="shared" si="114"/>
        <v>00:00</v>
      </c>
      <c r="DC143" s="29"/>
      <c r="DD143" s="27"/>
      <c r="DE143" s="27"/>
      <c r="DF143" s="28" t="str">
        <f>IFERROR(VLOOKUP(DD143,Horarios!$H:$I,2,0),"")</f>
        <v/>
      </c>
      <c r="DG143" s="28" t="str">
        <f>IFERROR(VLOOKUP(DE143,Horarios!$H:$I,2,0),"")</f>
        <v/>
      </c>
      <c r="DH143" s="28" t="str">
        <f t="shared" si="115"/>
        <v>00:00</v>
      </c>
      <c r="DI143" s="29"/>
      <c r="DJ143" s="27"/>
      <c r="DK143" s="27"/>
      <c r="DL143" s="28" t="str">
        <f>IFERROR(VLOOKUP(DJ143,Horarios!$H:$I,2,0),"")</f>
        <v/>
      </c>
      <c r="DM143" s="28" t="str">
        <f>IFERROR(VLOOKUP(DK143,Horarios!$H:$I,2,0),"")</f>
        <v/>
      </c>
      <c r="DN143" s="28" t="str">
        <f t="shared" si="116"/>
        <v>00:00</v>
      </c>
      <c r="DO143" s="29"/>
      <c r="DP143" s="27"/>
      <c r="DQ143" s="27"/>
      <c r="DR143" s="28" t="str">
        <f>IFERROR(VLOOKUP(DP143,Horarios!$H:$I,2,0),"")</f>
        <v/>
      </c>
      <c r="DS143" s="28" t="str">
        <f>IFERROR(VLOOKUP(DQ143,Horarios!$H:$I,2,0),"")</f>
        <v/>
      </c>
      <c r="DT143" s="28" t="str">
        <f t="shared" si="117"/>
        <v>00:00</v>
      </c>
      <c r="DU143" s="29"/>
      <c r="DV143" s="27"/>
      <c r="DW143" s="27"/>
      <c r="DX143" s="28" t="str">
        <f>IFERROR(VLOOKUP(DV143,Horarios!$H:$I,2,0),"")</f>
        <v/>
      </c>
      <c r="DY143" s="28" t="str">
        <f>IFERROR(VLOOKUP(DW143,Horarios!$H:$I,2,0),"")</f>
        <v/>
      </c>
      <c r="DZ143" s="28" t="str">
        <f t="shared" si="118"/>
        <v>00:00</v>
      </c>
      <c r="EA143" s="29"/>
      <c r="EB143" s="31" t="str">
        <f t="shared" si="119"/>
        <v/>
      </c>
      <c r="EC143" s="27"/>
      <c r="ED143" s="27"/>
      <c r="EE143" s="28" t="str">
        <f>IFERROR(VLOOKUP(EC143,Horarios!$H:$I,2,0),"")</f>
        <v/>
      </c>
      <c r="EF143" s="28" t="str">
        <f>IFERROR(VLOOKUP(ED143,Horarios!$H:$I,2,0),"")</f>
        <v/>
      </c>
      <c r="EG143" s="28" t="str">
        <f t="shared" si="120"/>
        <v>00:00</v>
      </c>
      <c r="EH143" s="29"/>
      <c r="EI143" s="27"/>
      <c r="EJ143" s="27"/>
      <c r="EK143" s="28" t="str">
        <f>IFERROR(VLOOKUP(EI143,Horarios!$H:$I,2,0),"")</f>
        <v/>
      </c>
      <c r="EL143" s="28" t="str">
        <f>IFERROR(VLOOKUP(EJ143,Horarios!$H:$I,2,0),"")</f>
        <v/>
      </c>
      <c r="EM143" s="28" t="str">
        <f t="shared" si="121"/>
        <v>00:00</v>
      </c>
      <c r="EN143" s="29"/>
      <c r="EO143" s="27"/>
      <c r="EP143" s="27"/>
      <c r="EQ143" s="28" t="str">
        <f>IFERROR(VLOOKUP(EO143,Horarios!$H:$I,2,0),"")</f>
        <v/>
      </c>
      <c r="ER143" s="28" t="str">
        <f>IFERROR(VLOOKUP(EP143,Horarios!$H:$I,2,0),"")</f>
        <v/>
      </c>
      <c r="ES143" s="28" t="str">
        <f t="shared" si="122"/>
        <v>00:00</v>
      </c>
      <c r="ET143" s="29"/>
      <c r="EU143" s="27"/>
      <c r="EV143" s="27"/>
      <c r="EW143" s="28" t="str">
        <f>IFERROR(VLOOKUP(EU143,Horarios!$H:$I,2,0),"")</f>
        <v/>
      </c>
      <c r="EX143" s="28" t="str">
        <f>IFERROR(VLOOKUP(EV143,Horarios!$H:$I,2,0),"")</f>
        <v/>
      </c>
      <c r="EY143" s="28" t="str">
        <f t="shared" si="123"/>
        <v>00:00</v>
      </c>
      <c r="EZ143" s="29"/>
      <c r="FA143" s="27"/>
      <c r="FB143" s="27"/>
      <c r="FC143" s="28" t="str">
        <f>IFERROR(VLOOKUP(FA143,Horarios!$H:$I,2,0),"")</f>
        <v/>
      </c>
      <c r="FD143" s="28" t="str">
        <f>IFERROR(VLOOKUP(FB143,Horarios!$H:$I,2,0),"")</f>
        <v/>
      </c>
      <c r="FE143" s="28" t="str">
        <f t="shared" si="124"/>
        <v>00:00</v>
      </c>
      <c r="FF143" s="29"/>
      <c r="FG143" s="27"/>
      <c r="FH143" s="27"/>
      <c r="FI143" s="28" t="str">
        <f>IFERROR(VLOOKUP(FG143,Horarios!$H:$I,2,0),"")</f>
        <v/>
      </c>
      <c r="FJ143" s="28" t="str">
        <f>IFERROR(VLOOKUP(FH143,Horarios!$H:$I,2,0),"")</f>
        <v/>
      </c>
      <c r="FK143" s="28" t="str">
        <f t="shared" si="125"/>
        <v>00:00</v>
      </c>
      <c r="FL143" s="29"/>
      <c r="FM143" s="27"/>
      <c r="FN143" s="27"/>
      <c r="FO143" s="28" t="str">
        <f>IFERROR(VLOOKUP(FM143,Horarios!$H:$I,2,0),"")</f>
        <v/>
      </c>
      <c r="FP143" s="28" t="str">
        <f>IFERROR(VLOOKUP(FN143,Horarios!$H:$I,2,0),"")</f>
        <v/>
      </c>
      <c r="FQ143" s="28" t="str">
        <f t="shared" si="126"/>
        <v>00:00</v>
      </c>
      <c r="FR143" s="29"/>
      <c r="FS143" s="31" t="str">
        <f t="shared" si="127"/>
        <v/>
      </c>
      <c r="FT143" s="27"/>
      <c r="FU143" s="27"/>
      <c r="FV143" s="28" t="str">
        <f>IFERROR(VLOOKUP(FT143,Horarios!$H:$I,2,0),"")</f>
        <v/>
      </c>
      <c r="FW143" s="28" t="str">
        <f>IFERROR(VLOOKUP(FU143,Horarios!$H:$I,2,0),"")</f>
        <v/>
      </c>
      <c r="FX143" s="28" t="str">
        <f t="shared" si="128"/>
        <v>00:00</v>
      </c>
      <c r="FY143" s="29"/>
      <c r="FZ143" s="27"/>
      <c r="GA143" s="27"/>
      <c r="GB143" s="28" t="str">
        <f>IFERROR(VLOOKUP(FZ143,Horarios!$H:$I,2,0),"")</f>
        <v/>
      </c>
      <c r="GC143" s="28" t="str">
        <f>IFERROR(VLOOKUP(GA143,Horarios!$H:$I,2,0),"")</f>
        <v/>
      </c>
      <c r="GD143" s="28" t="str">
        <f t="shared" si="129"/>
        <v>00:00</v>
      </c>
      <c r="GE143" s="29"/>
      <c r="GF143" s="27"/>
      <c r="GG143" s="27"/>
      <c r="GH143" s="28" t="str">
        <f>IFERROR(VLOOKUP(GF143,Horarios!$H:$I,2,0),"")</f>
        <v/>
      </c>
      <c r="GI143" s="28" t="str">
        <f>IFERROR(VLOOKUP(GG143,Horarios!$H:$I,2,0),"")</f>
        <v/>
      </c>
      <c r="GJ143" s="28" t="str">
        <f t="shared" si="130"/>
        <v>00:00</v>
      </c>
      <c r="GK143" s="29"/>
      <c r="GL143" s="27"/>
      <c r="GM143" s="27"/>
      <c r="GN143" s="28" t="str">
        <f>IFERROR(VLOOKUP(GL143,Horarios!$H:$I,2,0),"")</f>
        <v/>
      </c>
      <c r="GO143" s="28" t="str">
        <f>IFERROR(VLOOKUP(GM143,Horarios!$H:$I,2,0),"")</f>
        <v/>
      </c>
      <c r="GP143" s="28" t="str">
        <f t="shared" si="131"/>
        <v>00:00</v>
      </c>
      <c r="GQ143" s="29"/>
      <c r="GR143" s="27"/>
      <c r="GS143" s="27"/>
      <c r="GT143" s="28" t="str">
        <f>IFERROR(VLOOKUP(GR143,Horarios!$H:$I,2,0),"")</f>
        <v/>
      </c>
      <c r="GU143" s="28" t="str">
        <f>IFERROR(VLOOKUP(GS143,Horarios!$H:$I,2,0),"")</f>
        <v/>
      </c>
      <c r="GV143" s="28" t="str">
        <f t="shared" si="132"/>
        <v>00:00</v>
      </c>
      <c r="GW143" s="29"/>
      <c r="GX143" s="27"/>
      <c r="GY143" s="27"/>
      <c r="GZ143" s="28" t="str">
        <f>IFERROR(VLOOKUP(GX143,Horarios!$H:$I,2,0),"")</f>
        <v/>
      </c>
      <c r="HA143" s="28" t="str">
        <f>IFERROR(VLOOKUP(GY143,Horarios!$H:$I,2,0),"")</f>
        <v/>
      </c>
      <c r="HB143" s="28" t="str">
        <f t="shared" si="133"/>
        <v>00:00</v>
      </c>
      <c r="HC143" s="29"/>
      <c r="HD143" s="27"/>
      <c r="HE143" s="27"/>
      <c r="HF143" s="28" t="str">
        <f>IFERROR(VLOOKUP(HD143,Horarios!$H:$I,2,0),"")</f>
        <v/>
      </c>
      <c r="HG143" s="28" t="str">
        <f>IFERROR(VLOOKUP(HE143,Horarios!$H:$I,2,0),"")</f>
        <v/>
      </c>
      <c r="HH143" s="28" t="str">
        <f t="shared" si="134"/>
        <v>00:00</v>
      </c>
      <c r="HI143" s="29"/>
      <c r="HJ143" s="31" t="str">
        <f t="shared" si="135"/>
        <v/>
      </c>
      <c r="HK143" s="27"/>
      <c r="HL143" s="27"/>
      <c r="HM143" s="28" t="str">
        <f>IFERROR(VLOOKUP(HK143,Horarios!$H:$I,2,0),"")</f>
        <v/>
      </c>
      <c r="HN143" s="28" t="str">
        <f>IFERROR(VLOOKUP(HL143,Horarios!$H:$I,2,0),"")</f>
        <v/>
      </c>
      <c r="HO143" s="28" t="str">
        <f t="shared" si="136"/>
        <v>00:00</v>
      </c>
      <c r="HP143" s="29"/>
      <c r="HQ143" s="27"/>
      <c r="HR143" s="27"/>
      <c r="HS143" s="28" t="str">
        <f>IFERROR(VLOOKUP(HQ143,Horarios!$H:$I,2,0),"")</f>
        <v/>
      </c>
      <c r="HT143" s="28" t="str">
        <f>IFERROR(VLOOKUP(HR143,Horarios!$H:$I,2,0),"")</f>
        <v/>
      </c>
      <c r="HU143" s="28" t="str">
        <f t="shared" si="137"/>
        <v>00:00</v>
      </c>
      <c r="HV143" s="29"/>
      <c r="HW143" s="27"/>
      <c r="HX143" s="27"/>
      <c r="HY143" s="28" t="str">
        <f>IFERROR(VLOOKUP(HW143,Horarios!$H:$I,2,0),"")</f>
        <v/>
      </c>
      <c r="HZ143" s="28" t="str">
        <f>IFERROR(VLOOKUP(HX143,Horarios!$H:$I,2,0),"")</f>
        <v/>
      </c>
      <c r="IA143" s="28" t="str">
        <f t="shared" si="138"/>
        <v>00:00</v>
      </c>
      <c r="IB143" s="29"/>
      <c r="IC143" s="27"/>
      <c r="ID143" s="27"/>
      <c r="IE143" s="28" t="str">
        <f>IFERROR(VLOOKUP(IC143,Horarios!$H:$I,2,0),"")</f>
        <v/>
      </c>
      <c r="IF143" s="28" t="str">
        <f>IFERROR(VLOOKUP(ID143,Horarios!$H:$I,2,0),"")</f>
        <v/>
      </c>
      <c r="IG143" s="28" t="str">
        <f t="shared" si="139"/>
        <v>00:00</v>
      </c>
      <c r="IH143" s="29"/>
      <c r="II143" s="27"/>
      <c r="IJ143" s="27"/>
      <c r="IK143" s="28" t="str">
        <f>IFERROR(VLOOKUP(II143,Horarios!$H:$I,2,0),"")</f>
        <v/>
      </c>
      <c r="IL143" s="28" t="str">
        <f>IFERROR(VLOOKUP(IJ143,Horarios!$H:$I,2,0),"")</f>
        <v/>
      </c>
      <c r="IM143" s="28" t="str">
        <f t="shared" si="140"/>
        <v>00:00</v>
      </c>
      <c r="IN143" s="29"/>
      <c r="IO143" s="27"/>
      <c r="IP143" s="27"/>
      <c r="IQ143" s="28" t="str">
        <f>IFERROR(VLOOKUP(IO143,Horarios!$H:$I,2,0),"")</f>
        <v/>
      </c>
      <c r="IR143" s="28" t="str">
        <f>IFERROR(VLOOKUP(IP143,Horarios!$H:$I,2,0),"")</f>
        <v/>
      </c>
      <c r="IS143" s="28" t="str">
        <f t="shared" si="141"/>
        <v>00:00</v>
      </c>
      <c r="IT143" s="29"/>
      <c r="IU143" s="27"/>
      <c r="IV143" s="27"/>
      <c r="IW143" s="28" t="str">
        <f>IFERROR(VLOOKUP(IU143,Horarios!$H:$I,2,0),"")</f>
        <v/>
      </c>
      <c r="IX143" s="28" t="str">
        <f>IFERROR(VLOOKUP(IV143,Horarios!$H:$I,2,0),"")</f>
        <v/>
      </c>
      <c r="IY143" s="28" t="str">
        <f t="shared" si="142"/>
        <v>00:00</v>
      </c>
      <c r="IZ143" s="29"/>
      <c r="JA143" s="31" t="str">
        <f t="shared" si="143"/>
        <v/>
      </c>
    </row>
    <row r="144" spans="1:261" s="24" customFormat="1" ht="17.399999999999999" x14ac:dyDescent="0.25">
      <c r="A144" s="25"/>
      <c r="B144" s="26" t="str">
        <f>IFERROR(VLOOKUP(A144,BaseNombres!A:B,2,0),"")</f>
        <v/>
      </c>
      <c r="C144" s="26" t="str">
        <f>IFERROR(VLOOKUP(A144,BaseNombres!A:C,3,0),"")</f>
        <v/>
      </c>
      <c r="D144" s="27"/>
      <c r="E144" s="27"/>
      <c r="F144" s="28" t="str">
        <f>IFERROR(VLOOKUP(D144,Horarios!$H:$I,2,0),"")</f>
        <v/>
      </c>
      <c r="G144" s="28" t="str">
        <f>IFERROR(VLOOKUP(E144,Horarios!$H:$I,2,0),"")</f>
        <v/>
      </c>
      <c r="H144" s="28" t="str">
        <f t="shared" si="96"/>
        <v>00:00</v>
      </c>
      <c r="I144" s="29"/>
      <c r="J144" s="27"/>
      <c r="K144" s="27"/>
      <c r="L144" s="28" t="str">
        <f>IFERROR(VLOOKUP(J144,Horarios!$H:$I,2,0),"")</f>
        <v/>
      </c>
      <c r="M144" s="28" t="str">
        <f>IFERROR(VLOOKUP(K144,Horarios!$H:$I,2,0),"")</f>
        <v/>
      </c>
      <c r="N144" s="28" t="str">
        <f t="shared" si="97"/>
        <v>00:00</v>
      </c>
      <c r="O144" s="29"/>
      <c r="P144" s="27"/>
      <c r="Q144" s="27"/>
      <c r="R144" s="28" t="str">
        <f>IFERROR(VLOOKUP(P144,Horarios!$H:$I,2,0),"")</f>
        <v/>
      </c>
      <c r="S144" s="28" t="str">
        <f>IFERROR(VLOOKUP(Q144,Horarios!$H:$I,2,0),"")</f>
        <v/>
      </c>
      <c r="T144" s="28" t="str">
        <f t="shared" si="98"/>
        <v>00:00</v>
      </c>
      <c r="U144" s="29"/>
      <c r="V144" s="27"/>
      <c r="W144" s="27"/>
      <c r="X144" s="28" t="str">
        <f>IFERROR(VLOOKUP(V144,Horarios!$H:$I,2,0),"")</f>
        <v/>
      </c>
      <c r="Y144" s="28" t="str">
        <f>IFERROR(VLOOKUP(W144,Horarios!$H:$I,2,0),"")</f>
        <v/>
      </c>
      <c r="Z144" s="28" t="str">
        <f t="shared" si="99"/>
        <v>00:00</v>
      </c>
      <c r="AA144" s="29"/>
      <c r="AB144" s="27"/>
      <c r="AC144" s="27"/>
      <c r="AD144" s="28" t="str">
        <f>IFERROR(VLOOKUP(AB144,Horarios!$H:$I,2,0),"")</f>
        <v/>
      </c>
      <c r="AE144" s="28" t="str">
        <f>IFERROR(VLOOKUP(AC144,Horarios!$H:$I,2,0),"")</f>
        <v/>
      </c>
      <c r="AF144" s="28" t="str">
        <f t="shared" si="100"/>
        <v>00:00</v>
      </c>
      <c r="AG144" s="29"/>
      <c r="AH144" s="27"/>
      <c r="AI144" s="27"/>
      <c r="AJ144" s="28" t="str">
        <f>IFERROR(VLOOKUP(AH144,Horarios!$H:$I,2,0),"")</f>
        <v/>
      </c>
      <c r="AK144" s="28" t="str">
        <f>IFERROR(VLOOKUP(AI144,Horarios!$H:$I,2,0),"")</f>
        <v/>
      </c>
      <c r="AL144" s="28" t="str">
        <f t="shared" si="101"/>
        <v>00:00</v>
      </c>
      <c r="AM144" s="29"/>
      <c r="AN144" s="27"/>
      <c r="AO144" s="27"/>
      <c r="AP144" s="28" t="str">
        <f>IFERROR(VLOOKUP(AN144,Horarios!$H:$I,2,0),"")</f>
        <v/>
      </c>
      <c r="AQ144" s="28" t="str">
        <f>IFERROR(VLOOKUP(AO144,Horarios!$H:$I,2,0),"")</f>
        <v/>
      </c>
      <c r="AR144" s="28" t="str">
        <f t="shared" si="102"/>
        <v>00:00</v>
      </c>
      <c r="AS144" s="29"/>
      <c r="AT144" s="31" t="str">
        <f t="shared" si="103"/>
        <v/>
      </c>
      <c r="AU144" s="27"/>
      <c r="AV144" s="27"/>
      <c r="AW144" s="28" t="str">
        <f>IFERROR(VLOOKUP(AU144,Horarios!$H:$I,2,0),"")</f>
        <v/>
      </c>
      <c r="AX144" s="28" t="str">
        <f>IFERROR(VLOOKUP(AV144,Horarios!$H:$I,2,0),"")</f>
        <v/>
      </c>
      <c r="AY144" s="28" t="str">
        <f t="shared" si="104"/>
        <v>00:00</v>
      </c>
      <c r="AZ144" s="29"/>
      <c r="BA144" s="27"/>
      <c r="BB144" s="27"/>
      <c r="BC144" s="28" t="str">
        <f>IFERROR(VLOOKUP(BA144,Horarios!$H:$I,2,0),"")</f>
        <v/>
      </c>
      <c r="BD144" s="28" t="str">
        <f>IFERROR(VLOOKUP(BB144,Horarios!$H:$I,2,0),"")</f>
        <v/>
      </c>
      <c r="BE144" s="28" t="str">
        <f t="shared" si="105"/>
        <v>00:00</v>
      </c>
      <c r="BF144" s="29"/>
      <c r="BG144" s="27"/>
      <c r="BH144" s="27"/>
      <c r="BI144" s="28" t="str">
        <f>IFERROR(VLOOKUP(BG144,Horarios!$H:$I,2,0),"")</f>
        <v/>
      </c>
      <c r="BJ144" s="28" t="str">
        <f>IFERROR(VLOOKUP(BH144,Horarios!$H:$I,2,0),"")</f>
        <v/>
      </c>
      <c r="BK144" s="28" t="str">
        <f t="shared" si="106"/>
        <v>00:00</v>
      </c>
      <c r="BL144" s="29"/>
      <c r="BM144" s="27"/>
      <c r="BN144" s="27"/>
      <c r="BO144" s="28" t="str">
        <f>IFERROR(VLOOKUP(BM144,Horarios!$H:$I,2,0),"")</f>
        <v/>
      </c>
      <c r="BP144" s="28" t="str">
        <f>IFERROR(VLOOKUP(BN144,Horarios!$H:$I,2,0),"")</f>
        <v/>
      </c>
      <c r="BQ144" s="28" t="str">
        <f t="shared" si="107"/>
        <v>00:00</v>
      </c>
      <c r="BR144" s="29"/>
      <c r="BS144" s="27"/>
      <c r="BT144" s="27"/>
      <c r="BU144" s="28" t="str">
        <f>IFERROR(VLOOKUP(BS144,Horarios!$H:$I,2,0),"")</f>
        <v/>
      </c>
      <c r="BV144" s="28" t="str">
        <f>IFERROR(VLOOKUP(BT144,Horarios!$H:$I,2,0),"")</f>
        <v/>
      </c>
      <c r="BW144" s="28" t="str">
        <f t="shared" si="108"/>
        <v>00:00</v>
      </c>
      <c r="BX144" s="29"/>
      <c r="BY144" s="27"/>
      <c r="BZ144" s="27"/>
      <c r="CA144" s="28" t="str">
        <f>IFERROR(VLOOKUP(BY144,Horarios!$H:$I,2,0),"")</f>
        <v/>
      </c>
      <c r="CB144" s="28" t="str">
        <f>IFERROR(VLOOKUP(BZ144,Horarios!$H:$I,2,0),"")</f>
        <v/>
      </c>
      <c r="CC144" s="28" t="str">
        <f t="shared" si="109"/>
        <v>00:00</v>
      </c>
      <c r="CD144" s="29"/>
      <c r="CE144" s="27"/>
      <c r="CF144" s="27"/>
      <c r="CG144" s="28" t="str">
        <f>IFERROR(VLOOKUP(CE144,Horarios!$H:$I,2,0),"")</f>
        <v/>
      </c>
      <c r="CH144" s="28" t="str">
        <f>IFERROR(VLOOKUP(CF144,Horarios!$H:$I,2,0),"")</f>
        <v/>
      </c>
      <c r="CI144" s="28" t="str">
        <f t="shared" si="110"/>
        <v>00:00</v>
      </c>
      <c r="CJ144" s="29"/>
      <c r="CK144" s="31" t="str">
        <f t="shared" si="111"/>
        <v/>
      </c>
      <c r="CL144" s="27"/>
      <c r="CM144" s="27"/>
      <c r="CN144" s="28" t="str">
        <f>IFERROR(VLOOKUP(CL144,Horarios!$H:$I,2,0),"")</f>
        <v/>
      </c>
      <c r="CO144" s="28" t="str">
        <f>IFERROR(VLOOKUP(CM144,Horarios!$H:$I,2,0),"")</f>
        <v/>
      </c>
      <c r="CP144" s="28" t="str">
        <f t="shared" si="112"/>
        <v>00:00</v>
      </c>
      <c r="CQ144" s="29"/>
      <c r="CR144" s="27"/>
      <c r="CS144" s="27"/>
      <c r="CT144" s="28" t="str">
        <f>IFERROR(VLOOKUP(CR144,Horarios!$H:$I,2,0),"")</f>
        <v/>
      </c>
      <c r="CU144" s="28" t="str">
        <f>IFERROR(VLOOKUP(CS144,Horarios!$H:$I,2,0),"")</f>
        <v/>
      </c>
      <c r="CV144" s="28" t="str">
        <f t="shared" si="113"/>
        <v>00:00</v>
      </c>
      <c r="CW144" s="29"/>
      <c r="CX144" s="27"/>
      <c r="CY144" s="27"/>
      <c r="CZ144" s="28" t="str">
        <f>IFERROR(VLOOKUP(CX144,Horarios!$H:$I,2,0),"")</f>
        <v/>
      </c>
      <c r="DA144" s="28" t="str">
        <f>IFERROR(VLOOKUP(CY144,Horarios!$H:$I,2,0),"")</f>
        <v/>
      </c>
      <c r="DB144" s="28" t="str">
        <f t="shared" si="114"/>
        <v>00:00</v>
      </c>
      <c r="DC144" s="29"/>
      <c r="DD144" s="27"/>
      <c r="DE144" s="27"/>
      <c r="DF144" s="28" t="str">
        <f>IFERROR(VLOOKUP(DD144,Horarios!$H:$I,2,0),"")</f>
        <v/>
      </c>
      <c r="DG144" s="28" t="str">
        <f>IFERROR(VLOOKUP(DE144,Horarios!$H:$I,2,0),"")</f>
        <v/>
      </c>
      <c r="DH144" s="28" t="str">
        <f t="shared" si="115"/>
        <v>00:00</v>
      </c>
      <c r="DI144" s="29"/>
      <c r="DJ144" s="27"/>
      <c r="DK144" s="27"/>
      <c r="DL144" s="28" t="str">
        <f>IFERROR(VLOOKUP(DJ144,Horarios!$H:$I,2,0),"")</f>
        <v/>
      </c>
      <c r="DM144" s="28" t="str">
        <f>IFERROR(VLOOKUP(DK144,Horarios!$H:$I,2,0),"")</f>
        <v/>
      </c>
      <c r="DN144" s="28" t="str">
        <f t="shared" si="116"/>
        <v>00:00</v>
      </c>
      <c r="DO144" s="29"/>
      <c r="DP144" s="27"/>
      <c r="DQ144" s="27"/>
      <c r="DR144" s="28" t="str">
        <f>IFERROR(VLOOKUP(DP144,Horarios!$H:$I,2,0),"")</f>
        <v/>
      </c>
      <c r="DS144" s="28" t="str">
        <f>IFERROR(VLOOKUP(DQ144,Horarios!$H:$I,2,0),"")</f>
        <v/>
      </c>
      <c r="DT144" s="28" t="str">
        <f t="shared" si="117"/>
        <v>00:00</v>
      </c>
      <c r="DU144" s="29"/>
      <c r="DV144" s="27"/>
      <c r="DW144" s="27"/>
      <c r="DX144" s="28" t="str">
        <f>IFERROR(VLOOKUP(DV144,Horarios!$H:$I,2,0),"")</f>
        <v/>
      </c>
      <c r="DY144" s="28" t="str">
        <f>IFERROR(VLOOKUP(DW144,Horarios!$H:$I,2,0),"")</f>
        <v/>
      </c>
      <c r="DZ144" s="28" t="str">
        <f t="shared" si="118"/>
        <v>00:00</v>
      </c>
      <c r="EA144" s="29"/>
      <c r="EB144" s="31" t="str">
        <f t="shared" si="119"/>
        <v/>
      </c>
      <c r="EC144" s="27"/>
      <c r="ED144" s="27"/>
      <c r="EE144" s="28" t="str">
        <f>IFERROR(VLOOKUP(EC144,Horarios!$H:$I,2,0),"")</f>
        <v/>
      </c>
      <c r="EF144" s="28" t="str">
        <f>IFERROR(VLOOKUP(ED144,Horarios!$H:$I,2,0),"")</f>
        <v/>
      </c>
      <c r="EG144" s="28" t="str">
        <f t="shared" si="120"/>
        <v>00:00</v>
      </c>
      <c r="EH144" s="29"/>
      <c r="EI144" s="27"/>
      <c r="EJ144" s="27"/>
      <c r="EK144" s="28" t="str">
        <f>IFERROR(VLOOKUP(EI144,Horarios!$H:$I,2,0),"")</f>
        <v/>
      </c>
      <c r="EL144" s="28" t="str">
        <f>IFERROR(VLOOKUP(EJ144,Horarios!$H:$I,2,0),"")</f>
        <v/>
      </c>
      <c r="EM144" s="28" t="str">
        <f t="shared" si="121"/>
        <v>00:00</v>
      </c>
      <c r="EN144" s="29"/>
      <c r="EO144" s="27"/>
      <c r="EP144" s="27"/>
      <c r="EQ144" s="28" t="str">
        <f>IFERROR(VLOOKUP(EO144,Horarios!$H:$I,2,0),"")</f>
        <v/>
      </c>
      <c r="ER144" s="28" t="str">
        <f>IFERROR(VLOOKUP(EP144,Horarios!$H:$I,2,0),"")</f>
        <v/>
      </c>
      <c r="ES144" s="28" t="str">
        <f t="shared" si="122"/>
        <v>00:00</v>
      </c>
      <c r="ET144" s="29"/>
      <c r="EU144" s="27"/>
      <c r="EV144" s="27"/>
      <c r="EW144" s="28" t="str">
        <f>IFERROR(VLOOKUP(EU144,Horarios!$H:$I,2,0),"")</f>
        <v/>
      </c>
      <c r="EX144" s="28" t="str">
        <f>IFERROR(VLOOKUP(EV144,Horarios!$H:$I,2,0),"")</f>
        <v/>
      </c>
      <c r="EY144" s="28" t="str">
        <f t="shared" si="123"/>
        <v>00:00</v>
      </c>
      <c r="EZ144" s="29"/>
      <c r="FA144" s="27"/>
      <c r="FB144" s="27"/>
      <c r="FC144" s="28" t="str">
        <f>IFERROR(VLOOKUP(FA144,Horarios!$H:$I,2,0),"")</f>
        <v/>
      </c>
      <c r="FD144" s="28" t="str">
        <f>IFERROR(VLOOKUP(FB144,Horarios!$H:$I,2,0),"")</f>
        <v/>
      </c>
      <c r="FE144" s="28" t="str">
        <f t="shared" si="124"/>
        <v>00:00</v>
      </c>
      <c r="FF144" s="29"/>
      <c r="FG144" s="27"/>
      <c r="FH144" s="27"/>
      <c r="FI144" s="28" t="str">
        <f>IFERROR(VLOOKUP(FG144,Horarios!$H:$I,2,0),"")</f>
        <v/>
      </c>
      <c r="FJ144" s="28" t="str">
        <f>IFERROR(VLOOKUP(FH144,Horarios!$H:$I,2,0),"")</f>
        <v/>
      </c>
      <c r="FK144" s="28" t="str">
        <f t="shared" si="125"/>
        <v>00:00</v>
      </c>
      <c r="FL144" s="29"/>
      <c r="FM144" s="27"/>
      <c r="FN144" s="27"/>
      <c r="FO144" s="28" t="str">
        <f>IFERROR(VLOOKUP(FM144,Horarios!$H:$I,2,0),"")</f>
        <v/>
      </c>
      <c r="FP144" s="28" t="str">
        <f>IFERROR(VLOOKUP(FN144,Horarios!$H:$I,2,0),"")</f>
        <v/>
      </c>
      <c r="FQ144" s="28" t="str">
        <f t="shared" si="126"/>
        <v>00:00</v>
      </c>
      <c r="FR144" s="29"/>
      <c r="FS144" s="31" t="str">
        <f t="shared" si="127"/>
        <v/>
      </c>
      <c r="FT144" s="27"/>
      <c r="FU144" s="27"/>
      <c r="FV144" s="28" t="str">
        <f>IFERROR(VLOOKUP(FT144,Horarios!$H:$I,2,0),"")</f>
        <v/>
      </c>
      <c r="FW144" s="28" t="str">
        <f>IFERROR(VLOOKUP(FU144,Horarios!$H:$I,2,0),"")</f>
        <v/>
      </c>
      <c r="FX144" s="28" t="str">
        <f t="shared" si="128"/>
        <v>00:00</v>
      </c>
      <c r="FY144" s="29"/>
      <c r="FZ144" s="27"/>
      <c r="GA144" s="27"/>
      <c r="GB144" s="28" t="str">
        <f>IFERROR(VLOOKUP(FZ144,Horarios!$H:$I,2,0),"")</f>
        <v/>
      </c>
      <c r="GC144" s="28" t="str">
        <f>IFERROR(VLOOKUP(GA144,Horarios!$H:$I,2,0),"")</f>
        <v/>
      </c>
      <c r="GD144" s="28" t="str">
        <f t="shared" si="129"/>
        <v>00:00</v>
      </c>
      <c r="GE144" s="29"/>
      <c r="GF144" s="27"/>
      <c r="GG144" s="27"/>
      <c r="GH144" s="28" t="str">
        <f>IFERROR(VLOOKUP(GF144,Horarios!$H:$I,2,0),"")</f>
        <v/>
      </c>
      <c r="GI144" s="28" t="str">
        <f>IFERROR(VLOOKUP(GG144,Horarios!$H:$I,2,0),"")</f>
        <v/>
      </c>
      <c r="GJ144" s="28" t="str">
        <f t="shared" si="130"/>
        <v>00:00</v>
      </c>
      <c r="GK144" s="29"/>
      <c r="GL144" s="27"/>
      <c r="GM144" s="27"/>
      <c r="GN144" s="28" t="str">
        <f>IFERROR(VLOOKUP(GL144,Horarios!$H:$I,2,0),"")</f>
        <v/>
      </c>
      <c r="GO144" s="28" t="str">
        <f>IFERROR(VLOOKUP(GM144,Horarios!$H:$I,2,0),"")</f>
        <v/>
      </c>
      <c r="GP144" s="28" t="str">
        <f t="shared" si="131"/>
        <v>00:00</v>
      </c>
      <c r="GQ144" s="29"/>
      <c r="GR144" s="27"/>
      <c r="GS144" s="27"/>
      <c r="GT144" s="28" t="str">
        <f>IFERROR(VLOOKUP(GR144,Horarios!$H:$I,2,0),"")</f>
        <v/>
      </c>
      <c r="GU144" s="28" t="str">
        <f>IFERROR(VLOOKUP(GS144,Horarios!$H:$I,2,0),"")</f>
        <v/>
      </c>
      <c r="GV144" s="28" t="str">
        <f t="shared" si="132"/>
        <v>00:00</v>
      </c>
      <c r="GW144" s="29"/>
      <c r="GX144" s="27"/>
      <c r="GY144" s="27"/>
      <c r="GZ144" s="28" t="str">
        <f>IFERROR(VLOOKUP(GX144,Horarios!$H:$I,2,0),"")</f>
        <v/>
      </c>
      <c r="HA144" s="28" t="str">
        <f>IFERROR(VLOOKUP(GY144,Horarios!$H:$I,2,0),"")</f>
        <v/>
      </c>
      <c r="HB144" s="28" t="str">
        <f t="shared" si="133"/>
        <v>00:00</v>
      </c>
      <c r="HC144" s="29"/>
      <c r="HD144" s="27"/>
      <c r="HE144" s="27"/>
      <c r="HF144" s="28" t="str">
        <f>IFERROR(VLOOKUP(HD144,Horarios!$H:$I,2,0),"")</f>
        <v/>
      </c>
      <c r="HG144" s="28" t="str">
        <f>IFERROR(VLOOKUP(HE144,Horarios!$H:$I,2,0),"")</f>
        <v/>
      </c>
      <c r="HH144" s="28" t="str">
        <f t="shared" si="134"/>
        <v>00:00</v>
      </c>
      <c r="HI144" s="29"/>
      <c r="HJ144" s="31" t="str">
        <f t="shared" si="135"/>
        <v/>
      </c>
      <c r="HK144" s="27"/>
      <c r="HL144" s="27"/>
      <c r="HM144" s="28" t="str">
        <f>IFERROR(VLOOKUP(HK144,Horarios!$H:$I,2,0),"")</f>
        <v/>
      </c>
      <c r="HN144" s="28" t="str">
        <f>IFERROR(VLOOKUP(HL144,Horarios!$H:$I,2,0),"")</f>
        <v/>
      </c>
      <c r="HO144" s="28" t="str">
        <f t="shared" si="136"/>
        <v>00:00</v>
      </c>
      <c r="HP144" s="29"/>
      <c r="HQ144" s="27"/>
      <c r="HR144" s="27"/>
      <c r="HS144" s="28" t="str">
        <f>IFERROR(VLOOKUP(HQ144,Horarios!$H:$I,2,0),"")</f>
        <v/>
      </c>
      <c r="HT144" s="28" t="str">
        <f>IFERROR(VLOOKUP(HR144,Horarios!$H:$I,2,0),"")</f>
        <v/>
      </c>
      <c r="HU144" s="28" t="str">
        <f t="shared" si="137"/>
        <v>00:00</v>
      </c>
      <c r="HV144" s="29"/>
      <c r="HW144" s="27"/>
      <c r="HX144" s="27"/>
      <c r="HY144" s="28" t="str">
        <f>IFERROR(VLOOKUP(HW144,Horarios!$H:$I,2,0),"")</f>
        <v/>
      </c>
      <c r="HZ144" s="28" t="str">
        <f>IFERROR(VLOOKUP(HX144,Horarios!$H:$I,2,0),"")</f>
        <v/>
      </c>
      <c r="IA144" s="28" t="str">
        <f t="shared" si="138"/>
        <v>00:00</v>
      </c>
      <c r="IB144" s="29"/>
      <c r="IC144" s="27"/>
      <c r="ID144" s="27"/>
      <c r="IE144" s="28" t="str">
        <f>IFERROR(VLOOKUP(IC144,Horarios!$H:$I,2,0),"")</f>
        <v/>
      </c>
      <c r="IF144" s="28" t="str">
        <f>IFERROR(VLOOKUP(ID144,Horarios!$H:$I,2,0),"")</f>
        <v/>
      </c>
      <c r="IG144" s="28" t="str">
        <f t="shared" si="139"/>
        <v>00:00</v>
      </c>
      <c r="IH144" s="29"/>
      <c r="II144" s="27"/>
      <c r="IJ144" s="27"/>
      <c r="IK144" s="28" t="str">
        <f>IFERROR(VLOOKUP(II144,Horarios!$H:$I,2,0),"")</f>
        <v/>
      </c>
      <c r="IL144" s="28" t="str">
        <f>IFERROR(VLOOKUP(IJ144,Horarios!$H:$I,2,0),"")</f>
        <v/>
      </c>
      <c r="IM144" s="28" t="str">
        <f t="shared" si="140"/>
        <v>00:00</v>
      </c>
      <c r="IN144" s="29"/>
      <c r="IO144" s="27"/>
      <c r="IP144" s="27"/>
      <c r="IQ144" s="28" t="str">
        <f>IFERROR(VLOOKUP(IO144,Horarios!$H:$I,2,0),"")</f>
        <v/>
      </c>
      <c r="IR144" s="28" t="str">
        <f>IFERROR(VLOOKUP(IP144,Horarios!$H:$I,2,0),"")</f>
        <v/>
      </c>
      <c r="IS144" s="28" t="str">
        <f t="shared" si="141"/>
        <v>00:00</v>
      </c>
      <c r="IT144" s="29"/>
      <c r="IU144" s="27"/>
      <c r="IV144" s="27"/>
      <c r="IW144" s="28" t="str">
        <f>IFERROR(VLOOKUP(IU144,Horarios!$H:$I,2,0),"")</f>
        <v/>
      </c>
      <c r="IX144" s="28" t="str">
        <f>IFERROR(VLOOKUP(IV144,Horarios!$H:$I,2,0),"")</f>
        <v/>
      </c>
      <c r="IY144" s="28" t="str">
        <f t="shared" si="142"/>
        <v>00:00</v>
      </c>
      <c r="IZ144" s="29"/>
      <c r="JA144" s="31" t="str">
        <f t="shared" si="143"/>
        <v/>
      </c>
    </row>
    <row r="145" spans="1:261" s="24" customFormat="1" ht="17.399999999999999" x14ac:dyDescent="0.25">
      <c r="A145" s="25"/>
      <c r="B145" s="26" t="str">
        <f>IFERROR(VLOOKUP(A145,BaseNombres!A:B,2,0),"")</f>
        <v/>
      </c>
      <c r="C145" s="26" t="str">
        <f>IFERROR(VLOOKUP(A145,BaseNombres!A:C,3,0),"")</f>
        <v/>
      </c>
      <c r="D145" s="27"/>
      <c r="E145" s="27"/>
      <c r="F145" s="28" t="str">
        <f>IFERROR(VLOOKUP(D145,Horarios!$H:$I,2,0),"")</f>
        <v/>
      </c>
      <c r="G145" s="28" t="str">
        <f>IFERROR(VLOOKUP(E145,Horarios!$H:$I,2,0),"")</f>
        <v/>
      </c>
      <c r="H145" s="28" t="str">
        <f t="shared" si="96"/>
        <v>00:00</v>
      </c>
      <c r="I145" s="29"/>
      <c r="J145" s="27"/>
      <c r="K145" s="27"/>
      <c r="L145" s="28" t="str">
        <f>IFERROR(VLOOKUP(J145,Horarios!$H:$I,2,0),"")</f>
        <v/>
      </c>
      <c r="M145" s="28" t="str">
        <f>IFERROR(VLOOKUP(K145,Horarios!$H:$I,2,0),"")</f>
        <v/>
      </c>
      <c r="N145" s="28" t="str">
        <f t="shared" si="97"/>
        <v>00:00</v>
      </c>
      <c r="O145" s="29"/>
      <c r="P145" s="27"/>
      <c r="Q145" s="27"/>
      <c r="R145" s="28" t="str">
        <f>IFERROR(VLOOKUP(P145,Horarios!$H:$I,2,0),"")</f>
        <v/>
      </c>
      <c r="S145" s="28" t="str">
        <f>IFERROR(VLOOKUP(Q145,Horarios!$H:$I,2,0),"")</f>
        <v/>
      </c>
      <c r="T145" s="28" t="str">
        <f t="shared" si="98"/>
        <v>00:00</v>
      </c>
      <c r="U145" s="29"/>
      <c r="V145" s="27"/>
      <c r="W145" s="27"/>
      <c r="X145" s="28" t="str">
        <f>IFERROR(VLOOKUP(V145,Horarios!$H:$I,2,0),"")</f>
        <v/>
      </c>
      <c r="Y145" s="28" t="str">
        <f>IFERROR(VLOOKUP(W145,Horarios!$H:$I,2,0),"")</f>
        <v/>
      </c>
      <c r="Z145" s="28" t="str">
        <f t="shared" si="99"/>
        <v>00:00</v>
      </c>
      <c r="AA145" s="29"/>
      <c r="AB145" s="27"/>
      <c r="AC145" s="27"/>
      <c r="AD145" s="28" t="str">
        <f>IFERROR(VLOOKUP(AB145,Horarios!$H:$I,2,0),"")</f>
        <v/>
      </c>
      <c r="AE145" s="28" t="str">
        <f>IFERROR(VLOOKUP(AC145,Horarios!$H:$I,2,0),"")</f>
        <v/>
      </c>
      <c r="AF145" s="28" t="str">
        <f t="shared" si="100"/>
        <v>00:00</v>
      </c>
      <c r="AG145" s="29"/>
      <c r="AH145" s="27"/>
      <c r="AI145" s="27"/>
      <c r="AJ145" s="28" t="str">
        <f>IFERROR(VLOOKUP(AH145,Horarios!$H:$I,2,0),"")</f>
        <v/>
      </c>
      <c r="AK145" s="28" t="str">
        <f>IFERROR(VLOOKUP(AI145,Horarios!$H:$I,2,0),"")</f>
        <v/>
      </c>
      <c r="AL145" s="28" t="str">
        <f t="shared" si="101"/>
        <v>00:00</v>
      </c>
      <c r="AM145" s="29"/>
      <c r="AN145" s="27"/>
      <c r="AO145" s="27"/>
      <c r="AP145" s="28" t="str">
        <f>IFERROR(VLOOKUP(AN145,Horarios!$H:$I,2,0),"")</f>
        <v/>
      </c>
      <c r="AQ145" s="28" t="str">
        <f>IFERROR(VLOOKUP(AO145,Horarios!$H:$I,2,0),"")</f>
        <v/>
      </c>
      <c r="AR145" s="28" t="str">
        <f t="shared" si="102"/>
        <v>00:00</v>
      </c>
      <c r="AS145" s="29"/>
      <c r="AT145" s="31" t="str">
        <f t="shared" si="103"/>
        <v/>
      </c>
      <c r="AU145" s="27"/>
      <c r="AV145" s="27"/>
      <c r="AW145" s="28" t="str">
        <f>IFERROR(VLOOKUP(AU145,Horarios!$H:$I,2,0),"")</f>
        <v/>
      </c>
      <c r="AX145" s="28" t="str">
        <f>IFERROR(VLOOKUP(AV145,Horarios!$H:$I,2,0),"")</f>
        <v/>
      </c>
      <c r="AY145" s="28" t="str">
        <f t="shared" si="104"/>
        <v>00:00</v>
      </c>
      <c r="AZ145" s="29"/>
      <c r="BA145" s="27"/>
      <c r="BB145" s="27"/>
      <c r="BC145" s="28" t="str">
        <f>IFERROR(VLOOKUP(BA145,Horarios!$H:$I,2,0),"")</f>
        <v/>
      </c>
      <c r="BD145" s="28" t="str">
        <f>IFERROR(VLOOKUP(BB145,Horarios!$H:$I,2,0),"")</f>
        <v/>
      </c>
      <c r="BE145" s="28" t="str">
        <f t="shared" si="105"/>
        <v>00:00</v>
      </c>
      <c r="BF145" s="29"/>
      <c r="BG145" s="27"/>
      <c r="BH145" s="27"/>
      <c r="BI145" s="28" t="str">
        <f>IFERROR(VLOOKUP(BG145,Horarios!$H:$I,2,0),"")</f>
        <v/>
      </c>
      <c r="BJ145" s="28" t="str">
        <f>IFERROR(VLOOKUP(BH145,Horarios!$H:$I,2,0),"")</f>
        <v/>
      </c>
      <c r="BK145" s="28" t="str">
        <f t="shared" si="106"/>
        <v>00:00</v>
      </c>
      <c r="BL145" s="29"/>
      <c r="BM145" s="27"/>
      <c r="BN145" s="27"/>
      <c r="BO145" s="28" t="str">
        <f>IFERROR(VLOOKUP(BM145,Horarios!$H:$I,2,0),"")</f>
        <v/>
      </c>
      <c r="BP145" s="28" t="str">
        <f>IFERROR(VLOOKUP(BN145,Horarios!$H:$I,2,0),"")</f>
        <v/>
      </c>
      <c r="BQ145" s="28" t="str">
        <f t="shared" si="107"/>
        <v>00:00</v>
      </c>
      <c r="BR145" s="29"/>
      <c r="BS145" s="27"/>
      <c r="BT145" s="27"/>
      <c r="BU145" s="28" t="str">
        <f>IFERROR(VLOOKUP(BS145,Horarios!$H:$I,2,0),"")</f>
        <v/>
      </c>
      <c r="BV145" s="28" t="str">
        <f>IFERROR(VLOOKUP(BT145,Horarios!$H:$I,2,0),"")</f>
        <v/>
      </c>
      <c r="BW145" s="28" t="str">
        <f t="shared" si="108"/>
        <v>00:00</v>
      </c>
      <c r="BX145" s="29"/>
      <c r="BY145" s="27"/>
      <c r="BZ145" s="27"/>
      <c r="CA145" s="28" t="str">
        <f>IFERROR(VLOOKUP(BY145,Horarios!$H:$I,2,0),"")</f>
        <v/>
      </c>
      <c r="CB145" s="28" t="str">
        <f>IFERROR(VLOOKUP(BZ145,Horarios!$H:$I,2,0),"")</f>
        <v/>
      </c>
      <c r="CC145" s="28" t="str">
        <f t="shared" si="109"/>
        <v>00:00</v>
      </c>
      <c r="CD145" s="29"/>
      <c r="CE145" s="27"/>
      <c r="CF145" s="27"/>
      <c r="CG145" s="28" t="str">
        <f>IFERROR(VLOOKUP(CE145,Horarios!$H:$I,2,0),"")</f>
        <v/>
      </c>
      <c r="CH145" s="28" t="str">
        <f>IFERROR(VLOOKUP(CF145,Horarios!$H:$I,2,0),"")</f>
        <v/>
      </c>
      <c r="CI145" s="28" t="str">
        <f t="shared" si="110"/>
        <v>00:00</v>
      </c>
      <c r="CJ145" s="29"/>
      <c r="CK145" s="31" t="str">
        <f t="shared" si="111"/>
        <v/>
      </c>
      <c r="CL145" s="27"/>
      <c r="CM145" s="27"/>
      <c r="CN145" s="28" t="str">
        <f>IFERROR(VLOOKUP(CL145,Horarios!$H:$I,2,0),"")</f>
        <v/>
      </c>
      <c r="CO145" s="28" t="str">
        <f>IFERROR(VLOOKUP(CM145,Horarios!$H:$I,2,0),"")</f>
        <v/>
      </c>
      <c r="CP145" s="28" t="str">
        <f t="shared" si="112"/>
        <v>00:00</v>
      </c>
      <c r="CQ145" s="29"/>
      <c r="CR145" s="27"/>
      <c r="CS145" s="27"/>
      <c r="CT145" s="28" t="str">
        <f>IFERROR(VLOOKUP(CR145,Horarios!$H:$I,2,0),"")</f>
        <v/>
      </c>
      <c r="CU145" s="28" t="str">
        <f>IFERROR(VLOOKUP(CS145,Horarios!$H:$I,2,0),"")</f>
        <v/>
      </c>
      <c r="CV145" s="28" t="str">
        <f t="shared" si="113"/>
        <v>00:00</v>
      </c>
      <c r="CW145" s="29"/>
      <c r="CX145" s="27"/>
      <c r="CY145" s="27"/>
      <c r="CZ145" s="28" t="str">
        <f>IFERROR(VLOOKUP(CX145,Horarios!$H:$I,2,0),"")</f>
        <v/>
      </c>
      <c r="DA145" s="28" t="str">
        <f>IFERROR(VLOOKUP(CY145,Horarios!$H:$I,2,0),"")</f>
        <v/>
      </c>
      <c r="DB145" s="28" t="str">
        <f t="shared" si="114"/>
        <v>00:00</v>
      </c>
      <c r="DC145" s="29"/>
      <c r="DD145" s="27"/>
      <c r="DE145" s="27"/>
      <c r="DF145" s="28" t="str">
        <f>IFERROR(VLOOKUP(DD145,Horarios!$H:$I,2,0),"")</f>
        <v/>
      </c>
      <c r="DG145" s="28" t="str">
        <f>IFERROR(VLOOKUP(DE145,Horarios!$H:$I,2,0),"")</f>
        <v/>
      </c>
      <c r="DH145" s="28" t="str">
        <f t="shared" si="115"/>
        <v>00:00</v>
      </c>
      <c r="DI145" s="29"/>
      <c r="DJ145" s="27"/>
      <c r="DK145" s="27"/>
      <c r="DL145" s="28" t="str">
        <f>IFERROR(VLOOKUP(DJ145,Horarios!$H:$I,2,0),"")</f>
        <v/>
      </c>
      <c r="DM145" s="28" t="str">
        <f>IFERROR(VLOOKUP(DK145,Horarios!$H:$I,2,0),"")</f>
        <v/>
      </c>
      <c r="DN145" s="28" t="str">
        <f t="shared" si="116"/>
        <v>00:00</v>
      </c>
      <c r="DO145" s="29"/>
      <c r="DP145" s="27"/>
      <c r="DQ145" s="27"/>
      <c r="DR145" s="28" t="str">
        <f>IFERROR(VLOOKUP(DP145,Horarios!$H:$I,2,0),"")</f>
        <v/>
      </c>
      <c r="DS145" s="28" t="str">
        <f>IFERROR(VLOOKUP(DQ145,Horarios!$H:$I,2,0),"")</f>
        <v/>
      </c>
      <c r="DT145" s="28" t="str">
        <f t="shared" si="117"/>
        <v>00:00</v>
      </c>
      <c r="DU145" s="29"/>
      <c r="DV145" s="27"/>
      <c r="DW145" s="27"/>
      <c r="DX145" s="28" t="str">
        <f>IFERROR(VLOOKUP(DV145,Horarios!$H:$I,2,0),"")</f>
        <v/>
      </c>
      <c r="DY145" s="28" t="str">
        <f>IFERROR(VLOOKUP(DW145,Horarios!$H:$I,2,0),"")</f>
        <v/>
      </c>
      <c r="DZ145" s="28" t="str">
        <f t="shared" si="118"/>
        <v>00:00</v>
      </c>
      <c r="EA145" s="29"/>
      <c r="EB145" s="31" t="str">
        <f t="shared" si="119"/>
        <v/>
      </c>
      <c r="EC145" s="27"/>
      <c r="ED145" s="27"/>
      <c r="EE145" s="28" t="str">
        <f>IFERROR(VLOOKUP(EC145,Horarios!$H:$I,2,0),"")</f>
        <v/>
      </c>
      <c r="EF145" s="28" t="str">
        <f>IFERROR(VLOOKUP(ED145,Horarios!$H:$I,2,0),"")</f>
        <v/>
      </c>
      <c r="EG145" s="28" t="str">
        <f t="shared" si="120"/>
        <v>00:00</v>
      </c>
      <c r="EH145" s="29"/>
      <c r="EI145" s="27"/>
      <c r="EJ145" s="27"/>
      <c r="EK145" s="28" t="str">
        <f>IFERROR(VLOOKUP(EI145,Horarios!$H:$I,2,0),"")</f>
        <v/>
      </c>
      <c r="EL145" s="28" t="str">
        <f>IFERROR(VLOOKUP(EJ145,Horarios!$H:$I,2,0),"")</f>
        <v/>
      </c>
      <c r="EM145" s="28" t="str">
        <f t="shared" si="121"/>
        <v>00:00</v>
      </c>
      <c r="EN145" s="29"/>
      <c r="EO145" s="27"/>
      <c r="EP145" s="27"/>
      <c r="EQ145" s="28" t="str">
        <f>IFERROR(VLOOKUP(EO145,Horarios!$H:$I,2,0),"")</f>
        <v/>
      </c>
      <c r="ER145" s="28" t="str">
        <f>IFERROR(VLOOKUP(EP145,Horarios!$H:$I,2,0),"")</f>
        <v/>
      </c>
      <c r="ES145" s="28" t="str">
        <f t="shared" si="122"/>
        <v>00:00</v>
      </c>
      <c r="ET145" s="29"/>
      <c r="EU145" s="27"/>
      <c r="EV145" s="27"/>
      <c r="EW145" s="28" t="str">
        <f>IFERROR(VLOOKUP(EU145,Horarios!$H:$I,2,0),"")</f>
        <v/>
      </c>
      <c r="EX145" s="28" t="str">
        <f>IFERROR(VLOOKUP(EV145,Horarios!$H:$I,2,0),"")</f>
        <v/>
      </c>
      <c r="EY145" s="28" t="str">
        <f t="shared" si="123"/>
        <v>00:00</v>
      </c>
      <c r="EZ145" s="29"/>
      <c r="FA145" s="27"/>
      <c r="FB145" s="27"/>
      <c r="FC145" s="28" t="str">
        <f>IFERROR(VLOOKUP(FA145,Horarios!$H:$I,2,0),"")</f>
        <v/>
      </c>
      <c r="FD145" s="28" t="str">
        <f>IFERROR(VLOOKUP(FB145,Horarios!$H:$I,2,0),"")</f>
        <v/>
      </c>
      <c r="FE145" s="28" t="str">
        <f t="shared" si="124"/>
        <v>00:00</v>
      </c>
      <c r="FF145" s="29"/>
      <c r="FG145" s="27"/>
      <c r="FH145" s="27"/>
      <c r="FI145" s="28" t="str">
        <f>IFERROR(VLOOKUP(FG145,Horarios!$H:$I,2,0),"")</f>
        <v/>
      </c>
      <c r="FJ145" s="28" t="str">
        <f>IFERROR(VLOOKUP(FH145,Horarios!$H:$I,2,0),"")</f>
        <v/>
      </c>
      <c r="FK145" s="28" t="str">
        <f t="shared" si="125"/>
        <v>00:00</v>
      </c>
      <c r="FL145" s="29"/>
      <c r="FM145" s="27"/>
      <c r="FN145" s="27"/>
      <c r="FO145" s="28" t="str">
        <f>IFERROR(VLOOKUP(FM145,Horarios!$H:$I,2,0),"")</f>
        <v/>
      </c>
      <c r="FP145" s="28" t="str">
        <f>IFERROR(VLOOKUP(FN145,Horarios!$H:$I,2,0),"")</f>
        <v/>
      </c>
      <c r="FQ145" s="28" t="str">
        <f t="shared" si="126"/>
        <v>00:00</v>
      </c>
      <c r="FR145" s="29"/>
      <c r="FS145" s="31" t="str">
        <f t="shared" si="127"/>
        <v/>
      </c>
      <c r="FT145" s="27"/>
      <c r="FU145" s="27"/>
      <c r="FV145" s="28" t="str">
        <f>IFERROR(VLOOKUP(FT145,Horarios!$H:$I,2,0),"")</f>
        <v/>
      </c>
      <c r="FW145" s="28" t="str">
        <f>IFERROR(VLOOKUP(FU145,Horarios!$H:$I,2,0),"")</f>
        <v/>
      </c>
      <c r="FX145" s="28" t="str">
        <f t="shared" si="128"/>
        <v>00:00</v>
      </c>
      <c r="FY145" s="29"/>
      <c r="FZ145" s="27"/>
      <c r="GA145" s="27"/>
      <c r="GB145" s="28" t="str">
        <f>IFERROR(VLOOKUP(FZ145,Horarios!$H:$I,2,0),"")</f>
        <v/>
      </c>
      <c r="GC145" s="28" t="str">
        <f>IFERROR(VLOOKUP(GA145,Horarios!$H:$I,2,0),"")</f>
        <v/>
      </c>
      <c r="GD145" s="28" t="str">
        <f t="shared" si="129"/>
        <v>00:00</v>
      </c>
      <c r="GE145" s="29"/>
      <c r="GF145" s="27"/>
      <c r="GG145" s="27"/>
      <c r="GH145" s="28" t="str">
        <f>IFERROR(VLOOKUP(GF145,Horarios!$H:$I,2,0),"")</f>
        <v/>
      </c>
      <c r="GI145" s="28" t="str">
        <f>IFERROR(VLOOKUP(GG145,Horarios!$H:$I,2,0),"")</f>
        <v/>
      </c>
      <c r="GJ145" s="28" t="str">
        <f t="shared" si="130"/>
        <v>00:00</v>
      </c>
      <c r="GK145" s="29"/>
      <c r="GL145" s="27"/>
      <c r="GM145" s="27"/>
      <c r="GN145" s="28" t="str">
        <f>IFERROR(VLOOKUP(GL145,Horarios!$H:$I,2,0),"")</f>
        <v/>
      </c>
      <c r="GO145" s="28" t="str">
        <f>IFERROR(VLOOKUP(GM145,Horarios!$H:$I,2,0),"")</f>
        <v/>
      </c>
      <c r="GP145" s="28" t="str">
        <f t="shared" si="131"/>
        <v>00:00</v>
      </c>
      <c r="GQ145" s="29"/>
      <c r="GR145" s="27"/>
      <c r="GS145" s="27"/>
      <c r="GT145" s="28" t="str">
        <f>IFERROR(VLOOKUP(GR145,Horarios!$H:$I,2,0),"")</f>
        <v/>
      </c>
      <c r="GU145" s="28" t="str">
        <f>IFERROR(VLOOKUP(GS145,Horarios!$H:$I,2,0),"")</f>
        <v/>
      </c>
      <c r="GV145" s="28" t="str">
        <f t="shared" si="132"/>
        <v>00:00</v>
      </c>
      <c r="GW145" s="29"/>
      <c r="GX145" s="27"/>
      <c r="GY145" s="27"/>
      <c r="GZ145" s="28" t="str">
        <f>IFERROR(VLOOKUP(GX145,Horarios!$H:$I,2,0),"")</f>
        <v/>
      </c>
      <c r="HA145" s="28" t="str">
        <f>IFERROR(VLOOKUP(GY145,Horarios!$H:$I,2,0),"")</f>
        <v/>
      </c>
      <c r="HB145" s="28" t="str">
        <f t="shared" si="133"/>
        <v>00:00</v>
      </c>
      <c r="HC145" s="29"/>
      <c r="HD145" s="27"/>
      <c r="HE145" s="27"/>
      <c r="HF145" s="28" t="str">
        <f>IFERROR(VLOOKUP(HD145,Horarios!$H:$I,2,0),"")</f>
        <v/>
      </c>
      <c r="HG145" s="28" t="str">
        <f>IFERROR(VLOOKUP(HE145,Horarios!$H:$I,2,0),"")</f>
        <v/>
      </c>
      <c r="HH145" s="28" t="str">
        <f t="shared" si="134"/>
        <v>00:00</v>
      </c>
      <c r="HI145" s="29"/>
      <c r="HJ145" s="31" t="str">
        <f t="shared" si="135"/>
        <v/>
      </c>
      <c r="HK145" s="27"/>
      <c r="HL145" s="27"/>
      <c r="HM145" s="28" t="str">
        <f>IFERROR(VLOOKUP(HK145,Horarios!$H:$I,2,0),"")</f>
        <v/>
      </c>
      <c r="HN145" s="28" t="str">
        <f>IFERROR(VLOOKUP(HL145,Horarios!$H:$I,2,0),"")</f>
        <v/>
      </c>
      <c r="HO145" s="28" t="str">
        <f t="shared" si="136"/>
        <v>00:00</v>
      </c>
      <c r="HP145" s="29"/>
      <c r="HQ145" s="27"/>
      <c r="HR145" s="27"/>
      <c r="HS145" s="28" t="str">
        <f>IFERROR(VLOOKUP(HQ145,Horarios!$H:$I,2,0),"")</f>
        <v/>
      </c>
      <c r="HT145" s="28" t="str">
        <f>IFERROR(VLOOKUP(HR145,Horarios!$H:$I,2,0),"")</f>
        <v/>
      </c>
      <c r="HU145" s="28" t="str">
        <f t="shared" si="137"/>
        <v>00:00</v>
      </c>
      <c r="HV145" s="29"/>
      <c r="HW145" s="27"/>
      <c r="HX145" s="27"/>
      <c r="HY145" s="28" t="str">
        <f>IFERROR(VLOOKUP(HW145,Horarios!$H:$I,2,0),"")</f>
        <v/>
      </c>
      <c r="HZ145" s="28" t="str">
        <f>IFERROR(VLOOKUP(HX145,Horarios!$H:$I,2,0),"")</f>
        <v/>
      </c>
      <c r="IA145" s="28" t="str">
        <f t="shared" si="138"/>
        <v>00:00</v>
      </c>
      <c r="IB145" s="29"/>
      <c r="IC145" s="27"/>
      <c r="ID145" s="27"/>
      <c r="IE145" s="28" t="str">
        <f>IFERROR(VLOOKUP(IC145,Horarios!$H:$I,2,0),"")</f>
        <v/>
      </c>
      <c r="IF145" s="28" t="str">
        <f>IFERROR(VLOOKUP(ID145,Horarios!$H:$I,2,0),"")</f>
        <v/>
      </c>
      <c r="IG145" s="28" t="str">
        <f t="shared" si="139"/>
        <v>00:00</v>
      </c>
      <c r="IH145" s="29"/>
      <c r="II145" s="27"/>
      <c r="IJ145" s="27"/>
      <c r="IK145" s="28" t="str">
        <f>IFERROR(VLOOKUP(II145,Horarios!$H:$I,2,0),"")</f>
        <v/>
      </c>
      <c r="IL145" s="28" t="str">
        <f>IFERROR(VLOOKUP(IJ145,Horarios!$H:$I,2,0),"")</f>
        <v/>
      </c>
      <c r="IM145" s="28" t="str">
        <f t="shared" si="140"/>
        <v>00:00</v>
      </c>
      <c r="IN145" s="29"/>
      <c r="IO145" s="27"/>
      <c r="IP145" s="27"/>
      <c r="IQ145" s="28" t="str">
        <f>IFERROR(VLOOKUP(IO145,Horarios!$H:$I,2,0),"")</f>
        <v/>
      </c>
      <c r="IR145" s="28" t="str">
        <f>IFERROR(VLOOKUP(IP145,Horarios!$H:$I,2,0),"")</f>
        <v/>
      </c>
      <c r="IS145" s="28" t="str">
        <f t="shared" si="141"/>
        <v>00:00</v>
      </c>
      <c r="IT145" s="29"/>
      <c r="IU145" s="27"/>
      <c r="IV145" s="27"/>
      <c r="IW145" s="28" t="str">
        <f>IFERROR(VLOOKUP(IU145,Horarios!$H:$I,2,0),"")</f>
        <v/>
      </c>
      <c r="IX145" s="28" t="str">
        <f>IFERROR(VLOOKUP(IV145,Horarios!$H:$I,2,0),"")</f>
        <v/>
      </c>
      <c r="IY145" s="28" t="str">
        <f t="shared" si="142"/>
        <v>00:00</v>
      </c>
      <c r="IZ145" s="29"/>
      <c r="JA145" s="31" t="str">
        <f t="shared" si="143"/>
        <v/>
      </c>
    </row>
    <row r="146" spans="1:261" s="24" customFormat="1" ht="17.399999999999999" x14ac:dyDescent="0.25">
      <c r="A146" s="25"/>
      <c r="B146" s="26" t="str">
        <f>IFERROR(VLOOKUP(A146,BaseNombres!A:B,2,0),"")</f>
        <v/>
      </c>
      <c r="C146" s="26" t="str">
        <f>IFERROR(VLOOKUP(A146,BaseNombres!A:C,3,0),"")</f>
        <v/>
      </c>
      <c r="D146" s="27"/>
      <c r="E146" s="27"/>
      <c r="F146" s="28" t="str">
        <f>IFERROR(VLOOKUP(D146,Horarios!$H:$I,2,0),"")</f>
        <v/>
      </c>
      <c r="G146" s="28" t="str">
        <f>IFERROR(VLOOKUP(E146,Horarios!$H:$I,2,0),"")</f>
        <v/>
      </c>
      <c r="H146" s="28" t="str">
        <f t="shared" si="96"/>
        <v>00:00</v>
      </c>
      <c r="I146" s="29"/>
      <c r="J146" s="27"/>
      <c r="K146" s="27"/>
      <c r="L146" s="28" t="str">
        <f>IFERROR(VLOOKUP(J146,Horarios!$H:$I,2,0),"")</f>
        <v/>
      </c>
      <c r="M146" s="28" t="str">
        <f>IFERROR(VLOOKUP(K146,Horarios!$H:$I,2,0),"")</f>
        <v/>
      </c>
      <c r="N146" s="28" t="str">
        <f t="shared" si="97"/>
        <v>00:00</v>
      </c>
      <c r="O146" s="29"/>
      <c r="P146" s="27"/>
      <c r="Q146" s="27"/>
      <c r="R146" s="28" t="str">
        <f>IFERROR(VLOOKUP(P146,Horarios!$H:$I,2,0),"")</f>
        <v/>
      </c>
      <c r="S146" s="28" t="str">
        <f>IFERROR(VLOOKUP(Q146,Horarios!$H:$I,2,0),"")</f>
        <v/>
      </c>
      <c r="T146" s="28" t="str">
        <f t="shared" si="98"/>
        <v>00:00</v>
      </c>
      <c r="U146" s="29"/>
      <c r="V146" s="27"/>
      <c r="W146" s="27"/>
      <c r="X146" s="28" t="str">
        <f>IFERROR(VLOOKUP(V146,Horarios!$H:$I,2,0),"")</f>
        <v/>
      </c>
      <c r="Y146" s="28" t="str">
        <f>IFERROR(VLOOKUP(W146,Horarios!$H:$I,2,0),"")</f>
        <v/>
      </c>
      <c r="Z146" s="28" t="str">
        <f t="shared" si="99"/>
        <v>00:00</v>
      </c>
      <c r="AA146" s="29"/>
      <c r="AB146" s="27"/>
      <c r="AC146" s="27"/>
      <c r="AD146" s="28" t="str">
        <f>IFERROR(VLOOKUP(AB146,Horarios!$H:$I,2,0),"")</f>
        <v/>
      </c>
      <c r="AE146" s="28" t="str">
        <f>IFERROR(VLOOKUP(AC146,Horarios!$H:$I,2,0),"")</f>
        <v/>
      </c>
      <c r="AF146" s="28" t="str">
        <f t="shared" si="100"/>
        <v>00:00</v>
      </c>
      <c r="AG146" s="29"/>
      <c r="AH146" s="27"/>
      <c r="AI146" s="27"/>
      <c r="AJ146" s="28" t="str">
        <f>IFERROR(VLOOKUP(AH146,Horarios!$H:$I,2,0),"")</f>
        <v/>
      </c>
      <c r="AK146" s="28" t="str">
        <f>IFERROR(VLOOKUP(AI146,Horarios!$H:$I,2,0),"")</f>
        <v/>
      </c>
      <c r="AL146" s="28" t="str">
        <f t="shared" si="101"/>
        <v>00:00</v>
      </c>
      <c r="AM146" s="29"/>
      <c r="AN146" s="27"/>
      <c r="AO146" s="27"/>
      <c r="AP146" s="28" t="str">
        <f>IFERROR(VLOOKUP(AN146,Horarios!$H:$I,2,0),"")</f>
        <v/>
      </c>
      <c r="AQ146" s="28" t="str">
        <f>IFERROR(VLOOKUP(AO146,Horarios!$H:$I,2,0),"")</f>
        <v/>
      </c>
      <c r="AR146" s="28" t="str">
        <f t="shared" si="102"/>
        <v>00:00</v>
      </c>
      <c r="AS146" s="29"/>
      <c r="AT146" s="31" t="str">
        <f t="shared" si="103"/>
        <v/>
      </c>
      <c r="AU146" s="27"/>
      <c r="AV146" s="27"/>
      <c r="AW146" s="28" t="str">
        <f>IFERROR(VLOOKUP(AU146,Horarios!$H:$I,2,0),"")</f>
        <v/>
      </c>
      <c r="AX146" s="28" t="str">
        <f>IFERROR(VLOOKUP(AV146,Horarios!$H:$I,2,0),"")</f>
        <v/>
      </c>
      <c r="AY146" s="28" t="str">
        <f t="shared" si="104"/>
        <v>00:00</v>
      </c>
      <c r="AZ146" s="29"/>
      <c r="BA146" s="27"/>
      <c r="BB146" s="27"/>
      <c r="BC146" s="28" t="str">
        <f>IFERROR(VLOOKUP(BA146,Horarios!$H:$I,2,0),"")</f>
        <v/>
      </c>
      <c r="BD146" s="28" t="str">
        <f>IFERROR(VLOOKUP(BB146,Horarios!$H:$I,2,0),"")</f>
        <v/>
      </c>
      <c r="BE146" s="28" t="str">
        <f t="shared" si="105"/>
        <v>00:00</v>
      </c>
      <c r="BF146" s="29"/>
      <c r="BG146" s="27"/>
      <c r="BH146" s="27"/>
      <c r="BI146" s="28" t="str">
        <f>IFERROR(VLOOKUP(BG146,Horarios!$H:$I,2,0),"")</f>
        <v/>
      </c>
      <c r="BJ146" s="28" t="str">
        <f>IFERROR(VLOOKUP(BH146,Horarios!$H:$I,2,0),"")</f>
        <v/>
      </c>
      <c r="BK146" s="28" t="str">
        <f t="shared" si="106"/>
        <v>00:00</v>
      </c>
      <c r="BL146" s="29"/>
      <c r="BM146" s="27"/>
      <c r="BN146" s="27"/>
      <c r="BO146" s="28" t="str">
        <f>IFERROR(VLOOKUP(BM146,Horarios!$H:$I,2,0),"")</f>
        <v/>
      </c>
      <c r="BP146" s="28" t="str">
        <f>IFERROR(VLOOKUP(BN146,Horarios!$H:$I,2,0),"")</f>
        <v/>
      </c>
      <c r="BQ146" s="28" t="str">
        <f t="shared" si="107"/>
        <v>00:00</v>
      </c>
      <c r="BR146" s="29"/>
      <c r="BS146" s="27"/>
      <c r="BT146" s="27"/>
      <c r="BU146" s="28" t="str">
        <f>IFERROR(VLOOKUP(BS146,Horarios!$H:$I,2,0),"")</f>
        <v/>
      </c>
      <c r="BV146" s="28" t="str">
        <f>IFERROR(VLOOKUP(BT146,Horarios!$H:$I,2,0),"")</f>
        <v/>
      </c>
      <c r="BW146" s="28" t="str">
        <f t="shared" si="108"/>
        <v>00:00</v>
      </c>
      <c r="BX146" s="29"/>
      <c r="BY146" s="27"/>
      <c r="BZ146" s="27"/>
      <c r="CA146" s="28" t="str">
        <f>IFERROR(VLOOKUP(BY146,Horarios!$H:$I,2,0),"")</f>
        <v/>
      </c>
      <c r="CB146" s="28" t="str">
        <f>IFERROR(VLOOKUP(BZ146,Horarios!$H:$I,2,0),"")</f>
        <v/>
      </c>
      <c r="CC146" s="28" t="str">
        <f t="shared" si="109"/>
        <v>00:00</v>
      </c>
      <c r="CD146" s="29"/>
      <c r="CE146" s="27"/>
      <c r="CF146" s="27"/>
      <c r="CG146" s="28" t="str">
        <f>IFERROR(VLOOKUP(CE146,Horarios!$H:$I,2,0),"")</f>
        <v/>
      </c>
      <c r="CH146" s="28" t="str">
        <f>IFERROR(VLOOKUP(CF146,Horarios!$H:$I,2,0),"")</f>
        <v/>
      </c>
      <c r="CI146" s="28" t="str">
        <f t="shared" si="110"/>
        <v>00:00</v>
      </c>
      <c r="CJ146" s="29"/>
      <c r="CK146" s="31" t="str">
        <f t="shared" si="111"/>
        <v/>
      </c>
      <c r="CL146" s="27"/>
      <c r="CM146" s="27"/>
      <c r="CN146" s="28" t="str">
        <f>IFERROR(VLOOKUP(CL146,Horarios!$H:$I,2,0),"")</f>
        <v/>
      </c>
      <c r="CO146" s="28" t="str">
        <f>IFERROR(VLOOKUP(CM146,Horarios!$H:$I,2,0),"")</f>
        <v/>
      </c>
      <c r="CP146" s="28" t="str">
        <f t="shared" si="112"/>
        <v>00:00</v>
      </c>
      <c r="CQ146" s="29"/>
      <c r="CR146" s="27"/>
      <c r="CS146" s="27"/>
      <c r="CT146" s="28" t="str">
        <f>IFERROR(VLOOKUP(CR146,Horarios!$H:$I,2,0),"")</f>
        <v/>
      </c>
      <c r="CU146" s="28" t="str">
        <f>IFERROR(VLOOKUP(CS146,Horarios!$H:$I,2,0),"")</f>
        <v/>
      </c>
      <c r="CV146" s="28" t="str">
        <f t="shared" si="113"/>
        <v>00:00</v>
      </c>
      <c r="CW146" s="29"/>
      <c r="CX146" s="27"/>
      <c r="CY146" s="27"/>
      <c r="CZ146" s="28" t="str">
        <f>IFERROR(VLOOKUP(CX146,Horarios!$H:$I,2,0),"")</f>
        <v/>
      </c>
      <c r="DA146" s="28" t="str">
        <f>IFERROR(VLOOKUP(CY146,Horarios!$H:$I,2,0),"")</f>
        <v/>
      </c>
      <c r="DB146" s="28" t="str">
        <f t="shared" si="114"/>
        <v>00:00</v>
      </c>
      <c r="DC146" s="29"/>
      <c r="DD146" s="27"/>
      <c r="DE146" s="27"/>
      <c r="DF146" s="28" t="str">
        <f>IFERROR(VLOOKUP(DD146,Horarios!$H:$I,2,0),"")</f>
        <v/>
      </c>
      <c r="DG146" s="28" t="str">
        <f>IFERROR(VLOOKUP(DE146,Horarios!$H:$I,2,0),"")</f>
        <v/>
      </c>
      <c r="DH146" s="28" t="str">
        <f t="shared" si="115"/>
        <v>00:00</v>
      </c>
      <c r="DI146" s="29"/>
      <c r="DJ146" s="27"/>
      <c r="DK146" s="27"/>
      <c r="DL146" s="28" t="str">
        <f>IFERROR(VLOOKUP(DJ146,Horarios!$H:$I,2,0),"")</f>
        <v/>
      </c>
      <c r="DM146" s="28" t="str">
        <f>IFERROR(VLOOKUP(DK146,Horarios!$H:$I,2,0),"")</f>
        <v/>
      </c>
      <c r="DN146" s="28" t="str">
        <f t="shared" si="116"/>
        <v>00:00</v>
      </c>
      <c r="DO146" s="29"/>
      <c r="DP146" s="27"/>
      <c r="DQ146" s="27"/>
      <c r="DR146" s="28" t="str">
        <f>IFERROR(VLOOKUP(DP146,Horarios!$H:$I,2,0),"")</f>
        <v/>
      </c>
      <c r="DS146" s="28" t="str">
        <f>IFERROR(VLOOKUP(DQ146,Horarios!$H:$I,2,0),"")</f>
        <v/>
      </c>
      <c r="DT146" s="28" t="str">
        <f t="shared" si="117"/>
        <v>00:00</v>
      </c>
      <c r="DU146" s="29"/>
      <c r="DV146" s="27"/>
      <c r="DW146" s="27"/>
      <c r="DX146" s="28" t="str">
        <f>IFERROR(VLOOKUP(DV146,Horarios!$H:$I,2,0),"")</f>
        <v/>
      </c>
      <c r="DY146" s="28" t="str">
        <f>IFERROR(VLOOKUP(DW146,Horarios!$H:$I,2,0),"")</f>
        <v/>
      </c>
      <c r="DZ146" s="28" t="str">
        <f t="shared" si="118"/>
        <v>00:00</v>
      </c>
      <c r="EA146" s="29"/>
      <c r="EB146" s="31" t="str">
        <f t="shared" si="119"/>
        <v/>
      </c>
      <c r="EC146" s="27"/>
      <c r="ED146" s="27"/>
      <c r="EE146" s="28" t="str">
        <f>IFERROR(VLOOKUP(EC146,Horarios!$H:$I,2,0),"")</f>
        <v/>
      </c>
      <c r="EF146" s="28" t="str">
        <f>IFERROR(VLOOKUP(ED146,Horarios!$H:$I,2,0),"")</f>
        <v/>
      </c>
      <c r="EG146" s="28" t="str">
        <f t="shared" si="120"/>
        <v>00:00</v>
      </c>
      <c r="EH146" s="29"/>
      <c r="EI146" s="27"/>
      <c r="EJ146" s="27"/>
      <c r="EK146" s="28" t="str">
        <f>IFERROR(VLOOKUP(EI146,Horarios!$H:$I,2,0),"")</f>
        <v/>
      </c>
      <c r="EL146" s="28" t="str">
        <f>IFERROR(VLOOKUP(EJ146,Horarios!$H:$I,2,0),"")</f>
        <v/>
      </c>
      <c r="EM146" s="28" t="str">
        <f t="shared" si="121"/>
        <v>00:00</v>
      </c>
      <c r="EN146" s="29"/>
      <c r="EO146" s="27"/>
      <c r="EP146" s="27"/>
      <c r="EQ146" s="28" t="str">
        <f>IFERROR(VLOOKUP(EO146,Horarios!$H:$I,2,0),"")</f>
        <v/>
      </c>
      <c r="ER146" s="28" t="str">
        <f>IFERROR(VLOOKUP(EP146,Horarios!$H:$I,2,0),"")</f>
        <v/>
      </c>
      <c r="ES146" s="28" t="str">
        <f t="shared" si="122"/>
        <v>00:00</v>
      </c>
      <c r="ET146" s="29"/>
      <c r="EU146" s="27"/>
      <c r="EV146" s="27"/>
      <c r="EW146" s="28" t="str">
        <f>IFERROR(VLOOKUP(EU146,Horarios!$H:$I,2,0),"")</f>
        <v/>
      </c>
      <c r="EX146" s="28" t="str">
        <f>IFERROR(VLOOKUP(EV146,Horarios!$H:$I,2,0),"")</f>
        <v/>
      </c>
      <c r="EY146" s="28" t="str">
        <f t="shared" si="123"/>
        <v>00:00</v>
      </c>
      <c r="EZ146" s="29"/>
      <c r="FA146" s="27"/>
      <c r="FB146" s="27"/>
      <c r="FC146" s="28" t="str">
        <f>IFERROR(VLOOKUP(FA146,Horarios!$H:$I,2,0),"")</f>
        <v/>
      </c>
      <c r="FD146" s="28" t="str">
        <f>IFERROR(VLOOKUP(FB146,Horarios!$H:$I,2,0),"")</f>
        <v/>
      </c>
      <c r="FE146" s="28" t="str">
        <f t="shared" si="124"/>
        <v>00:00</v>
      </c>
      <c r="FF146" s="29"/>
      <c r="FG146" s="27"/>
      <c r="FH146" s="27"/>
      <c r="FI146" s="28" t="str">
        <f>IFERROR(VLOOKUP(FG146,Horarios!$H:$I,2,0),"")</f>
        <v/>
      </c>
      <c r="FJ146" s="28" t="str">
        <f>IFERROR(VLOOKUP(FH146,Horarios!$H:$I,2,0),"")</f>
        <v/>
      </c>
      <c r="FK146" s="28" t="str">
        <f t="shared" si="125"/>
        <v>00:00</v>
      </c>
      <c r="FL146" s="29"/>
      <c r="FM146" s="27"/>
      <c r="FN146" s="27"/>
      <c r="FO146" s="28" t="str">
        <f>IFERROR(VLOOKUP(FM146,Horarios!$H:$I,2,0),"")</f>
        <v/>
      </c>
      <c r="FP146" s="28" t="str">
        <f>IFERROR(VLOOKUP(FN146,Horarios!$H:$I,2,0),"")</f>
        <v/>
      </c>
      <c r="FQ146" s="28" t="str">
        <f t="shared" si="126"/>
        <v>00:00</v>
      </c>
      <c r="FR146" s="29"/>
      <c r="FS146" s="31" t="str">
        <f t="shared" si="127"/>
        <v/>
      </c>
      <c r="FT146" s="27"/>
      <c r="FU146" s="27"/>
      <c r="FV146" s="28" t="str">
        <f>IFERROR(VLOOKUP(FT146,Horarios!$H:$I,2,0),"")</f>
        <v/>
      </c>
      <c r="FW146" s="28" t="str">
        <f>IFERROR(VLOOKUP(FU146,Horarios!$H:$I,2,0),"")</f>
        <v/>
      </c>
      <c r="FX146" s="28" t="str">
        <f t="shared" si="128"/>
        <v>00:00</v>
      </c>
      <c r="FY146" s="29"/>
      <c r="FZ146" s="27"/>
      <c r="GA146" s="27"/>
      <c r="GB146" s="28" t="str">
        <f>IFERROR(VLOOKUP(FZ146,Horarios!$H:$I,2,0),"")</f>
        <v/>
      </c>
      <c r="GC146" s="28" t="str">
        <f>IFERROR(VLOOKUP(GA146,Horarios!$H:$I,2,0),"")</f>
        <v/>
      </c>
      <c r="GD146" s="28" t="str">
        <f t="shared" si="129"/>
        <v>00:00</v>
      </c>
      <c r="GE146" s="29"/>
      <c r="GF146" s="27"/>
      <c r="GG146" s="27"/>
      <c r="GH146" s="28" t="str">
        <f>IFERROR(VLOOKUP(GF146,Horarios!$H:$I,2,0),"")</f>
        <v/>
      </c>
      <c r="GI146" s="28" t="str">
        <f>IFERROR(VLOOKUP(GG146,Horarios!$H:$I,2,0),"")</f>
        <v/>
      </c>
      <c r="GJ146" s="28" t="str">
        <f t="shared" si="130"/>
        <v>00:00</v>
      </c>
      <c r="GK146" s="29"/>
      <c r="GL146" s="27"/>
      <c r="GM146" s="27"/>
      <c r="GN146" s="28" t="str">
        <f>IFERROR(VLOOKUP(GL146,Horarios!$H:$I,2,0),"")</f>
        <v/>
      </c>
      <c r="GO146" s="28" t="str">
        <f>IFERROR(VLOOKUP(GM146,Horarios!$H:$I,2,0),"")</f>
        <v/>
      </c>
      <c r="GP146" s="28" t="str">
        <f t="shared" si="131"/>
        <v>00:00</v>
      </c>
      <c r="GQ146" s="29"/>
      <c r="GR146" s="27"/>
      <c r="GS146" s="27"/>
      <c r="GT146" s="28" t="str">
        <f>IFERROR(VLOOKUP(GR146,Horarios!$H:$I,2,0),"")</f>
        <v/>
      </c>
      <c r="GU146" s="28" t="str">
        <f>IFERROR(VLOOKUP(GS146,Horarios!$H:$I,2,0),"")</f>
        <v/>
      </c>
      <c r="GV146" s="28" t="str">
        <f t="shared" si="132"/>
        <v>00:00</v>
      </c>
      <c r="GW146" s="29"/>
      <c r="GX146" s="27"/>
      <c r="GY146" s="27"/>
      <c r="GZ146" s="28" t="str">
        <f>IFERROR(VLOOKUP(GX146,Horarios!$H:$I,2,0),"")</f>
        <v/>
      </c>
      <c r="HA146" s="28" t="str">
        <f>IFERROR(VLOOKUP(GY146,Horarios!$H:$I,2,0),"")</f>
        <v/>
      </c>
      <c r="HB146" s="28" t="str">
        <f t="shared" si="133"/>
        <v>00:00</v>
      </c>
      <c r="HC146" s="29"/>
      <c r="HD146" s="27"/>
      <c r="HE146" s="27"/>
      <c r="HF146" s="28" t="str">
        <f>IFERROR(VLOOKUP(HD146,Horarios!$H:$I,2,0),"")</f>
        <v/>
      </c>
      <c r="HG146" s="28" t="str">
        <f>IFERROR(VLOOKUP(HE146,Horarios!$H:$I,2,0),"")</f>
        <v/>
      </c>
      <c r="HH146" s="28" t="str">
        <f t="shared" si="134"/>
        <v>00:00</v>
      </c>
      <c r="HI146" s="29"/>
      <c r="HJ146" s="31" t="str">
        <f t="shared" si="135"/>
        <v/>
      </c>
      <c r="HK146" s="27"/>
      <c r="HL146" s="27"/>
      <c r="HM146" s="28" t="str">
        <f>IFERROR(VLOOKUP(HK146,Horarios!$H:$I,2,0),"")</f>
        <v/>
      </c>
      <c r="HN146" s="28" t="str">
        <f>IFERROR(VLOOKUP(HL146,Horarios!$H:$I,2,0),"")</f>
        <v/>
      </c>
      <c r="HO146" s="28" t="str">
        <f t="shared" si="136"/>
        <v>00:00</v>
      </c>
      <c r="HP146" s="29"/>
      <c r="HQ146" s="27"/>
      <c r="HR146" s="27"/>
      <c r="HS146" s="28" t="str">
        <f>IFERROR(VLOOKUP(HQ146,Horarios!$H:$I,2,0),"")</f>
        <v/>
      </c>
      <c r="HT146" s="28" t="str">
        <f>IFERROR(VLOOKUP(HR146,Horarios!$H:$I,2,0),"")</f>
        <v/>
      </c>
      <c r="HU146" s="28" t="str">
        <f t="shared" si="137"/>
        <v>00:00</v>
      </c>
      <c r="HV146" s="29"/>
      <c r="HW146" s="27"/>
      <c r="HX146" s="27"/>
      <c r="HY146" s="28" t="str">
        <f>IFERROR(VLOOKUP(HW146,Horarios!$H:$I,2,0),"")</f>
        <v/>
      </c>
      <c r="HZ146" s="28" t="str">
        <f>IFERROR(VLOOKUP(HX146,Horarios!$H:$I,2,0),"")</f>
        <v/>
      </c>
      <c r="IA146" s="28" t="str">
        <f t="shared" si="138"/>
        <v>00:00</v>
      </c>
      <c r="IB146" s="29"/>
      <c r="IC146" s="27"/>
      <c r="ID146" s="27"/>
      <c r="IE146" s="28" t="str">
        <f>IFERROR(VLOOKUP(IC146,Horarios!$H:$I,2,0),"")</f>
        <v/>
      </c>
      <c r="IF146" s="28" t="str">
        <f>IFERROR(VLOOKUP(ID146,Horarios!$H:$I,2,0),"")</f>
        <v/>
      </c>
      <c r="IG146" s="28" t="str">
        <f t="shared" si="139"/>
        <v>00:00</v>
      </c>
      <c r="IH146" s="29"/>
      <c r="II146" s="27"/>
      <c r="IJ146" s="27"/>
      <c r="IK146" s="28" t="str">
        <f>IFERROR(VLOOKUP(II146,Horarios!$H:$I,2,0),"")</f>
        <v/>
      </c>
      <c r="IL146" s="28" t="str">
        <f>IFERROR(VLOOKUP(IJ146,Horarios!$H:$I,2,0),"")</f>
        <v/>
      </c>
      <c r="IM146" s="28" t="str">
        <f t="shared" si="140"/>
        <v>00:00</v>
      </c>
      <c r="IN146" s="29"/>
      <c r="IO146" s="27"/>
      <c r="IP146" s="27"/>
      <c r="IQ146" s="28" t="str">
        <f>IFERROR(VLOOKUP(IO146,Horarios!$H:$I,2,0),"")</f>
        <v/>
      </c>
      <c r="IR146" s="28" t="str">
        <f>IFERROR(VLOOKUP(IP146,Horarios!$H:$I,2,0),"")</f>
        <v/>
      </c>
      <c r="IS146" s="28" t="str">
        <f t="shared" si="141"/>
        <v>00:00</v>
      </c>
      <c r="IT146" s="29"/>
      <c r="IU146" s="27"/>
      <c r="IV146" s="27"/>
      <c r="IW146" s="28" t="str">
        <f>IFERROR(VLOOKUP(IU146,Horarios!$H:$I,2,0),"")</f>
        <v/>
      </c>
      <c r="IX146" s="28" t="str">
        <f>IFERROR(VLOOKUP(IV146,Horarios!$H:$I,2,0),"")</f>
        <v/>
      </c>
      <c r="IY146" s="28" t="str">
        <f t="shared" si="142"/>
        <v>00:00</v>
      </c>
      <c r="IZ146" s="29"/>
      <c r="JA146" s="31" t="str">
        <f t="shared" si="143"/>
        <v/>
      </c>
    </row>
    <row r="147" spans="1:261" s="24" customFormat="1" ht="17.399999999999999" x14ac:dyDescent="0.25">
      <c r="A147" s="25"/>
      <c r="B147" s="26" t="str">
        <f>IFERROR(VLOOKUP(A147,BaseNombres!A:B,2,0),"")</f>
        <v/>
      </c>
      <c r="C147" s="26" t="str">
        <f>IFERROR(VLOOKUP(A147,BaseNombres!A:C,3,0),"")</f>
        <v/>
      </c>
      <c r="D147" s="27"/>
      <c r="E147" s="27"/>
      <c r="F147" s="28" t="str">
        <f>IFERROR(VLOOKUP(D147,Horarios!$H:$I,2,0),"")</f>
        <v/>
      </c>
      <c r="G147" s="28" t="str">
        <f>IFERROR(VLOOKUP(E147,Horarios!$H:$I,2,0),"")</f>
        <v/>
      </c>
      <c r="H147" s="28" t="str">
        <f t="shared" si="96"/>
        <v>00:00</v>
      </c>
      <c r="I147" s="29"/>
      <c r="J147" s="27"/>
      <c r="K147" s="27"/>
      <c r="L147" s="28" t="str">
        <f>IFERROR(VLOOKUP(J147,Horarios!$H:$I,2,0),"")</f>
        <v/>
      </c>
      <c r="M147" s="28" t="str">
        <f>IFERROR(VLOOKUP(K147,Horarios!$H:$I,2,0),"")</f>
        <v/>
      </c>
      <c r="N147" s="28" t="str">
        <f t="shared" si="97"/>
        <v>00:00</v>
      </c>
      <c r="O147" s="29"/>
      <c r="P147" s="27"/>
      <c r="Q147" s="27"/>
      <c r="R147" s="28" t="str">
        <f>IFERROR(VLOOKUP(P147,Horarios!$H:$I,2,0),"")</f>
        <v/>
      </c>
      <c r="S147" s="28" t="str">
        <f>IFERROR(VLOOKUP(Q147,Horarios!$H:$I,2,0),"")</f>
        <v/>
      </c>
      <c r="T147" s="28" t="str">
        <f t="shared" si="98"/>
        <v>00:00</v>
      </c>
      <c r="U147" s="29"/>
      <c r="V147" s="27"/>
      <c r="W147" s="27"/>
      <c r="X147" s="28" t="str">
        <f>IFERROR(VLOOKUP(V147,Horarios!$H:$I,2,0),"")</f>
        <v/>
      </c>
      <c r="Y147" s="28" t="str">
        <f>IFERROR(VLOOKUP(W147,Horarios!$H:$I,2,0),"")</f>
        <v/>
      </c>
      <c r="Z147" s="28" t="str">
        <f t="shared" si="99"/>
        <v>00:00</v>
      </c>
      <c r="AA147" s="29"/>
      <c r="AB147" s="27"/>
      <c r="AC147" s="27"/>
      <c r="AD147" s="28" t="str">
        <f>IFERROR(VLOOKUP(AB147,Horarios!$H:$I,2,0),"")</f>
        <v/>
      </c>
      <c r="AE147" s="28" t="str">
        <f>IFERROR(VLOOKUP(AC147,Horarios!$H:$I,2,0),"")</f>
        <v/>
      </c>
      <c r="AF147" s="28" t="str">
        <f t="shared" si="100"/>
        <v>00:00</v>
      </c>
      <c r="AG147" s="29"/>
      <c r="AH147" s="27"/>
      <c r="AI147" s="27"/>
      <c r="AJ147" s="28" t="str">
        <f>IFERROR(VLOOKUP(AH147,Horarios!$H:$I,2,0),"")</f>
        <v/>
      </c>
      <c r="AK147" s="28" t="str">
        <f>IFERROR(VLOOKUP(AI147,Horarios!$H:$I,2,0),"")</f>
        <v/>
      </c>
      <c r="AL147" s="28" t="str">
        <f t="shared" si="101"/>
        <v>00:00</v>
      </c>
      <c r="AM147" s="29"/>
      <c r="AN147" s="27"/>
      <c r="AO147" s="27"/>
      <c r="AP147" s="28" t="str">
        <f>IFERROR(VLOOKUP(AN147,Horarios!$H:$I,2,0),"")</f>
        <v/>
      </c>
      <c r="AQ147" s="28" t="str">
        <f>IFERROR(VLOOKUP(AO147,Horarios!$H:$I,2,0),"")</f>
        <v/>
      </c>
      <c r="AR147" s="28" t="str">
        <f t="shared" si="102"/>
        <v>00:00</v>
      </c>
      <c r="AS147" s="29"/>
      <c r="AT147" s="31" t="str">
        <f t="shared" si="103"/>
        <v/>
      </c>
      <c r="AU147" s="27"/>
      <c r="AV147" s="27"/>
      <c r="AW147" s="28" t="str">
        <f>IFERROR(VLOOKUP(AU147,Horarios!$H:$I,2,0),"")</f>
        <v/>
      </c>
      <c r="AX147" s="28" t="str">
        <f>IFERROR(VLOOKUP(AV147,Horarios!$H:$I,2,0),"")</f>
        <v/>
      </c>
      <c r="AY147" s="28" t="str">
        <f t="shared" si="104"/>
        <v>00:00</v>
      </c>
      <c r="AZ147" s="29"/>
      <c r="BA147" s="27"/>
      <c r="BB147" s="27"/>
      <c r="BC147" s="28" t="str">
        <f>IFERROR(VLOOKUP(BA147,Horarios!$H:$I,2,0),"")</f>
        <v/>
      </c>
      <c r="BD147" s="28" t="str">
        <f>IFERROR(VLOOKUP(BB147,Horarios!$H:$I,2,0),"")</f>
        <v/>
      </c>
      <c r="BE147" s="28" t="str">
        <f t="shared" si="105"/>
        <v>00:00</v>
      </c>
      <c r="BF147" s="29"/>
      <c r="BG147" s="27"/>
      <c r="BH147" s="27"/>
      <c r="BI147" s="28" t="str">
        <f>IFERROR(VLOOKUP(BG147,Horarios!$H:$I,2,0),"")</f>
        <v/>
      </c>
      <c r="BJ147" s="28" t="str">
        <f>IFERROR(VLOOKUP(BH147,Horarios!$H:$I,2,0),"")</f>
        <v/>
      </c>
      <c r="BK147" s="28" t="str">
        <f t="shared" si="106"/>
        <v>00:00</v>
      </c>
      <c r="BL147" s="29"/>
      <c r="BM147" s="27"/>
      <c r="BN147" s="27"/>
      <c r="BO147" s="28" t="str">
        <f>IFERROR(VLOOKUP(BM147,Horarios!$H:$I,2,0),"")</f>
        <v/>
      </c>
      <c r="BP147" s="28" t="str">
        <f>IFERROR(VLOOKUP(BN147,Horarios!$H:$I,2,0),"")</f>
        <v/>
      </c>
      <c r="BQ147" s="28" t="str">
        <f t="shared" si="107"/>
        <v>00:00</v>
      </c>
      <c r="BR147" s="29"/>
      <c r="BS147" s="27"/>
      <c r="BT147" s="27"/>
      <c r="BU147" s="28" t="str">
        <f>IFERROR(VLOOKUP(BS147,Horarios!$H:$I,2,0),"")</f>
        <v/>
      </c>
      <c r="BV147" s="28" t="str">
        <f>IFERROR(VLOOKUP(BT147,Horarios!$H:$I,2,0),"")</f>
        <v/>
      </c>
      <c r="BW147" s="28" t="str">
        <f t="shared" si="108"/>
        <v>00:00</v>
      </c>
      <c r="BX147" s="29"/>
      <c r="BY147" s="27"/>
      <c r="BZ147" s="27"/>
      <c r="CA147" s="28" t="str">
        <f>IFERROR(VLOOKUP(BY147,Horarios!$H:$I,2,0),"")</f>
        <v/>
      </c>
      <c r="CB147" s="28" t="str">
        <f>IFERROR(VLOOKUP(BZ147,Horarios!$H:$I,2,0),"")</f>
        <v/>
      </c>
      <c r="CC147" s="28" t="str">
        <f t="shared" si="109"/>
        <v>00:00</v>
      </c>
      <c r="CD147" s="29"/>
      <c r="CE147" s="27"/>
      <c r="CF147" s="27"/>
      <c r="CG147" s="28" t="str">
        <f>IFERROR(VLOOKUP(CE147,Horarios!$H:$I,2,0),"")</f>
        <v/>
      </c>
      <c r="CH147" s="28" t="str">
        <f>IFERROR(VLOOKUP(CF147,Horarios!$H:$I,2,0),"")</f>
        <v/>
      </c>
      <c r="CI147" s="28" t="str">
        <f t="shared" si="110"/>
        <v>00:00</v>
      </c>
      <c r="CJ147" s="29"/>
      <c r="CK147" s="31" t="str">
        <f t="shared" si="111"/>
        <v/>
      </c>
      <c r="CL147" s="27"/>
      <c r="CM147" s="27"/>
      <c r="CN147" s="28" t="str">
        <f>IFERROR(VLOOKUP(CL147,Horarios!$H:$I,2,0),"")</f>
        <v/>
      </c>
      <c r="CO147" s="28" t="str">
        <f>IFERROR(VLOOKUP(CM147,Horarios!$H:$I,2,0),"")</f>
        <v/>
      </c>
      <c r="CP147" s="28" t="str">
        <f t="shared" si="112"/>
        <v>00:00</v>
      </c>
      <c r="CQ147" s="29"/>
      <c r="CR147" s="27"/>
      <c r="CS147" s="27"/>
      <c r="CT147" s="28" t="str">
        <f>IFERROR(VLOOKUP(CR147,Horarios!$H:$I,2,0),"")</f>
        <v/>
      </c>
      <c r="CU147" s="28" t="str">
        <f>IFERROR(VLOOKUP(CS147,Horarios!$H:$I,2,0),"")</f>
        <v/>
      </c>
      <c r="CV147" s="28" t="str">
        <f t="shared" si="113"/>
        <v>00:00</v>
      </c>
      <c r="CW147" s="29"/>
      <c r="CX147" s="27"/>
      <c r="CY147" s="27"/>
      <c r="CZ147" s="28" t="str">
        <f>IFERROR(VLOOKUP(CX147,Horarios!$H:$I,2,0),"")</f>
        <v/>
      </c>
      <c r="DA147" s="28" t="str">
        <f>IFERROR(VLOOKUP(CY147,Horarios!$H:$I,2,0),"")</f>
        <v/>
      </c>
      <c r="DB147" s="28" t="str">
        <f t="shared" si="114"/>
        <v>00:00</v>
      </c>
      <c r="DC147" s="29"/>
      <c r="DD147" s="27"/>
      <c r="DE147" s="27"/>
      <c r="DF147" s="28" t="str">
        <f>IFERROR(VLOOKUP(DD147,Horarios!$H:$I,2,0),"")</f>
        <v/>
      </c>
      <c r="DG147" s="28" t="str">
        <f>IFERROR(VLOOKUP(DE147,Horarios!$H:$I,2,0),"")</f>
        <v/>
      </c>
      <c r="DH147" s="28" t="str">
        <f t="shared" si="115"/>
        <v>00:00</v>
      </c>
      <c r="DI147" s="29"/>
      <c r="DJ147" s="27"/>
      <c r="DK147" s="27"/>
      <c r="DL147" s="28" t="str">
        <f>IFERROR(VLOOKUP(DJ147,Horarios!$H:$I,2,0),"")</f>
        <v/>
      </c>
      <c r="DM147" s="28" t="str">
        <f>IFERROR(VLOOKUP(DK147,Horarios!$H:$I,2,0),"")</f>
        <v/>
      </c>
      <c r="DN147" s="28" t="str">
        <f t="shared" si="116"/>
        <v>00:00</v>
      </c>
      <c r="DO147" s="29"/>
      <c r="DP147" s="27"/>
      <c r="DQ147" s="27"/>
      <c r="DR147" s="28" t="str">
        <f>IFERROR(VLOOKUP(DP147,Horarios!$H:$I,2,0),"")</f>
        <v/>
      </c>
      <c r="DS147" s="28" t="str">
        <f>IFERROR(VLOOKUP(DQ147,Horarios!$H:$I,2,0),"")</f>
        <v/>
      </c>
      <c r="DT147" s="28" t="str">
        <f t="shared" si="117"/>
        <v>00:00</v>
      </c>
      <c r="DU147" s="29"/>
      <c r="DV147" s="27"/>
      <c r="DW147" s="27"/>
      <c r="DX147" s="28" t="str">
        <f>IFERROR(VLOOKUP(DV147,Horarios!$H:$I,2,0),"")</f>
        <v/>
      </c>
      <c r="DY147" s="28" t="str">
        <f>IFERROR(VLOOKUP(DW147,Horarios!$H:$I,2,0),"")</f>
        <v/>
      </c>
      <c r="DZ147" s="28" t="str">
        <f t="shared" si="118"/>
        <v>00:00</v>
      </c>
      <c r="EA147" s="29"/>
      <c r="EB147" s="31" t="str">
        <f t="shared" si="119"/>
        <v/>
      </c>
      <c r="EC147" s="27"/>
      <c r="ED147" s="27"/>
      <c r="EE147" s="28" t="str">
        <f>IFERROR(VLOOKUP(EC147,Horarios!$H:$I,2,0),"")</f>
        <v/>
      </c>
      <c r="EF147" s="28" t="str">
        <f>IFERROR(VLOOKUP(ED147,Horarios!$H:$I,2,0),"")</f>
        <v/>
      </c>
      <c r="EG147" s="28" t="str">
        <f t="shared" si="120"/>
        <v>00:00</v>
      </c>
      <c r="EH147" s="29"/>
      <c r="EI147" s="27"/>
      <c r="EJ147" s="27"/>
      <c r="EK147" s="28" t="str">
        <f>IFERROR(VLOOKUP(EI147,Horarios!$H:$I,2,0),"")</f>
        <v/>
      </c>
      <c r="EL147" s="28" t="str">
        <f>IFERROR(VLOOKUP(EJ147,Horarios!$H:$I,2,0),"")</f>
        <v/>
      </c>
      <c r="EM147" s="28" t="str">
        <f t="shared" si="121"/>
        <v>00:00</v>
      </c>
      <c r="EN147" s="29"/>
      <c r="EO147" s="27"/>
      <c r="EP147" s="27"/>
      <c r="EQ147" s="28" t="str">
        <f>IFERROR(VLOOKUP(EO147,Horarios!$H:$I,2,0),"")</f>
        <v/>
      </c>
      <c r="ER147" s="28" t="str">
        <f>IFERROR(VLOOKUP(EP147,Horarios!$H:$I,2,0),"")</f>
        <v/>
      </c>
      <c r="ES147" s="28" t="str">
        <f t="shared" si="122"/>
        <v>00:00</v>
      </c>
      <c r="ET147" s="29"/>
      <c r="EU147" s="27"/>
      <c r="EV147" s="27"/>
      <c r="EW147" s="28" t="str">
        <f>IFERROR(VLOOKUP(EU147,Horarios!$H:$I,2,0),"")</f>
        <v/>
      </c>
      <c r="EX147" s="28" t="str">
        <f>IFERROR(VLOOKUP(EV147,Horarios!$H:$I,2,0),"")</f>
        <v/>
      </c>
      <c r="EY147" s="28" t="str">
        <f t="shared" si="123"/>
        <v>00:00</v>
      </c>
      <c r="EZ147" s="29"/>
      <c r="FA147" s="27"/>
      <c r="FB147" s="27"/>
      <c r="FC147" s="28" t="str">
        <f>IFERROR(VLOOKUP(FA147,Horarios!$H:$I,2,0),"")</f>
        <v/>
      </c>
      <c r="FD147" s="28" t="str">
        <f>IFERROR(VLOOKUP(FB147,Horarios!$H:$I,2,0),"")</f>
        <v/>
      </c>
      <c r="FE147" s="28" t="str">
        <f t="shared" si="124"/>
        <v>00:00</v>
      </c>
      <c r="FF147" s="29"/>
      <c r="FG147" s="27"/>
      <c r="FH147" s="27"/>
      <c r="FI147" s="28" t="str">
        <f>IFERROR(VLOOKUP(FG147,Horarios!$H:$I,2,0),"")</f>
        <v/>
      </c>
      <c r="FJ147" s="28" t="str">
        <f>IFERROR(VLOOKUP(FH147,Horarios!$H:$I,2,0),"")</f>
        <v/>
      </c>
      <c r="FK147" s="28" t="str">
        <f t="shared" si="125"/>
        <v>00:00</v>
      </c>
      <c r="FL147" s="29"/>
      <c r="FM147" s="27"/>
      <c r="FN147" s="27"/>
      <c r="FO147" s="28" t="str">
        <f>IFERROR(VLOOKUP(FM147,Horarios!$H:$I,2,0),"")</f>
        <v/>
      </c>
      <c r="FP147" s="28" t="str">
        <f>IFERROR(VLOOKUP(FN147,Horarios!$H:$I,2,0),"")</f>
        <v/>
      </c>
      <c r="FQ147" s="28" t="str">
        <f t="shared" si="126"/>
        <v>00:00</v>
      </c>
      <c r="FR147" s="29"/>
      <c r="FS147" s="31" t="str">
        <f t="shared" si="127"/>
        <v/>
      </c>
      <c r="FT147" s="27"/>
      <c r="FU147" s="27"/>
      <c r="FV147" s="28" t="str">
        <f>IFERROR(VLOOKUP(FT147,Horarios!$H:$I,2,0),"")</f>
        <v/>
      </c>
      <c r="FW147" s="28" t="str">
        <f>IFERROR(VLOOKUP(FU147,Horarios!$H:$I,2,0),"")</f>
        <v/>
      </c>
      <c r="FX147" s="28" t="str">
        <f t="shared" si="128"/>
        <v>00:00</v>
      </c>
      <c r="FY147" s="29"/>
      <c r="FZ147" s="27"/>
      <c r="GA147" s="27"/>
      <c r="GB147" s="28" t="str">
        <f>IFERROR(VLOOKUP(FZ147,Horarios!$H:$I,2,0),"")</f>
        <v/>
      </c>
      <c r="GC147" s="28" t="str">
        <f>IFERROR(VLOOKUP(GA147,Horarios!$H:$I,2,0),"")</f>
        <v/>
      </c>
      <c r="GD147" s="28" t="str">
        <f t="shared" si="129"/>
        <v>00:00</v>
      </c>
      <c r="GE147" s="29"/>
      <c r="GF147" s="27"/>
      <c r="GG147" s="27"/>
      <c r="GH147" s="28" t="str">
        <f>IFERROR(VLOOKUP(GF147,Horarios!$H:$I,2,0),"")</f>
        <v/>
      </c>
      <c r="GI147" s="28" t="str">
        <f>IFERROR(VLOOKUP(GG147,Horarios!$H:$I,2,0),"")</f>
        <v/>
      </c>
      <c r="GJ147" s="28" t="str">
        <f t="shared" si="130"/>
        <v>00:00</v>
      </c>
      <c r="GK147" s="29"/>
      <c r="GL147" s="27"/>
      <c r="GM147" s="27"/>
      <c r="GN147" s="28" t="str">
        <f>IFERROR(VLOOKUP(GL147,Horarios!$H:$I,2,0),"")</f>
        <v/>
      </c>
      <c r="GO147" s="28" t="str">
        <f>IFERROR(VLOOKUP(GM147,Horarios!$H:$I,2,0),"")</f>
        <v/>
      </c>
      <c r="GP147" s="28" t="str">
        <f t="shared" si="131"/>
        <v>00:00</v>
      </c>
      <c r="GQ147" s="29"/>
      <c r="GR147" s="27"/>
      <c r="GS147" s="27"/>
      <c r="GT147" s="28" t="str">
        <f>IFERROR(VLOOKUP(GR147,Horarios!$H:$I,2,0),"")</f>
        <v/>
      </c>
      <c r="GU147" s="28" t="str">
        <f>IFERROR(VLOOKUP(GS147,Horarios!$H:$I,2,0),"")</f>
        <v/>
      </c>
      <c r="GV147" s="28" t="str">
        <f t="shared" si="132"/>
        <v>00:00</v>
      </c>
      <c r="GW147" s="29"/>
      <c r="GX147" s="27"/>
      <c r="GY147" s="27"/>
      <c r="GZ147" s="28" t="str">
        <f>IFERROR(VLOOKUP(GX147,Horarios!$H:$I,2,0),"")</f>
        <v/>
      </c>
      <c r="HA147" s="28" t="str">
        <f>IFERROR(VLOOKUP(GY147,Horarios!$H:$I,2,0),"")</f>
        <v/>
      </c>
      <c r="HB147" s="28" t="str">
        <f t="shared" si="133"/>
        <v>00:00</v>
      </c>
      <c r="HC147" s="29"/>
      <c r="HD147" s="27"/>
      <c r="HE147" s="27"/>
      <c r="HF147" s="28" t="str">
        <f>IFERROR(VLOOKUP(HD147,Horarios!$H:$I,2,0),"")</f>
        <v/>
      </c>
      <c r="HG147" s="28" t="str">
        <f>IFERROR(VLOOKUP(HE147,Horarios!$H:$I,2,0),"")</f>
        <v/>
      </c>
      <c r="HH147" s="28" t="str">
        <f t="shared" si="134"/>
        <v>00:00</v>
      </c>
      <c r="HI147" s="29"/>
      <c r="HJ147" s="31" t="str">
        <f t="shared" si="135"/>
        <v/>
      </c>
      <c r="HK147" s="27"/>
      <c r="HL147" s="27"/>
      <c r="HM147" s="28" t="str">
        <f>IFERROR(VLOOKUP(HK147,Horarios!$H:$I,2,0),"")</f>
        <v/>
      </c>
      <c r="HN147" s="28" t="str">
        <f>IFERROR(VLOOKUP(HL147,Horarios!$H:$I,2,0),"")</f>
        <v/>
      </c>
      <c r="HO147" s="28" t="str">
        <f t="shared" si="136"/>
        <v>00:00</v>
      </c>
      <c r="HP147" s="29"/>
      <c r="HQ147" s="27"/>
      <c r="HR147" s="27"/>
      <c r="HS147" s="28" t="str">
        <f>IFERROR(VLOOKUP(HQ147,Horarios!$H:$I,2,0),"")</f>
        <v/>
      </c>
      <c r="HT147" s="28" t="str">
        <f>IFERROR(VLOOKUP(HR147,Horarios!$H:$I,2,0),"")</f>
        <v/>
      </c>
      <c r="HU147" s="28" t="str">
        <f t="shared" si="137"/>
        <v>00:00</v>
      </c>
      <c r="HV147" s="29"/>
      <c r="HW147" s="27"/>
      <c r="HX147" s="27"/>
      <c r="HY147" s="28" t="str">
        <f>IFERROR(VLOOKUP(HW147,Horarios!$H:$I,2,0),"")</f>
        <v/>
      </c>
      <c r="HZ147" s="28" t="str">
        <f>IFERROR(VLOOKUP(HX147,Horarios!$H:$I,2,0),"")</f>
        <v/>
      </c>
      <c r="IA147" s="28" t="str">
        <f t="shared" si="138"/>
        <v>00:00</v>
      </c>
      <c r="IB147" s="29"/>
      <c r="IC147" s="27"/>
      <c r="ID147" s="27"/>
      <c r="IE147" s="28" t="str">
        <f>IFERROR(VLOOKUP(IC147,Horarios!$H:$I,2,0),"")</f>
        <v/>
      </c>
      <c r="IF147" s="28" t="str">
        <f>IFERROR(VLOOKUP(ID147,Horarios!$H:$I,2,0),"")</f>
        <v/>
      </c>
      <c r="IG147" s="28" t="str">
        <f t="shared" si="139"/>
        <v>00:00</v>
      </c>
      <c r="IH147" s="29"/>
      <c r="II147" s="27"/>
      <c r="IJ147" s="27"/>
      <c r="IK147" s="28" t="str">
        <f>IFERROR(VLOOKUP(II147,Horarios!$H:$I,2,0),"")</f>
        <v/>
      </c>
      <c r="IL147" s="28" t="str">
        <f>IFERROR(VLOOKUP(IJ147,Horarios!$H:$I,2,0),"")</f>
        <v/>
      </c>
      <c r="IM147" s="28" t="str">
        <f t="shared" si="140"/>
        <v>00:00</v>
      </c>
      <c r="IN147" s="29"/>
      <c r="IO147" s="27"/>
      <c r="IP147" s="27"/>
      <c r="IQ147" s="28" t="str">
        <f>IFERROR(VLOOKUP(IO147,Horarios!$H:$I,2,0),"")</f>
        <v/>
      </c>
      <c r="IR147" s="28" t="str">
        <f>IFERROR(VLOOKUP(IP147,Horarios!$H:$I,2,0),"")</f>
        <v/>
      </c>
      <c r="IS147" s="28" t="str">
        <f t="shared" si="141"/>
        <v>00:00</v>
      </c>
      <c r="IT147" s="29"/>
      <c r="IU147" s="27"/>
      <c r="IV147" s="27"/>
      <c r="IW147" s="28" t="str">
        <f>IFERROR(VLOOKUP(IU147,Horarios!$H:$I,2,0),"")</f>
        <v/>
      </c>
      <c r="IX147" s="28" t="str">
        <f>IFERROR(VLOOKUP(IV147,Horarios!$H:$I,2,0),"")</f>
        <v/>
      </c>
      <c r="IY147" s="28" t="str">
        <f t="shared" si="142"/>
        <v>00:00</v>
      </c>
      <c r="IZ147" s="29"/>
      <c r="JA147" s="31" t="str">
        <f t="shared" si="143"/>
        <v/>
      </c>
    </row>
    <row r="148" spans="1:261" s="24" customFormat="1" ht="17.399999999999999" x14ac:dyDescent="0.25">
      <c r="A148" s="25"/>
      <c r="B148" s="26" t="str">
        <f>IFERROR(VLOOKUP(A148,BaseNombres!A:B,2,0),"")</f>
        <v/>
      </c>
      <c r="C148" s="26" t="str">
        <f>IFERROR(VLOOKUP(A148,BaseNombres!A:C,3,0),"")</f>
        <v/>
      </c>
      <c r="D148" s="27"/>
      <c r="E148" s="27"/>
      <c r="F148" s="28" t="str">
        <f>IFERROR(VLOOKUP(D148,Horarios!$H:$I,2,0),"")</f>
        <v/>
      </c>
      <c r="G148" s="28" t="str">
        <f>IFERROR(VLOOKUP(E148,Horarios!$H:$I,2,0),"")</f>
        <v/>
      </c>
      <c r="H148" s="28" t="str">
        <f t="shared" si="96"/>
        <v>00:00</v>
      </c>
      <c r="I148" s="29"/>
      <c r="J148" s="27"/>
      <c r="K148" s="27"/>
      <c r="L148" s="28" t="str">
        <f>IFERROR(VLOOKUP(J148,Horarios!$H:$I,2,0),"")</f>
        <v/>
      </c>
      <c r="M148" s="28" t="str">
        <f>IFERROR(VLOOKUP(K148,Horarios!$H:$I,2,0),"")</f>
        <v/>
      </c>
      <c r="N148" s="28" t="str">
        <f t="shared" si="97"/>
        <v>00:00</v>
      </c>
      <c r="O148" s="29"/>
      <c r="P148" s="27"/>
      <c r="Q148" s="27"/>
      <c r="R148" s="28" t="str">
        <f>IFERROR(VLOOKUP(P148,Horarios!$H:$I,2,0),"")</f>
        <v/>
      </c>
      <c r="S148" s="28" t="str">
        <f>IFERROR(VLOOKUP(Q148,Horarios!$H:$I,2,0),"")</f>
        <v/>
      </c>
      <c r="T148" s="28" t="str">
        <f t="shared" si="98"/>
        <v>00:00</v>
      </c>
      <c r="U148" s="29"/>
      <c r="V148" s="27"/>
      <c r="W148" s="27"/>
      <c r="X148" s="28" t="str">
        <f>IFERROR(VLOOKUP(V148,Horarios!$H:$I,2,0),"")</f>
        <v/>
      </c>
      <c r="Y148" s="28" t="str">
        <f>IFERROR(VLOOKUP(W148,Horarios!$H:$I,2,0),"")</f>
        <v/>
      </c>
      <c r="Z148" s="28" t="str">
        <f t="shared" si="99"/>
        <v>00:00</v>
      </c>
      <c r="AA148" s="29"/>
      <c r="AB148" s="27"/>
      <c r="AC148" s="27"/>
      <c r="AD148" s="28" t="str">
        <f>IFERROR(VLOOKUP(AB148,Horarios!$H:$I,2,0),"")</f>
        <v/>
      </c>
      <c r="AE148" s="28" t="str">
        <f>IFERROR(VLOOKUP(AC148,Horarios!$H:$I,2,0),"")</f>
        <v/>
      </c>
      <c r="AF148" s="28" t="str">
        <f t="shared" si="100"/>
        <v>00:00</v>
      </c>
      <c r="AG148" s="29"/>
      <c r="AH148" s="27"/>
      <c r="AI148" s="27"/>
      <c r="AJ148" s="28" t="str">
        <f>IFERROR(VLOOKUP(AH148,Horarios!$H:$I,2,0),"")</f>
        <v/>
      </c>
      <c r="AK148" s="28" t="str">
        <f>IFERROR(VLOOKUP(AI148,Horarios!$H:$I,2,0),"")</f>
        <v/>
      </c>
      <c r="AL148" s="28" t="str">
        <f t="shared" si="101"/>
        <v>00:00</v>
      </c>
      <c r="AM148" s="29"/>
      <c r="AN148" s="27"/>
      <c r="AO148" s="27"/>
      <c r="AP148" s="28" t="str">
        <f>IFERROR(VLOOKUP(AN148,Horarios!$H:$I,2,0),"")</f>
        <v/>
      </c>
      <c r="AQ148" s="28" t="str">
        <f>IFERROR(VLOOKUP(AO148,Horarios!$H:$I,2,0),"")</f>
        <v/>
      </c>
      <c r="AR148" s="28" t="str">
        <f t="shared" si="102"/>
        <v>00:00</v>
      </c>
      <c r="AS148" s="29"/>
      <c r="AT148" s="31" t="str">
        <f t="shared" si="103"/>
        <v/>
      </c>
      <c r="AU148" s="27"/>
      <c r="AV148" s="27"/>
      <c r="AW148" s="28" t="str">
        <f>IFERROR(VLOOKUP(AU148,Horarios!$H:$I,2,0),"")</f>
        <v/>
      </c>
      <c r="AX148" s="28" t="str">
        <f>IFERROR(VLOOKUP(AV148,Horarios!$H:$I,2,0),"")</f>
        <v/>
      </c>
      <c r="AY148" s="28" t="str">
        <f t="shared" si="104"/>
        <v>00:00</v>
      </c>
      <c r="AZ148" s="29"/>
      <c r="BA148" s="27"/>
      <c r="BB148" s="27"/>
      <c r="BC148" s="28" t="str">
        <f>IFERROR(VLOOKUP(BA148,Horarios!$H:$I,2,0),"")</f>
        <v/>
      </c>
      <c r="BD148" s="28" t="str">
        <f>IFERROR(VLOOKUP(BB148,Horarios!$H:$I,2,0),"")</f>
        <v/>
      </c>
      <c r="BE148" s="28" t="str">
        <f t="shared" si="105"/>
        <v>00:00</v>
      </c>
      <c r="BF148" s="29"/>
      <c r="BG148" s="27"/>
      <c r="BH148" s="27"/>
      <c r="BI148" s="28" t="str">
        <f>IFERROR(VLOOKUP(BG148,Horarios!$H:$I,2,0),"")</f>
        <v/>
      </c>
      <c r="BJ148" s="28" t="str">
        <f>IFERROR(VLOOKUP(BH148,Horarios!$H:$I,2,0),"")</f>
        <v/>
      </c>
      <c r="BK148" s="28" t="str">
        <f t="shared" si="106"/>
        <v>00:00</v>
      </c>
      <c r="BL148" s="29"/>
      <c r="BM148" s="27"/>
      <c r="BN148" s="27"/>
      <c r="BO148" s="28" t="str">
        <f>IFERROR(VLOOKUP(BM148,Horarios!$H:$I,2,0),"")</f>
        <v/>
      </c>
      <c r="BP148" s="28" t="str">
        <f>IFERROR(VLOOKUP(BN148,Horarios!$H:$I,2,0),"")</f>
        <v/>
      </c>
      <c r="BQ148" s="28" t="str">
        <f t="shared" si="107"/>
        <v>00:00</v>
      </c>
      <c r="BR148" s="29"/>
      <c r="BS148" s="27"/>
      <c r="BT148" s="27"/>
      <c r="BU148" s="28" t="str">
        <f>IFERROR(VLOOKUP(BS148,Horarios!$H:$I,2,0),"")</f>
        <v/>
      </c>
      <c r="BV148" s="28" t="str">
        <f>IFERROR(VLOOKUP(BT148,Horarios!$H:$I,2,0),"")</f>
        <v/>
      </c>
      <c r="BW148" s="28" t="str">
        <f t="shared" si="108"/>
        <v>00:00</v>
      </c>
      <c r="BX148" s="29"/>
      <c r="BY148" s="27"/>
      <c r="BZ148" s="27"/>
      <c r="CA148" s="28" t="str">
        <f>IFERROR(VLOOKUP(BY148,Horarios!$H:$I,2,0),"")</f>
        <v/>
      </c>
      <c r="CB148" s="28" t="str">
        <f>IFERROR(VLOOKUP(BZ148,Horarios!$H:$I,2,0),"")</f>
        <v/>
      </c>
      <c r="CC148" s="28" t="str">
        <f t="shared" si="109"/>
        <v>00:00</v>
      </c>
      <c r="CD148" s="29"/>
      <c r="CE148" s="27"/>
      <c r="CF148" s="27"/>
      <c r="CG148" s="28" t="str">
        <f>IFERROR(VLOOKUP(CE148,Horarios!$H:$I,2,0),"")</f>
        <v/>
      </c>
      <c r="CH148" s="28" t="str">
        <f>IFERROR(VLOOKUP(CF148,Horarios!$H:$I,2,0),"")</f>
        <v/>
      </c>
      <c r="CI148" s="28" t="str">
        <f t="shared" si="110"/>
        <v>00:00</v>
      </c>
      <c r="CJ148" s="29"/>
      <c r="CK148" s="31" t="str">
        <f t="shared" si="111"/>
        <v/>
      </c>
      <c r="CL148" s="27"/>
      <c r="CM148" s="27"/>
      <c r="CN148" s="28" t="str">
        <f>IFERROR(VLOOKUP(CL148,Horarios!$H:$I,2,0),"")</f>
        <v/>
      </c>
      <c r="CO148" s="28" t="str">
        <f>IFERROR(VLOOKUP(CM148,Horarios!$H:$I,2,0),"")</f>
        <v/>
      </c>
      <c r="CP148" s="28" t="str">
        <f t="shared" si="112"/>
        <v>00:00</v>
      </c>
      <c r="CQ148" s="29"/>
      <c r="CR148" s="27"/>
      <c r="CS148" s="27"/>
      <c r="CT148" s="28" t="str">
        <f>IFERROR(VLOOKUP(CR148,Horarios!$H:$I,2,0),"")</f>
        <v/>
      </c>
      <c r="CU148" s="28" t="str">
        <f>IFERROR(VLOOKUP(CS148,Horarios!$H:$I,2,0),"")</f>
        <v/>
      </c>
      <c r="CV148" s="28" t="str">
        <f t="shared" si="113"/>
        <v>00:00</v>
      </c>
      <c r="CW148" s="29"/>
      <c r="CX148" s="27"/>
      <c r="CY148" s="27"/>
      <c r="CZ148" s="28" t="str">
        <f>IFERROR(VLOOKUP(CX148,Horarios!$H:$I,2,0),"")</f>
        <v/>
      </c>
      <c r="DA148" s="28" t="str">
        <f>IFERROR(VLOOKUP(CY148,Horarios!$H:$I,2,0),"")</f>
        <v/>
      </c>
      <c r="DB148" s="28" t="str">
        <f t="shared" si="114"/>
        <v>00:00</v>
      </c>
      <c r="DC148" s="29"/>
      <c r="DD148" s="27"/>
      <c r="DE148" s="27"/>
      <c r="DF148" s="28" t="str">
        <f>IFERROR(VLOOKUP(DD148,Horarios!$H:$I,2,0),"")</f>
        <v/>
      </c>
      <c r="DG148" s="28" t="str">
        <f>IFERROR(VLOOKUP(DE148,Horarios!$H:$I,2,0),"")</f>
        <v/>
      </c>
      <c r="DH148" s="28" t="str">
        <f t="shared" si="115"/>
        <v>00:00</v>
      </c>
      <c r="DI148" s="29"/>
      <c r="DJ148" s="27"/>
      <c r="DK148" s="27"/>
      <c r="DL148" s="28" t="str">
        <f>IFERROR(VLOOKUP(DJ148,Horarios!$H:$I,2,0),"")</f>
        <v/>
      </c>
      <c r="DM148" s="28" t="str">
        <f>IFERROR(VLOOKUP(DK148,Horarios!$H:$I,2,0),"")</f>
        <v/>
      </c>
      <c r="DN148" s="28" t="str">
        <f t="shared" si="116"/>
        <v>00:00</v>
      </c>
      <c r="DO148" s="29"/>
      <c r="DP148" s="27"/>
      <c r="DQ148" s="27"/>
      <c r="DR148" s="28" t="str">
        <f>IFERROR(VLOOKUP(DP148,Horarios!$H:$I,2,0),"")</f>
        <v/>
      </c>
      <c r="DS148" s="28" t="str">
        <f>IFERROR(VLOOKUP(DQ148,Horarios!$H:$I,2,0),"")</f>
        <v/>
      </c>
      <c r="DT148" s="28" t="str">
        <f t="shared" si="117"/>
        <v>00:00</v>
      </c>
      <c r="DU148" s="29"/>
      <c r="DV148" s="27"/>
      <c r="DW148" s="27"/>
      <c r="DX148" s="28" t="str">
        <f>IFERROR(VLOOKUP(DV148,Horarios!$H:$I,2,0),"")</f>
        <v/>
      </c>
      <c r="DY148" s="28" t="str">
        <f>IFERROR(VLOOKUP(DW148,Horarios!$H:$I,2,0),"")</f>
        <v/>
      </c>
      <c r="DZ148" s="28" t="str">
        <f t="shared" si="118"/>
        <v>00:00</v>
      </c>
      <c r="EA148" s="29"/>
      <c r="EB148" s="31" t="str">
        <f t="shared" si="119"/>
        <v/>
      </c>
      <c r="EC148" s="27"/>
      <c r="ED148" s="27"/>
      <c r="EE148" s="28" t="str">
        <f>IFERROR(VLOOKUP(EC148,Horarios!$H:$I,2,0),"")</f>
        <v/>
      </c>
      <c r="EF148" s="28" t="str">
        <f>IFERROR(VLOOKUP(ED148,Horarios!$H:$I,2,0),"")</f>
        <v/>
      </c>
      <c r="EG148" s="28" t="str">
        <f t="shared" si="120"/>
        <v>00:00</v>
      </c>
      <c r="EH148" s="29"/>
      <c r="EI148" s="27"/>
      <c r="EJ148" s="27"/>
      <c r="EK148" s="28" t="str">
        <f>IFERROR(VLOOKUP(EI148,Horarios!$H:$I,2,0),"")</f>
        <v/>
      </c>
      <c r="EL148" s="28" t="str">
        <f>IFERROR(VLOOKUP(EJ148,Horarios!$H:$I,2,0),"")</f>
        <v/>
      </c>
      <c r="EM148" s="28" t="str">
        <f t="shared" si="121"/>
        <v>00:00</v>
      </c>
      <c r="EN148" s="29"/>
      <c r="EO148" s="27"/>
      <c r="EP148" s="27"/>
      <c r="EQ148" s="28" t="str">
        <f>IFERROR(VLOOKUP(EO148,Horarios!$H:$I,2,0),"")</f>
        <v/>
      </c>
      <c r="ER148" s="28" t="str">
        <f>IFERROR(VLOOKUP(EP148,Horarios!$H:$I,2,0),"")</f>
        <v/>
      </c>
      <c r="ES148" s="28" t="str">
        <f t="shared" si="122"/>
        <v>00:00</v>
      </c>
      <c r="ET148" s="29"/>
      <c r="EU148" s="27"/>
      <c r="EV148" s="27"/>
      <c r="EW148" s="28" t="str">
        <f>IFERROR(VLOOKUP(EU148,Horarios!$H:$I,2,0),"")</f>
        <v/>
      </c>
      <c r="EX148" s="28" t="str">
        <f>IFERROR(VLOOKUP(EV148,Horarios!$H:$I,2,0),"")</f>
        <v/>
      </c>
      <c r="EY148" s="28" t="str">
        <f t="shared" si="123"/>
        <v>00:00</v>
      </c>
      <c r="EZ148" s="29"/>
      <c r="FA148" s="27"/>
      <c r="FB148" s="27"/>
      <c r="FC148" s="28" t="str">
        <f>IFERROR(VLOOKUP(FA148,Horarios!$H:$I,2,0),"")</f>
        <v/>
      </c>
      <c r="FD148" s="28" t="str">
        <f>IFERROR(VLOOKUP(FB148,Horarios!$H:$I,2,0),"")</f>
        <v/>
      </c>
      <c r="FE148" s="28" t="str">
        <f t="shared" si="124"/>
        <v>00:00</v>
      </c>
      <c r="FF148" s="29"/>
      <c r="FG148" s="27"/>
      <c r="FH148" s="27"/>
      <c r="FI148" s="28" t="str">
        <f>IFERROR(VLOOKUP(FG148,Horarios!$H:$I,2,0),"")</f>
        <v/>
      </c>
      <c r="FJ148" s="28" t="str">
        <f>IFERROR(VLOOKUP(FH148,Horarios!$H:$I,2,0),"")</f>
        <v/>
      </c>
      <c r="FK148" s="28" t="str">
        <f t="shared" si="125"/>
        <v>00:00</v>
      </c>
      <c r="FL148" s="29"/>
      <c r="FM148" s="27"/>
      <c r="FN148" s="27"/>
      <c r="FO148" s="28" t="str">
        <f>IFERROR(VLOOKUP(FM148,Horarios!$H:$I,2,0),"")</f>
        <v/>
      </c>
      <c r="FP148" s="28" t="str">
        <f>IFERROR(VLOOKUP(FN148,Horarios!$H:$I,2,0),"")</f>
        <v/>
      </c>
      <c r="FQ148" s="28" t="str">
        <f t="shared" si="126"/>
        <v>00:00</v>
      </c>
      <c r="FR148" s="29"/>
      <c r="FS148" s="31" t="str">
        <f t="shared" si="127"/>
        <v/>
      </c>
      <c r="FT148" s="27"/>
      <c r="FU148" s="27"/>
      <c r="FV148" s="28" t="str">
        <f>IFERROR(VLOOKUP(FT148,Horarios!$H:$I,2,0),"")</f>
        <v/>
      </c>
      <c r="FW148" s="28" t="str">
        <f>IFERROR(VLOOKUP(FU148,Horarios!$H:$I,2,0),"")</f>
        <v/>
      </c>
      <c r="FX148" s="28" t="str">
        <f t="shared" si="128"/>
        <v>00:00</v>
      </c>
      <c r="FY148" s="29"/>
      <c r="FZ148" s="27"/>
      <c r="GA148" s="27"/>
      <c r="GB148" s="28" t="str">
        <f>IFERROR(VLOOKUP(FZ148,Horarios!$H:$I,2,0),"")</f>
        <v/>
      </c>
      <c r="GC148" s="28" t="str">
        <f>IFERROR(VLOOKUP(GA148,Horarios!$H:$I,2,0),"")</f>
        <v/>
      </c>
      <c r="GD148" s="28" t="str">
        <f t="shared" si="129"/>
        <v>00:00</v>
      </c>
      <c r="GE148" s="29"/>
      <c r="GF148" s="27"/>
      <c r="GG148" s="27"/>
      <c r="GH148" s="28" t="str">
        <f>IFERROR(VLOOKUP(GF148,Horarios!$H:$I,2,0),"")</f>
        <v/>
      </c>
      <c r="GI148" s="28" t="str">
        <f>IFERROR(VLOOKUP(GG148,Horarios!$H:$I,2,0),"")</f>
        <v/>
      </c>
      <c r="GJ148" s="28" t="str">
        <f t="shared" si="130"/>
        <v>00:00</v>
      </c>
      <c r="GK148" s="29"/>
      <c r="GL148" s="27"/>
      <c r="GM148" s="27"/>
      <c r="GN148" s="28" t="str">
        <f>IFERROR(VLOOKUP(GL148,Horarios!$H:$I,2,0),"")</f>
        <v/>
      </c>
      <c r="GO148" s="28" t="str">
        <f>IFERROR(VLOOKUP(GM148,Horarios!$H:$I,2,0),"")</f>
        <v/>
      </c>
      <c r="GP148" s="28" t="str">
        <f t="shared" si="131"/>
        <v>00:00</v>
      </c>
      <c r="GQ148" s="29"/>
      <c r="GR148" s="27"/>
      <c r="GS148" s="27"/>
      <c r="GT148" s="28" t="str">
        <f>IFERROR(VLOOKUP(GR148,Horarios!$H:$I,2,0),"")</f>
        <v/>
      </c>
      <c r="GU148" s="28" t="str">
        <f>IFERROR(VLOOKUP(GS148,Horarios!$H:$I,2,0),"")</f>
        <v/>
      </c>
      <c r="GV148" s="28" t="str">
        <f t="shared" si="132"/>
        <v>00:00</v>
      </c>
      <c r="GW148" s="29"/>
      <c r="GX148" s="27"/>
      <c r="GY148" s="27"/>
      <c r="GZ148" s="28" t="str">
        <f>IFERROR(VLOOKUP(GX148,Horarios!$H:$I,2,0),"")</f>
        <v/>
      </c>
      <c r="HA148" s="28" t="str">
        <f>IFERROR(VLOOKUP(GY148,Horarios!$H:$I,2,0),"")</f>
        <v/>
      </c>
      <c r="HB148" s="28" t="str">
        <f t="shared" si="133"/>
        <v>00:00</v>
      </c>
      <c r="HC148" s="29"/>
      <c r="HD148" s="27"/>
      <c r="HE148" s="27"/>
      <c r="HF148" s="28" t="str">
        <f>IFERROR(VLOOKUP(HD148,Horarios!$H:$I,2,0),"")</f>
        <v/>
      </c>
      <c r="HG148" s="28" t="str">
        <f>IFERROR(VLOOKUP(HE148,Horarios!$H:$I,2,0),"")</f>
        <v/>
      </c>
      <c r="HH148" s="28" t="str">
        <f t="shared" si="134"/>
        <v>00:00</v>
      </c>
      <c r="HI148" s="29"/>
      <c r="HJ148" s="31" t="str">
        <f t="shared" si="135"/>
        <v/>
      </c>
      <c r="HK148" s="27"/>
      <c r="HL148" s="27"/>
      <c r="HM148" s="28" t="str">
        <f>IFERROR(VLOOKUP(HK148,Horarios!$H:$I,2,0),"")</f>
        <v/>
      </c>
      <c r="HN148" s="28" t="str">
        <f>IFERROR(VLOOKUP(HL148,Horarios!$H:$I,2,0),"")</f>
        <v/>
      </c>
      <c r="HO148" s="28" t="str">
        <f t="shared" si="136"/>
        <v>00:00</v>
      </c>
      <c r="HP148" s="29"/>
      <c r="HQ148" s="27"/>
      <c r="HR148" s="27"/>
      <c r="HS148" s="28" t="str">
        <f>IFERROR(VLOOKUP(HQ148,Horarios!$H:$I,2,0),"")</f>
        <v/>
      </c>
      <c r="HT148" s="28" t="str">
        <f>IFERROR(VLOOKUP(HR148,Horarios!$H:$I,2,0),"")</f>
        <v/>
      </c>
      <c r="HU148" s="28" t="str">
        <f t="shared" si="137"/>
        <v>00:00</v>
      </c>
      <c r="HV148" s="29"/>
      <c r="HW148" s="27"/>
      <c r="HX148" s="27"/>
      <c r="HY148" s="28" t="str">
        <f>IFERROR(VLOOKUP(HW148,Horarios!$H:$I,2,0),"")</f>
        <v/>
      </c>
      <c r="HZ148" s="28" t="str">
        <f>IFERROR(VLOOKUP(HX148,Horarios!$H:$I,2,0),"")</f>
        <v/>
      </c>
      <c r="IA148" s="28" t="str">
        <f t="shared" si="138"/>
        <v>00:00</v>
      </c>
      <c r="IB148" s="29"/>
      <c r="IC148" s="27"/>
      <c r="ID148" s="27"/>
      <c r="IE148" s="28" t="str">
        <f>IFERROR(VLOOKUP(IC148,Horarios!$H:$I,2,0),"")</f>
        <v/>
      </c>
      <c r="IF148" s="28" t="str">
        <f>IFERROR(VLOOKUP(ID148,Horarios!$H:$I,2,0),"")</f>
        <v/>
      </c>
      <c r="IG148" s="28" t="str">
        <f t="shared" si="139"/>
        <v>00:00</v>
      </c>
      <c r="IH148" s="29"/>
      <c r="II148" s="27"/>
      <c r="IJ148" s="27"/>
      <c r="IK148" s="28" t="str">
        <f>IFERROR(VLOOKUP(II148,Horarios!$H:$I,2,0),"")</f>
        <v/>
      </c>
      <c r="IL148" s="28" t="str">
        <f>IFERROR(VLOOKUP(IJ148,Horarios!$H:$I,2,0),"")</f>
        <v/>
      </c>
      <c r="IM148" s="28" t="str">
        <f t="shared" si="140"/>
        <v>00:00</v>
      </c>
      <c r="IN148" s="29"/>
      <c r="IO148" s="27"/>
      <c r="IP148" s="27"/>
      <c r="IQ148" s="28" t="str">
        <f>IFERROR(VLOOKUP(IO148,Horarios!$H:$I,2,0),"")</f>
        <v/>
      </c>
      <c r="IR148" s="28" t="str">
        <f>IFERROR(VLOOKUP(IP148,Horarios!$H:$I,2,0),"")</f>
        <v/>
      </c>
      <c r="IS148" s="28" t="str">
        <f t="shared" si="141"/>
        <v>00:00</v>
      </c>
      <c r="IT148" s="29"/>
      <c r="IU148" s="27"/>
      <c r="IV148" s="27"/>
      <c r="IW148" s="28" t="str">
        <f>IFERROR(VLOOKUP(IU148,Horarios!$H:$I,2,0),"")</f>
        <v/>
      </c>
      <c r="IX148" s="28" t="str">
        <f>IFERROR(VLOOKUP(IV148,Horarios!$H:$I,2,0),"")</f>
        <v/>
      </c>
      <c r="IY148" s="28" t="str">
        <f t="shared" si="142"/>
        <v>00:00</v>
      </c>
      <c r="IZ148" s="29"/>
      <c r="JA148" s="31" t="str">
        <f t="shared" si="143"/>
        <v/>
      </c>
    </row>
    <row r="149" spans="1:261" s="24" customFormat="1" ht="17.399999999999999" x14ac:dyDescent="0.25">
      <c r="A149" s="25"/>
      <c r="B149" s="26" t="str">
        <f>IFERROR(VLOOKUP(A149,BaseNombres!A:B,2,0),"")</f>
        <v/>
      </c>
      <c r="C149" s="26" t="str">
        <f>IFERROR(VLOOKUP(A149,BaseNombres!A:C,3,0),"")</f>
        <v/>
      </c>
      <c r="D149" s="27"/>
      <c r="E149" s="27"/>
      <c r="F149" s="28" t="str">
        <f>IFERROR(VLOOKUP(D149,Horarios!$H:$I,2,0),"")</f>
        <v/>
      </c>
      <c r="G149" s="28" t="str">
        <f>IFERROR(VLOOKUP(E149,Horarios!$H:$I,2,0),"")</f>
        <v/>
      </c>
      <c r="H149" s="28" t="str">
        <f t="shared" si="96"/>
        <v>00:00</v>
      </c>
      <c r="I149" s="29"/>
      <c r="J149" s="27"/>
      <c r="K149" s="27"/>
      <c r="L149" s="28" t="str">
        <f>IFERROR(VLOOKUP(J149,Horarios!$H:$I,2,0),"")</f>
        <v/>
      </c>
      <c r="M149" s="28" t="str">
        <f>IFERROR(VLOOKUP(K149,Horarios!$H:$I,2,0),"")</f>
        <v/>
      </c>
      <c r="N149" s="28" t="str">
        <f t="shared" si="97"/>
        <v>00:00</v>
      </c>
      <c r="O149" s="29"/>
      <c r="P149" s="27"/>
      <c r="Q149" s="27"/>
      <c r="R149" s="28" t="str">
        <f>IFERROR(VLOOKUP(P149,Horarios!$H:$I,2,0),"")</f>
        <v/>
      </c>
      <c r="S149" s="28" t="str">
        <f>IFERROR(VLOOKUP(Q149,Horarios!$H:$I,2,0),"")</f>
        <v/>
      </c>
      <c r="T149" s="28" t="str">
        <f t="shared" si="98"/>
        <v>00:00</v>
      </c>
      <c r="U149" s="29"/>
      <c r="V149" s="27"/>
      <c r="W149" s="27"/>
      <c r="X149" s="28" t="str">
        <f>IFERROR(VLOOKUP(V149,Horarios!$H:$I,2,0),"")</f>
        <v/>
      </c>
      <c r="Y149" s="28" t="str">
        <f>IFERROR(VLOOKUP(W149,Horarios!$H:$I,2,0),"")</f>
        <v/>
      </c>
      <c r="Z149" s="28" t="str">
        <f t="shared" si="99"/>
        <v>00:00</v>
      </c>
      <c r="AA149" s="29"/>
      <c r="AB149" s="27"/>
      <c r="AC149" s="27"/>
      <c r="AD149" s="28" t="str">
        <f>IFERROR(VLOOKUP(AB149,Horarios!$H:$I,2,0),"")</f>
        <v/>
      </c>
      <c r="AE149" s="28" t="str">
        <f>IFERROR(VLOOKUP(AC149,Horarios!$H:$I,2,0),"")</f>
        <v/>
      </c>
      <c r="AF149" s="28" t="str">
        <f t="shared" si="100"/>
        <v>00:00</v>
      </c>
      <c r="AG149" s="29"/>
      <c r="AH149" s="27"/>
      <c r="AI149" s="27"/>
      <c r="AJ149" s="28" t="str">
        <f>IFERROR(VLOOKUP(AH149,Horarios!$H:$I,2,0),"")</f>
        <v/>
      </c>
      <c r="AK149" s="28" t="str">
        <f>IFERROR(VLOOKUP(AI149,Horarios!$H:$I,2,0),"")</f>
        <v/>
      </c>
      <c r="AL149" s="28" t="str">
        <f t="shared" si="101"/>
        <v>00:00</v>
      </c>
      <c r="AM149" s="29"/>
      <c r="AN149" s="27"/>
      <c r="AO149" s="27"/>
      <c r="AP149" s="28" t="str">
        <f>IFERROR(VLOOKUP(AN149,Horarios!$H:$I,2,0),"")</f>
        <v/>
      </c>
      <c r="AQ149" s="28" t="str">
        <f>IFERROR(VLOOKUP(AO149,Horarios!$H:$I,2,0),"")</f>
        <v/>
      </c>
      <c r="AR149" s="28" t="str">
        <f t="shared" si="102"/>
        <v>00:00</v>
      </c>
      <c r="AS149" s="29"/>
      <c r="AT149" s="31" t="str">
        <f t="shared" si="103"/>
        <v/>
      </c>
      <c r="AU149" s="27"/>
      <c r="AV149" s="27"/>
      <c r="AW149" s="28" t="str">
        <f>IFERROR(VLOOKUP(AU149,Horarios!$H:$I,2,0),"")</f>
        <v/>
      </c>
      <c r="AX149" s="28" t="str">
        <f>IFERROR(VLOOKUP(AV149,Horarios!$H:$I,2,0),"")</f>
        <v/>
      </c>
      <c r="AY149" s="28" t="str">
        <f t="shared" si="104"/>
        <v>00:00</v>
      </c>
      <c r="AZ149" s="29"/>
      <c r="BA149" s="27"/>
      <c r="BB149" s="27"/>
      <c r="BC149" s="28" t="str">
        <f>IFERROR(VLOOKUP(BA149,Horarios!$H:$I,2,0),"")</f>
        <v/>
      </c>
      <c r="BD149" s="28" t="str">
        <f>IFERROR(VLOOKUP(BB149,Horarios!$H:$I,2,0),"")</f>
        <v/>
      </c>
      <c r="BE149" s="28" t="str">
        <f t="shared" si="105"/>
        <v>00:00</v>
      </c>
      <c r="BF149" s="29"/>
      <c r="BG149" s="27"/>
      <c r="BH149" s="27"/>
      <c r="BI149" s="28" t="str">
        <f>IFERROR(VLOOKUP(BG149,Horarios!$H:$I,2,0),"")</f>
        <v/>
      </c>
      <c r="BJ149" s="28" t="str">
        <f>IFERROR(VLOOKUP(BH149,Horarios!$H:$I,2,0),"")</f>
        <v/>
      </c>
      <c r="BK149" s="28" t="str">
        <f t="shared" si="106"/>
        <v>00:00</v>
      </c>
      <c r="BL149" s="29"/>
      <c r="BM149" s="27"/>
      <c r="BN149" s="27"/>
      <c r="BO149" s="28" t="str">
        <f>IFERROR(VLOOKUP(BM149,Horarios!$H:$I,2,0),"")</f>
        <v/>
      </c>
      <c r="BP149" s="28" t="str">
        <f>IFERROR(VLOOKUP(BN149,Horarios!$H:$I,2,0),"")</f>
        <v/>
      </c>
      <c r="BQ149" s="28" t="str">
        <f t="shared" si="107"/>
        <v>00:00</v>
      </c>
      <c r="BR149" s="29"/>
      <c r="BS149" s="27"/>
      <c r="BT149" s="27"/>
      <c r="BU149" s="28" t="str">
        <f>IFERROR(VLOOKUP(BS149,Horarios!$H:$I,2,0),"")</f>
        <v/>
      </c>
      <c r="BV149" s="28" t="str">
        <f>IFERROR(VLOOKUP(BT149,Horarios!$H:$I,2,0),"")</f>
        <v/>
      </c>
      <c r="BW149" s="28" t="str">
        <f t="shared" si="108"/>
        <v>00:00</v>
      </c>
      <c r="BX149" s="29"/>
      <c r="BY149" s="27"/>
      <c r="BZ149" s="27"/>
      <c r="CA149" s="28" t="str">
        <f>IFERROR(VLOOKUP(BY149,Horarios!$H:$I,2,0),"")</f>
        <v/>
      </c>
      <c r="CB149" s="28" t="str">
        <f>IFERROR(VLOOKUP(BZ149,Horarios!$H:$I,2,0),"")</f>
        <v/>
      </c>
      <c r="CC149" s="28" t="str">
        <f t="shared" si="109"/>
        <v>00:00</v>
      </c>
      <c r="CD149" s="29"/>
      <c r="CE149" s="27"/>
      <c r="CF149" s="27"/>
      <c r="CG149" s="28" t="str">
        <f>IFERROR(VLOOKUP(CE149,Horarios!$H:$I,2,0),"")</f>
        <v/>
      </c>
      <c r="CH149" s="28" t="str">
        <f>IFERROR(VLOOKUP(CF149,Horarios!$H:$I,2,0),"")</f>
        <v/>
      </c>
      <c r="CI149" s="28" t="str">
        <f t="shared" si="110"/>
        <v>00:00</v>
      </c>
      <c r="CJ149" s="29"/>
      <c r="CK149" s="31" t="str">
        <f t="shared" si="111"/>
        <v/>
      </c>
      <c r="CL149" s="27"/>
      <c r="CM149" s="27"/>
      <c r="CN149" s="28" t="str">
        <f>IFERROR(VLOOKUP(CL149,Horarios!$H:$I,2,0),"")</f>
        <v/>
      </c>
      <c r="CO149" s="28" t="str">
        <f>IFERROR(VLOOKUP(CM149,Horarios!$H:$I,2,0),"")</f>
        <v/>
      </c>
      <c r="CP149" s="28" t="str">
        <f t="shared" si="112"/>
        <v>00:00</v>
      </c>
      <c r="CQ149" s="29"/>
      <c r="CR149" s="27"/>
      <c r="CS149" s="27"/>
      <c r="CT149" s="28" t="str">
        <f>IFERROR(VLOOKUP(CR149,Horarios!$H:$I,2,0),"")</f>
        <v/>
      </c>
      <c r="CU149" s="28" t="str">
        <f>IFERROR(VLOOKUP(CS149,Horarios!$H:$I,2,0),"")</f>
        <v/>
      </c>
      <c r="CV149" s="28" t="str">
        <f t="shared" si="113"/>
        <v>00:00</v>
      </c>
      <c r="CW149" s="29"/>
      <c r="CX149" s="27"/>
      <c r="CY149" s="27"/>
      <c r="CZ149" s="28" t="str">
        <f>IFERROR(VLOOKUP(CX149,Horarios!$H:$I,2,0),"")</f>
        <v/>
      </c>
      <c r="DA149" s="28" t="str">
        <f>IFERROR(VLOOKUP(CY149,Horarios!$H:$I,2,0),"")</f>
        <v/>
      </c>
      <c r="DB149" s="28" t="str">
        <f t="shared" si="114"/>
        <v>00:00</v>
      </c>
      <c r="DC149" s="29"/>
      <c r="DD149" s="27"/>
      <c r="DE149" s="27"/>
      <c r="DF149" s="28" t="str">
        <f>IFERROR(VLOOKUP(DD149,Horarios!$H:$I,2,0),"")</f>
        <v/>
      </c>
      <c r="DG149" s="28" t="str">
        <f>IFERROR(VLOOKUP(DE149,Horarios!$H:$I,2,0),"")</f>
        <v/>
      </c>
      <c r="DH149" s="28" t="str">
        <f t="shared" si="115"/>
        <v>00:00</v>
      </c>
      <c r="DI149" s="29"/>
      <c r="DJ149" s="27"/>
      <c r="DK149" s="27"/>
      <c r="DL149" s="28" t="str">
        <f>IFERROR(VLOOKUP(DJ149,Horarios!$H:$I,2,0),"")</f>
        <v/>
      </c>
      <c r="DM149" s="28" t="str">
        <f>IFERROR(VLOOKUP(DK149,Horarios!$H:$I,2,0),"")</f>
        <v/>
      </c>
      <c r="DN149" s="28" t="str">
        <f t="shared" si="116"/>
        <v>00:00</v>
      </c>
      <c r="DO149" s="29"/>
      <c r="DP149" s="27"/>
      <c r="DQ149" s="27"/>
      <c r="DR149" s="28" t="str">
        <f>IFERROR(VLOOKUP(DP149,Horarios!$H:$I,2,0),"")</f>
        <v/>
      </c>
      <c r="DS149" s="28" t="str">
        <f>IFERROR(VLOOKUP(DQ149,Horarios!$H:$I,2,0),"")</f>
        <v/>
      </c>
      <c r="DT149" s="28" t="str">
        <f t="shared" si="117"/>
        <v>00:00</v>
      </c>
      <c r="DU149" s="29"/>
      <c r="DV149" s="27"/>
      <c r="DW149" s="27"/>
      <c r="DX149" s="28" t="str">
        <f>IFERROR(VLOOKUP(DV149,Horarios!$H:$I,2,0),"")</f>
        <v/>
      </c>
      <c r="DY149" s="28" t="str">
        <f>IFERROR(VLOOKUP(DW149,Horarios!$H:$I,2,0),"")</f>
        <v/>
      </c>
      <c r="DZ149" s="28" t="str">
        <f t="shared" si="118"/>
        <v>00:00</v>
      </c>
      <c r="EA149" s="29"/>
      <c r="EB149" s="31" t="str">
        <f t="shared" si="119"/>
        <v/>
      </c>
      <c r="EC149" s="27"/>
      <c r="ED149" s="27"/>
      <c r="EE149" s="28" t="str">
        <f>IFERROR(VLOOKUP(EC149,Horarios!$H:$I,2,0),"")</f>
        <v/>
      </c>
      <c r="EF149" s="28" t="str">
        <f>IFERROR(VLOOKUP(ED149,Horarios!$H:$I,2,0),"")</f>
        <v/>
      </c>
      <c r="EG149" s="28" t="str">
        <f t="shared" si="120"/>
        <v>00:00</v>
      </c>
      <c r="EH149" s="29"/>
      <c r="EI149" s="27"/>
      <c r="EJ149" s="27"/>
      <c r="EK149" s="28" t="str">
        <f>IFERROR(VLOOKUP(EI149,Horarios!$H:$I,2,0),"")</f>
        <v/>
      </c>
      <c r="EL149" s="28" t="str">
        <f>IFERROR(VLOOKUP(EJ149,Horarios!$H:$I,2,0),"")</f>
        <v/>
      </c>
      <c r="EM149" s="28" t="str">
        <f t="shared" si="121"/>
        <v>00:00</v>
      </c>
      <c r="EN149" s="29"/>
      <c r="EO149" s="27"/>
      <c r="EP149" s="27"/>
      <c r="EQ149" s="28" t="str">
        <f>IFERROR(VLOOKUP(EO149,Horarios!$H:$I,2,0),"")</f>
        <v/>
      </c>
      <c r="ER149" s="28" t="str">
        <f>IFERROR(VLOOKUP(EP149,Horarios!$H:$I,2,0),"")</f>
        <v/>
      </c>
      <c r="ES149" s="28" t="str">
        <f t="shared" si="122"/>
        <v>00:00</v>
      </c>
      <c r="ET149" s="29"/>
      <c r="EU149" s="27"/>
      <c r="EV149" s="27"/>
      <c r="EW149" s="28" t="str">
        <f>IFERROR(VLOOKUP(EU149,Horarios!$H:$I,2,0),"")</f>
        <v/>
      </c>
      <c r="EX149" s="28" t="str">
        <f>IFERROR(VLOOKUP(EV149,Horarios!$H:$I,2,0),"")</f>
        <v/>
      </c>
      <c r="EY149" s="28" t="str">
        <f t="shared" si="123"/>
        <v>00:00</v>
      </c>
      <c r="EZ149" s="29"/>
      <c r="FA149" s="27"/>
      <c r="FB149" s="27"/>
      <c r="FC149" s="28" t="str">
        <f>IFERROR(VLOOKUP(FA149,Horarios!$H:$I,2,0),"")</f>
        <v/>
      </c>
      <c r="FD149" s="28" t="str">
        <f>IFERROR(VLOOKUP(FB149,Horarios!$H:$I,2,0),"")</f>
        <v/>
      </c>
      <c r="FE149" s="28" t="str">
        <f t="shared" si="124"/>
        <v>00:00</v>
      </c>
      <c r="FF149" s="29"/>
      <c r="FG149" s="27"/>
      <c r="FH149" s="27"/>
      <c r="FI149" s="28" t="str">
        <f>IFERROR(VLOOKUP(FG149,Horarios!$H:$I,2,0),"")</f>
        <v/>
      </c>
      <c r="FJ149" s="28" t="str">
        <f>IFERROR(VLOOKUP(FH149,Horarios!$H:$I,2,0),"")</f>
        <v/>
      </c>
      <c r="FK149" s="28" t="str">
        <f t="shared" si="125"/>
        <v>00:00</v>
      </c>
      <c r="FL149" s="29"/>
      <c r="FM149" s="27"/>
      <c r="FN149" s="27"/>
      <c r="FO149" s="28" t="str">
        <f>IFERROR(VLOOKUP(FM149,Horarios!$H:$I,2,0),"")</f>
        <v/>
      </c>
      <c r="FP149" s="28" t="str">
        <f>IFERROR(VLOOKUP(FN149,Horarios!$H:$I,2,0),"")</f>
        <v/>
      </c>
      <c r="FQ149" s="28" t="str">
        <f t="shared" si="126"/>
        <v>00:00</v>
      </c>
      <c r="FR149" s="29"/>
      <c r="FS149" s="31" t="str">
        <f t="shared" si="127"/>
        <v/>
      </c>
      <c r="FT149" s="27"/>
      <c r="FU149" s="27"/>
      <c r="FV149" s="28" t="str">
        <f>IFERROR(VLOOKUP(FT149,Horarios!$H:$I,2,0),"")</f>
        <v/>
      </c>
      <c r="FW149" s="28" t="str">
        <f>IFERROR(VLOOKUP(FU149,Horarios!$H:$I,2,0),"")</f>
        <v/>
      </c>
      <c r="FX149" s="28" t="str">
        <f t="shared" si="128"/>
        <v>00:00</v>
      </c>
      <c r="FY149" s="29"/>
      <c r="FZ149" s="27"/>
      <c r="GA149" s="27"/>
      <c r="GB149" s="28" t="str">
        <f>IFERROR(VLOOKUP(FZ149,Horarios!$H:$I,2,0),"")</f>
        <v/>
      </c>
      <c r="GC149" s="28" t="str">
        <f>IFERROR(VLOOKUP(GA149,Horarios!$H:$I,2,0),"")</f>
        <v/>
      </c>
      <c r="GD149" s="28" t="str">
        <f t="shared" si="129"/>
        <v>00:00</v>
      </c>
      <c r="GE149" s="29"/>
      <c r="GF149" s="27"/>
      <c r="GG149" s="27"/>
      <c r="GH149" s="28" t="str">
        <f>IFERROR(VLOOKUP(GF149,Horarios!$H:$I,2,0),"")</f>
        <v/>
      </c>
      <c r="GI149" s="28" t="str">
        <f>IFERROR(VLOOKUP(GG149,Horarios!$H:$I,2,0),"")</f>
        <v/>
      </c>
      <c r="GJ149" s="28" t="str">
        <f t="shared" si="130"/>
        <v>00:00</v>
      </c>
      <c r="GK149" s="29"/>
      <c r="GL149" s="27"/>
      <c r="GM149" s="27"/>
      <c r="GN149" s="28" t="str">
        <f>IFERROR(VLOOKUP(GL149,Horarios!$H:$I,2,0),"")</f>
        <v/>
      </c>
      <c r="GO149" s="28" t="str">
        <f>IFERROR(VLOOKUP(GM149,Horarios!$H:$I,2,0),"")</f>
        <v/>
      </c>
      <c r="GP149" s="28" t="str">
        <f t="shared" si="131"/>
        <v>00:00</v>
      </c>
      <c r="GQ149" s="29"/>
      <c r="GR149" s="27"/>
      <c r="GS149" s="27"/>
      <c r="GT149" s="28" t="str">
        <f>IFERROR(VLOOKUP(GR149,Horarios!$H:$I,2,0),"")</f>
        <v/>
      </c>
      <c r="GU149" s="28" t="str">
        <f>IFERROR(VLOOKUP(GS149,Horarios!$H:$I,2,0),"")</f>
        <v/>
      </c>
      <c r="GV149" s="28" t="str">
        <f t="shared" si="132"/>
        <v>00:00</v>
      </c>
      <c r="GW149" s="29"/>
      <c r="GX149" s="27"/>
      <c r="GY149" s="27"/>
      <c r="GZ149" s="28" t="str">
        <f>IFERROR(VLOOKUP(GX149,Horarios!$H:$I,2,0),"")</f>
        <v/>
      </c>
      <c r="HA149" s="28" t="str">
        <f>IFERROR(VLOOKUP(GY149,Horarios!$H:$I,2,0),"")</f>
        <v/>
      </c>
      <c r="HB149" s="28" t="str">
        <f t="shared" si="133"/>
        <v>00:00</v>
      </c>
      <c r="HC149" s="29"/>
      <c r="HD149" s="27"/>
      <c r="HE149" s="27"/>
      <c r="HF149" s="28" t="str">
        <f>IFERROR(VLOOKUP(HD149,Horarios!$H:$I,2,0),"")</f>
        <v/>
      </c>
      <c r="HG149" s="28" t="str">
        <f>IFERROR(VLOOKUP(HE149,Horarios!$H:$I,2,0),"")</f>
        <v/>
      </c>
      <c r="HH149" s="28" t="str">
        <f t="shared" si="134"/>
        <v>00:00</v>
      </c>
      <c r="HI149" s="29"/>
      <c r="HJ149" s="31" t="str">
        <f t="shared" si="135"/>
        <v/>
      </c>
      <c r="HK149" s="27"/>
      <c r="HL149" s="27"/>
      <c r="HM149" s="28" t="str">
        <f>IFERROR(VLOOKUP(HK149,Horarios!$H:$I,2,0),"")</f>
        <v/>
      </c>
      <c r="HN149" s="28" t="str">
        <f>IFERROR(VLOOKUP(HL149,Horarios!$H:$I,2,0),"")</f>
        <v/>
      </c>
      <c r="HO149" s="28" t="str">
        <f t="shared" si="136"/>
        <v>00:00</v>
      </c>
      <c r="HP149" s="29"/>
      <c r="HQ149" s="27"/>
      <c r="HR149" s="27"/>
      <c r="HS149" s="28" t="str">
        <f>IFERROR(VLOOKUP(HQ149,Horarios!$H:$I,2,0),"")</f>
        <v/>
      </c>
      <c r="HT149" s="28" t="str">
        <f>IFERROR(VLOOKUP(HR149,Horarios!$H:$I,2,0),"")</f>
        <v/>
      </c>
      <c r="HU149" s="28" t="str">
        <f t="shared" si="137"/>
        <v>00:00</v>
      </c>
      <c r="HV149" s="29"/>
      <c r="HW149" s="27"/>
      <c r="HX149" s="27"/>
      <c r="HY149" s="28" t="str">
        <f>IFERROR(VLOOKUP(HW149,Horarios!$H:$I,2,0),"")</f>
        <v/>
      </c>
      <c r="HZ149" s="28" t="str">
        <f>IFERROR(VLOOKUP(HX149,Horarios!$H:$I,2,0),"")</f>
        <v/>
      </c>
      <c r="IA149" s="28" t="str">
        <f t="shared" si="138"/>
        <v>00:00</v>
      </c>
      <c r="IB149" s="29"/>
      <c r="IC149" s="27"/>
      <c r="ID149" s="27"/>
      <c r="IE149" s="28" t="str">
        <f>IFERROR(VLOOKUP(IC149,Horarios!$H:$I,2,0),"")</f>
        <v/>
      </c>
      <c r="IF149" s="28" t="str">
        <f>IFERROR(VLOOKUP(ID149,Horarios!$H:$I,2,0),"")</f>
        <v/>
      </c>
      <c r="IG149" s="28" t="str">
        <f t="shared" si="139"/>
        <v>00:00</v>
      </c>
      <c r="IH149" s="29"/>
      <c r="II149" s="27"/>
      <c r="IJ149" s="27"/>
      <c r="IK149" s="28" t="str">
        <f>IFERROR(VLOOKUP(II149,Horarios!$H:$I,2,0),"")</f>
        <v/>
      </c>
      <c r="IL149" s="28" t="str">
        <f>IFERROR(VLOOKUP(IJ149,Horarios!$H:$I,2,0),"")</f>
        <v/>
      </c>
      <c r="IM149" s="28" t="str">
        <f t="shared" si="140"/>
        <v>00:00</v>
      </c>
      <c r="IN149" s="29"/>
      <c r="IO149" s="27"/>
      <c r="IP149" s="27"/>
      <c r="IQ149" s="28" t="str">
        <f>IFERROR(VLOOKUP(IO149,Horarios!$H:$I,2,0),"")</f>
        <v/>
      </c>
      <c r="IR149" s="28" t="str">
        <f>IFERROR(VLOOKUP(IP149,Horarios!$H:$I,2,0),"")</f>
        <v/>
      </c>
      <c r="IS149" s="28" t="str">
        <f t="shared" si="141"/>
        <v>00:00</v>
      </c>
      <c r="IT149" s="29"/>
      <c r="IU149" s="27"/>
      <c r="IV149" s="27"/>
      <c r="IW149" s="28" t="str">
        <f>IFERROR(VLOOKUP(IU149,Horarios!$H:$I,2,0),"")</f>
        <v/>
      </c>
      <c r="IX149" s="28" t="str">
        <f>IFERROR(VLOOKUP(IV149,Horarios!$H:$I,2,0),"")</f>
        <v/>
      </c>
      <c r="IY149" s="28" t="str">
        <f t="shared" si="142"/>
        <v>00:00</v>
      </c>
      <c r="IZ149" s="29"/>
      <c r="JA149" s="31" t="str">
        <f t="shared" si="143"/>
        <v/>
      </c>
    </row>
    <row r="150" spans="1:261" s="24" customFormat="1" ht="17.399999999999999" x14ac:dyDescent="0.25">
      <c r="A150" s="25"/>
      <c r="B150" s="26" t="str">
        <f>IFERROR(VLOOKUP(A150,BaseNombres!A:B,2,0),"")</f>
        <v/>
      </c>
      <c r="C150" s="26" t="str">
        <f>IFERROR(VLOOKUP(A150,BaseNombres!A:C,3,0),"")</f>
        <v/>
      </c>
      <c r="D150" s="27"/>
      <c r="E150" s="27"/>
      <c r="F150" s="28" t="str">
        <f>IFERROR(VLOOKUP(D150,Horarios!$H:$I,2,0),"")</f>
        <v/>
      </c>
      <c r="G150" s="28" t="str">
        <f>IFERROR(VLOOKUP(E150,Horarios!$H:$I,2,0),"")</f>
        <v/>
      </c>
      <c r="H150" s="28" t="str">
        <f t="shared" si="96"/>
        <v>00:00</v>
      </c>
      <c r="I150" s="29"/>
      <c r="J150" s="27"/>
      <c r="K150" s="27"/>
      <c r="L150" s="28" t="str">
        <f>IFERROR(VLOOKUP(J150,Horarios!$H:$I,2,0),"")</f>
        <v/>
      </c>
      <c r="M150" s="28" t="str">
        <f>IFERROR(VLOOKUP(K150,Horarios!$H:$I,2,0),"")</f>
        <v/>
      </c>
      <c r="N150" s="28" t="str">
        <f t="shared" si="97"/>
        <v>00:00</v>
      </c>
      <c r="O150" s="29"/>
      <c r="P150" s="27"/>
      <c r="Q150" s="27"/>
      <c r="R150" s="28" t="str">
        <f>IFERROR(VLOOKUP(P150,Horarios!$H:$I,2,0),"")</f>
        <v/>
      </c>
      <c r="S150" s="28" t="str">
        <f>IFERROR(VLOOKUP(Q150,Horarios!$H:$I,2,0),"")</f>
        <v/>
      </c>
      <c r="T150" s="28" t="str">
        <f t="shared" si="98"/>
        <v>00:00</v>
      </c>
      <c r="U150" s="29"/>
      <c r="V150" s="27"/>
      <c r="W150" s="27"/>
      <c r="X150" s="28" t="str">
        <f>IFERROR(VLOOKUP(V150,Horarios!$H:$I,2,0),"")</f>
        <v/>
      </c>
      <c r="Y150" s="28" t="str">
        <f>IFERROR(VLOOKUP(W150,Horarios!$H:$I,2,0),"")</f>
        <v/>
      </c>
      <c r="Z150" s="28" t="str">
        <f t="shared" si="99"/>
        <v>00:00</v>
      </c>
      <c r="AA150" s="29"/>
      <c r="AB150" s="27"/>
      <c r="AC150" s="27"/>
      <c r="AD150" s="28" t="str">
        <f>IFERROR(VLOOKUP(AB150,Horarios!$H:$I,2,0),"")</f>
        <v/>
      </c>
      <c r="AE150" s="28" t="str">
        <f>IFERROR(VLOOKUP(AC150,Horarios!$H:$I,2,0),"")</f>
        <v/>
      </c>
      <c r="AF150" s="28" t="str">
        <f t="shared" si="100"/>
        <v>00:00</v>
      </c>
      <c r="AG150" s="29"/>
      <c r="AH150" s="27"/>
      <c r="AI150" s="27"/>
      <c r="AJ150" s="28" t="str">
        <f>IFERROR(VLOOKUP(AH150,Horarios!$H:$I,2,0),"")</f>
        <v/>
      </c>
      <c r="AK150" s="28" t="str">
        <f>IFERROR(VLOOKUP(AI150,Horarios!$H:$I,2,0),"")</f>
        <v/>
      </c>
      <c r="AL150" s="28" t="str">
        <f t="shared" si="101"/>
        <v>00:00</v>
      </c>
      <c r="AM150" s="29"/>
      <c r="AN150" s="27"/>
      <c r="AO150" s="27"/>
      <c r="AP150" s="28" t="str">
        <f>IFERROR(VLOOKUP(AN150,Horarios!$H:$I,2,0),"")</f>
        <v/>
      </c>
      <c r="AQ150" s="28" t="str">
        <f>IFERROR(VLOOKUP(AO150,Horarios!$H:$I,2,0),"")</f>
        <v/>
      </c>
      <c r="AR150" s="28" t="str">
        <f t="shared" si="102"/>
        <v>00:00</v>
      </c>
      <c r="AS150" s="29"/>
      <c r="AT150" s="31" t="str">
        <f t="shared" si="103"/>
        <v/>
      </c>
      <c r="AU150" s="27"/>
      <c r="AV150" s="27"/>
      <c r="AW150" s="28" t="str">
        <f>IFERROR(VLOOKUP(AU150,Horarios!$H:$I,2,0),"")</f>
        <v/>
      </c>
      <c r="AX150" s="28" t="str">
        <f>IFERROR(VLOOKUP(AV150,Horarios!$H:$I,2,0),"")</f>
        <v/>
      </c>
      <c r="AY150" s="28" t="str">
        <f t="shared" si="104"/>
        <v>00:00</v>
      </c>
      <c r="AZ150" s="29"/>
      <c r="BA150" s="27"/>
      <c r="BB150" s="27"/>
      <c r="BC150" s="28" t="str">
        <f>IFERROR(VLOOKUP(BA150,Horarios!$H:$I,2,0),"")</f>
        <v/>
      </c>
      <c r="BD150" s="28" t="str">
        <f>IFERROR(VLOOKUP(BB150,Horarios!$H:$I,2,0),"")</f>
        <v/>
      </c>
      <c r="BE150" s="28" t="str">
        <f t="shared" si="105"/>
        <v>00:00</v>
      </c>
      <c r="BF150" s="29"/>
      <c r="BG150" s="27"/>
      <c r="BH150" s="27"/>
      <c r="BI150" s="28" t="str">
        <f>IFERROR(VLOOKUP(BG150,Horarios!$H:$I,2,0),"")</f>
        <v/>
      </c>
      <c r="BJ150" s="28" t="str">
        <f>IFERROR(VLOOKUP(BH150,Horarios!$H:$I,2,0),"")</f>
        <v/>
      </c>
      <c r="BK150" s="28" t="str">
        <f t="shared" si="106"/>
        <v>00:00</v>
      </c>
      <c r="BL150" s="29"/>
      <c r="BM150" s="27"/>
      <c r="BN150" s="27"/>
      <c r="BO150" s="28" t="str">
        <f>IFERROR(VLOOKUP(BM150,Horarios!$H:$I,2,0),"")</f>
        <v/>
      </c>
      <c r="BP150" s="28" t="str">
        <f>IFERROR(VLOOKUP(BN150,Horarios!$H:$I,2,0),"")</f>
        <v/>
      </c>
      <c r="BQ150" s="28" t="str">
        <f t="shared" si="107"/>
        <v>00:00</v>
      </c>
      <c r="BR150" s="29"/>
      <c r="BS150" s="27"/>
      <c r="BT150" s="27"/>
      <c r="BU150" s="28" t="str">
        <f>IFERROR(VLOOKUP(BS150,Horarios!$H:$I,2,0),"")</f>
        <v/>
      </c>
      <c r="BV150" s="28" t="str">
        <f>IFERROR(VLOOKUP(BT150,Horarios!$H:$I,2,0),"")</f>
        <v/>
      </c>
      <c r="BW150" s="28" t="str">
        <f t="shared" si="108"/>
        <v>00:00</v>
      </c>
      <c r="BX150" s="29"/>
      <c r="BY150" s="27"/>
      <c r="BZ150" s="27"/>
      <c r="CA150" s="28" t="str">
        <f>IFERROR(VLOOKUP(BY150,Horarios!$H:$I,2,0),"")</f>
        <v/>
      </c>
      <c r="CB150" s="28" t="str">
        <f>IFERROR(VLOOKUP(BZ150,Horarios!$H:$I,2,0),"")</f>
        <v/>
      </c>
      <c r="CC150" s="28" t="str">
        <f t="shared" si="109"/>
        <v>00:00</v>
      </c>
      <c r="CD150" s="29"/>
      <c r="CE150" s="27"/>
      <c r="CF150" s="27"/>
      <c r="CG150" s="28" t="str">
        <f>IFERROR(VLOOKUP(CE150,Horarios!$H:$I,2,0),"")</f>
        <v/>
      </c>
      <c r="CH150" s="28" t="str">
        <f>IFERROR(VLOOKUP(CF150,Horarios!$H:$I,2,0),"")</f>
        <v/>
      </c>
      <c r="CI150" s="28" t="str">
        <f t="shared" si="110"/>
        <v>00:00</v>
      </c>
      <c r="CJ150" s="29"/>
      <c r="CK150" s="31" t="str">
        <f t="shared" si="111"/>
        <v/>
      </c>
      <c r="CL150" s="27"/>
      <c r="CM150" s="27"/>
      <c r="CN150" s="28" t="str">
        <f>IFERROR(VLOOKUP(CL150,Horarios!$H:$I,2,0),"")</f>
        <v/>
      </c>
      <c r="CO150" s="28" t="str">
        <f>IFERROR(VLOOKUP(CM150,Horarios!$H:$I,2,0),"")</f>
        <v/>
      </c>
      <c r="CP150" s="28" t="str">
        <f t="shared" si="112"/>
        <v>00:00</v>
      </c>
      <c r="CQ150" s="29"/>
      <c r="CR150" s="27"/>
      <c r="CS150" s="27"/>
      <c r="CT150" s="28" t="str">
        <f>IFERROR(VLOOKUP(CR150,Horarios!$H:$I,2,0),"")</f>
        <v/>
      </c>
      <c r="CU150" s="28" t="str">
        <f>IFERROR(VLOOKUP(CS150,Horarios!$H:$I,2,0),"")</f>
        <v/>
      </c>
      <c r="CV150" s="28" t="str">
        <f t="shared" si="113"/>
        <v>00:00</v>
      </c>
      <c r="CW150" s="29"/>
      <c r="CX150" s="27"/>
      <c r="CY150" s="27"/>
      <c r="CZ150" s="28" t="str">
        <f>IFERROR(VLOOKUP(CX150,Horarios!$H:$I,2,0),"")</f>
        <v/>
      </c>
      <c r="DA150" s="28" t="str">
        <f>IFERROR(VLOOKUP(CY150,Horarios!$H:$I,2,0),"")</f>
        <v/>
      </c>
      <c r="DB150" s="28" t="str">
        <f t="shared" si="114"/>
        <v>00:00</v>
      </c>
      <c r="DC150" s="29"/>
      <c r="DD150" s="27"/>
      <c r="DE150" s="27"/>
      <c r="DF150" s="28" t="str">
        <f>IFERROR(VLOOKUP(DD150,Horarios!$H:$I,2,0),"")</f>
        <v/>
      </c>
      <c r="DG150" s="28" t="str">
        <f>IFERROR(VLOOKUP(DE150,Horarios!$H:$I,2,0),"")</f>
        <v/>
      </c>
      <c r="DH150" s="28" t="str">
        <f t="shared" si="115"/>
        <v>00:00</v>
      </c>
      <c r="DI150" s="29"/>
      <c r="DJ150" s="27"/>
      <c r="DK150" s="27"/>
      <c r="DL150" s="28" t="str">
        <f>IFERROR(VLOOKUP(DJ150,Horarios!$H:$I,2,0),"")</f>
        <v/>
      </c>
      <c r="DM150" s="28" t="str">
        <f>IFERROR(VLOOKUP(DK150,Horarios!$H:$I,2,0),"")</f>
        <v/>
      </c>
      <c r="DN150" s="28" t="str">
        <f t="shared" si="116"/>
        <v>00:00</v>
      </c>
      <c r="DO150" s="29"/>
      <c r="DP150" s="27"/>
      <c r="DQ150" s="27"/>
      <c r="DR150" s="28" t="str">
        <f>IFERROR(VLOOKUP(DP150,Horarios!$H:$I,2,0),"")</f>
        <v/>
      </c>
      <c r="DS150" s="28" t="str">
        <f>IFERROR(VLOOKUP(DQ150,Horarios!$H:$I,2,0),"")</f>
        <v/>
      </c>
      <c r="DT150" s="28" t="str">
        <f t="shared" si="117"/>
        <v>00:00</v>
      </c>
      <c r="DU150" s="29"/>
      <c r="DV150" s="27"/>
      <c r="DW150" s="27"/>
      <c r="DX150" s="28" t="str">
        <f>IFERROR(VLOOKUP(DV150,Horarios!$H:$I,2,0),"")</f>
        <v/>
      </c>
      <c r="DY150" s="28" t="str">
        <f>IFERROR(VLOOKUP(DW150,Horarios!$H:$I,2,0),"")</f>
        <v/>
      </c>
      <c r="DZ150" s="28" t="str">
        <f t="shared" si="118"/>
        <v>00:00</v>
      </c>
      <c r="EA150" s="29"/>
      <c r="EB150" s="31" t="str">
        <f t="shared" si="119"/>
        <v/>
      </c>
      <c r="EC150" s="27"/>
      <c r="ED150" s="27"/>
      <c r="EE150" s="28" t="str">
        <f>IFERROR(VLOOKUP(EC150,Horarios!$H:$I,2,0),"")</f>
        <v/>
      </c>
      <c r="EF150" s="28" t="str">
        <f>IFERROR(VLOOKUP(ED150,Horarios!$H:$I,2,0),"")</f>
        <v/>
      </c>
      <c r="EG150" s="28" t="str">
        <f t="shared" si="120"/>
        <v>00:00</v>
      </c>
      <c r="EH150" s="29"/>
      <c r="EI150" s="27"/>
      <c r="EJ150" s="27"/>
      <c r="EK150" s="28" t="str">
        <f>IFERROR(VLOOKUP(EI150,Horarios!$H:$I,2,0),"")</f>
        <v/>
      </c>
      <c r="EL150" s="28" t="str">
        <f>IFERROR(VLOOKUP(EJ150,Horarios!$H:$I,2,0),"")</f>
        <v/>
      </c>
      <c r="EM150" s="28" t="str">
        <f t="shared" si="121"/>
        <v>00:00</v>
      </c>
      <c r="EN150" s="29"/>
      <c r="EO150" s="27"/>
      <c r="EP150" s="27"/>
      <c r="EQ150" s="28" t="str">
        <f>IFERROR(VLOOKUP(EO150,Horarios!$H:$I,2,0),"")</f>
        <v/>
      </c>
      <c r="ER150" s="28" t="str">
        <f>IFERROR(VLOOKUP(EP150,Horarios!$H:$I,2,0),"")</f>
        <v/>
      </c>
      <c r="ES150" s="28" t="str">
        <f t="shared" si="122"/>
        <v>00:00</v>
      </c>
      <c r="ET150" s="29"/>
      <c r="EU150" s="27"/>
      <c r="EV150" s="27"/>
      <c r="EW150" s="28" t="str">
        <f>IFERROR(VLOOKUP(EU150,Horarios!$H:$I,2,0),"")</f>
        <v/>
      </c>
      <c r="EX150" s="28" t="str">
        <f>IFERROR(VLOOKUP(EV150,Horarios!$H:$I,2,0),"")</f>
        <v/>
      </c>
      <c r="EY150" s="28" t="str">
        <f t="shared" si="123"/>
        <v>00:00</v>
      </c>
      <c r="EZ150" s="29"/>
      <c r="FA150" s="27"/>
      <c r="FB150" s="27"/>
      <c r="FC150" s="28" t="str">
        <f>IFERROR(VLOOKUP(FA150,Horarios!$H:$I,2,0),"")</f>
        <v/>
      </c>
      <c r="FD150" s="28" t="str">
        <f>IFERROR(VLOOKUP(FB150,Horarios!$H:$I,2,0),"")</f>
        <v/>
      </c>
      <c r="FE150" s="28" t="str">
        <f t="shared" si="124"/>
        <v>00:00</v>
      </c>
      <c r="FF150" s="29"/>
      <c r="FG150" s="27"/>
      <c r="FH150" s="27"/>
      <c r="FI150" s="28" t="str">
        <f>IFERROR(VLOOKUP(FG150,Horarios!$H:$I,2,0),"")</f>
        <v/>
      </c>
      <c r="FJ150" s="28" t="str">
        <f>IFERROR(VLOOKUP(FH150,Horarios!$H:$I,2,0),"")</f>
        <v/>
      </c>
      <c r="FK150" s="28" t="str">
        <f t="shared" si="125"/>
        <v>00:00</v>
      </c>
      <c r="FL150" s="29"/>
      <c r="FM150" s="27"/>
      <c r="FN150" s="27"/>
      <c r="FO150" s="28" t="str">
        <f>IFERROR(VLOOKUP(FM150,Horarios!$H:$I,2,0),"")</f>
        <v/>
      </c>
      <c r="FP150" s="28" t="str">
        <f>IFERROR(VLOOKUP(FN150,Horarios!$H:$I,2,0),"")</f>
        <v/>
      </c>
      <c r="FQ150" s="28" t="str">
        <f t="shared" si="126"/>
        <v>00:00</v>
      </c>
      <c r="FR150" s="29"/>
      <c r="FS150" s="31" t="str">
        <f t="shared" si="127"/>
        <v/>
      </c>
      <c r="FT150" s="27"/>
      <c r="FU150" s="27"/>
      <c r="FV150" s="28" t="str">
        <f>IFERROR(VLOOKUP(FT150,Horarios!$H:$I,2,0),"")</f>
        <v/>
      </c>
      <c r="FW150" s="28" t="str">
        <f>IFERROR(VLOOKUP(FU150,Horarios!$H:$I,2,0),"")</f>
        <v/>
      </c>
      <c r="FX150" s="28" t="str">
        <f t="shared" si="128"/>
        <v>00:00</v>
      </c>
      <c r="FY150" s="29"/>
      <c r="FZ150" s="27"/>
      <c r="GA150" s="27"/>
      <c r="GB150" s="28" t="str">
        <f>IFERROR(VLOOKUP(FZ150,Horarios!$H:$I,2,0),"")</f>
        <v/>
      </c>
      <c r="GC150" s="28" t="str">
        <f>IFERROR(VLOOKUP(GA150,Horarios!$H:$I,2,0),"")</f>
        <v/>
      </c>
      <c r="GD150" s="28" t="str">
        <f t="shared" si="129"/>
        <v>00:00</v>
      </c>
      <c r="GE150" s="29"/>
      <c r="GF150" s="27"/>
      <c r="GG150" s="27"/>
      <c r="GH150" s="28" t="str">
        <f>IFERROR(VLOOKUP(GF150,Horarios!$H:$I,2,0),"")</f>
        <v/>
      </c>
      <c r="GI150" s="28" t="str">
        <f>IFERROR(VLOOKUP(GG150,Horarios!$H:$I,2,0),"")</f>
        <v/>
      </c>
      <c r="GJ150" s="28" t="str">
        <f t="shared" si="130"/>
        <v>00:00</v>
      </c>
      <c r="GK150" s="29"/>
      <c r="GL150" s="27"/>
      <c r="GM150" s="27"/>
      <c r="GN150" s="28" t="str">
        <f>IFERROR(VLOOKUP(GL150,Horarios!$H:$I,2,0),"")</f>
        <v/>
      </c>
      <c r="GO150" s="28" t="str">
        <f>IFERROR(VLOOKUP(GM150,Horarios!$H:$I,2,0),"")</f>
        <v/>
      </c>
      <c r="GP150" s="28" t="str">
        <f t="shared" si="131"/>
        <v>00:00</v>
      </c>
      <c r="GQ150" s="29"/>
      <c r="GR150" s="27"/>
      <c r="GS150" s="27"/>
      <c r="GT150" s="28" t="str">
        <f>IFERROR(VLOOKUP(GR150,Horarios!$H:$I,2,0),"")</f>
        <v/>
      </c>
      <c r="GU150" s="28" t="str">
        <f>IFERROR(VLOOKUP(GS150,Horarios!$H:$I,2,0),"")</f>
        <v/>
      </c>
      <c r="GV150" s="28" t="str">
        <f t="shared" si="132"/>
        <v>00:00</v>
      </c>
      <c r="GW150" s="29"/>
      <c r="GX150" s="27"/>
      <c r="GY150" s="27"/>
      <c r="GZ150" s="28" t="str">
        <f>IFERROR(VLOOKUP(GX150,Horarios!$H:$I,2,0),"")</f>
        <v/>
      </c>
      <c r="HA150" s="28" t="str">
        <f>IFERROR(VLOOKUP(GY150,Horarios!$H:$I,2,0),"")</f>
        <v/>
      </c>
      <c r="HB150" s="28" t="str">
        <f t="shared" si="133"/>
        <v>00:00</v>
      </c>
      <c r="HC150" s="29"/>
      <c r="HD150" s="27"/>
      <c r="HE150" s="27"/>
      <c r="HF150" s="28" t="str">
        <f>IFERROR(VLOOKUP(HD150,Horarios!$H:$I,2,0),"")</f>
        <v/>
      </c>
      <c r="HG150" s="28" t="str">
        <f>IFERROR(VLOOKUP(HE150,Horarios!$H:$I,2,0),"")</f>
        <v/>
      </c>
      <c r="HH150" s="28" t="str">
        <f t="shared" si="134"/>
        <v>00:00</v>
      </c>
      <c r="HI150" s="29"/>
      <c r="HJ150" s="31" t="str">
        <f t="shared" si="135"/>
        <v/>
      </c>
      <c r="HK150" s="27"/>
      <c r="HL150" s="27"/>
      <c r="HM150" s="28" t="str">
        <f>IFERROR(VLOOKUP(HK150,Horarios!$H:$I,2,0),"")</f>
        <v/>
      </c>
      <c r="HN150" s="28" t="str">
        <f>IFERROR(VLOOKUP(HL150,Horarios!$H:$I,2,0),"")</f>
        <v/>
      </c>
      <c r="HO150" s="28" t="str">
        <f t="shared" si="136"/>
        <v>00:00</v>
      </c>
      <c r="HP150" s="29"/>
      <c r="HQ150" s="27"/>
      <c r="HR150" s="27"/>
      <c r="HS150" s="28" t="str">
        <f>IFERROR(VLOOKUP(HQ150,Horarios!$H:$I,2,0),"")</f>
        <v/>
      </c>
      <c r="HT150" s="28" t="str">
        <f>IFERROR(VLOOKUP(HR150,Horarios!$H:$I,2,0),"")</f>
        <v/>
      </c>
      <c r="HU150" s="28" t="str">
        <f t="shared" si="137"/>
        <v>00:00</v>
      </c>
      <c r="HV150" s="29"/>
      <c r="HW150" s="27"/>
      <c r="HX150" s="27"/>
      <c r="HY150" s="28" t="str">
        <f>IFERROR(VLOOKUP(HW150,Horarios!$H:$I,2,0),"")</f>
        <v/>
      </c>
      <c r="HZ150" s="28" t="str">
        <f>IFERROR(VLOOKUP(HX150,Horarios!$H:$I,2,0),"")</f>
        <v/>
      </c>
      <c r="IA150" s="28" t="str">
        <f t="shared" si="138"/>
        <v>00:00</v>
      </c>
      <c r="IB150" s="29"/>
      <c r="IC150" s="27"/>
      <c r="ID150" s="27"/>
      <c r="IE150" s="28" t="str">
        <f>IFERROR(VLOOKUP(IC150,Horarios!$H:$I,2,0),"")</f>
        <v/>
      </c>
      <c r="IF150" s="28" t="str">
        <f>IFERROR(VLOOKUP(ID150,Horarios!$H:$I,2,0),"")</f>
        <v/>
      </c>
      <c r="IG150" s="28" t="str">
        <f t="shared" si="139"/>
        <v>00:00</v>
      </c>
      <c r="IH150" s="29"/>
      <c r="II150" s="27"/>
      <c r="IJ150" s="27"/>
      <c r="IK150" s="28" t="str">
        <f>IFERROR(VLOOKUP(II150,Horarios!$H:$I,2,0),"")</f>
        <v/>
      </c>
      <c r="IL150" s="28" t="str">
        <f>IFERROR(VLOOKUP(IJ150,Horarios!$H:$I,2,0),"")</f>
        <v/>
      </c>
      <c r="IM150" s="28" t="str">
        <f t="shared" si="140"/>
        <v>00:00</v>
      </c>
      <c r="IN150" s="29"/>
      <c r="IO150" s="27"/>
      <c r="IP150" s="27"/>
      <c r="IQ150" s="28" t="str">
        <f>IFERROR(VLOOKUP(IO150,Horarios!$H:$I,2,0),"")</f>
        <v/>
      </c>
      <c r="IR150" s="28" t="str">
        <f>IFERROR(VLOOKUP(IP150,Horarios!$H:$I,2,0),"")</f>
        <v/>
      </c>
      <c r="IS150" s="28" t="str">
        <f t="shared" si="141"/>
        <v>00:00</v>
      </c>
      <c r="IT150" s="29"/>
      <c r="IU150" s="27"/>
      <c r="IV150" s="27"/>
      <c r="IW150" s="28" t="str">
        <f>IFERROR(VLOOKUP(IU150,Horarios!$H:$I,2,0),"")</f>
        <v/>
      </c>
      <c r="IX150" s="28" t="str">
        <f>IFERROR(VLOOKUP(IV150,Horarios!$H:$I,2,0),"")</f>
        <v/>
      </c>
      <c r="IY150" s="28" t="str">
        <f t="shared" si="142"/>
        <v>00:00</v>
      </c>
      <c r="IZ150" s="29"/>
      <c r="JA150" s="31" t="str">
        <f t="shared" si="143"/>
        <v/>
      </c>
    </row>
    <row r="151" spans="1:261" s="24" customFormat="1" ht="17.399999999999999" x14ac:dyDescent="0.25">
      <c r="A151" s="25"/>
      <c r="B151" s="26" t="str">
        <f>IFERROR(VLOOKUP(A151,BaseNombres!A:B,2,0),"")</f>
        <v/>
      </c>
      <c r="C151" s="26" t="str">
        <f>IFERROR(VLOOKUP(A151,BaseNombres!A:C,3,0),"")</f>
        <v/>
      </c>
      <c r="D151" s="27"/>
      <c r="E151" s="27"/>
      <c r="F151" s="28" t="str">
        <f>IFERROR(VLOOKUP(D151,Horarios!$H:$I,2,0),"")</f>
        <v/>
      </c>
      <c r="G151" s="28" t="str">
        <f>IFERROR(VLOOKUP(E151,Horarios!$H:$I,2,0),"")</f>
        <v/>
      </c>
      <c r="H151" s="28" t="str">
        <f t="shared" si="96"/>
        <v>00:00</v>
      </c>
      <c r="I151" s="29"/>
      <c r="J151" s="27"/>
      <c r="K151" s="27"/>
      <c r="L151" s="28" t="str">
        <f>IFERROR(VLOOKUP(J151,Horarios!$H:$I,2,0),"")</f>
        <v/>
      </c>
      <c r="M151" s="28" t="str">
        <f>IFERROR(VLOOKUP(K151,Horarios!$H:$I,2,0),"")</f>
        <v/>
      </c>
      <c r="N151" s="28" t="str">
        <f t="shared" si="97"/>
        <v>00:00</v>
      </c>
      <c r="O151" s="29"/>
      <c r="P151" s="27"/>
      <c r="Q151" s="27"/>
      <c r="R151" s="28" t="str">
        <f>IFERROR(VLOOKUP(P151,Horarios!$H:$I,2,0),"")</f>
        <v/>
      </c>
      <c r="S151" s="28" t="str">
        <f>IFERROR(VLOOKUP(Q151,Horarios!$H:$I,2,0),"")</f>
        <v/>
      </c>
      <c r="T151" s="28" t="str">
        <f t="shared" si="98"/>
        <v>00:00</v>
      </c>
      <c r="U151" s="29"/>
      <c r="V151" s="27"/>
      <c r="W151" s="27"/>
      <c r="X151" s="28" t="str">
        <f>IFERROR(VLOOKUP(V151,Horarios!$H:$I,2,0),"")</f>
        <v/>
      </c>
      <c r="Y151" s="28" t="str">
        <f>IFERROR(VLOOKUP(W151,Horarios!$H:$I,2,0),"")</f>
        <v/>
      </c>
      <c r="Z151" s="28" t="str">
        <f t="shared" si="99"/>
        <v>00:00</v>
      </c>
      <c r="AA151" s="29"/>
      <c r="AB151" s="27"/>
      <c r="AC151" s="27"/>
      <c r="AD151" s="28" t="str">
        <f>IFERROR(VLOOKUP(AB151,Horarios!$H:$I,2,0),"")</f>
        <v/>
      </c>
      <c r="AE151" s="28" t="str">
        <f>IFERROR(VLOOKUP(AC151,Horarios!$H:$I,2,0),"")</f>
        <v/>
      </c>
      <c r="AF151" s="28" t="str">
        <f t="shared" si="100"/>
        <v>00:00</v>
      </c>
      <c r="AG151" s="29"/>
      <c r="AH151" s="27"/>
      <c r="AI151" s="27"/>
      <c r="AJ151" s="28" t="str">
        <f>IFERROR(VLOOKUP(AH151,Horarios!$H:$I,2,0),"")</f>
        <v/>
      </c>
      <c r="AK151" s="28" t="str">
        <f>IFERROR(VLOOKUP(AI151,Horarios!$H:$I,2,0),"")</f>
        <v/>
      </c>
      <c r="AL151" s="28" t="str">
        <f t="shared" si="101"/>
        <v>00:00</v>
      </c>
      <c r="AM151" s="29"/>
      <c r="AN151" s="27"/>
      <c r="AO151" s="27"/>
      <c r="AP151" s="28" t="str">
        <f>IFERROR(VLOOKUP(AN151,Horarios!$H:$I,2,0),"")</f>
        <v/>
      </c>
      <c r="AQ151" s="28" t="str">
        <f>IFERROR(VLOOKUP(AO151,Horarios!$H:$I,2,0),"")</f>
        <v/>
      </c>
      <c r="AR151" s="28" t="str">
        <f t="shared" si="102"/>
        <v>00:00</v>
      </c>
      <c r="AS151" s="29"/>
      <c r="AT151" s="31" t="str">
        <f t="shared" si="103"/>
        <v/>
      </c>
      <c r="AU151" s="27"/>
      <c r="AV151" s="27"/>
      <c r="AW151" s="28" t="str">
        <f>IFERROR(VLOOKUP(AU151,Horarios!$H:$I,2,0),"")</f>
        <v/>
      </c>
      <c r="AX151" s="28" t="str">
        <f>IFERROR(VLOOKUP(AV151,Horarios!$H:$I,2,0),"")</f>
        <v/>
      </c>
      <c r="AY151" s="28" t="str">
        <f t="shared" si="104"/>
        <v>00:00</v>
      </c>
      <c r="AZ151" s="29"/>
      <c r="BA151" s="27"/>
      <c r="BB151" s="27"/>
      <c r="BC151" s="28" t="str">
        <f>IFERROR(VLOOKUP(BA151,Horarios!$H:$I,2,0),"")</f>
        <v/>
      </c>
      <c r="BD151" s="28" t="str">
        <f>IFERROR(VLOOKUP(BB151,Horarios!$H:$I,2,0),"")</f>
        <v/>
      </c>
      <c r="BE151" s="28" t="str">
        <f t="shared" si="105"/>
        <v>00:00</v>
      </c>
      <c r="BF151" s="29"/>
      <c r="BG151" s="27"/>
      <c r="BH151" s="27"/>
      <c r="BI151" s="28" t="str">
        <f>IFERROR(VLOOKUP(BG151,Horarios!$H:$I,2,0),"")</f>
        <v/>
      </c>
      <c r="BJ151" s="28" t="str">
        <f>IFERROR(VLOOKUP(BH151,Horarios!$H:$I,2,0),"")</f>
        <v/>
      </c>
      <c r="BK151" s="28" t="str">
        <f t="shared" si="106"/>
        <v>00:00</v>
      </c>
      <c r="BL151" s="29"/>
      <c r="BM151" s="27"/>
      <c r="BN151" s="27"/>
      <c r="BO151" s="28" t="str">
        <f>IFERROR(VLOOKUP(BM151,Horarios!$H:$I,2,0),"")</f>
        <v/>
      </c>
      <c r="BP151" s="28" t="str">
        <f>IFERROR(VLOOKUP(BN151,Horarios!$H:$I,2,0),"")</f>
        <v/>
      </c>
      <c r="BQ151" s="28" t="str">
        <f t="shared" si="107"/>
        <v>00:00</v>
      </c>
      <c r="BR151" s="29"/>
      <c r="BS151" s="27"/>
      <c r="BT151" s="27"/>
      <c r="BU151" s="28" t="str">
        <f>IFERROR(VLOOKUP(BS151,Horarios!$H:$I,2,0),"")</f>
        <v/>
      </c>
      <c r="BV151" s="28" t="str">
        <f>IFERROR(VLOOKUP(BT151,Horarios!$H:$I,2,0),"")</f>
        <v/>
      </c>
      <c r="BW151" s="28" t="str">
        <f t="shared" si="108"/>
        <v>00:00</v>
      </c>
      <c r="BX151" s="29"/>
      <c r="BY151" s="27"/>
      <c r="BZ151" s="27"/>
      <c r="CA151" s="28" t="str">
        <f>IFERROR(VLOOKUP(BY151,Horarios!$H:$I,2,0),"")</f>
        <v/>
      </c>
      <c r="CB151" s="28" t="str">
        <f>IFERROR(VLOOKUP(BZ151,Horarios!$H:$I,2,0),"")</f>
        <v/>
      </c>
      <c r="CC151" s="28" t="str">
        <f t="shared" si="109"/>
        <v>00:00</v>
      </c>
      <c r="CD151" s="29"/>
      <c r="CE151" s="27"/>
      <c r="CF151" s="27"/>
      <c r="CG151" s="28" t="str">
        <f>IFERROR(VLOOKUP(CE151,Horarios!$H:$I,2,0),"")</f>
        <v/>
      </c>
      <c r="CH151" s="28" t="str">
        <f>IFERROR(VLOOKUP(CF151,Horarios!$H:$I,2,0),"")</f>
        <v/>
      </c>
      <c r="CI151" s="28" t="str">
        <f t="shared" si="110"/>
        <v>00:00</v>
      </c>
      <c r="CJ151" s="29"/>
      <c r="CK151" s="31" t="str">
        <f t="shared" si="111"/>
        <v/>
      </c>
      <c r="CL151" s="27"/>
      <c r="CM151" s="27"/>
      <c r="CN151" s="28" t="str">
        <f>IFERROR(VLOOKUP(CL151,Horarios!$H:$I,2,0),"")</f>
        <v/>
      </c>
      <c r="CO151" s="28" t="str">
        <f>IFERROR(VLOOKUP(CM151,Horarios!$H:$I,2,0),"")</f>
        <v/>
      </c>
      <c r="CP151" s="28" t="str">
        <f t="shared" si="112"/>
        <v>00:00</v>
      </c>
      <c r="CQ151" s="29"/>
      <c r="CR151" s="27"/>
      <c r="CS151" s="27"/>
      <c r="CT151" s="28" t="str">
        <f>IFERROR(VLOOKUP(CR151,Horarios!$H:$I,2,0),"")</f>
        <v/>
      </c>
      <c r="CU151" s="28" t="str">
        <f>IFERROR(VLOOKUP(CS151,Horarios!$H:$I,2,0),"")</f>
        <v/>
      </c>
      <c r="CV151" s="28" t="str">
        <f t="shared" si="113"/>
        <v>00:00</v>
      </c>
      <c r="CW151" s="29"/>
      <c r="CX151" s="27"/>
      <c r="CY151" s="27"/>
      <c r="CZ151" s="28" t="str">
        <f>IFERROR(VLOOKUP(CX151,Horarios!$H:$I,2,0),"")</f>
        <v/>
      </c>
      <c r="DA151" s="28" t="str">
        <f>IFERROR(VLOOKUP(CY151,Horarios!$H:$I,2,0),"")</f>
        <v/>
      </c>
      <c r="DB151" s="28" t="str">
        <f t="shared" si="114"/>
        <v>00:00</v>
      </c>
      <c r="DC151" s="29"/>
      <c r="DD151" s="27"/>
      <c r="DE151" s="27"/>
      <c r="DF151" s="28" t="str">
        <f>IFERROR(VLOOKUP(DD151,Horarios!$H:$I,2,0),"")</f>
        <v/>
      </c>
      <c r="DG151" s="28" t="str">
        <f>IFERROR(VLOOKUP(DE151,Horarios!$H:$I,2,0),"")</f>
        <v/>
      </c>
      <c r="DH151" s="28" t="str">
        <f t="shared" si="115"/>
        <v>00:00</v>
      </c>
      <c r="DI151" s="29"/>
      <c r="DJ151" s="27"/>
      <c r="DK151" s="27"/>
      <c r="DL151" s="28" t="str">
        <f>IFERROR(VLOOKUP(DJ151,Horarios!$H:$I,2,0),"")</f>
        <v/>
      </c>
      <c r="DM151" s="28" t="str">
        <f>IFERROR(VLOOKUP(DK151,Horarios!$H:$I,2,0),"")</f>
        <v/>
      </c>
      <c r="DN151" s="28" t="str">
        <f t="shared" si="116"/>
        <v>00:00</v>
      </c>
      <c r="DO151" s="29"/>
      <c r="DP151" s="27"/>
      <c r="DQ151" s="27"/>
      <c r="DR151" s="28" t="str">
        <f>IFERROR(VLOOKUP(DP151,Horarios!$H:$I,2,0),"")</f>
        <v/>
      </c>
      <c r="DS151" s="28" t="str">
        <f>IFERROR(VLOOKUP(DQ151,Horarios!$H:$I,2,0),"")</f>
        <v/>
      </c>
      <c r="DT151" s="28" t="str">
        <f t="shared" si="117"/>
        <v>00:00</v>
      </c>
      <c r="DU151" s="29"/>
      <c r="DV151" s="27"/>
      <c r="DW151" s="27"/>
      <c r="DX151" s="28" t="str">
        <f>IFERROR(VLOOKUP(DV151,Horarios!$H:$I,2,0),"")</f>
        <v/>
      </c>
      <c r="DY151" s="28" t="str">
        <f>IFERROR(VLOOKUP(DW151,Horarios!$H:$I,2,0),"")</f>
        <v/>
      </c>
      <c r="DZ151" s="28" t="str">
        <f t="shared" si="118"/>
        <v>00:00</v>
      </c>
      <c r="EA151" s="29"/>
      <c r="EB151" s="31" t="str">
        <f t="shared" si="119"/>
        <v/>
      </c>
      <c r="EC151" s="27"/>
      <c r="ED151" s="27"/>
      <c r="EE151" s="28" t="str">
        <f>IFERROR(VLOOKUP(EC151,Horarios!$H:$I,2,0),"")</f>
        <v/>
      </c>
      <c r="EF151" s="28" t="str">
        <f>IFERROR(VLOOKUP(ED151,Horarios!$H:$I,2,0),"")</f>
        <v/>
      </c>
      <c r="EG151" s="28" t="str">
        <f t="shared" si="120"/>
        <v>00:00</v>
      </c>
      <c r="EH151" s="29"/>
      <c r="EI151" s="27"/>
      <c r="EJ151" s="27"/>
      <c r="EK151" s="28" t="str">
        <f>IFERROR(VLOOKUP(EI151,Horarios!$H:$I,2,0),"")</f>
        <v/>
      </c>
      <c r="EL151" s="28" t="str">
        <f>IFERROR(VLOOKUP(EJ151,Horarios!$H:$I,2,0),"")</f>
        <v/>
      </c>
      <c r="EM151" s="28" t="str">
        <f t="shared" si="121"/>
        <v>00:00</v>
      </c>
      <c r="EN151" s="29"/>
      <c r="EO151" s="27"/>
      <c r="EP151" s="27"/>
      <c r="EQ151" s="28" t="str">
        <f>IFERROR(VLOOKUP(EO151,Horarios!$H:$I,2,0),"")</f>
        <v/>
      </c>
      <c r="ER151" s="28" t="str">
        <f>IFERROR(VLOOKUP(EP151,Horarios!$H:$I,2,0),"")</f>
        <v/>
      </c>
      <c r="ES151" s="28" t="str">
        <f t="shared" si="122"/>
        <v>00:00</v>
      </c>
      <c r="ET151" s="29"/>
      <c r="EU151" s="27"/>
      <c r="EV151" s="27"/>
      <c r="EW151" s="28" t="str">
        <f>IFERROR(VLOOKUP(EU151,Horarios!$H:$I,2,0),"")</f>
        <v/>
      </c>
      <c r="EX151" s="28" t="str">
        <f>IFERROR(VLOOKUP(EV151,Horarios!$H:$I,2,0),"")</f>
        <v/>
      </c>
      <c r="EY151" s="28" t="str">
        <f t="shared" si="123"/>
        <v>00:00</v>
      </c>
      <c r="EZ151" s="29"/>
      <c r="FA151" s="27"/>
      <c r="FB151" s="27"/>
      <c r="FC151" s="28" t="str">
        <f>IFERROR(VLOOKUP(FA151,Horarios!$H:$I,2,0),"")</f>
        <v/>
      </c>
      <c r="FD151" s="28" t="str">
        <f>IFERROR(VLOOKUP(FB151,Horarios!$H:$I,2,0),"")</f>
        <v/>
      </c>
      <c r="FE151" s="28" t="str">
        <f t="shared" si="124"/>
        <v>00:00</v>
      </c>
      <c r="FF151" s="29"/>
      <c r="FG151" s="27"/>
      <c r="FH151" s="27"/>
      <c r="FI151" s="28" t="str">
        <f>IFERROR(VLOOKUP(FG151,Horarios!$H:$I,2,0),"")</f>
        <v/>
      </c>
      <c r="FJ151" s="28" t="str">
        <f>IFERROR(VLOOKUP(FH151,Horarios!$H:$I,2,0),"")</f>
        <v/>
      </c>
      <c r="FK151" s="28" t="str">
        <f t="shared" si="125"/>
        <v>00:00</v>
      </c>
      <c r="FL151" s="29"/>
      <c r="FM151" s="27"/>
      <c r="FN151" s="27"/>
      <c r="FO151" s="28" t="str">
        <f>IFERROR(VLOOKUP(FM151,Horarios!$H:$I,2,0),"")</f>
        <v/>
      </c>
      <c r="FP151" s="28" t="str">
        <f>IFERROR(VLOOKUP(FN151,Horarios!$H:$I,2,0),"")</f>
        <v/>
      </c>
      <c r="FQ151" s="28" t="str">
        <f t="shared" si="126"/>
        <v>00:00</v>
      </c>
      <c r="FR151" s="29"/>
      <c r="FS151" s="31" t="str">
        <f t="shared" si="127"/>
        <v/>
      </c>
      <c r="FT151" s="27"/>
      <c r="FU151" s="27"/>
      <c r="FV151" s="28" t="str">
        <f>IFERROR(VLOOKUP(FT151,Horarios!$H:$I,2,0),"")</f>
        <v/>
      </c>
      <c r="FW151" s="28" t="str">
        <f>IFERROR(VLOOKUP(FU151,Horarios!$H:$I,2,0),"")</f>
        <v/>
      </c>
      <c r="FX151" s="28" t="str">
        <f t="shared" si="128"/>
        <v>00:00</v>
      </c>
      <c r="FY151" s="29"/>
      <c r="FZ151" s="27"/>
      <c r="GA151" s="27"/>
      <c r="GB151" s="28" t="str">
        <f>IFERROR(VLOOKUP(FZ151,Horarios!$H:$I,2,0),"")</f>
        <v/>
      </c>
      <c r="GC151" s="28" t="str">
        <f>IFERROR(VLOOKUP(GA151,Horarios!$H:$I,2,0),"")</f>
        <v/>
      </c>
      <c r="GD151" s="28" t="str">
        <f t="shared" si="129"/>
        <v>00:00</v>
      </c>
      <c r="GE151" s="29"/>
      <c r="GF151" s="27"/>
      <c r="GG151" s="27"/>
      <c r="GH151" s="28" t="str">
        <f>IFERROR(VLOOKUP(GF151,Horarios!$H:$I,2,0),"")</f>
        <v/>
      </c>
      <c r="GI151" s="28" t="str">
        <f>IFERROR(VLOOKUP(GG151,Horarios!$H:$I,2,0),"")</f>
        <v/>
      </c>
      <c r="GJ151" s="28" t="str">
        <f t="shared" si="130"/>
        <v>00:00</v>
      </c>
      <c r="GK151" s="29"/>
      <c r="GL151" s="27"/>
      <c r="GM151" s="27"/>
      <c r="GN151" s="28" t="str">
        <f>IFERROR(VLOOKUP(GL151,Horarios!$H:$I,2,0),"")</f>
        <v/>
      </c>
      <c r="GO151" s="28" t="str">
        <f>IFERROR(VLOOKUP(GM151,Horarios!$H:$I,2,0),"")</f>
        <v/>
      </c>
      <c r="GP151" s="28" t="str">
        <f t="shared" si="131"/>
        <v>00:00</v>
      </c>
      <c r="GQ151" s="29"/>
      <c r="GR151" s="27"/>
      <c r="GS151" s="27"/>
      <c r="GT151" s="28" t="str">
        <f>IFERROR(VLOOKUP(GR151,Horarios!$H:$I,2,0),"")</f>
        <v/>
      </c>
      <c r="GU151" s="28" t="str">
        <f>IFERROR(VLOOKUP(GS151,Horarios!$H:$I,2,0),"")</f>
        <v/>
      </c>
      <c r="GV151" s="28" t="str">
        <f t="shared" si="132"/>
        <v>00:00</v>
      </c>
      <c r="GW151" s="29"/>
      <c r="GX151" s="27"/>
      <c r="GY151" s="27"/>
      <c r="GZ151" s="28" t="str">
        <f>IFERROR(VLOOKUP(GX151,Horarios!$H:$I,2,0),"")</f>
        <v/>
      </c>
      <c r="HA151" s="28" t="str">
        <f>IFERROR(VLOOKUP(GY151,Horarios!$H:$I,2,0),"")</f>
        <v/>
      </c>
      <c r="HB151" s="28" t="str">
        <f t="shared" si="133"/>
        <v>00:00</v>
      </c>
      <c r="HC151" s="29"/>
      <c r="HD151" s="27"/>
      <c r="HE151" s="27"/>
      <c r="HF151" s="28" t="str">
        <f>IFERROR(VLOOKUP(HD151,Horarios!$H:$I,2,0),"")</f>
        <v/>
      </c>
      <c r="HG151" s="28" t="str">
        <f>IFERROR(VLOOKUP(HE151,Horarios!$H:$I,2,0),"")</f>
        <v/>
      </c>
      <c r="HH151" s="28" t="str">
        <f t="shared" si="134"/>
        <v>00:00</v>
      </c>
      <c r="HI151" s="29"/>
      <c r="HJ151" s="31" t="str">
        <f t="shared" si="135"/>
        <v/>
      </c>
      <c r="HK151" s="27"/>
      <c r="HL151" s="27"/>
      <c r="HM151" s="28" t="str">
        <f>IFERROR(VLOOKUP(HK151,Horarios!$H:$I,2,0),"")</f>
        <v/>
      </c>
      <c r="HN151" s="28" t="str">
        <f>IFERROR(VLOOKUP(HL151,Horarios!$H:$I,2,0),"")</f>
        <v/>
      </c>
      <c r="HO151" s="28" t="str">
        <f t="shared" si="136"/>
        <v>00:00</v>
      </c>
      <c r="HP151" s="29"/>
      <c r="HQ151" s="27"/>
      <c r="HR151" s="27"/>
      <c r="HS151" s="28" t="str">
        <f>IFERROR(VLOOKUP(HQ151,Horarios!$H:$I,2,0),"")</f>
        <v/>
      </c>
      <c r="HT151" s="28" t="str">
        <f>IFERROR(VLOOKUP(HR151,Horarios!$H:$I,2,0),"")</f>
        <v/>
      </c>
      <c r="HU151" s="28" t="str">
        <f t="shared" si="137"/>
        <v>00:00</v>
      </c>
      <c r="HV151" s="29"/>
      <c r="HW151" s="27"/>
      <c r="HX151" s="27"/>
      <c r="HY151" s="28" t="str">
        <f>IFERROR(VLOOKUP(HW151,Horarios!$H:$I,2,0),"")</f>
        <v/>
      </c>
      <c r="HZ151" s="28" t="str">
        <f>IFERROR(VLOOKUP(HX151,Horarios!$H:$I,2,0),"")</f>
        <v/>
      </c>
      <c r="IA151" s="28" t="str">
        <f t="shared" si="138"/>
        <v>00:00</v>
      </c>
      <c r="IB151" s="29"/>
      <c r="IC151" s="27"/>
      <c r="ID151" s="27"/>
      <c r="IE151" s="28" t="str">
        <f>IFERROR(VLOOKUP(IC151,Horarios!$H:$I,2,0),"")</f>
        <v/>
      </c>
      <c r="IF151" s="28" t="str">
        <f>IFERROR(VLOOKUP(ID151,Horarios!$H:$I,2,0),"")</f>
        <v/>
      </c>
      <c r="IG151" s="28" t="str">
        <f t="shared" si="139"/>
        <v>00:00</v>
      </c>
      <c r="IH151" s="29"/>
      <c r="II151" s="27"/>
      <c r="IJ151" s="27"/>
      <c r="IK151" s="28" t="str">
        <f>IFERROR(VLOOKUP(II151,Horarios!$H:$I,2,0),"")</f>
        <v/>
      </c>
      <c r="IL151" s="28" t="str">
        <f>IFERROR(VLOOKUP(IJ151,Horarios!$H:$I,2,0),"")</f>
        <v/>
      </c>
      <c r="IM151" s="28" t="str">
        <f t="shared" si="140"/>
        <v>00:00</v>
      </c>
      <c r="IN151" s="29"/>
      <c r="IO151" s="27"/>
      <c r="IP151" s="27"/>
      <c r="IQ151" s="28" t="str">
        <f>IFERROR(VLOOKUP(IO151,Horarios!$H:$I,2,0),"")</f>
        <v/>
      </c>
      <c r="IR151" s="28" t="str">
        <f>IFERROR(VLOOKUP(IP151,Horarios!$H:$I,2,0),"")</f>
        <v/>
      </c>
      <c r="IS151" s="28" t="str">
        <f t="shared" si="141"/>
        <v>00:00</v>
      </c>
      <c r="IT151" s="29"/>
      <c r="IU151" s="27"/>
      <c r="IV151" s="27"/>
      <c r="IW151" s="28" t="str">
        <f>IFERROR(VLOOKUP(IU151,Horarios!$H:$I,2,0),"")</f>
        <v/>
      </c>
      <c r="IX151" s="28" t="str">
        <f>IFERROR(VLOOKUP(IV151,Horarios!$H:$I,2,0),"")</f>
        <v/>
      </c>
      <c r="IY151" s="28" t="str">
        <f t="shared" si="142"/>
        <v>00:00</v>
      </c>
      <c r="IZ151" s="29"/>
      <c r="JA151" s="31" t="str">
        <f t="shared" si="143"/>
        <v/>
      </c>
    </row>
    <row r="152" spans="1:261" s="24" customFormat="1" ht="17.399999999999999" x14ac:dyDescent="0.25">
      <c r="A152" s="25"/>
      <c r="B152" s="26" t="str">
        <f>IFERROR(VLOOKUP(A152,BaseNombres!A:B,2,0),"")</f>
        <v/>
      </c>
      <c r="C152" s="26" t="str">
        <f>IFERROR(VLOOKUP(A152,BaseNombres!A:C,3,0),"")</f>
        <v/>
      </c>
      <c r="D152" s="27"/>
      <c r="E152" s="27"/>
      <c r="F152" s="28" t="str">
        <f>IFERROR(VLOOKUP(D152,Horarios!$H:$I,2,0),"")</f>
        <v/>
      </c>
      <c r="G152" s="28" t="str">
        <f>IFERROR(VLOOKUP(E152,Horarios!$H:$I,2,0),"")</f>
        <v/>
      </c>
      <c r="H152" s="28" t="str">
        <f t="shared" si="96"/>
        <v>00:00</v>
      </c>
      <c r="I152" s="29"/>
      <c r="J152" s="27"/>
      <c r="K152" s="27"/>
      <c r="L152" s="28" t="str">
        <f>IFERROR(VLOOKUP(J152,Horarios!$H:$I,2,0),"")</f>
        <v/>
      </c>
      <c r="M152" s="28" t="str">
        <f>IFERROR(VLOOKUP(K152,Horarios!$H:$I,2,0),"")</f>
        <v/>
      </c>
      <c r="N152" s="28" t="str">
        <f t="shared" si="97"/>
        <v>00:00</v>
      </c>
      <c r="O152" s="29"/>
      <c r="P152" s="27"/>
      <c r="Q152" s="27"/>
      <c r="R152" s="28" t="str">
        <f>IFERROR(VLOOKUP(P152,Horarios!$H:$I,2,0),"")</f>
        <v/>
      </c>
      <c r="S152" s="28" t="str">
        <f>IFERROR(VLOOKUP(Q152,Horarios!$H:$I,2,0),"")</f>
        <v/>
      </c>
      <c r="T152" s="28" t="str">
        <f t="shared" si="98"/>
        <v>00:00</v>
      </c>
      <c r="U152" s="29"/>
      <c r="V152" s="27"/>
      <c r="W152" s="27"/>
      <c r="X152" s="28" t="str">
        <f>IFERROR(VLOOKUP(V152,Horarios!$H:$I,2,0),"")</f>
        <v/>
      </c>
      <c r="Y152" s="28" t="str">
        <f>IFERROR(VLOOKUP(W152,Horarios!$H:$I,2,0),"")</f>
        <v/>
      </c>
      <c r="Z152" s="28" t="str">
        <f t="shared" si="99"/>
        <v>00:00</v>
      </c>
      <c r="AA152" s="29"/>
      <c r="AB152" s="27"/>
      <c r="AC152" s="27"/>
      <c r="AD152" s="28" t="str">
        <f>IFERROR(VLOOKUP(AB152,Horarios!$H:$I,2,0),"")</f>
        <v/>
      </c>
      <c r="AE152" s="28" t="str">
        <f>IFERROR(VLOOKUP(AC152,Horarios!$H:$I,2,0),"")</f>
        <v/>
      </c>
      <c r="AF152" s="28" t="str">
        <f t="shared" si="100"/>
        <v>00:00</v>
      </c>
      <c r="AG152" s="29"/>
      <c r="AH152" s="27"/>
      <c r="AI152" s="27"/>
      <c r="AJ152" s="28" t="str">
        <f>IFERROR(VLOOKUP(AH152,Horarios!$H:$I,2,0),"")</f>
        <v/>
      </c>
      <c r="AK152" s="28" t="str">
        <f>IFERROR(VLOOKUP(AI152,Horarios!$H:$I,2,0),"")</f>
        <v/>
      </c>
      <c r="AL152" s="28" t="str">
        <f t="shared" si="101"/>
        <v>00:00</v>
      </c>
      <c r="AM152" s="29"/>
      <c r="AN152" s="27"/>
      <c r="AO152" s="27"/>
      <c r="AP152" s="28" t="str">
        <f>IFERROR(VLOOKUP(AN152,Horarios!$H:$I,2,0),"")</f>
        <v/>
      </c>
      <c r="AQ152" s="28" t="str">
        <f>IFERROR(VLOOKUP(AO152,Horarios!$H:$I,2,0),"")</f>
        <v/>
      </c>
      <c r="AR152" s="28" t="str">
        <f t="shared" si="102"/>
        <v>00:00</v>
      </c>
      <c r="AS152" s="29"/>
      <c r="AT152" s="31" t="str">
        <f t="shared" si="103"/>
        <v/>
      </c>
      <c r="AU152" s="27"/>
      <c r="AV152" s="27"/>
      <c r="AW152" s="28" t="str">
        <f>IFERROR(VLOOKUP(AU152,Horarios!$H:$I,2,0),"")</f>
        <v/>
      </c>
      <c r="AX152" s="28" t="str">
        <f>IFERROR(VLOOKUP(AV152,Horarios!$H:$I,2,0),"")</f>
        <v/>
      </c>
      <c r="AY152" s="28" t="str">
        <f t="shared" si="104"/>
        <v>00:00</v>
      </c>
      <c r="AZ152" s="29"/>
      <c r="BA152" s="27"/>
      <c r="BB152" s="27"/>
      <c r="BC152" s="28" t="str">
        <f>IFERROR(VLOOKUP(BA152,Horarios!$H:$I,2,0),"")</f>
        <v/>
      </c>
      <c r="BD152" s="28" t="str">
        <f>IFERROR(VLOOKUP(BB152,Horarios!$H:$I,2,0),"")</f>
        <v/>
      </c>
      <c r="BE152" s="28" t="str">
        <f t="shared" si="105"/>
        <v>00:00</v>
      </c>
      <c r="BF152" s="29"/>
      <c r="BG152" s="27"/>
      <c r="BH152" s="27"/>
      <c r="BI152" s="28" t="str">
        <f>IFERROR(VLOOKUP(BG152,Horarios!$H:$I,2,0),"")</f>
        <v/>
      </c>
      <c r="BJ152" s="28" t="str">
        <f>IFERROR(VLOOKUP(BH152,Horarios!$H:$I,2,0),"")</f>
        <v/>
      </c>
      <c r="BK152" s="28" t="str">
        <f t="shared" si="106"/>
        <v>00:00</v>
      </c>
      <c r="BL152" s="29"/>
      <c r="BM152" s="27"/>
      <c r="BN152" s="27"/>
      <c r="BO152" s="28" t="str">
        <f>IFERROR(VLOOKUP(BM152,Horarios!$H:$I,2,0),"")</f>
        <v/>
      </c>
      <c r="BP152" s="28" t="str">
        <f>IFERROR(VLOOKUP(BN152,Horarios!$H:$I,2,0),"")</f>
        <v/>
      </c>
      <c r="BQ152" s="28" t="str">
        <f t="shared" si="107"/>
        <v>00:00</v>
      </c>
      <c r="BR152" s="29"/>
      <c r="BS152" s="27"/>
      <c r="BT152" s="27"/>
      <c r="BU152" s="28" t="str">
        <f>IFERROR(VLOOKUP(BS152,Horarios!$H:$I,2,0),"")</f>
        <v/>
      </c>
      <c r="BV152" s="28" t="str">
        <f>IFERROR(VLOOKUP(BT152,Horarios!$H:$I,2,0),"")</f>
        <v/>
      </c>
      <c r="BW152" s="28" t="str">
        <f t="shared" si="108"/>
        <v>00:00</v>
      </c>
      <c r="BX152" s="29"/>
      <c r="BY152" s="27"/>
      <c r="BZ152" s="27"/>
      <c r="CA152" s="28" t="str">
        <f>IFERROR(VLOOKUP(BY152,Horarios!$H:$I,2,0),"")</f>
        <v/>
      </c>
      <c r="CB152" s="28" t="str">
        <f>IFERROR(VLOOKUP(BZ152,Horarios!$H:$I,2,0),"")</f>
        <v/>
      </c>
      <c r="CC152" s="28" t="str">
        <f t="shared" si="109"/>
        <v>00:00</v>
      </c>
      <c r="CD152" s="29"/>
      <c r="CE152" s="27"/>
      <c r="CF152" s="27"/>
      <c r="CG152" s="28" t="str">
        <f>IFERROR(VLOOKUP(CE152,Horarios!$H:$I,2,0),"")</f>
        <v/>
      </c>
      <c r="CH152" s="28" t="str">
        <f>IFERROR(VLOOKUP(CF152,Horarios!$H:$I,2,0),"")</f>
        <v/>
      </c>
      <c r="CI152" s="28" t="str">
        <f t="shared" si="110"/>
        <v>00:00</v>
      </c>
      <c r="CJ152" s="29"/>
      <c r="CK152" s="31" t="str">
        <f t="shared" si="111"/>
        <v/>
      </c>
      <c r="CL152" s="27"/>
      <c r="CM152" s="27"/>
      <c r="CN152" s="28" t="str">
        <f>IFERROR(VLOOKUP(CL152,Horarios!$H:$I,2,0),"")</f>
        <v/>
      </c>
      <c r="CO152" s="28" t="str">
        <f>IFERROR(VLOOKUP(CM152,Horarios!$H:$I,2,0),"")</f>
        <v/>
      </c>
      <c r="CP152" s="28" t="str">
        <f t="shared" si="112"/>
        <v>00:00</v>
      </c>
      <c r="CQ152" s="29"/>
      <c r="CR152" s="27"/>
      <c r="CS152" s="27"/>
      <c r="CT152" s="28" t="str">
        <f>IFERROR(VLOOKUP(CR152,Horarios!$H:$I,2,0),"")</f>
        <v/>
      </c>
      <c r="CU152" s="28" t="str">
        <f>IFERROR(VLOOKUP(CS152,Horarios!$H:$I,2,0),"")</f>
        <v/>
      </c>
      <c r="CV152" s="28" t="str">
        <f t="shared" si="113"/>
        <v>00:00</v>
      </c>
      <c r="CW152" s="29"/>
      <c r="CX152" s="27"/>
      <c r="CY152" s="27"/>
      <c r="CZ152" s="28" t="str">
        <f>IFERROR(VLOOKUP(CX152,Horarios!$H:$I,2,0),"")</f>
        <v/>
      </c>
      <c r="DA152" s="28" t="str">
        <f>IFERROR(VLOOKUP(CY152,Horarios!$H:$I,2,0),"")</f>
        <v/>
      </c>
      <c r="DB152" s="28" t="str">
        <f t="shared" si="114"/>
        <v>00:00</v>
      </c>
      <c r="DC152" s="29"/>
      <c r="DD152" s="27"/>
      <c r="DE152" s="27"/>
      <c r="DF152" s="28" t="str">
        <f>IFERROR(VLOOKUP(DD152,Horarios!$H:$I,2,0),"")</f>
        <v/>
      </c>
      <c r="DG152" s="28" t="str">
        <f>IFERROR(VLOOKUP(DE152,Horarios!$H:$I,2,0),"")</f>
        <v/>
      </c>
      <c r="DH152" s="28" t="str">
        <f t="shared" si="115"/>
        <v>00:00</v>
      </c>
      <c r="DI152" s="29"/>
      <c r="DJ152" s="27"/>
      <c r="DK152" s="27"/>
      <c r="DL152" s="28" t="str">
        <f>IFERROR(VLOOKUP(DJ152,Horarios!$H:$I,2,0),"")</f>
        <v/>
      </c>
      <c r="DM152" s="28" t="str">
        <f>IFERROR(VLOOKUP(DK152,Horarios!$H:$I,2,0),"")</f>
        <v/>
      </c>
      <c r="DN152" s="28" t="str">
        <f t="shared" si="116"/>
        <v>00:00</v>
      </c>
      <c r="DO152" s="29"/>
      <c r="DP152" s="27"/>
      <c r="DQ152" s="27"/>
      <c r="DR152" s="28" t="str">
        <f>IFERROR(VLOOKUP(DP152,Horarios!$H:$I,2,0),"")</f>
        <v/>
      </c>
      <c r="DS152" s="28" t="str">
        <f>IFERROR(VLOOKUP(DQ152,Horarios!$H:$I,2,0),"")</f>
        <v/>
      </c>
      <c r="DT152" s="28" t="str">
        <f t="shared" si="117"/>
        <v>00:00</v>
      </c>
      <c r="DU152" s="29"/>
      <c r="DV152" s="27"/>
      <c r="DW152" s="27"/>
      <c r="DX152" s="28" t="str">
        <f>IFERROR(VLOOKUP(DV152,Horarios!$H:$I,2,0),"")</f>
        <v/>
      </c>
      <c r="DY152" s="28" t="str">
        <f>IFERROR(VLOOKUP(DW152,Horarios!$H:$I,2,0),"")</f>
        <v/>
      </c>
      <c r="DZ152" s="28" t="str">
        <f t="shared" si="118"/>
        <v>00:00</v>
      </c>
      <c r="EA152" s="29"/>
      <c r="EB152" s="31" t="str">
        <f t="shared" si="119"/>
        <v/>
      </c>
      <c r="EC152" s="27"/>
      <c r="ED152" s="27"/>
      <c r="EE152" s="28" t="str">
        <f>IFERROR(VLOOKUP(EC152,Horarios!$H:$I,2,0),"")</f>
        <v/>
      </c>
      <c r="EF152" s="28" t="str">
        <f>IFERROR(VLOOKUP(ED152,Horarios!$H:$I,2,0),"")</f>
        <v/>
      </c>
      <c r="EG152" s="28" t="str">
        <f t="shared" si="120"/>
        <v>00:00</v>
      </c>
      <c r="EH152" s="29"/>
      <c r="EI152" s="27"/>
      <c r="EJ152" s="27"/>
      <c r="EK152" s="28" t="str">
        <f>IFERROR(VLOOKUP(EI152,Horarios!$H:$I,2,0),"")</f>
        <v/>
      </c>
      <c r="EL152" s="28" t="str">
        <f>IFERROR(VLOOKUP(EJ152,Horarios!$H:$I,2,0),"")</f>
        <v/>
      </c>
      <c r="EM152" s="28" t="str">
        <f t="shared" si="121"/>
        <v>00:00</v>
      </c>
      <c r="EN152" s="29"/>
      <c r="EO152" s="27"/>
      <c r="EP152" s="27"/>
      <c r="EQ152" s="28" t="str">
        <f>IFERROR(VLOOKUP(EO152,Horarios!$H:$I,2,0),"")</f>
        <v/>
      </c>
      <c r="ER152" s="28" t="str">
        <f>IFERROR(VLOOKUP(EP152,Horarios!$H:$I,2,0),"")</f>
        <v/>
      </c>
      <c r="ES152" s="28" t="str">
        <f t="shared" si="122"/>
        <v>00:00</v>
      </c>
      <c r="ET152" s="29"/>
      <c r="EU152" s="27"/>
      <c r="EV152" s="27"/>
      <c r="EW152" s="28" t="str">
        <f>IFERROR(VLOOKUP(EU152,Horarios!$H:$I,2,0),"")</f>
        <v/>
      </c>
      <c r="EX152" s="28" t="str">
        <f>IFERROR(VLOOKUP(EV152,Horarios!$H:$I,2,0),"")</f>
        <v/>
      </c>
      <c r="EY152" s="28" t="str">
        <f t="shared" si="123"/>
        <v>00:00</v>
      </c>
      <c r="EZ152" s="29"/>
      <c r="FA152" s="27"/>
      <c r="FB152" s="27"/>
      <c r="FC152" s="28" t="str">
        <f>IFERROR(VLOOKUP(FA152,Horarios!$H:$I,2,0),"")</f>
        <v/>
      </c>
      <c r="FD152" s="28" t="str">
        <f>IFERROR(VLOOKUP(FB152,Horarios!$H:$I,2,0),"")</f>
        <v/>
      </c>
      <c r="FE152" s="28" t="str">
        <f t="shared" si="124"/>
        <v>00:00</v>
      </c>
      <c r="FF152" s="29"/>
      <c r="FG152" s="27"/>
      <c r="FH152" s="27"/>
      <c r="FI152" s="28" t="str">
        <f>IFERROR(VLOOKUP(FG152,Horarios!$H:$I,2,0),"")</f>
        <v/>
      </c>
      <c r="FJ152" s="28" t="str">
        <f>IFERROR(VLOOKUP(FH152,Horarios!$H:$I,2,0),"")</f>
        <v/>
      </c>
      <c r="FK152" s="28" t="str">
        <f t="shared" si="125"/>
        <v>00:00</v>
      </c>
      <c r="FL152" s="29"/>
      <c r="FM152" s="27"/>
      <c r="FN152" s="27"/>
      <c r="FO152" s="28" t="str">
        <f>IFERROR(VLOOKUP(FM152,Horarios!$H:$I,2,0),"")</f>
        <v/>
      </c>
      <c r="FP152" s="28" t="str">
        <f>IFERROR(VLOOKUP(FN152,Horarios!$H:$I,2,0),"")</f>
        <v/>
      </c>
      <c r="FQ152" s="28" t="str">
        <f t="shared" si="126"/>
        <v>00:00</v>
      </c>
      <c r="FR152" s="29"/>
      <c r="FS152" s="31" t="str">
        <f t="shared" si="127"/>
        <v/>
      </c>
      <c r="FT152" s="27"/>
      <c r="FU152" s="27"/>
      <c r="FV152" s="28" t="str">
        <f>IFERROR(VLOOKUP(FT152,Horarios!$H:$I,2,0),"")</f>
        <v/>
      </c>
      <c r="FW152" s="28" t="str">
        <f>IFERROR(VLOOKUP(FU152,Horarios!$H:$I,2,0),"")</f>
        <v/>
      </c>
      <c r="FX152" s="28" t="str">
        <f t="shared" si="128"/>
        <v>00:00</v>
      </c>
      <c r="FY152" s="29"/>
      <c r="FZ152" s="27"/>
      <c r="GA152" s="27"/>
      <c r="GB152" s="28" t="str">
        <f>IFERROR(VLOOKUP(FZ152,Horarios!$H:$I,2,0),"")</f>
        <v/>
      </c>
      <c r="GC152" s="28" t="str">
        <f>IFERROR(VLOOKUP(GA152,Horarios!$H:$I,2,0),"")</f>
        <v/>
      </c>
      <c r="GD152" s="28" t="str">
        <f t="shared" si="129"/>
        <v>00:00</v>
      </c>
      <c r="GE152" s="29"/>
      <c r="GF152" s="27"/>
      <c r="GG152" s="27"/>
      <c r="GH152" s="28" t="str">
        <f>IFERROR(VLOOKUP(GF152,Horarios!$H:$I,2,0),"")</f>
        <v/>
      </c>
      <c r="GI152" s="28" t="str">
        <f>IFERROR(VLOOKUP(GG152,Horarios!$H:$I,2,0),"")</f>
        <v/>
      </c>
      <c r="GJ152" s="28" t="str">
        <f t="shared" si="130"/>
        <v>00:00</v>
      </c>
      <c r="GK152" s="29"/>
      <c r="GL152" s="27"/>
      <c r="GM152" s="27"/>
      <c r="GN152" s="28" t="str">
        <f>IFERROR(VLOOKUP(GL152,Horarios!$H:$I,2,0),"")</f>
        <v/>
      </c>
      <c r="GO152" s="28" t="str">
        <f>IFERROR(VLOOKUP(GM152,Horarios!$H:$I,2,0),"")</f>
        <v/>
      </c>
      <c r="GP152" s="28" t="str">
        <f t="shared" si="131"/>
        <v>00:00</v>
      </c>
      <c r="GQ152" s="29"/>
      <c r="GR152" s="27"/>
      <c r="GS152" s="27"/>
      <c r="GT152" s="28" t="str">
        <f>IFERROR(VLOOKUP(GR152,Horarios!$H:$I,2,0),"")</f>
        <v/>
      </c>
      <c r="GU152" s="28" t="str">
        <f>IFERROR(VLOOKUP(GS152,Horarios!$H:$I,2,0),"")</f>
        <v/>
      </c>
      <c r="GV152" s="28" t="str">
        <f t="shared" si="132"/>
        <v>00:00</v>
      </c>
      <c r="GW152" s="29"/>
      <c r="GX152" s="27"/>
      <c r="GY152" s="27"/>
      <c r="GZ152" s="28" t="str">
        <f>IFERROR(VLOOKUP(GX152,Horarios!$H:$I,2,0),"")</f>
        <v/>
      </c>
      <c r="HA152" s="28" t="str">
        <f>IFERROR(VLOOKUP(GY152,Horarios!$H:$I,2,0),"")</f>
        <v/>
      </c>
      <c r="HB152" s="28" t="str">
        <f t="shared" si="133"/>
        <v>00:00</v>
      </c>
      <c r="HC152" s="29"/>
      <c r="HD152" s="27"/>
      <c r="HE152" s="27"/>
      <c r="HF152" s="28" t="str">
        <f>IFERROR(VLOOKUP(HD152,Horarios!$H:$I,2,0),"")</f>
        <v/>
      </c>
      <c r="HG152" s="28" t="str">
        <f>IFERROR(VLOOKUP(HE152,Horarios!$H:$I,2,0),"")</f>
        <v/>
      </c>
      <c r="HH152" s="28" t="str">
        <f t="shared" si="134"/>
        <v>00:00</v>
      </c>
      <c r="HI152" s="29"/>
      <c r="HJ152" s="31" t="str">
        <f t="shared" si="135"/>
        <v/>
      </c>
      <c r="HK152" s="27"/>
      <c r="HL152" s="27"/>
      <c r="HM152" s="28" t="str">
        <f>IFERROR(VLOOKUP(HK152,Horarios!$H:$I,2,0),"")</f>
        <v/>
      </c>
      <c r="HN152" s="28" t="str">
        <f>IFERROR(VLOOKUP(HL152,Horarios!$H:$I,2,0),"")</f>
        <v/>
      </c>
      <c r="HO152" s="28" t="str">
        <f t="shared" si="136"/>
        <v>00:00</v>
      </c>
      <c r="HP152" s="29"/>
      <c r="HQ152" s="27"/>
      <c r="HR152" s="27"/>
      <c r="HS152" s="28" t="str">
        <f>IFERROR(VLOOKUP(HQ152,Horarios!$H:$I,2,0),"")</f>
        <v/>
      </c>
      <c r="HT152" s="28" t="str">
        <f>IFERROR(VLOOKUP(HR152,Horarios!$H:$I,2,0),"")</f>
        <v/>
      </c>
      <c r="HU152" s="28" t="str">
        <f t="shared" si="137"/>
        <v>00:00</v>
      </c>
      <c r="HV152" s="29"/>
      <c r="HW152" s="27"/>
      <c r="HX152" s="27"/>
      <c r="HY152" s="28" t="str">
        <f>IFERROR(VLOOKUP(HW152,Horarios!$H:$I,2,0),"")</f>
        <v/>
      </c>
      <c r="HZ152" s="28" t="str">
        <f>IFERROR(VLOOKUP(HX152,Horarios!$H:$I,2,0),"")</f>
        <v/>
      </c>
      <c r="IA152" s="28" t="str">
        <f t="shared" si="138"/>
        <v>00:00</v>
      </c>
      <c r="IB152" s="29"/>
      <c r="IC152" s="27"/>
      <c r="ID152" s="27"/>
      <c r="IE152" s="28" t="str">
        <f>IFERROR(VLOOKUP(IC152,Horarios!$H:$I,2,0),"")</f>
        <v/>
      </c>
      <c r="IF152" s="28" t="str">
        <f>IFERROR(VLOOKUP(ID152,Horarios!$H:$I,2,0),"")</f>
        <v/>
      </c>
      <c r="IG152" s="28" t="str">
        <f t="shared" si="139"/>
        <v>00:00</v>
      </c>
      <c r="IH152" s="29"/>
      <c r="II152" s="27"/>
      <c r="IJ152" s="27"/>
      <c r="IK152" s="28" t="str">
        <f>IFERROR(VLOOKUP(II152,Horarios!$H:$I,2,0),"")</f>
        <v/>
      </c>
      <c r="IL152" s="28" t="str">
        <f>IFERROR(VLOOKUP(IJ152,Horarios!$H:$I,2,0),"")</f>
        <v/>
      </c>
      <c r="IM152" s="28" t="str">
        <f t="shared" si="140"/>
        <v>00:00</v>
      </c>
      <c r="IN152" s="29"/>
      <c r="IO152" s="27"/>
      <c r="IP152" s="27"/>
      <c r="IQ152" s="28" t="str">
        <f>IFERROR(VLOOKUP(IO152,Horarios!$H:$I,2,0),"")</f>
        <v/>
      </c>
      <c r="IR152" s="28" t="str">
        <f>IFERROR(VLOOKUP(IP152,Horarios!$H:$I,2,0),"")</f>
        <v/>
      </c>
      <c r="IS152" s="28" t="str">
        <f t="shared" si="141"/>
        <v>00:00</v>
      </c>
      <c r="IT152" s="29"/>
      <c r="IU152" s="27"/>
      <c r="IV152" s="27"/>
      <c r="IW152" s="28" t="str">
        <f>IFERROR(VLOOKUP(IU152,Horarios!$H:$I,2,0),"")</f>
        <v/>
      </c>
      <c r="IX152" s="28" t="str">
        <f>IFERROR(VLOOKUP(IV152,Horarios!$H:$I,2,0),"")</f>
        <v/>
      </c>
      <c r="IY152" s="28" t="str">
        <f t="shared" si="142"/>
        <v>00:00</v>
      </c>
      <c r="IZ152" s="29"/>
      <c r="JA152" s="31" t="str">
        <f t="shared" si="143"/>
        <v/>
      </c>
    </row>
    <row r="153" spans="1:261" s="24" customFormat="1" ht="17.399999999999999" x14ac:dyDescent="0.25">
      <c r="A153" s="25"/>
      <c r="B153" s="26" t="str">
        <f>IFERROR(VLOOKUP(A153,BaseNombres!A:B,2,0),"")</f>
        <v/>
      </c>
      <c r="C153" s="26" t="str">
        <f>IFERROR(VLOOKUP(A153,BaseNombres!A:C,3,0),"")</f>
        <v/>
      </c>
      <c r="D153" s="27"/>
      <c r="E153" s="27"/>
      <c r="F153" s="28" t="str">
        <f>IFERROR(VLOOKUP(D153,Horarios!$H:$I,2,0),"")</f>
        <v/>
      </c>
      <c r="G153" s="28" t="str">
        <f>IFERROR(VLOOKUP(E153,Horarios!$H:$I,2,0),"")</f>
        <v/>
      </c>
      <c r="H153" s="28" t="str">
        <f t="shared" si="96"/>
        <v>00:00</v>
      </c>
      <c r="I153" s="29"/>
      <c r="J153" s="27"/>
      <c r="K153" s="27"/>
      <c r="L153" s="28" t="str">
        <f>IFERROR(VLOOKUP(J153,Horarios!$H:$I,2,0),"")</f>
        <v/>
      </c>
      <c r="M153" s="28" t="str">
        <f>IFERROR(VLOOKUP(K153,Horarios!$H:$I,2,0),"")</f>
        <v/>
      </c>
      <c r="N153" s="28" t="str">
        <f t="shared" si="97"/>
        <v>00:00</v>
      </c>
      <c r="O153" s="29"/>
      <c r="P153" s="27"/>
      <c r="Q153" s="27"/>
      <c r="R153" s="28" t="str">
        <f>IFERROR(VLOOKUP(P153,Horarios!$H:$I,2,0),"")</f>
        <v/>
      </c>
      <c r="S153" s="28" t="str">
        <f>IFERROR(VLOOKUP(Q153,Horarios!$H:$I,2,0),"")</f>
        <v/>
      </c>
      <c r="T153" s="28" t="str">
        <f t="shared" si="98"/>
        <v>00:00</v>
      </c>
      <c r="U153" s="29"/>
      <c r="V153" s="27"/>
      <c r="W153" s="27"/>
      <c r="X153" s="28" t="str">
        <f>IFERROR(VLOOKUP(V153,Horarios!$H:$I,2,0),"")</f>
        <v/>
      </c>
      <c r="Y153" s="28" t="str">
        <f>IFERROR(VLOOKUP(W153,Horarios!$H:$I,2,0),"")</f>
        <v/>
      </c>
      <c r="Z153" s="28" t="str">
        <f t="shared" si="99"/>
        <v>00:00</v>
      </c>
      <c r="AA153" s="29"/>
      <c r="AB153" s="27"/>
      <c r="AC153" s="27"/>
      <c r="AD153" s="28" t="str">
        <f>IFERROR(VLOOKUP(AB153,Horarios!$H:$I,2,0),"")</f>
        <v/>
      </c>
      <c r="AE153" s="28" t="str">
        <f>IFERROR(VLOOKUP(AC153,Horarios!$H:$I,2,0),"")</f>
        <v/>
      </c>
      <c r="AF153" s="28" t="str">
        <f t="shared" si="100"/>
        <v>00:00</v>
      </c>
      <c r="AG153" s="29"/>
      <c r="AH153" s="27"/>
      <c r="AI153" s="27"/>
      <c r="AJ153" s="28" t="str">
        <f>IFERROR(VLOOKUP(AH153,Horarios!$H:$I,2,0),"")</f>
        <v/>
      </c>
      <c r="AK153" s="28" t="str">
        <f>IFERROR(VLOOKUP(AI153,Horarios!$H:$I,2,0),"")</f>
        <v/>
      </c>
      <c r="AL153" s="28" t="str">
        <f t="shared" si="101"/>
        <v>00:00</v>
      </c>
      <c r="AM153" s="29"/>
      <c r="AN153" s="27"/>
      <c r="AO153" s="27"/>
      <c r="AP153" s="28" t="str">
        <f>IFERROR(VLOOKUP(AN153,Horarios!$H:$I,2,0),"")</f>
        <v/>
      </c>
      <c r="AQ153" s="28" t="str">
        <f>IFERROR(VLOOKUP(AO153,Horarios!$H:$I,2,0),"")</f>
        <v/>
      </c>
      <c r="AR153" s="28" t="str">
        <f t="shared" si="102"/>
        <v>00:00</v>
      </c>
      <c r="AS153" s="29"/>
      <c r="AT153" s="31" t="str">
        <f t="shared" si="103"/>
        <v/>
      </c>
      <c r="AU153" s="27"/>
      <c r="AV153" s="27"/>
      <c r="AW153" s="28" t="str">
        <f>IFERROR(VLOOKUP(AU153,Horarios!$H:$I,2,0),"")</f>
        <v/>
      </c>
      <c r="AX153" s="28" t="str">
        <f>IFERROR(VLOOKUP(AV153,Horarios!$H:$I,2,0),"")</f>
        <v/>
      </c>
      <c r="AY153" s="28" t="str">
        <f t="shared" si="104"/>
        <v>00:00</v>
      </c>
      <c r="AZ153" s="29"/>
      <c r="BA153" s="27"/>
      <c r="BB153" s="27"/>
      <c r="BC153" s="28" t="str">
        <f>IFERROR(VLOOKUP(BA153,Horarios!$H:$I,2,0),"")</f>
        <v/>
      </c>
      <c r="BD153" s="28" t="str">
        <f>IFERROR(VLOOKUP(BB153,Horarios!$H:$I,2,0),"")</f>
        <v/>
      </c>
      <c r="BE153" s="28" t="str">
        <f t="shared" si="105"/>
        <v>00:00</v>
      </c>
      <c r="BF153" s="29"/>
      <c r="BG153" s="27"/>
      <c r="BH153" s="27"/>
      <c r="BI153" s="28" t="str">
        <f>IFERROR(VLOOKUP(BG153,Horarios!$H:$I,2,0),"")</f>
        <v/>
      </c>
      <c r="BJ153" s="28" t="str">
        <f>IFERROR(VLOOKUP(BH153,Horarios!$H:$I,2,0),"")</f>
        <v/>
      </c>
      <c r="BK153" s="28" t="str">
        <f t="shared" si="106"/>
        <v>00:00</v>
      </c>
      <c r="BL153" s="29"/>
      <c r="BM153" s="27"/>
      <c r="BN153" s="27"/>
      <c r="BO153" s="28" t="str">
        <f>IFERROR(VLOOKUP(BM153,Horarios!$H:$I,2,0),"")</f>
        <v/>
      </c>
      <c r="BP153" s="28" t="str">
        <f>IFERROR(VLOOKUP(BN153,Horarios!$H:$I,2,0),"")</f>
        <v/>
      </c>
      <c r="BQ153" s="28" t="str">
        <f t="shared" si="107"/>
        <v>00:00</v>
      </c>
      <c r="BR153" s="29"/>
      <c r="BS153" s="27"/>
      <c r="BT153" s="27"/>
      <c r="BU153" s="28" t="str">
        <f>IFERROR(VLOOKUP(BS153,Horarios!$H:$I,2,0),"")</f>
        <v/>
      </c>
      <c r="BV153" s="28" t="str">
        <f>IFERROR(VLOOKUP(BT153,Horarios!$H:$I,2,0),"")</f>
        <v/>
      </c>
      <c r="BW153" s="28" t="str">
        <f t="shared" si="108"/>
        <v>00:00</v>
      </c>
      <c r="BX153" s="29"/>
      <c r="BY153" s="27"/>
      <c r="BZ153" s="27"/>
      <c r="CA153" s="28" t="str">
        <f>IFERROR(VLOOKUP(BY153,Horarios!$H:$I,2,0),"")</f>
        <v/>
      </c>
      <c r="CB153" s="28" t="str">
        <f>IFERROR(VLOOKUP(BZ153,Horarios!$H:$I,2,0),"")</f>
        <v/>
      </c>
      <c r="CC153" s="28" t="str">
        <f t="shared" si="109"/>
        <v>00:00</v>
      </c>
      <c r="CD153" s="29"/>
      <c r="CE153" s="27"/>
      <c r="CF153" s="27"/>
      <c r="CG153" s="28" t="str">
        <f>IFERROR(VLOOKUP(CE153,Horarios!$H:$I,2,0),"")</f>
        <v/>
      </c>
      <c r="CH153" s="28" t="str">
        <f>IFERROR(VLOOKUP(CF153,Horarios!$H:$I,2,0),"")</f>
        <v/>
      </c>
      <c r="CI153" s="28" t="str">
        <f t="shared" si="110"/>
        <v>00:00</v>
      </c>
      <c r="CJ153" s="29"/>
      <c r="CK153" s="31" t="str">
        <f t="shared" si="111"/>
        <v/>
      </c>
      <c r="CL153" s="27"/>
      <c r="CM153" s="27"/>
      <c r="CN153" s="28" t="str">
        <f>IFERROR(VLOOKUP(CL153,Horarios!$H:$I,2,0),"")</f>
        <v/>
      </c>
      <c r="CO153" s="28" t="str">
        <f>IFERROR(VLOOKUP(CM153,Horarios!$H:$I,2,0),"")</f>
        <v/>
      </c>
      <c r="CP153" s="28" t="str">
        <f t="shared" si="112"/>
        <v>00:00</v>
      </c>
      <c r="CQ153" s="29"/>
      <c r="CR153" s="27"/>
      <c r="CS153" s="27"/>
      <c r="CT153" s="28" t="str">
        <f>IFERROR(VLOOKUP(CR153,Horarios!$H:$I,2,0),"")</f>
        <v/>
      </c>
      <c r="CU153" s="28" t="str">
        <f>IFERROR(VLOOKUP(CS153,Horarios!$H:$I,2,0),"")</f>
        <v/>
      </c>
      <c r="CV153" s="28" t="str">
        <f t="shared" si="113"/>
        <v>00:00</v>
      </c>
      <c r="CW153" s="29"/>
      <c r="CX153" s="27"/>
      <c r="CY153" s="27"/>
      <c r="CZ153" s="28" t="str">
        <f>IFERROR(VLOOKUP(CX153,Horarios!$H:$I,2,0),"")</f>
        <v/>
      </c>
      <c r="DA153" s="28" t="str">
        <f>IFERROR(VLOOKUP(CY153,Horarios!$H:$I,2,0),"")</f>
        <v/>
      </c>
      <c r="DB153" s="28" t="str">
        <f t="shared" si="114"/>
        <v>00:00</v>
      </c>
      <c r="DC153" s="29"/>
      <c r="DD153" s="27"/>
      <c r="DE153" s="27"/>
      <c r="DF153" s="28" t="str">
        <f>IFERROR(VLOOKUP(DD153,Horarios!$H:$I,2,0),"")</f>
        <v/>
      </c>
      <c r="DG153" s="28" t="str">
        <f>IFERROR(VLOOKUP(DE153,Horarios!$H:$I,2,0),"")</f>
        <v/>
      </c>
      <c r="DH153" s="28" t="str">
        <f t="shared" si="115"/>
        <v>00:00</v>
      </c>
      <c r="DI153" s="29"/>
      <c r="DJ153" s="27"/>
      <c r="DK153" s="27"/>
      <c r="DL153" s="28" t="str">
        <f>IFERROR(VLOOKUP(DJ153,Horarios!$H:$I,2,0),"")</f>
        <v/>
      </c>
      <c r="DM153" s="28" t="str">
        <f>IFERROR(VLOOKUP(DK153,Horarios!$H:$I,2,0),"")</f>
        <v/>
      </c>
      <c r="DN153" s="28" t="str">
        <f t="shared" si="116"/>
        <v>00:00</v>
      </c>
      <c r="DO153" s="29"/>
      <c r="DP153" s="27"/>
      <c r="DQ153" s="27"/>
      <c r="DR153" s="28" t="str">
        <f>IFERROR(VLOOKUP(DP153,Horarios!$H:$I,2,0),"")</f>
        <v/>
      </c>
      <c r="DS153" s="28" t="str">
        <f>IFERROR(VLOOKUP(DQ153,Horarios!$H:$I,2,0),"")</f>
        <v/>
      </c>
      <c r="DT153" s="28" t="str">
        <f t="shared" si="117"/>
        <v>00:00</v>
      </c>
      <c r="DU153" s="29"/>
      <c r="DV153" s="27"/>
      <c r="DW153" s="27"/>
      <c r="DX153" s="28" t="str">
        <f>IFERROR(VLOOKUP(DV153,Horarios!$H:$I,2,0),"")</f>
        <v/>
      </c>
      <c r="DY153" s="28" t="str">
        <f>IFERROR(VLOOKUP(DW153,Horarios!$H:$I,2,0),"")</f>
        <v/>
      </c>
      <c r="DZ153" s="28" t="str">
        <f t="shared" si="118"/>
        <v>00:00</v>
      </c>
      <c r="EA153" s="29"/>
      <c r="EB153" s="31" t="str">
        <f t="shared" si="119"/>
        <v/>
      </c>
      <c r="EC153" s="27"/>
      <c r="ED153" s="27"/>
      <c r="EE153" s="28" t="str">
        <f>IFERROR(VLOOKUP(EC153,Horarios!$H:$I,2,0),"")</f>
        <v/>
      </c>
      <c r="EF153" s="28" t="str">
        <f>IFERROR(VLOOKUP(ED153,Horarios!$H:$I,2,0),"")</f>
        <v/>
      </c>
      <c r="EG153" s="28" t="str">
        <f t="shared" si="120"/>
        <v>00:00</v>
      </c>
      <c r="EH153" s="29"/>
      <c r="EI153" s="27"/>
      <c r="EJ153" s="27"/>
      <c r="EK153" s="28" t="str">
        <f>IFERROR(VLOOKUP(EI153,Horarios!$H:$I,2,0),"")</f>
        <v/>
      </c>
      <c r="EL153" s="28" t="str">
        <f>IFERROR(VLOOKUP(EJ153,Horarios!$H:$I,2,0),"")</f>
        <v/>
      </c>
      <c r="EM153" s="28" t="str">
        <f t="shared" si="121"/>
        <v>00:00</v>
      </c>
      <c r="EN153" s="29"/>
      <c r="EO153" s="27"/>
      <c r="EP153" s="27"/>
      <c r="EQ153" s="28" t="str">
        <f>IFERROR(VLOOKUP(EO153,Horarios!$H:$I,2,0),"")</f>
        <v/>
      </c>
      <c r="ER153" s="28" t="str">
        <f>IFERROR(VLOOKUP(EP153,Horarios!$H:$I,2,0),"")</f>
        <v/>
      </c>
      <c r="ES153" s="28" t="str">
        <f t="shared" si="122"/>
        <v>00:00</v>
      </c>
      <c r="ET153" s="29"/>
      <c r="EU153" s="27"/>
      <c r="EV153" s="27"/>
      <c r="EW153" s="28" t="str">
        <f>IFERROR(VLOOKUP(EU153,Horarios!$H:$I,2,0),"")</f>
        <v/>
      </c>
      <c r="EX153" s="28" t="str">
        <f>IFERROR(VLOOKUP(EV153,Horarios!$H:$I,2,0),"")</f>
        <v/>
      </c>
      <c r="EY153" s="28" t="str">
        <f t="shared" si="123"/>
        <v>00:00</v>
      </c>
      <c r="EZ153" s="29"/>
      <c r="FA153" s="27"/>
      <c r="FB153" s="27"/>
      <c r="FC153" s="28" t="str">
        <f>IFERROR(VLOOKUP(FA153,Horarios!$H:$I,2,0),"")</f>
        <v/>
      </c>
      <c r="FD153" s="28" t="str">
        <f>IFERROR(VLOOKUP(FB153,Horarios!$H:$I,2,0),"")</f>
        <v/>
      </c>
      <c r="FE153" s="28" t="str">
        <f t="shared" si="124"/>
        <v>00:00</v>
      </c>
      <c r="FF153" s="29"/>
      <c r="FG153" s="27"/>
      <c r="FH153" s="27"/>
      <c r="FI153" s="28" t="str">
        <f>IFERROR(VLOOKUP(FG153,Horarios!$H:$I,2,0),"")</f>
        <v/>
      </c>
      <c r="FJ153" s="28" t="str">
        <f>IFERROR(VLOOKUP(FH153,Horarios!$H:$I,2,0),"")</f>
        <v/>
      </c>
      <c r="FK153" s="28" t="str">
        <f t="shared" si="125"/>
        <v>00:00</v>
      </c>
      <c r="FL153" s="29"/>
      <c r="FM153" s="27"/>
      <c r="FN153" s="27"/>
      <c r="FO153" s="28" t="str">
        <f>IFERROR(VLOOKUP(FM153,Horarios!$H:$I,2,0),"")</f>
        <v/>
      </c>
      <c r="FP153" s="28" t="str">
        <f>IFERROR(VLOOKUP(FN153,Horarios!$H:$I,2,0),"")</f>
        <v/>
      </c>
      <c r="FQ153" s="28" t="str">
        <f t="shared" si="126"/>
        <v>00:00</v>
      </c>
      <c r="FR153" s="29"/>
      <c r="FS153" s="31" t="str">
        <f t="shared" si="127"/>
        <v/>
      </c>
      <c r="FT153" s="27"/>
      <c r="FU153" s="27"/>
      <c r="FV153" s="28" t="str">
        <f>IFERROR(VLOOKUP(FT153,Horarios!$H:$I,2,0),"")</f>
        <v/>
      </c>
      <c r="FW153" s="28" t="str">
        <f>IFERROR(VLOOKUP(FU153,Horarios!$H:$I,2,0),"")</f>
        <v/>
      </c>
      <c r="FX153" s="28" t="str">
        <f t="shared" si="128"/>
        <v>00:00</v>
      </c>
      <c r="FY153" s="29"/>
      <c r="FZ153" s="27"/>
      <c r="GA153" s="27"/>
      <c r="GB153" s="28" t="str">
        <f>IFERROR(VLOOKUP(FZ153,Horarios!$H:$I,2,0),"")</f>
        <v/>
      </c>
      <c r="GC153" s="28" t="str">
        <f>IFERROR(VLOOKUP(GA153,Horarios!$H:$I,2,0),"")</f>
        <v/>
      </c>
      <c r="GD153" s="28" t="str">
        <f t="shared" si="129"/>
        <v>00:00</v>
      </c>
      <c r="GE153" s="29"/>
      <c r="GF153" s="27"/>
      <c r="GG153" s="27"/>
      <c r="GH153" s="28" t="str">
        <f>IFERROR(VLOOKUP(GF153,Horarios!$H:$I,2,0),"")</f>
        <v/>
      </c>
      <c r="GI153" s="28" t="str">
        <f>IFERROR(VLOOKUP(GG153,Horarios!$H:$I,2,0),"")</f>
        <v/>
      </c>
      <c r="GJ153" s="28" t="str">
        <f t="shared" si="130"/>
        <v>00:00</v>
      </c>
      <c r="GK153" s="29"/>
      <c r="GL153" s="27"/>
      <c r="GM153" s="27"/>
      <c r="GN153" s="28" t="str">
        <f>IFERROR(VLOOKUP(GL153,Horarios!$H:$I,2,0),"")</f>
        <v/>
      </c>
      <c r="GO153" s="28" t="str">
        <f>IFERROR(VLOOKUP(GM153,Horarios!$H:$I,2,0),"")</f>
        <v/>
      </c>
      <c r="GP153" s="28" t="str">
        <f t="shared" si="131"/>
        <v>00:00</v>
      </c>
      <c r="GQ153" s="29"/>
      <c r="GR153" s="27"/>
      <c r="GS153" s="27"/>
      <c r="GT153" s="28" t="str">
        <f>IFERROR(VLOOKUP(GR153,Horarios!$H:$I,2,0),"")</f>
        <v/>
      </c>
      <c r="GU153" s="28" t="str">
        <f>IFERROR(VLOOKUP(GS153,Horarios!$H:$I,2,0),"")</f>
        <v/>
      </c>
      <c r="GV153" s="28" t="str">
        <f t="shared" si="132"/>
        <v>00:00</v>
      </c>
      <c r="GW153" s="29"/>
      <c r="GX153" s="27"/>
      <c r="GY153" s="27"/>
      <c r="GZ153" s="28" t="str">
        <f>IFERROR(VLOOKUP(GX153,Horarios!$H:$I,2,0),"")</f>
        <v/>
      </c>
      <c r="HA153" s="28" t="str">
        <f>IFERROR(VLOOKUP(GY153,Horarios!$H:$I,2,0),"")</f>
        <v/>
      </c>
      <c r="HB153" s="28" t="str">
        <f t="shared" si="133"/>
        <v>00:00</v>
      </c>
      <c r="HC153" s="29"/>
      <c r="HD153" s="27"/>
      <c r="HE153" s="27"/>
      <c r="HF153" s="28" t="str">
        <f>IFERROR(VLOOKUP(HD153,Horarios!$H:$I,2,0),"")</f>
        <v/>
      </c>
      <c r="HG153" s="28" t="str">
        <f>IFERROR(VLOOKUP(HE153,Horarios!$H:$I,2,0),"")</f>
        <v/>
      </c>
      <c r="HH153" s="28" t="str">
        <f t="shared" si="134"/>
        <v>00:00</v>
      </c>
      <c r="HI153" s="29"/>
      <c r="HJ153" s="31" t="str">
        <f t="shared" si="135"/>
        <v/>
      </c>
      <c r="HK153" s="27"/>
      <c r="HL153" s="27"/>
      <c r="HM153" s="28" t="str">
        <f>IFERROR(VLOOKUP(HK153,Horarios!$H:$I,2,0),"")</f>
        <v/>
      </c>
      <c r="HN153" s="28" t="str">
        <f>IFERROR(VLOOKUP(HL153,Horarios!$H:$I,2,0),"")</f>
        <v/>
      </c>
      <c r="HO153" s="28" t="str">
        <f t="shared" si="136"/>
        <v>00:00</v>
      </c>
      <c r="HP153" s="29"/>
      <c r="HQ153" s="27"/>
      <c r="HR153" s="27"/>
      <c r="HS153" s="28" t="str">
        <f>IFERROR(VLOOKUP(HQ153,Horarios!$H:$I,2,0),"")</f>
        <v/>
      </c>
      <c r="HT153" s="28" t="str">
        <f>IFERROR(VLOOKUP(HR153,Horarios!$H:$I,2,0),"")</f>
        <v/>
      </c>
      <c r="HU153" s="28" t="str">
        <f t="shared" si="137"/>
        <v>00:00</v>
      </c>
      <c r="HV153" s="29"/>
      <c r="HW153" s="27"/>
      <c r="HX153" s="27"/>
      <c r="HY153" s="28" t="str">
        <f>IFERROR(VLOOKUP(HW153,Horarios!$H:$I,2,0),"")</f>
        <v/>
      </c>
      <c r="HZ153" s="28" t="str">
        <f>IFERROR(VLOOKUP(HX153,Horarios!$H:$I,2,0),"")</f>
        <v/>
      </c>
      <c r="IA153" s="28" t="str">
        <f t="shared" si="138"/>
        <v>00:00</v>
      </c>
      <c r="IB153" s="29"/>
      <c r="IC153" s="27"/>
      <c r="ID153" s="27"/>
      <c r="IE153" s="28" t="str">
        <f>IFERROR(VLOOKUP(IC153,Horarios!$H:$I,2,0),"")</f>
        <v/>
      </c>
      <c r="IF153" s="28" t="str">
        <f>IFERROR(VLOOKUP(ID153,Horarios!$H:$I,2,0),"")</f>
        <v/>
      </c>
      <c r="IG153" s="28" t="str">
        <f t="shared" si="139"/>
        <v>00:00</v>
      </c>
      <c r="IH153" s="29"/>
      <c r="II153" s="27"/>
      <c r="IJ153" s="27"/>
      <c r="IK153" s="28" t="str">
        <f>IFERROR(VLOOKUP(II153,Horarios!$H:$I,2,0),"")</f>
        <v/>
      </c>
      <c r="IL153" s="28" t="str">
        <f>IFERROR(VLOOKUP(IJ153,Horarios!$H:$I,2,0),"")</f>
        <v/>
      </c>
      <c r="IM153" s="28" t="str">
        <f t="shared" si="140"/>
        <v>00:00</v>
      </c>
      <c r="IN153" s="29"/>
      <c r="IO153" s="27"/>
      <c r="IP153" s="27"/>
      <c r="IQ153" s="28" t="str">
        <f>IFERROR(VLOOKUP(IO153,Horarios!$H:$I,2,0),"")</f>
        <v/>
      </c>
      <c r="IR153" s="28" t="str">
        <f>IFERROR(VLOOKUP(IP153,Horarios!$H:$I,2,0),"")</f>
        <v/>
      </c>
      <c r="IS153" s="28" t="str">
        <f t="shared" si="141"/>
        <v>00:00</v>
      </c>
      <c r="IT153" s="29"/>
      <c r="IU153" s="27"/>
      <c r="IV153" s="27"/>
      <c r="IW153" s="28" t="str">
        <f>IFERROR(VLOOKUP(IU153,Horarios!$H:$I,2,0),"")</f>
        <v/>
      </c>
      <c r="IX153" s="28" t="str">
        <f>IFERROR(VLOOKUP(IV153,Horarios!$H:$I,2,0),"")</f>
        <v/>
      </c>
      <c r="IY153" s="28" t="str">
        <f t="shared" si="142"/>
        <v>00:00</v>
      </c>
      <c r="IZ153" s="29"/>
      <c r="JA153" s="31" t="str">
        <f t="shared" si="143"/>
        <v/>
      </c>
    </row>
    <row r="154" spans="1:261" s="24" customFormat="1" ht="17.399999999999999" x14ac:dyDescent="0.25">
      <c r="A154" s="25"/>
      <c r="B154" s="26" t="str">
        <f>IFERROR(VLOOKUP(A154,BaseNombres!A:B,2,0),"")</f>
        <v/>
      </c>
      <c r="C154" s="26" t="str">
        <f>IFERROR(VLOOKUP(A154,BaseNombres!A:C,3,0),"")</f>
        <v/>
      </c>
      <c r="D154" s="27"/>
      <c r="E154" s="27"/>
      <c r="F154" s="28" t="str">
        <f>IFERROR(VLOOKUP(D154,Horarios!$H:$I,2,0),"")</f>
        <v/>
      </c>
      <c r="G154" s="28" t="str">
        <f>IFERROR(VLOOKUP(E154,Horarios!$H:$I,2,0),"")</f>
        <v/>
      </c>
      <c r="H154" s="28" t="str">
        <f t="shared" si="96"/>
        <v>00:00</v>
      </c>
      <c r="I154" s="29"/>
      <c r="J154" s="27"/>
      <c r="K154" s="27"/>
      <c r="L154" s="28" t="str">
        <f>IFERROR(VLOOKUP(J154,Horarios!$H:$I,2,0),"")</f>
        <v/>
      </c>
      <c r="M154" s="28" t="str">
        <f>IFERROR(VLOOKUP(K154,Horarios!$H:$I,2,0),"")</f>
        <v/>
      </c>
      <c r="N154" s="28" t="str">
        <f t="shared" si="97"/>
        <v>00:00</v>
      </c>
      <c r="O154" s="29"/>
      <c r="P154" s="27"/>
      <c r="Q154" s="27"/>
      <c r="R154" s="28" t="str">
        <f>IFERROR(VLOOKUP(P154,Horarios!$H:$I,2,0),"")</f>
        <v/>
      </c>
      <c r="S154" s="28" t="str">
        <f>IFERROR(VLOOKUP(Q154,Horarios!$H:$I,2,0),"")</f>
        <v/>
      </c>
      <c r="T154" s="28" t="str">
        <f t="shared" si="98"/>
        <v>00:00</v>
      </c>
      <c r="U154" s="29"/>
      <c r="V154" s="27"/>
      <c r="W154" s="27"/>
      <c r="X154" s="28" t="str">
        <f>IFERROR(VLOOKUP(V154,Horarios!$H:$I,2,0),"")</f>
        <v/>
      </c>
      <c r="Y154" s="28" t="str">
        <f>IFERROR(VLOOKUP(W154,Horarios!$H:$I,2,0),"")</f>
        <v/>
      </c>
      <c r="Z154" s="28" t="str">
        <f t="shared" si="99"/>
        <v>00:00</v>
      </c>
      <c r="AA154" s="29"/>
      <c r="AB154" s="27"/>
      <c r="AC154" s="27"/>
      <c r="AD154" s="28" t="str">
        <f>IFERROR(VLOOKUP(AB154,Horarios!$H:$I,2,0),"")</f>
        <v/>
      </c>
      <c r="AE154" s="28" t="str">
        <f>IFERROR(VLOOKUP(AC154,Horarios!$H:$I,2,0),"")</f>
        <v/>
      </c>
      <c r="AF154" s="28" t="str">
        <f t="shared" si="100"/>
        <v>00:00</v>
      </c>
      <c r="AG154" s="29"/>
      <c r="AH154" s="27"/>
      <c r="AI154" s="27"/>
      <c r="AJ154" s="28" t="str">
        <f>IFERROR(VLOOKUP(AH154,Horarios!$H:$I,2,0),"")</f>
        <v/>
      </c>
      <c r="AK154" s="28" t="str">
        <f>IFERROR(VLOOKUP(AI154,Horarios!$H:$I,2,0),"")</f>
        <v/>
      </c>
      <c r="AL154" s="28" t="str">
        <f t="shared" si="101"/>
        <v>00:00</v>
      </c>
      <c r="AM154" s="29"/>
      <c r="AN154" s="27"/>
      <c r="AO154" s="27"/>
      <c r="AP154" s="28" t="str">
        <f>IFERROR(VLOOKUP(AN154,Horarios!$H:$I,2,0),"")</f>
        <v/>
      </c>
      <c r="AQ154" s="28" t="str">
        <f>IFERROR(VLOOKUP(AO154,Horarios!$H:$I,2,0),"")</f>
        <v/>
      </c>
      <c r="AR154" s="28" t="str">
        <f t="shared" si="102"/>
        <v>00:00</v>
      </c>
      <c r="AS154" s="29"/>
      <c r="AT154" s="31" t="str">
        <f t="shared" si="103"/>
        <v/>
      </c>
      <c r="AU154" s="27"/>
      <c r="AV154" s="27"/>
      <c r="AW154" s="28" t="str">
        <f>IFERROR(VLOOKUP(AU154,Horarios!$H:$I,2,0),"")</f>
        <v/>
      </c>
      <c r="AX154" s="28" t="str">
        <f>IFERROR(VLOOKUP(AV154,Horarios!$H:$I,2,0),"")</f>
        <v/>
      </c>
      <c r="AY154" s="28" t="str">
        <f t="shared" si="104"/>
        <v>00:00</v>
      </c>
      <c r="AZ154" s="29"/>
      <c r="BA154" s="27"/>
      <c r="BB154" s="27"/>
      <c r="BC154" s="28" t="str">
        <f>IFERROR(VLOOKUP(BA154,Horarios!$H:$I,2,0),"")</f>
        <v/>
      </c>
      <c r="BD154" s="28" t="str">
        <f>IFERROR(VLOOKUP(BB154,Horarios!$H:$I,2,0),"")</f>
        <v/>
      </c>
      <c r="BE154" s="28" t="str">
        <f t="shared" si="105"/>
        <v>00:00</v>
      </c>
      <c r="BF154" s="29"/>
      <c r="BG154" s="27"/>
      <c r="BH154" s="27"/>
      <c r="BI154" s="28" t="str">
        <f>IFERROR(VLOOKUP(BG154,Horarios!$H:$I,2,0),"")</f>
        <v/>
      </c>
      <c r="BJ154" s="28" t="str">
        <f>IFERROR(VLOOKUP(BH154,Horarios!$H:$I,2,0),"")</f>
        <v/>
      </c>
      <c r="BK154" s="28" t="str">
        <f t="shared" si="106"/>
        <v>00:00</v>
      </c>
      <c r="BL154" s="29"/>
      <c r="BM154" s="27"/>
      <c r="BN154" s="27"/>
      <c r="BO154" s="28" t="str">
        <f>IFERROR(VLOOKUP(BM154,Horarios!$H:$I,2,0),"")</f>
        <v/>
      </c>
      <c r="BP154" s="28" t="str">
        <f>IFERROR(VLOOKUP(BN154,Horarios!$H:$I,2,0),"")</f>
        <v/>
      </c>
      <c r="BQ154" s="28" t="str">
        <f t="shared" si="107"/>
        <v>00:00</v>
      </c>
      <c r="BR154" s="29"/>
      <c r="BS154" s="27"/>
      <c r="BT154" s="27"/>
      <c r="BU154" s="28" t="str">
        <f>IFERROR(VLOOKUP(BS154,Horarios!$H:$I,2,0),"")</f>
        <v/>
      </c>
      <c r="BV154" s="28" t="str">
        <f>IFERROR(VLOOKUP(BT154,Horarios!$H:$I,2,0),"")</f>
        <v/>
      </c>
      <c r="BW154" s="28" t="str">
        <f t="shared" si="108"/>
        <v>00:00</v>
      </c>
      <c r="BX154" s="29"/>
      <c r="BY154" s="27"/>
      <c r="BZ154" s="27"/>
      <c r="CA154" s="28" t="str">
        <f>IFERROR(VLOOKUP(BY154,Horarios!$H:$I,2,0),"")</f>
        <v/>
      </c>
      <c r="CB154" s="28" t="str">
        <f>IFERROR(VLOOKUP(BZ154,Horarios!$H:$I,2,0),"")</f>
        <v/>
      </c>
      <c r="CC154" s="28" t="str">
        <f t="shared" si="109"/>
        <v>00:00</v>
      </c>
      <c r="CD154" s="29"/>
      <c r="CE154" s="27"/>
      <c r="CF154" s="27"/>
      <c r="CG154" s="28" t="str">
        <f>IFERROR(VLOOKUP(CE154,Horarios!$H:$I,2,0),"")</f>
        <v/>
      </c>
      <c r="CH154" s="28" t="str">
        <f>IFERROR(VLOOKUP(CF154,Horarios!$H:$I,2,0),"")</f>
        <v/>
      </c>
      <c r="CI154" s="28" t="str">
        <f t="shared" si="110"/>
        <v>00:00</v>
      </c>
      <c r="CJ154" s="29"/>
      <c r="CK154" s="31" t="str">
        <f t="shared" si="111"/>
        <v/>
      </c>
      <c r="CL154" s="27"/>
      <c r="CM154" s="27"/>
      <c r="CN154" s="28" t="str">
        <f>IFERROR(VLOOKUP(CL154,Horarios!$H:$I,2,0),"")</f>
        <v/>
      </c>
      <c r="CO154" s="28" t="str">
        <f>IFERROR(VLOOKUP(CM154,Horarios!$H:$I,2,0),"")</f>
        <v/>
      </c>
      <c r="CP154" s="28" t="str">
        <f t="shared" si="112"/>
        <v>00:00</v>
      </c>
      <c r="CQ154" s="29"/>
      <c r="CR154" s="27"/>
      <c r="CS154" s="27"/>
      <c r="CT154" s="28" t="str">
        <f>IFERROR(VLOOKUP(CR154,Horarios!$H:$I,2,0),"")</f>
        <v/>
      </c>
      <c r="CU154" s="28" t="str">
        <f>IFERROR(VLOOKUP(CS154,Horarios!$H:$I,2,0),"")</f>
        <v/>
      </c>
      <c r="CV154" s="28" t="str">
        <f t="shared" si="113"/>
        <v>00:00</v>
      </c>
      <c r="CW154" s="29"/>
      <c r="CX154" s="27"/>
      <c r="CY154" s="27"/>
      <c r="CZ154" s="28" t="str">
        <f>IFERROR(VLOOKUP(CX154,Horarios!$H:$I,2,0),"")</f>
        <v/>
      </c>
      <c r="DA154" s="28" t="str">
        <f>IFERROR(VLOOKUP(CY154,Horarios!$H:$I,2,0),"")</f>
        <v/>
      </c>
      <c r="DB154" s="28" t="str">
        <f t="shared" si="114"/>
        <v>00:00</v>
      </c>
      <c r="DC154" s="29"/>
      <c r="DD154" s="27"/>
      <c r="DE154" s="27"/>
      <c r="DF154" s="28" t="str">
        <f>IFERROR(VLOOKUP(DD154,Horarios!$H:$I,2,0),"")</f>
        <v/>
      </c>
      <c r="DG154" s="28" t="str">
        <f>IFERROR(VLOOKUP(DE154,Horarios!$H:$I,2,0),"")</f>
        <v/>
      </c>
      <c r="DH154" s="28" t="str">
        <f t="shared" si="115"/>
        <v>00:00</v>
      </c>
      <c r="DI154" s="29"/>
      <c r="DJ154" s="27"/>
      <c r="DK154" s="27"/>
      <c r="DL154" s="28" t="str">
        <f>IFERROR(VLOOKUP(DJ154,Horarios!$H:$I,2,0),"")</f>
        <v/>
      </c>
      <c r="DM154" s="28" t="str">
        <f>IFERROR(VLOOKUP(DK154,Horarios!$H:$I,2,0),"")</f>
        <v/>
      </c>
      <c r="DN154" s="28" t="str">
        <f t="shared" si="116"/>
        <v>00:00</v>
      </c>
      <c r="DO154" s="29"/>
      <c r="DP154" s="27"/>
      <c r="DQ154" s="27"/>
      <c r="DR154" s="28" t="str">
        <f>IFERROR(VLOOKUP(DP154,Horarios!$H:$I,2,0),"")</f>
        <v/>
      </c>
      <c r="DS154" s="28" t="str">
        <f>IFERROR(VLOOKUP(DQ154,Horarios!$H:$I,2,0),"")</f>
        <v/>
      </c>
      <c r="DT154" s="28" t="str">
        <f t="shared" si="117"/>
        <v>00:00</v>
      </c>
      <c r="DU154" s="29"/>
      <c r="DV154" s="27"/>
      <c r="DW154" s="27"/>
      <c r="DX154" s="28" t="str">
        <f>IFERROR(VLOOKUP(DV154,Horarios!$H:$I,2,0),"")</f>
        <v/>
      </c>
      <c r="DY154" s="28" t="str">
        <f>IFERROR(VLOOKUP(DW154,Horarios!$H:$I,2,0),"")</f>
        <v/>
      </c>
      <c r="DZ154" s="28" t="str">
        <f t="shared" si="118"/>
        <v>00:00</v>
      </c>
      <c r="EA154" s="29"/>
      <c r="EB154" s="31" t="str">
        <f t="shared" si="119"/>
        <v/>
      </c>
      <c r="EC154" s="27"/>
      <c r="ED154" s="27"/>
      <c r="EE154" s="28" t="str">
        <f>IFERROR(VLOOKUP(EC154,Horarios!$H:$I,2,0),"")</f>
        <v/>
      </c>
      <c r="EF154" s="28" t="str">
        <f>IFERROR(VLOOKUP(ED154,Horarios!$H:$I,2,0),"")</f>
        <v/>
      </c>
      <c r="EG154" s="28" t="str">
        <f t="shared" si="120"/>
        <v>00:00</v>
      </c>
      <c r="EH154" s="29"/>
      <c r="EI154" s="27"/>
      <c r="EJ154" s="27"/>
      <c r="EK154" s="28" t="str">
        <f>IFERROR(VLOOKUP(EI154,Horarios!$H:$I,2,0),"")</f>
        <v/>
      </c>
      <c r="EL154" s="28" t="str">
        <f>IFERROR(VLOOKUP(EJ154,Horarios!$H:$I,2,0),"")</f>
        <v/>
      </c>
      <c r="EM154" s="28" t="str">
        <f t="shared" si="121"/>
        <v>00:00</v>
      </c>
      <c r="EN154" s="29"/>
      <c r="EO154" s="27"/>
      <c r="EP154" s="27"/>
      <c r="EQ154" s="28" t="str">
        <f>IFERROR(VLOOKUP(EO154,Horarios!$H:$I,2,0),"")</f>
        <v/>
      </c>
      <c r="ER154" s="28" t="str">
        <f>IFERROR(VLOOKUP(EP154,Horarios!$H:$I,2,0),"")</f>
        <v/>
      </c>
      <c r="ES154" s="28" t="str">
        <f t="shared" si="122"/>
        <v>00:00</v>
      </c>
      <c r="ET154" s="29"/>
      <c r="EU154" s="27"/>
      <c r="EV154" s="27"/>
      <c r="EW154" s="28" t="str">
        <f>IFERROR(VLOOKUP(EU154,Horarios!$H:$I,2,0),"")</f>
        <v/>
      </c>
      <c r="EX154" s="28" t="str">
        <f>IFERROR(VLOOKUP(EV154,Horarios!$H:$I,2,0),"")</f>
        <v/>
      </c>
      <c r="EY154" s="28" t="str">
        <f t="shared" si="123"/>
        <v>00:00</v>
      </c>
      <c r="EZ154" s="29"/>
      <c r="FA154" s="27"/>
      <c r="FB154" s="27"/>
      <c r="FC154" s="28" t="str">
        <f>IFERROR(VLOOKUP(FA154,Horarios!$H:$I,2,0),"")</f>
        <v/>
      </c>
      <c r="FD154" s="28" t="str">
        <f>IFERROR(VLOOKUP(FB154,Horarios!$H:$I,2,0),"")</f>
        <v/>
      </c>
      <c r="FE154" s="28" t="str">
        <f t="shared" si="124"/>
        <v>00:00</v>
      </c>
      <c r="FF154" s="29"/>
      <c r="FG154" s="27"/>
      <c r="FH154" s="27"/>
      <c r="FI154" s="28" t="str">
        <f>IFERROR(VLOOKUP(FG154,Horarios!$H:$I,2,0),"")</f>
        <v/>
      </c>
      <c r="FJ154" s="28" t="str">
        <f>IFERROR(VLOOKUP(FH154,Horarios!$H:$I,2,0),"")</f>
        <v/>
      </c>
      <c r="FK154" s="28" t="str">
        <f t="shared" si="125"/>
        <v>00:00</v>
      </c>
      <c r="FL154" s="29"/>
      <c r="FM154" s="27"/>
      <c r="FN154" s="27"/>
      <c r="FO154" s="28" t="str">
        <f>IFERROR(VLOOKUP(FM154,Horarios!$H:$I,2,0),"")</f>
        <v/>
      </c>
      <c r="FP154" s="28" t="str">
        <f>IFERROR(VLOOKUP(FN154,Horarios!$H:$I,2,0),"")</f>
        <v/>
      </c>
      <c r="FQ154" s="28" t="str">
        <f t="shared" si="126"/>
        <v>00:00</v>
      </c>
      <c r="FR154" s="29"/>
      <c r="FS154" s="31" t="str">
        <f t="shared" si="127"/>
        <v/>
      </c>
      <c r="FT154" s="27"/>
      <c r="FU154" s="27"/>
      <c r="FV154" s="28" t="str">
        <f>IFERROR(VLOOKUP(FT154,Horarios!$H:$I,2,0),"")</f>
        <v/>
      </c>
      <c r="FW154" s="28" t="str">
        <f>IFERROR(VLOOKUP(FU154,Horarios!$H:$I,2,0),"")</f>
        <v/>
      </c>
      <c r="FX154" s="28" t="str">
        <f t="shared" si="128"/>
        <v>00:00</v>
      </c>
      <c r="FY154" s="29"/>
      <c r="FZ154" s="27"/>
      <c r="GA154" s="27"/>
      <c r="GB154" s="28" t="str">
        <f>IFERROR(VLOOKUP(FZ154,Horarios!$H:$I,2,0),"")</f>
        <v/>
      </c>
      <c r="GC154" s="28" t="str">
        <f>IFERROR(VLOOKUP(GA154,Horarios!$H:$I,2,0),"")</f>
        <v/>
      </c>
      <c r="GD154" s="28" t="str">
        <f t="shared" si="129"/>
        <v>00:00</v>
      </c>
      <c r="GE154" s="29"/>
      <c r="GF154" s="27"/>
      <c r="GG154" s="27"/>
      <c r="GH154" s="28" t="str">
        <f>IFERROR(VLOOKUP(GF154,Horarios!$H:$I,2,0),"")</f>
        <v/>
      </c>
      <c r="GI154" s="28" t="str">
        <f>IFERROR(VLOOKUP(GG154,Horarios!$H:$I,2,0),"")</f>
        <v/>
      </c>
      <c r="GJ154" s="28" t="str">
        <f t="shared" si="130"/>
        <v>00:00</v>
      </c>
      <c r="GK154" s="29"/>
      <c r="GL154" s="27"/>
      <c r="GM154" s="27"/>
      <c r="GN154" s="28" t="str">
        <f>IFERROR(VLOOKUP(GL154,Horarios!$H:$I,2,0),"")</f>
        <v/>
      </c>
      <c r="GO154" s="28" t="str">
        <f>IFERROR(VLOOKUP(GM154,Horarios!$H:$I,2,0),"")</f>
        <v/>
      </c>
      <c r="GP154" s="28" t="str">
        <f t="shared" si="131"/>
        <v>00:00</v>
      </c>
      <c r="GQ154" s="29"/>
      <c r="GR154" s="27"/>
      <c r="GS154" s="27"/>
      <c r="GT154" s="28" t="str">
        <f>IFERROR(VLOOKUP(GR154,Horarios!$H:$I,2,0),"")</f>
        <v/>
      </c>
      <c r="GU154" s="28" t="str">
        <f>IFERROR(VLOOKUP(GS154,Horarios!$H:$I,2,0),"")</f>
        <v/>
      </c>
      <c r="GV154" s="28" t="str">
        <f t="shared" si="132"/>
        <v>00:00</v>
      </c>
      <c r="GW154" s="29"/>
      <c r="GX154" s="27"/>
      <c r="GY154" s="27"/>
      <c r="GZ154" s="28" t="str">
        <f>IFERROR(VLOOKUP(GX154,Horarios!$H:$I,2,0),"")</f>
        <v/>
      </c>
      <c r="HA154" s="28" t="str">
        <f>IFERROR(VLOOKUP(GY154,Horarios!$H:$I,2,0),"")</f>
        <v/>
      </c>
      <c r="HB154" s="28" t="str">
        <f t="shared" si="133"/>
        <v>00:00</v>
      </c>
      <c r="HC154" s="29"/>
      <c r="HD154" s="27"/>
      <c r="HE154" s="27"/>
      <c r="HF154" s="28" t="str">
        <f>IFERROR(VLOOKUP(HD154,Horarios!$H:$I,2,0),"")</f>
        <v/>
      </c>
      <c r="HG154" s="28" t="str">
        <f>IFERROR(VLOOKUP(HE154,Horarios!$H:$I,2,0),"")</f>
        <v/>
      </c>
      <c r="HH154" s="28" t="str">
        <f t="shared" si="134"/>
        <v>00:00</v>
      </c>
      <c r="HI154" s="29"/>
      <c r="HJ154" s="31" t="str">
        <f t="shared" si="135"/>
        <v/>
      </c>
      <c r="HK154" s="27"/>
      <c r="HL154" s="27"/>
      <c r="HM154" s="28" t="str">
        <f>IFERROR(VLOOKUP(HK154,Horarios!$H:$I,2,0),"")</f>
        <v/>
      </c>
      <c r="HN154" s="28" t="str">
        <f>IFERROR(VLOOKUP(HL154,Horarios!$H:$I,2,0),"")</f>
        <v/>
      </c>
      <c r="HO154" s="28" t="str">
        <f t="shared" si="136"/>
        <v>00:00</v>
      </c>
      <c r="HP154" s="29"/>
      <c r="HQ154" s="27"/>
      <c r="HR154" s="27"/>
      <c r="HS154" s="28" t="str">
        <f>IFERROR(VLOOKUP(HQ154,Horarios!$H:$I,2,0),"")</f>
        <v/>
      </c>
      <c r="HT154" s="28" t="str">
        <f>IFERROR(VLOOKUP(HR154,Horarios!$H:$I,2,0),"")</f>
        <v/>
      </c>
      <c r="HU154" s="28" t="str">
        <f t="shared" si="137"/>
        <v>00:00</v>
      </c>
      <c r="HV154" s="29"/>
      <c r="HW154" s="27"/>
      <c r="HX154" s="27"/>
      <c r="HY154" s="28" t="str">
        <f>IFERROR(VLOOKUP(HW154,Horarios!$H:$I,2,0),"")</f>
        <v/>
      </c>
      <c r="HZ154" s="28" t="str">
        <f>IFERROR(VLOOKUP(HX154,Horarios!$H:$I,2,0),"")</f>
        <v/>
      </c>
      <c r="IA154" s="28" t="str">
        <f t="shared" si="138"/>
        <v>00:00</v>
      </c>
      <c r="IB154" s="29"/>
      <c r="IC154" s="27"/>
      <c r="ID154" s="27"/>
      <c r="IE154" s="28" t="str">
        <f>IFERROR(VLOOKUP(IC154,Horarios!$H:$I,2,0),"")</f>
        <v/>
      </c>
      <c r="IF154" s="28" t="str">
        <f>IFERROR(VLOOKUP(ID154,Horarios!$H:$I,2,0),"")</f>
        <v/>
      </c>
      <c r="IG154" s="28" t="str">
        <f t="shared" si="139"/>
        <v>00:00</v>
      </c>
      <c r="IH154" s="29"/>
      <c r="II154" s="27"/>
      <c r="IJ154" s="27"/>
      <c r="IK154" s="28" t="str">
        <f>IFERROR(VLOOKUP(II154,Horarios!$H:$I,2,0),"")</f>
        <v/>
      </c>
      <c r="IL154" s="28" t="str">
        <f>IFERROR(VLOOKUP(IJ154,Horarios!$H:$I,2,0),"")</f>
        <v/>
      </c>
      <c r="IM154" s="28" t="str">
        <f t="shared" si="140"/>
        <v>00:00</v>
      </c>
      <c r="IN154" s="29"/>
      <c r="IO154" s="27"/>
      <c r="IP154" s="27"/>
      <c r="IQ154" s="28" t="str">
        <f>IFERROR(VLOOKUP(IO154,Horarios!$H:$I,2,0),"")</f>
        <v/>
      </c>
      <c r="IR154" s="28" t="str">
        <f>IFERROR(VLOOKUP(IP154,Horarios!$H:$I,2,0),"")</f>
        <v/>
      </c>
      <c r="IS154" s="28" t="str">
        <f t="shared" si="141"/>
        <v>00:00</v>
      </c>
      <c r="IT154" s="29"/>
      <c r="IU154" s="27"/>
      <c r="IV154" s="27"/>
      <c r="IW154" s="28" t="str">
        <f>IFERROR(VLOOKUP(IU154,Horarios!$H:$I,2,0),"")</f>
        <v/>
      </c>
      <c r="IX154" s="28" t="str">
        <f>IFERROR(VLOOKUP(IV154,Horarios!$H:$I,2,0),"")</f>
        <v/>
      </c>
      <c r="IY154" s="28" t="str">
        <f t="shared" si="142"/>
        <v>00:00</v>
      </c>
      <c r="IZ154" s="29"/>
      <c r="JA154" s="31" t="str">
        <f t="shared" si="143"/>
        <v/>
      </c>
    </row>
    <row r="155" spans="1:261" s="24" customFormat="1" ht="17.399999999999999" x14ac:dyDescent="0.25">
      <c r="A155" s="25"/>
      <c r="B155" s="26" t="str">
        <f>IFERROR(VLOOKUP(A155,BaseNombres!A:B,2,0),"")</f>
        <v/>
      </c>
      <c r="C155" s="26" t="str">
        <f>IFERROR(VLOOKUP(A155,BaseNombres!A:C,3,0),"")</f>
        <v/>
      </c>
      <c r="D155" s="27"/>
      <c r="E155" s="27"/>
      <c r="F155" s="28" t="str">
        <f>IFERROR(VLOOKUP(D155,Horarios!$H:$I,2,0),"")</f>
        <v/>
      </c>
      <c r="G155" s="28" t="str">
        <f>IFERROR(VLOOKUP(E155,Horarios!$H:$I,2,0),"")</f>
        <v/>
      </c>
      <c r="H155" s="28" t="str">
        <f t="shared" si="96"/>
        <v>00:00</v>
      </c>
      <c r="I155" s="29"/>
      <c r="J155" s="27"/>
      <c r="K155" s="27"/>
      <c r="L155" s="28" t="str">
        <f>IFERROR(VLOOKUP(J155,Horarios!$H:$I,2,0),"")</f>
        <v/>
      </c>
      <c r="M155" s="28" t="str">
        <f>IFERROR(VLOOKUP(K155,Horarios!$H:$I,2,0),"")</f>
        <v/>
      </c>
      <c r="N155" s="28" t="str">
        <f t="shared" si="97"/>
        <v>00:00</v>
      </c>
      <c r="O155" s="29"/>
      <c r="P155" s="27"/>
      <c r="Q155" s="27"/>
      <c r="R155" s="28" t="str">
        <f>IFERROR(VLOOKUP(P155,Horarios!$H:$I,2,0),"")</f>
        <v/>
      </c>
      <c r="S155" s="28" t="str">
        <f>IFERROR(VLOOKUP(Q155,Horarios!$H:$I,2,0),"")</f>
        <v/>
      </c>
      <c r="T155" s="28" t="str">
        <f t="shared" si="98"/>
        <v>00:00</v>
      </c>
      <c r="U155" s="29"/>
      <c r="V155" s="27"/>
      <c r="W155" s="27"/>
      <c r="X155" s="28" t="str">
        <f>IFERROR(VLOOKUP(V155,Horarios!$H:$I,2,0),"")</f>
        <v/>
      </c>
      <c r="Y155" s="28" t="str">
        <f>IFERROR(VLOOKUP(W155,Horarios!$H:$I,2,0),"")</f>
        <v/>
      </c>
      <c r="Z155" s="28" t="str">
        <f t="shared" si="99"/>
        <v>00:00</v>
      </c>
      <c r="AA155" s="29"/>
      <c r="AB155" s="27"/>
      <c r="AC155" s="27"/>
      <c r="AD155" s="28" t="str">
        <f>IFERROR(VLOOKUP(AB155,Horarios!$H:$I,2,0),"")</f>
        <v/>
      </c>
      <c r="AE155" s="28" t="str">
        <f>IFERROR(VLOOKUP(AC155,Horarios!$H:$I,2,0),"")</f>
        <v/>
      </c>
      <c r="AF155" s="28" t="str">
        <f t="shared" si="100"/>
        <v>00:00</v>
      </c>
      <c r="AG155" s="29"/>
      <c r="AH155" s="27"/>
      <c r="AI155" s="27"/>
      <c r="AJ155" s="28" t="str">
        <f>IFERROR(VLOOKUP(AH155,Horarios!$H:$I,2,0),"")</f>
        <v/>
      </c>
      <c r="AK155" s="28" t="str">
        <f>IFERROR(VLOOKUP(AI155,Horarios!$H:$I,2,0),"")</f>
        <v/>
      </c>
      <c r="AL155" s="28" t="str">
        <f t="shared" si="101"/>
        <v>00:00</v>
      </c>
      <c r="AM155" s="29"/>
      <c r="AN155" s="27"/>
      <c r="AO155" s="27"/>
      <c r="AP155" s="28" t="str">
        <f>IFERROR(VLOOKUP(AN155,Horarios!$H:$I,2,0),"")</f>
        <v/>
      </c>
      <c r="AQ155" s="28" t="str">
        <f>IFERROR(VLOOKUP(AO155,Horarios!$H:$I,2,0),"")</f>
        <v/>
      </c>
      <c r="AR155" s="28" t="str">
        <f t="shared" si="102"/>
        <v>00:00</v>
      </c>
      <c r="AS155" s="29"/>
      <c r="AT155" s="31" t="str">
        <f t="shared" si="103"/>
        <v/>
      </c>
      <c r="AU155" s="27"/>
      <c r="AV155" s="27"/>
      <c r="AW155" s="28" t="str">
        <f>IFERROR(VLOOKUP(AU155,Horarios!$H:$I,2,0),"")</f>
        <v/>
      </c>
      <c r="AX155" s="28" t="str">
        <f>IFERROR(VLOOKUP(AV155,Horarios!$H:$I,2,0),"")</f>
        <v/>
      </c>
      <c r="AY155" s="28" t="str">
        <f t="shared" si="104"/>
        <v>00:00</v>
      </c>
      <c r="AZ155" s="29"/>
      <c r="BA155" s="27"/>
      <c r="BB155" s="27"/>
      <c r="BC155" s="28" t="str">
        <f>IFERROR(VLOOKUP(BA155,Horarios!$H:$I,2,0),"")</f>
        <v/>
      </c>
      <c r="BD155" s="28" t="str">
        <f>IFERROR(VLOOKUP(BB155,Horarios!$H:$I,2,0),"")</f>
        <v/>
      </c>
      <c r="BE155" s="28" t="str">
        <f t="shared" si="105"/>
        <v>00:00</v>
      </c>
      <c r="BF155" s="29"/>
      <c r="BG155" s="27"/>
      <c r="BH155" s="27"/>
      <c r="BI155" s="28" t="str">
        <f>IFERROR(VLOOKUP(BG155,Horarios!$H:$I,2,0),"")</f>
        <v/>
      </c>
      <c r="BJ155" s="28" t="str">
        <f>IFERROR(VLOOKUP(BH155,Horarios!$H:$I,2,0),"")</f>
        <v/>
      </c>
      <c r="BK155" s="28" t="str">
        <f t="shared" si="106"/>
        <v>00:00</v>
      </c>
      <c r="BL155" s="29"/>
      <c r="BM155" s="27"/>
      <c r="BN155" s="27"/>
      <c r="BO155" s="28" t="str">
        <f>IFERROR(VLOOKUP(BM155,Horarios!$H:$I,2,0),"")</f>
        <v/>
      </c>
      <c r="BP155" s="28" t="str">
        <f>IFERROR(VLOOKUP(BN155,Horarios!$H:$I,2,0),"")</f>
        <v/>
      </c>
      <c r="BQ155" s="28" t="str">
        <f t="shared" si="107"/>
        <v>00:00</v>
      </c>
      <c r="BR155" s="29"/>
      <c r="BS155" s="27"/>
      <c r="BT155" s="27"/>
      <c r="BU155" s="28" t="str">
        <f>IFERROR(VLOOKUP(BS155,Horarios!$H:$I,2,0),"")</f>
        <v/>
      </c>
      <c r="BV155" s="28" t="str">
        <f>IFERROR(VLOOKUP(BT155,Horarios!$H:$I,2,0),"")</f>
        <v/>
      </c>
      <c r="BW155" s="28" t="str">
        <f t="shared" si="108"/>
        <v>00:00</v>
      </c>
      <c r="BX155" s="29"/>
      <c r="BY155" s="27"/>
      <c r="BZ155" s="27"/>
      <c r="CA155" s="28" t="str">
        <f>IFERROR(VLOOKUP(BY155,Horarios!$H:$I,2,0),"")</f>
        <v/>
      </c>
      <c r="CB155" s="28" t="str">
        <f>IFERROR(VLOOKUP(BZ155,Horarios!$H:$I,2,0),"")</f>
        <v/>
      </c>
      <c r="CC155" s="28" t="str">
        <f t="shared" si="109"/>
        <v>00:00</v>
      </c>
      <c r="CD155" s="29"/>
      <c r="CE155" s="27"/>
      <c r="CF155" s="27"/>
      <c r="CG155" s="28" t="str">
        <f>IFERROR(VLOOKUP(CE155,Horarios!$H:$I,2,0),"")</f>
        <v/>
      </c>
      <c r="CH155" s="28" t="str">
        <f>IFERROR(VLOOKUP(CF155,Horarios!$H:$I,2,0),"")</f>
        <v/>
      </c>
      <c r="CI155" s="28" t="str">
        <f t="shared" si="110"/>
        <v>00:00</v>
      </c>
      <c r="CJ155" s="29"/>
      <c r="CK155" s="31" t="str">
        <f t="shared" si="111"/>
        <v/>
      </c>
      <c r="CL155" s="27"/>
      <c r="CM155" s="27"/>
      <c r="CN155" s="28" t="str">
        <f>IFERROR(VLOOKUP(CL155,Horarios!$H:$I,2,0),"")</f>
        <v/>
      </c>
      <c r="CO155" s="28" t="str">
        <f>IFERROR(VLOOKUP(CM155,Horarios!$H:$I,2,0),"")</f>
        <v/>
      </c>
      <c r="CP155" s="28" t="str">
        <f t="shared" si="112"/>
        <v>00:00</v>
      </c>
      <c r="CQ155" s="29"/>
      <c r="CR155" s="27"/>
      <c r="CS155" s="27"/>
      <c r="CT155" s="28" t="str">
        <f>IFERROR(VLOOKUP(CR155,Horarios!$H:$I,2,0),"")</f>
        <v/>
      </c>
      <c r="CU155" s="28" t="str">
        <f>IFERROR(VLOOKUP(CS155,Horarios!$H:$I,2,0),"")</f>
        <v/>
      </c>
      <c r="CV155" s="28" t="str">
        <f t="shared" si="113"/>
        <v>00:00</v>
      </c>
      <c r="CW155" s="29"/>
      <c r="CX155" s="27"/>
      <c r="CY155" s="27"/>
      <c r="CZ155" s="28" t="str">
        <f>IFERROR(VLOOKUP(CX155,Horarios!$H:$I,2,0),"")</f>
        <v/>
      </c>
      <c r="DA155" s="28" t="str">
        <f>IFERROR(VLOOKUP(CY155,Horarios!$H:$I,2,0),"")</f>
        <v/>
      </c>
      <c r="DB155" s="28" t="str">
        <f t="shared" si="114"/>
        <v>00:00</v>
      </c>
      <c r="DC155" s="29"/>
      <c r="DD155" s="27"/>
      <c r="DE155" s="27"/>
      <c r="DF155" s="28" t="str">
        <f>IFERROR(VLOOKUP(DD155,Horarios!$H:$I,2,0),"")</f>
        <v/>
      </c>
      <c r="DG155" s="28" t="str">
        <f>IFERROR(VLOOKUP(DE155,Horarios!$H:$I,2,0),"")</f>
        <v/>
      </c>
      <c r="DH155" s="28" t="str">
        <f t="shared" si="115"/>
        <v>00:00</v>
      </c>
      <c r="DI155" s="29"/>
      <c r="DJ155" s="27"/>
      <c r="DK155" s="27"/>
      <c r="DL155" s="28" t="str">
        <f>IFERROR(VLOOKUP(DJ155,Horarios!$H:$I,2,0),"")</f>
        <v/>
      </c>
      <c r="DM155" s="28" t="str">
        <f>IFERROR(VLOOKUP(DK155,Horarios!$H:$I,2,0),"")</f>
        <v/>
      </c>
      <c r="DN155" s="28" t="str">
        <f t="shared" si="116"/>
        <v>00:00</v>
      </c>
      <c r="DO155" s="29"/>
      <c r="DP155" s="27"/>
      <c r="DQ155" s="27"/>
      <c r="DR155" s="28" t="str">
        <f>IFERROR(VLOOKUP(DP155,Horarios!$H:$I,2,0),"")</f>
        <v/>
      </c>
      <c r="DS155" s="28" t="str">
        <f>IFERROR(VLOOKUP(DQ155,Horarios!$H:$I,2,0),"")</f>
        <v/>
      </c>
      <c r="DT155" s="28" t="str">
        <f t="shared" si="117"/>
        <v>00:00</v>
      </c>
      <c r="DU155" s="29"/>
      <c r="DV155" s="27"/>
      <c r="DW155" s="27"/>
      <c r="DX155" s="28" t="str">
        <f>IFERROR(VLOOKUP(DV155,Horarios!$H:$I,2,0),"")</f>
        <v/>
      </c>
      <c r="DY155" s="28" t="str">
        <f>IFERROR(VLOOKUP(DW155,Horarios!$H:$I,2,0),"")</f>
        <v/>
      </c>
      <c r="DZ155" s="28" t="str">
        <f t="shared" si="118"/>
        <v>00:00</v>
      </c>
      <c r="EA155" s="29"/>
      <c r="EB155" s="31" t="str">
        <f t="shared" si="119"/>
        <v/>
      </c>
      <c r="EC155" s="27"/>
      <c r="ED155" s="27"/>
      <c r="EE155" s="28" t="str">
        <f>IFERROR(VLOOKUP(EC155,Horarios!$H:$I,2,0),"")</f>
        <v/>
      </c>
      <c r="EF155" s="28" t="str">
        <f>IFERROR(VLOOKUP(ED155,Horarios!$H:$I,2,0),"")</f>
        <v/>
      </c>
      <c r="EG155" s="28" t="str">
        <f t="shared" si="120"/>
        <v>00:00</v>
      </c>
      <c r="EH155" s="29"/>
      <c r="EI155" s="27"/>
      <c r="EJ155" s="27"/>
      <c r="EK155" s="28" t="str">
        <f>IFERROR(VLOOKUP(EI155,Horarios!$H:$I,2,0),"")</f>
        <v/>
      </c>
      <c r="EL155" s="28" t="str">
        <f>IFERROR(VLOOKUP(EJ155,Horarios!$H:$I,2,0),"")</f>
        <v/>
      </c>
      <c r="EM155" s="28" t="str">
        <f t="shared" si="121"/>
        <v>00:00</v>
      </c>
      <c r="EN155" s="29"/>
      <c r="EO155" s="27"/>
      <c r="EP155" s="27"/>
      <c r="EQ155" s="28" t="str">
        <f>IFERROR(VLOOKUP(EO155,Horarios!$H:$I,2,0),"")</f>
        <v/>
      </c>
      <c r="ER155" s="28" t="str">
        <f>IFERROR(VLOOKUP(EP155,Horarios!$H:$I,2,0),"")</f>
        <v/>
      </c>
      <c r="ES155" s="28" t="str">
        <f t="shared" si="122"/>
        <v>00:00</v>
      </c>
      <c r="ET155" s="29"/>
      <c r="EU155" s="27"/>
      <c r="EV155" s="27"/>
      <c r="EW155" s="28" t="str">
        <f>IFERROR(VLOOKUP(EU155,Horarios!$H:$I,2,0),"")</f>
        <v/>
      </c>
      <c r="EX155" s="28" t="str">
        <f>IFERROR(VLOOKUP(EV155,Horarios!$H:$I,2,0),"")</f>
        <v/>
      </c>
      <c r="EY155" s="28" t="str">
        <f t="shared" si="123"/>
        <v>00:00</v>
      </c>
      <c r="EZ155" s="29"/>
      <c r="FA155" s="27"/>
      <c r="FB155" s="27"/>
      <c r="FC155" s="28" t="str">
        <f>IFERROR(VLOOKUP(FA155,Horarios!$H:$I,2,0),"")</f>
        <v/>
      </c>
      <c r="FD155" s="28" t="str">
        <f>IFERROR(VLOOKUP(FB155,Horarios!$H:$I,2,0),"")</f>
        <v/>
      </c>
      <c r="FE155" s="28" t="str">
        <f t="shared" si="124"/>
        <v>00:00</v>
      </c>
      <c r="FF155" s="29"/>
      <c r="FG155" s="27"/>
      <c r="FH155" s="27"/>
      <c r="FI155" s="28" t="str">
        <f>IFERROR(VLOOKUP(FG155,Horarios!$H:$I,2,0),"")</f>
        <v/>
      </c>
      <c r="FJ155" s="28" t="str">
        <f>IFERROR(VLOOKUP(FH155,Horarios!$H:$I,2,0),"")</f>
        <v/>
      </c>
      <c r="FK155" s="28" t="str">
        <f t="shared" si="125"/>
        <v>00:00</v>
      </c>
      <c r="FL155" s="29"/>
      <c r="FM155" s="27"/>
      <c r="FN155" s="27"/>
      <c r="FO155" s="28" t="str">
        <f>IFERROR(VLOOKUP(FM155,Horarios!$H:$I,2,0),"")</f>
        <v/>
      </c>
      <c r="FP155" s="28" t="str">
        <f>IFERROR(VLOOKUP(FN155,Horarios!$H:$I,2,0),"")</f>
        <v/>
      </c>
      <c r="FQ155" s="28" t="str">
        <f t="shared" si="126"/>
        <v>00:00</v>
      </c>
      <c r="FR155" s="29"/>
      <c r="FS155" s="31" t="str">
        <f t="shared" si="127"/>
        <v/>
      </c>
      <c r="FT155" s="27"/>
      <c r="FU155" s="27"/>
      <c r="FV155" s="28" t="str">
        <f>IFERROR(VLOOKUP(FT155,Horarios!$H:$I,2,0),"")</f>
        <v/>
      </c>
      <c r="FW155" s="28" t="str">
        <f>IFERROR(VLOOKUP(FU155,Horarios!$H:$I,2,0),"")</f>
        <v/>
      </c>
      <c r="FX155" s="28" t="str">
        <f t="shared" si="128"/>
        <v>00:00</v>
      </c>
      <c r="FY155" s="29"/>
      <c r="FZ155" s="27"/>
      <c r="GA155" s="27"/>
      <c r="GB155" s="28" t="str">
        <f>IFERROR(VLOOKUP(FZ155,Horarios!$H:$I,2,0),"")</f>
        <v/>
      </c>
      <c r="GC155" s="28" t="str">
        <f>IFERROR(VLOOKUP(GA155,Horarios!$H:$I,2,0),"")</f>
        <v/>
      </c>
      <c r="GD155" s="28" t="str">
        <f t="shared" si="129"/>
        <v>00:00</v>
      </c>
      <c r="GE155" s="29"/>
      <c r="GF155" s="27"/>
      <c r="GG155" s="27"/>
      <c r="GH155" s="28" t="str">
        <f>IFERROR(VLOOKUP(GF155,Horarios!$H:$I,2,0),"")</f>
        <v/>
      </c>
      <c r="GI155" s="28" t="str">
        <f>IFERROR(VLOOKUP(GG155,Horarios!$H:$I,2,0),"")</f>
        <v/>
      </c>
      <c r="GJ155" s="28" t="str">
        <f t="shared" si="130"/>
        <v>00:00</v>
      </c>
      <c r="GK155" s="29"/>
      <c r="GL155" s="27"/>
      <c r="GM155" s="27"/>
      <c r="GN155" s="28" t="str">
        <f>IFERROR(VLOOKUP(GL155,Horarios!$H:$I,2,0),"")</f>
        <v/>
      </c>
      <c r="GO155" s="28" t="str">
        <f>IFERROR(VLOOKUP(GM155,Horarios!$H:$I,2,0),"")</f>
        <v/>
      </c>
      <c r="GP155" s="28" t="str">
        <f t="shared" si="131"/>
        <v>00:00</v>
      </c>
      <c r="GQ155" s="29"/>
      <c r="GR155" s="27"/>
      <c r="GS155" s="27"/>
      <c r="GT155" s="28" t="str">
        <f>IFERROR(VLOOKUP(GR155,Horarios!$H:$I,2,0),"")</f>
        <v/>
      </c>
      <c r="GU155" s="28" t="str">
        <f>IFERROR(VLOOKUP(GS155,Horarios!$H:$I,2,0),"")</f>
        <v/>
      </c>
      <c r="GV155" s="28" t="str">
        <f t="shared" si="132"/>
        <v>00:00</v>
      </c>
      <c r="GW155" s="29"/>
      <c r="GX155" s="27"/>
      <c r="GY155" s="27"/>
      <c r="GZ155" s="28" t="str">
        <f>IFERROR(VLOOKUP(GX155,Horarios!$H:$I,2,0),"")</f>
        <v/>
      </c>
      <c r="HA155" s="28" t="str">
        <f>IFERROR(VLOOKUP(GY155,Horarios!$H:$I,2,0),"")</f>
        <v/>
      </c>
      <c r="HB155" s="28" t="str">
        <f t="shared" si="133"/>
        <v>00:00</v>
      </c>
      <c r="HC155" s="29"/>
      <c r="HD155" s="27"/>
      <c r="HE155" s="27"/>
      <c r="HF155" s="28" t="str">
        <f>IFERROR(VLOOKUP(HD155,Horarios!$H:$I,2,0),"")</f>
        <v/>
      </c>
      <c r="HG155" s="28" t="str">
        <f>IFERROR(VLOOKUP(HE155,Horarios!$H:$I,2,0),"")</f>
        <v/>
      </c>
      <c r="HH155" s="28" t="str">
        <f t="shared" si="134"/>
        <v>00:00</v>
      </c>
      <c r="HI155" s="29"/>
      <c r="HJ155" s="31" t="str">
        <f t="shared" si="135"/>
        <v/>
      </c>
      <c r="HK155" s="27"/>
      <c r="HL155" s="27"/>
      <c r="HM155" s="28" t="str">
        <f>IFERROR(VLOOKUP(HK155,Horarios!$H:$I,2,0),"")</f>
        <v/>
      </c>
      <c r="HN155" s="28" t="str">
        <f>IFERROR(VLOOKUP(HL155,Horarios!$H:$I,2,0),"")</f>
        <v/>
      </c>
      <c r="HO155" s="28" t="str">
        <f t="shared" si="136"/>
        <v>00:00</v>
      </c>
      <c r="HP155" s="29"/>
      <c r="HQ155" s="27"/>
      <c r="HR155" s="27"/>
      <c r="HS155" s="28" t="str">
        <f>IFERROR(VLOOKUP(HQ155,Horarios!$H:$I,2,0),"")</f>
        <v/>
      </c>
      <c r="HT155" s="28" t="str">
        <f>IFERROR(VLOOKUP(HR155,Horarios!$H:$I,2,0),"")</f>
        <v/>
      </c>
      <c r="HU155" s="28" t="str">
        <f t="shared" si="137"/>
        <v>00:00</v>
      </c>
      <c r="HV155" s="29"/>
      <c r="HW155" s="27"/>
      <c r="HX155" s="27"/>
      <c r="HY155" s="28" t="str">
        <f>IFERROR(VLOOKUP(HW155,Horarios!$H:$I,2,0),"")</f>
        <v/>
      </c>
      <c r="HZ155" s="28" t="str">
        <f>IFERROR(VLOOKUP(HX155,Horarios!$H:$I,2,0),"")</f>
        <v/>
      </c>
      <c r="IA155" s="28" t="str">
        <f t="shared" si="138"/>
        <v>00:00</v>
      </c>
      <c r="IB155" s="29"/>
      <c r="IC155" s="27"/>
      <c r="ID155" s="27"/>
      <c r="IE155" s="28" t="str">
        <f>IFERROR(VLOOKUP(IC155,Horarios!$H:$I,2,0),"")</f>
        <v/>
      </c>
      <c r="IF155" s="28" t="str">
        <f>IFERROR(VLOOKUP(ID155,Horarios!$H:$I,2,0),"")</f>
        <v/>
      </c>
      <c r="IG155" s="28" t="str">
        <f t="shared" si="139"/>
        <v>00:00</v>
      </c>
      <c r="IH155" s="29"/>
      <c r="II155" s="27"/>
      <c r="IJ155" s="27"/>
      <c r="IK155" s="28" t="str">
        <f>IFERROR(VLOOKUP(II155,Horarios!$H:$I,2,0),"")</f>
        <v/>
      </c>
      <c r="IL155" s="28" t="str">
        <f>IFERROR(VLOOKUP(IJ155,Horarios!$H:$I,2,0),"")</f>
        <v/>
      </c>
      <c r="IM155" s="28" t="str">
        <f t="shared" si="140"/>
        <v>00:00</v>
      </c>
      <c r="IN155" s="29"/>
      <c r="IO155" s="27"/>
      <c r="IP155" s="27"/>
      <c r="IQ155" s="28" t="str">
        <f>IFERROR(VLOOKUP(IO155,Horarios!$H:$I,2,0),"")</f>
        <v/>
      </c>
      <c r="IR155" s="28" t="str">
        <f>IFERROR(VLOOKUP(IP155,Horarios!$H:$I,2,0),"")</f>
        <v/>
      </c>
      <c r="IS155" s="28" t="str">
        <f t="shared" si="141"/>
        <v>00:00</v>
      </c>
      <c r="IT155" s="29"/>
      <c r="IU155" s="27"/>
      <c r="IV155" s="27"/>
      <c r="IW155" s="28" t="str">
        <f>IFERROR(VLOOKUP(IU155,Horarios!$H:$I,2,0),"")</f>
        <v/>
      </c>
      <c r="IX155" s="28" t="str">
        <f>IFERROR(VLOOKUP(IV155,Horarios!$H:$I,2,0),"")</f>
        <v/>
      </c>
      <c r="IY155" s="28" t="str">
        <f t="shared" si="142"/>
        <v>00:00</v>
      </c>
      <c r="IZ155" s="29"/>
      <c r="JA155" s="31" t="str">
        <f t="shared" si="143"/>
        <v/>
      </c>
    </row>
    <row r="156" spans="1:261" s="24" customFormat="1" ht="17.399999999999999" x14ac:dyDescent="0.25">
      <c r="A156" s="25"/>
      <c r="B156" s="26" t="str">
        <f>IFERROR(VLOOKUP(A156,BaseNombres!A:B,2,0),"")</f>
        <v/>
      </c>
      <c r="C156" s="26" t="str">
        <f>IFERROR(VLOOKUP(A156,BaseNombres!A:C,3,0),"")</f>
        <v/>
      </c>
      <c r="D156" s="27"/>
      <c r="E156" s="27"/>
      <c r="F156" s="28" t="str">
        <f>IFERROR(VLOOKUP(D156,Horarios!$H:$I,2,0),"")</f>
        <v/>
      </c>
      <c r="G156" s="28" t="str">
        <f>IFERROR(VLOOKUP(E156,Horarios!$H:$I,2,0),"")</f>
        <v/>
      </c>
      <c r="H156" s="28" t="str">
        <f t="shared" si="96"/>
        <v>00:00</v>
      </c>
      <c r="I156" s="29"/>
      <c r="J156" s="27"/>
      <c r="K156" s="27"/>
      <c r="L156" s="28" t="str">
        <f>IFERROR(VLOOKUP(J156,Horarios!$H:$I,2,0),"")</f>
        <v/>
      </c>
      <c r="M156" s="28" t="str">
        <f>IFERROR(VLOOKUP(K156,Horarios!$H:$I,2,0),"")</f>
        <v/>
      </c>
      <c r="N156" s="28" t="str">
        <f t="shared" si="97"/>
        <v>00:00</v>
      </c>
      <c r="O156" s="29"/>
      <c r="P156" s="27"/>
      <c r="Q156" s="27"/>
      <c r="R156" s="28" t="str">
        <f>IFERROR(VLOOKUP(P156,Horarios!$H:$I,2,0),"")</f>
        <v/>
      </c>
      <c r="S156" s="28" t="str">
        <f>IFERROR(VLOOKUP(Q156,Horarios!$H:$I,2,0),"")</f>
        <v/>
      </c>
      <c r="T156" s="28" t="str">
        <f t="shared" si="98"/>
        <v>00:00</v>
      </c>
      <c r="U156" s="29"/>
      <c r="V156" s="27"/>
      <c r="W156" s="27"/>
      <c r="X156" s="28" t="str">
        <f>IFERROR(VLOOKUP(V156,Horarios!$H:$I,2,0),"")</f>
        <v/>
      </c>
      <c r="Y156" s="28" t="str">
        <f>IFERROR(VLOOKUP(W156,Horarios!$H:$I,2,0),"")</f>
        <v/>
      </c>
      <c r="Z156" s="28" t="str">
        <f t="shared" si="99"/>
        <v>00:00</v>
      </c>
      <c r="AA156" s="29"/>
      <c r="AB156" s="27"/>
      <c r="AC156" s="27"/>
      <c r="AD156" s="28" t="str">
        <f>IFERROR(VLOOKUP(AB156,Horarios!$H:$I,2,0),"")</f>
        <v/>
      </c>
      <c r="AE156" s="28" t="str">
        <f>IFERROR(VLOOKUP(AC156,Horarios!$H:$I,2,0),"")</f>
        <v/>
      </c>
      <c r="AF156" s="28" t="str">
        <f t="shared" si="100"/>
        <v>00:00</v>
      </c>
      <c r="AG156" s="29"/>
      <c r="AH156" s="27"/>
      <c r="AI156" s="27"/>
      <c r="AJ156" s="28" t="str">
        <f>IFERROR(VLOOKUP(AH156,Horarios!$H:$I,2,0),"")</f>
        <v/>
      </c>
      <c r="AK156" s="28" t="str">
        <f>IFERROR(VLOOKUP(AI156,Horarios!$H:$I,2,0),"")</f>
        <v/>
      </c>
      <c r="AL156" s="28" t="str">
        <f t="shared" si="101"/>
        <v>00:00</v>
      </c>
      <c r="AM156" s="29"/>
      <c r="AN156" s="27"/>
      <c r="AO156" s="27"/>
      <c r="AP156" s="28" t="str">
        <f>IFERROR(VLOOKUP(AN156,Horarios!$H:$I,2,0),"")</f>
        <v/>
      </c>
      <c r="AQ156" s="28" t="str">
        <f>IFERROR(VLOOKUP(AO156,Horarios!$H:$I,2,0),"")</f>
        <v/>
      </c>
      <c r="AR156" s="28" t="str">
        <f t="shared" si="102"/>
        <v>00:00</v>
      </c>
      <c r="AS156" s="29"/>
      <c r="AT156" s="31" t="str">
        <f t="shared" si="103"/>
        <v/>
      </c>
      <c r="AU156" s="27"/>
      <c r="AV156" s="27"/>
      <c r="AW156" s="28" t="str">
        <f>IFERROR(VLOOKUP(AU156,Horarios!$H:$I,2,0),"")</f>
        <v/>
      </c>
      <c r="AX156" s="28" t="str">
        <f>IFERROR(VLOOKUP(AV156,Horarios!$H:$I,2,0),"")</f>
        <v/>
      </c>
      <c r="AY156" s="28" t="str">
        <f t="shared" si="104"/>
        <v>00:00</v>
      </c>
      <c r="AZ156" s="29"/>
      <c r="BA156" s="27"/>
      <c r="BB156" s="27"/>
      <c r="BC156" s="28" t="str">
        <f>IFERROR(VLOOKUP(BA156,Horarios!$H:$I,2,0),"")</f>
        <v/>
      </c>
      <c r="BD156" s="28" t="str">
        <f>IFERROR(VLOOKUP(BB156,Horarios!$H:$I,2,0),"")</f>
        <v/>
      </c>
      <c r="BE156" s="28" t="str">
        <f t="shared" si="105"/>
        <v>00:00</v>
      </c>
      <c r="BF156" s="29"/>
      <c r="BG156" s="27"/>
      <c r="BH156" s="27"/>
      <c r="BI156" s="28" t="str">
        <f>IFERROR(VLOOKUP(BG156,Horarios!$H:$I,2,0),"")</f>
        <v/>
      </c>
      <c r="BJ156" s="28" t="str">
        <f>IFERROR(VLOOKUP(BH156,Horarios!$H:$I,2,0),"")</f>
        <v/>
      </c>
      <c r="BK156" s="28" t="str">
        <f t="shared" si="106"/>
        <v>00:00</v>
      </c>
      <c r="BL156" s="29"/>
      <c r="BM156" s="27"/>
      <c r="BN156" s="27"/>
      <c r="BO156" s="28" t="str">
        <f>IFERROR(VLOOKUP(BM156,Horarios!$H:$I,2,0),"")</f>
        <v/>
      </c>
      <c r="BP156" s="28" t="str">
        <f>IFERROR(VLOOKUP(BN156,Horarios!$H:$I,2,0),"")</f>
        <v/>
      </c>
      <c r="BQ156" s="28" t="str">
        <f t="shared" si="107"/>
        <v>00:00</v>
      </c>
      <c r="BR156" s="29"/>
      <c r="BS156" s="27"/>
      <c r="BT156" s="27"/>
      <c r="BU156" s="28" t="str">
        <f>IFERROR(VLOOKUP(BS156,Horarios!$H:$I,2,0),"")</f>
        <v/>
      </c>
      <c r="BV156" s="28" t="str">
        <f>IFERROR(VLOOKUP(BT156,Horarios!$H:$I,2,0),"")</f>
        <v/>
      </c>
      <c r="BW156" s="28" t="str">
        <f t="shared" si="108"/>
        <v>00:00</v>
      </c>
      <c r="BX156" s="29"/>
      <c r="BY156" s="27"/>
      <c r="BZ156" s="27"/>
      <c r="CA156" s="28" t="str">
        <f>IFERROR(VLOOKUP(BY156,Horarios!$H:$I,2,0),"")</f>
        <v/>
      </c>
      <c r="CB156" s="28" t="str">
        <f>IFERROR(VLOOKUP(BZ156,Horarios!$H:$I,2,0),"")</f>
        <v/>
      </c>
      <c r="CC156" s="28" t="str">
        <f t="shared" si="109"/>
        <v>00:00</v>
      </c>
      <c r="CD156" s="29"/>
      <c r="CE156" s="27"/>
      <c r="CF156" s="27"/>
      <c r="CG156" s="28" t="str">
        <f>IFERROR(VLOOKUP(CE156,Horarios!$H:$I,2,0),"")</f>
        <v/>
      </c>
      <c r="CH156" s="28" t="str">
        <f>IFERROR(VLOOKUP(CF156,Horarios!$H:$I,2,0),"")</f>
        <v/>
      </c>
      <c r="CI156" s="28" t="str">
        <f t="shared" si="110"/>
        <v>00:00</v>
      </c>
      <c r="CJ156" s="29"/>
      <c r="CK156" s="31" t="str">
        <f t="shared" si="111"/>
        <v/>
      </c>
      <c r="CL156" s="27"/>
      <c r="CM156" s="27"/>
      <c r="CN156" s="28" t="str">
        <f>IFERROR(VLOOKUP(CL156,Horarios!$H:$I,2,0),"")</f>
        <v/>
      </c>
      <c r="CO156" s="28" t="str">
        <f>IFERROR(VLOOKUP(CM156,Horarios!$H:$I,2,0),"")</f>
        <v/>
      </c>
      <c r="CP156" s="28" t="str">
        <f t="shared" si="112"/>
        <v>00:00</v>
      </c>
      <c r="CQ156" s="29"/>
      <c r="CR156" s="27"/>
      <c r="CS156" s="27"/>
      <c r="CT156" s="28" t="str">
        <f>IFERROR(VLOOKUP(CR156,Horarios!$H:$I,2,0),"")</f>
        <v/>
      </c>
      <c r="CU156" s="28" t="str">
        <f>IFERROR(VLOOKUP(CS156,Horarios!$H:$I,2,0),"")</f>
        <v/>
      </c>
      <c r="CV156" s="28" t="str">
        <f t="shared" si="113"/>
        <v>00:00</v>
      </c>
      <c r="CW156" s="29"/>
      <c r="CX156" s="27"/>
      <c r="CY156" s="27"/>
      <c r="CZ156" s="28" t="str">
        <f>IFERROR(VLOOKUP(CX156,Horarios!$H:$I,2,0),"")</f>
        <v/>
      </c>
      <c r="DA156" s="28" t="str">
        <f>IFERROR(VLOOKUP(CY156,Horarios!$H:$I,2,0),"")</f>
        <v/>
      </c>
      <c r="DB156" s="28" t="str">
        <f t="shared" si="114"/>
        <v>00:00</v>
      </c>
      <c r="DC156" s="29"/>
      <c r="DD156" s="27"/>
      <c r="DE156" s="27"/>
      <c r="DF156" s="28" t="str">
        <f>IFERROR(VLOOKUP(DD156,Horarios!$H:$I,2,0),"")</f>
        <v/>
      </c>
      <c r="DG156" s="28" t="str">
        <f>IFERROR(VLOOKUP(DE156,Horarios!$H:$I,2,0),"")</f>
        <v/>
      </c>
      <c r="DH156" s="28" t="str">
        <f t="shared" si="115"/>
        <v>00:00</v>
      </c>
      <c r="DI156" s="29"/>
      <c r="DJ156" s="27"/>
      <c r="DK156" s="27"/>
      <c r="DL156" s="28" t="str">
        <f>IFERROR(VLOOKUP(DJ156,Horarios!$H:$I,2,0),"")</f>
        <v/>
      </c>
      <c r="DM156" s="28" t="str">
        <f>IFERROR(VLOOKUP(DK156,Horarios!$H:$I,2,0),"")</f>
        <v/>
      </c>
      <c r="DN156" s="28" t="str">
        <f t="shared" si="116"/>
        <v>00:00</v>
      </c>
      <c r="DO156" s="29"/>
      <c r="DP156" s="27"/>
      <c r="DQ156" s="27"/>
      <c r="DR156" s="28" t="str">
        <f>IFERROR(VLOOKUP(DP156,Horarios!$H:$I,2,0),"")</f>
        <v/>
      </c>
      <c r="DS156" s="28" t="str">
        <f>IFERROR(VLOOKUP(DQ156,Horarios!$H:$I,2,0),"")</f>
        <v/>
      </c>
      <c r="DT156" s="28" t="str">
        <f t="shared" si="117"/>
        <v>00:00</v>
      </c>
      <c r="DU156" s="29"/>
      <c r="DV156" s="27"/>
      <c r="DW156" s="27"/>
      <c r="DX156" s="28" t="str">
        <f>IFERROR(VLOOKUP(DV156,Horarios!$H:$I,2,0),"")</f>
        <v/>
      </c>
      <c r="DY156" s="28" t="str">
        <f>IFERROR(VLOOKUP(DW156,Horarios!$H:$I,2,0),"")</f>
        <v/>
      </c>
      <c r="DZ156" s="28" t="str">
        <f t="shared" si="118"/>
        <v>00:00</v>
      </c>
      <c r="EA156" s="29"/>
      <c r="EB156" s="31" t="str">
        <f t="shared" si="119"/>
        <v/>
      </c>
      <c r="EC156" s="27"/>
      <c r="ED156" s="27"/>
      <c r="EE156" s="28" t="str">
        <f>IFERROR(VLOOKUP(EC156,Horarios!$H:$I,2,0),"")</f>
        <v/>
      </c>
      <c r="EF156" s="28" t="str">
        <f>IFERROR(VLOOKUP(ED156,Horarios!$H:$I,2,0),"")</f>
        <v/>
      </c>
      <c r="EG156" s="28" t="str">
        <f t="shared" si="120"/>
        <v>00:00</v>
      </c>
      <c r="EH156" s="29"/>
      <c r="EI156" s="27"/>
      <c r="EJ156" s="27"/>
      <c r="EK156" s="28" t="str">
        <f>IFERROR(VLOOKUP(EI156,Horarios!$H:$I,2,0),"")</f>
        <v/>
      </c>
      <c r="EL156" s="28" t="str">
        <f>IFERROR(VLOOKUP(EJ156,Horarios!$H:$I,2,0),"")</f>
        <v/>
      </c>
      <c r="EM156" s="28" t="str">
        <f t="shared" si="121"/>
        <v>00:00</v>
      </c>
      <c r="EN156" s="29"/>
      <c r="EO156" s="27"/>
      <c r="EP156" s="27"/>
      <c r="EQ156" s="28" t="str">
        <f>IFERROR(VLOOKUP(EO156,Horarios!$H:$I,2,0),"")</f>
        <v/>
      </c>
      <c r="ER156" s="28" t="str">
        <f>IFERROR(VLOOKUP(EP156,Horarios!$H:$I,2,0),"")</f>
        <v/>
      </c>
      <c r="ES156" s="28" t="str">
        <f t="shared" si="122"/>
        <v>00:00</v>
      </c>
      <c r="ET156" s="29"/>
      <c r="EU156" s="27"/>
      <c r="EV156" s="27"/>
      <c r="EW156" s="28" t="str">
        <f>IFERROR(VLOOKUP(EU156,Horarios!$H:$I,2,0),"")</f>
        <v/>
      </c>
      <c r="EX156" s="28" t="str">
        <f>IFERROR(VLOOKUP(EV156,Horarios!$H:$I,2,0),"")</f>
        <v/>
      </c>
      <c r="EY156" s="28" t="str">
        <f t="shared" si="123"/>
        <v>00:00</v>
      </c>
      <c r="EZ156" s="29"/>
      <c r="FA156" s="27"/>
      <c r="FB156" s="27"/>
      <c r="FC156" s="28" t="str">
        <f>IFERROR(VLOOKUP(FA156,Horarios!$H:$I,2,0),"")</f>
        <v/>
      </c>
      <c r="FD156" s="28" t="str">
        <f>IFERROR(VLOOKUP(FB156,Horarios!$H:$I,2,0),"")</f>
        <v/>
      </c>
      <c r="FE156" s="28" t="str">
        <f t="shared" si="124"/>
        <v>00:00</v>
      </c>
      <c r="FF156" s="29"/>
      <c r="FG156" s="27"/>
      <c r="FH156" s="27"/>
      <c r="FI156" s="28" t="str">
        <f>IFERROR(VLOOKUP(FG156,Horarios!$H:$I,2,0),"")</f>
        <v/>
      </c>
      <c r="FJ156" s="28" t="str">
        <f>IFERROR(VLOOKUP(FH156,Horarios!$H:$I,2,0),"")</f>
        <v/>
      </c>
      <c r="FK156" s="28" t="str">
        <f t="shared" si="125"/>
        <v>00:00</v>
      </c>
      <c r="FL156" s="29"/>
      <c r="FM156" s="27"/>
      <c r="FN156" s="27"/>
      <c r="FO156" s="28" t="str">
        <f>IFERROR(VLOOKUP(FM156,Horarios!$H:$I,2,0),"")</f>
        <v/>
      </c>
      <c r="FP156" s="28" t="str">
        <f>IFERROR(VLOOKUP(FN156,Horarios!$H:$I,2,0),"")</f>
        <v/>
      </c>
      <c r="FQ156" s="28" t="str">
        <f t="shared" si="126"/>
        <v>00:00</v>
      </c>
      <c r="FR156" s="29"/>
      <c r="FS156" s="31" t="str">
        <f t="shared" si="127"/>
        <v/>
      </c>
      <c r="FT156" s="27"/>
      <c r="FU156" s="27"/>
      <c r="FV156" s="28" t="str">
        <f>IFERROR(VLOOKUP(FT156,Horarios!$H:$I,2,0),"")</f>
        <v/>
      </c>
      <c r="FW156" s="28" t="str">
        <f>IFERROR(VLOOKUP(FU156,Horarios!$H:$I,2,0),"")</f>
        <v/>
      </c>
      <c r="FX156" s="28" t="str">
        <f t="shared" si="128"/>
        <v>00:00</v>
      </c>
      <c r="FY156" s="29"/>
      <c r="FZ156" s="27"/>
      <c r="GA156" s="27"/>
      <c r="GB156" s="28" t="str">
        <f>IFERROR(VLOOKUP(FZ156,Horarios!$H:$I,2,0),"")</f>
        <v/>
      </c>
      <c r="GC156" s="28" t="str">
        <f>IFERROR(VLOOKUP(GA156,Horarios!$H:$I,2,0),"")</f>
        <v/>
      </c>
      <c r="GD156" s="28" t="str">
        <f t="shared" si="129"/>
        <v>00:00</v>
      </c>
      <c r="GE156" s="29"/>
      <c r="GF156" s="27"/>
      <c r="GG156" s="27"/>
      <c r="GH156" s="28" t="str">
        <f>IFERROR(VLOOKUP(GF156,Horarios!$H:$I,2,0),"")</f>
        <v/>
      </c>
      <c r="GI156" s="28" t="str">
        <f>IFERROR(VLOOKUP(GG156,Horarios!$H:$I,2,0),"")</f>
        <v/>
      </c>
      <c r="GJ156" s="28" t="str">
        <f t="shared" si="130"/>
        <v>00:00</v>
      </c>
      <c r="GK156" s="29"/>
      <c r="GL156" s="27"/>
      <c r="GM156" s="27"/>
      <c r="GN156" s="28" t="str">
        <f>IFERROR(VLOOKUP(GL156,Horarios!$H:$I,2,0),"")</f>
        <v/>
      </c>
      <c r="GO156" s="28" t="str">
        <f>IFERROR(VLOOKUP(GM156,Horarios!$H:$I,2,0),"")</f>
        <v/>
      </c>
      <c r="GP156" s="28" t="str">
        <f t="shared" si="131"/>
        <v>00:00</v>
      </c>
      <c r="GQ156" s="29"/>
      <c r="GR156" s="27"/>
      <c r="GS156" s="27"/>
      <c r="GT156" s="28" t="str">
        <f>IFERROR(VLOOKUP(GR156,Horarios!$H:$I,2,0),"")</f>
        <v/>
      </c>
      <c r="GU156" s="28" t="str">
        <f>IFERROR(VLOOKUP(GS156,Horarios!$H:$I,2,0),"")</f>
        <v/>
      </c>
      <c r="GV156" s="28" t="str">
        <f t="shared" si="132"/>
        <v>00:00</v>
      </c>
      <c r="GW156" s="29"/>
      <c r="GX156" s="27"/>
      <c r="GY156" s="27"/>
      <c r="GZ156" s="28" t="str">
        <f>IFERROR(VLOOKUP(GX156,Horarios!$H:$I,2,0),"")</f>
        <v/>
      </c>
      <c r="HA156" s="28" t="str">
        <f>IFERROR(VLOOKUP(GY156,Horarios!$H:$I,2,0),"")</f>
        <v/>
      </c>
      <c r="HB156" s="28" t="str">
        <f t="shared" si="133"/>
        <v>00:00</v>
      </c>
      <c r="HC156" s="29"/>
      <c r="HD156" s="27"/>
      <c r="HE156" s="27"/>
      <c r="HF156" s="28" t="str">
        <f>IFERROR(VLOOKUP(HD156,Horarios!$H:$I,2,0),"")</f>
        <v/>
      </c>
      <c r="HG156" s="28" t="str">
        <f>IFERROR(VLOOKUP(HE156,Horarios!$H:$I,2,0),"")</f>
        <v/>
      </c>
      <c r="HH156" s="28" t="str">
        <f t="shared" si="134"/>
        <v>00:00</v>
      </c>
      <c r="HI156" s="29"/>
      <c r="HJ156" s="31" t="str">
        <f t="shared" si="135"/>
        <v/>
      </c>
      <c r="HK156" s="27"/>
      <c r="HL156" s="27"/>
      <c r="HM156" s="28" t="str">
        <f>IFERROR(VLOOKUP(HK156,Horarios!$H:$I,2,0),"")</f>
        <v/>
      </c>
      <c r="HN156" s="28" t="str">
        <f>IFERROR(VLOOKUP(HL156,Horarios!$H:$I,2,0),"")</f>
        <v/>
      </c>
      <c r="HO156" s="28" t="str">
        <f t="shared" si="136"/>
        <v>00:00</v>
      </c>
      <c r="HP156" s="29"/>
      <c r="HQ156" s="27"/>
      <c r="HR156" s="27"/>
      <c r="HS156" s="28" t="str">
        <f>IFERROR(VLOOKUP(HQ156,Horarios!$H:$I,2,0),"")</f>
        <v/>
      </c>
      <c r="HT156" s="28" t="str">
        <f>IFERROR(VLOOKUP(HR156,Horarios!$H:$I,2,0),"")</f>
        <v/>
      </c>
      <c r="HU156" s="28" t="str">
        <f t="shared" si="137"/>
        <v>00:00</v>
      </c>
      <c r="HV156" s="29"/>
      <c r="HW156" s="27"/>
      <c r="HX156" s="27"/>
      <c r="HY156" s="28" t="str">
        <f>IFERROR(VLOOKUP(HW156,Horarios!$H:$I,2,0),"")</f>
        <v/>
      </c>
      <c r="HZ156" s="28" t="str">
        <f>IFERROR(VLOOKUP(HX156,Horarios!$H:$I,2,0),"")</f>
        <v/>
      </c>
      <c r="IA156" s="28" t="str">
        <f t="shared" si="138"/>
        <v>00:00</v>
      </c>
      <c r="IB156" s="29"/>
      <c r="IC156" s="27"/>
      <c r="ID156" s="27"/>
      <c r="IE156" s="28" t="str">
        <f>IFERROR(VLOOKUP(IC156,Horarios!$H:$I,2,0),"")</f>
        <v/>
      </c>
      <c r="IF156" s="28" t="str">
        <f>IFERROR(VLOOKUP(ID156,Horarios!$H:$I,2,0),"")</f>
        <v/>
      </c>
      <c r="IG156" s="28" t="str">
        <f t="shared" si="139"/>
        <v>00:00</v>
      </c>
      <c r="IH156" s="29"/>
      <c r="II156" s="27"/>
      <c r="IJ156" s="27"/>
      <c r="IK156" s="28" t="str">
        <f>IFERROR(VLOOKUP(II156,Horarios!$H:$I,2,0),"")</f>
        <v/>
      </c>
      <c r="IL156" s="28" t="str">
        <f>IFERROR(VLOOKUP(IJ156,Horarios!$H:$I,2,0),"")</f>
        <v/>
      </c>
      <c r="IM156" s="28" t="str">
        <f t="shared" si="140"/>
        <v>00:00</v>
      </c>
      <c r="IN156" s="29"/>
      <c r="IO156" s="27"/>
      <c r="IP156" s="27"/>
      <c r="IQ156" s="28" t="str">
        <f>IFERROR(VLOOKUP(IO156,Horarios!$H:$I,2,0),"")</f>
        <v/>
      </c>
      <c r="IR156" s="28" t="str">
        <f>IFERROR(VLOOKUP(IP156,Horarios!$H:$I,2,0),"")</f>
        <v/>
      </c>
      <c r="IS156" s="28" t="str">
        <f t="shared" si="141"/>
        <v>00:00</v>
      </c>
      <c r="IT156" s="29"/>
      <c r="IU156" s="27"/>
      <c r="IV156" s="27"/>
      <c r="IW156" s="28" t="str">
        <f>IFERROR(VLOOKUP(IU156,Horarios!$H:$I,2,0),"")</f>
        <v/>
      </c>
      <c r="IX156" s="28" t="str">
        <f>IFERROR(VLOOKUP(IV156,Horarios!$H:$I,2,0),"")</f>
        <v/>
      </c>
      <c r="IY156" s="28" t="str">
        <f t="shared" si="142"/>
        <v>00:00</v>
      </c>
      <c r="IZ156" s="29"/>
      <c r="JA156" s="31" t="str">
        <f t="shared" si="143"/>
        <v/>
      </c>
    </row>
    <row r="157" spans="1:261" s="24" customFormat="1" ht="17.399999999999999" x14ac:dyDescent="0.25">
      <c r="A157" s="25"/>
      <c r="B157" s="26" t="str">
        <f>IFERROR(VLOOKUP(A157,BaseNombres!A:B,2,0),"")</f>
        <v/>
      </c>
      <c r="C157" s="26" t="str">
        <f>IFERROR(VLOOKUP(A157,BaseNombres!A:C,3,0),"")</f>
        <v/>
      </c>
      <c r="D157" s="27"/>
      <c r="E157" s="27"/>
      <c r="F157" s="28" t="str">
        <f>IFERROR(VLOOKUP(D157,Horarios!$H:$I,2,0),"")</f>
        <v/>
      </c>
      <c r="G157" s="28" t="str">
        <f>IFERROR(VLOOKUP(E157,Horarios!$H:$I,2,0),"")</f>
        <v/>
      </c>
      <c r="H157" s="28" t="str">
        <f t="shared" si="96"/>
        <v>00:00</v>
      </c>
      <c r="I157" s="29"/>
      <c r="J157" s="27"/>
      <c r="K157" s="27"/>
      <c r="L157" s="28" t="str">
        <f>IFERROR(VLOOKUP(J157,Horarios!$H:$I,2,0),"")</f>
        <v/>
      </c>
      <c r="M157" s="28" t="str">
        <f>IFERROR(VLOOKUP(K157,Horarios!$H:$I,2,0),"")</f>
        <v/>
      </c>
      <c r="N157" s="28" t="str">
        <f t="shared" si="97"/>
        <v>00:00</v>
      </c>
      <c r="O157" s="29"/>
      <c r="P157" s="27"/>
      <c r="Q157" s="27"/>
      <c r="R157" s="28" t="str">
        <f>IFERROR(VLOOKUP(P157,Horarios!$H:$I,2,0),"")</f>
        <v/>
      </c>
      <c r="S157" s="28" t="str">
        <f>IFERROR(VLOOKUP(Q157,Horarios!$H:$I,2,0),"")</f>
        <v/>
      </c>
      <c r="T157" s="28" t="str">
        <f t="shared" si="98"/>
        <v>00:00</v>
      </c>
      <c r="U157" s="29"/>
      <c r="V157" s="27"/>
      <c r="W157" s="27"/>
      <c r="X157" s="28" t="str">
        <f>IFERROR(VLOOKUP(V157,Horarios!$H:$I,2,0),"")</f>
        <v/>
      </c>
      <c r="Y157" s="28" t="str">
        <f>IFERROR(VLOOKUP(W157,Horarios!$H:$I,2,0),"")</f>
        <v/>
      </c>
      <c r="Z157" s="28" t="str">
        <f t="shared" si="99"/>
        <v>00:00</v>
      </c>
      <c r="AA157" s="29"/>
      <c r="AB157" s="27"/>
      <c r="AC157" s="27"/>
      <c r="AD157" s="28" t="str">
        <f>IFERROR(VLOOKUP(AB157,Horarios!$H:$I,2,0),"")</f>
        <v/>
      </c>
      <c r="AE157" s="28" t="str">
        <f>IFERROR(VLOOKUP(AC157,Horarios!$H:$I,2,0),"")</f>
        <v/>
      </c>
      <c r="AF157" s="28" t="str">
        <f t="shared" si="100"/>
        <v>00:00</v>
      </c>
      <c r="AG157" s="29"/>
      <c r="AH157" s="27"/>
      <c r="AI157" s="27"/>
      <c r="AJ157" s="28" t="str">
        <f>IFERROR(VLOOKUP(AH157,Horarios!$H:$I,2,0),"")</f>
        <v/>
      </c>
      <c r="AK157" s="28" t="str">
        <f>IFERROR(VLOOKUP(AI157,Horarios!$H:$I,2,0),"")</f>
        <v/>
      </c>
      <c r="AL157" s="28" t="str">
        <f t="shared" si="101"/>
        <v>00:00</v>
      </c>
      <c r="AM157" s="29"/>
      <c r="AN157" s="27"/>
      <c r="AO157" s="27"/>
      <c r="AP157" s="28" t="str">
        <f>IFERROR(VLOOKUP(AN157,Horarios!$H:$I,2,0),"")</f>
        <v/>
      </c>
      <c r="AQ157" s="28" t="str">
        <f>IFERROR(VLOOKUP(AO157,Horarios!$H:$I,2,0),"")</f>
        <v/>
      </c>
      <c r="AR157" s="28" t="str">
        <f t="shared" si="102"/>
        <v>00:00</v>
      </c>
      <c r="AS157" s="29"/>
      <c r="AT157" s="31" t="str">
        <f t="shared" si="103"/>
        <v/>
      </c>
      <c r="AU157" s="27"/>
      <c r="AV157" s="27"/>
      <c r="AW157" s="28" t="str">
        <f>IFERROR(VLOOKUP(AU157,Horarios!$H:$I,2,0),"")</f>
        <v/>
      </c>
      <c r="AX157" s="28" t="str">
        <f>IFERROR(VLOOKUP(AV157,Horarios!$H:$I,2,0),"")</f>
        <v/>
      </c>
      <c r="AY157" s="28" t="str">
        <f t="shared" si="104"/>
        <v>00:00</v>
      </c>
      <c r="AZ157" s="29"/>
      <c r="BA157" s="27"/>
      <c r="BB157" s="27"/>
      <c r="BC157" s="28" t="str">
        <f>IFERROR(VLOOKUP(BA157,Horarios!$H:$I,2,0),"")</f>
        <v/>
      </c>
      <c r="BD157" s="28" t="str">
        <f>IFERROR(VLOOKUP(BB157,Horarios!$H:$I,2,0),"")</f>
        <v/>
      </c>
      <c r="BE157" s="28" t="str">
        <f t="shared" si="105"/>
        <v>00:00</v>
      </c>
      <c r="BF157" s="29"/>
      <c r="BG157" s="27"/>
      <c r="BH157" s="27"/>
      <c r="BI157" s="28" t="str">
        <f>IFERROR(VLOOKUP(BG157,Horarios!$H:$I,2,0),"")</f>
        <v/>
      </c>
      <c r="BJ157" s="28" t="str">
        <f>IFERROR(VLOOKUP(BH157,Horarios!$H:$I,2,0),"")</f>
        <v/>
      </c>
      <c r="BK157" s="28" t="str">
        <f t="shared" si="106"/>
        <v>00:00</v>
      </c>
      <c r="BL157" s="29"/>
      <c r="BM157" s="27"/>
      <c r="BN157" s="27"/>
      <c r="BO157" s="28" t="str">
        <f>IFERROR(VLOOKUP(BM157,Horarios!$H:$I,2,0),"")</f>
        <v/>
      </c>
      <c r="BP157" s="28" t="str">
        <f>IFERROR(VLOOKUP(BN157,Horarios!$H:$I,2,0),"")</f>
        <v/>
      </c>
      <c r="BQ157" s="28" t="str">
        <f t="shared" si="107"/>
        <v>00:00</v>
      </c>
      <c r="BR157" s="29"/>
      <c r="BS157" s="27"/>
      <c r="BT157" s="27"/>
      <c r="BU157" s="28" t="str">
        <f>IFERROR(VLOOKUP(BS157,Horarios!$H:$I,2,0),"")</f>
        <v/>
      </c>
      <c r="BV157" s="28" t="str">
        <f>IFERROR(VLOOKUP(BT157,Horarios!$H:$I,2,0),"")</f>
        <v/>
      </c>
      <c r="BW157" s="28" t="str">
        <f t="shared" si="108"/>
        <v>00:00</v>
      </c>
      <c r="BX157" s="29"/>
      <c r="BY157" s="27"/>
      <c r="BZ157" s="27"/>
      <c r="CA157" s="28" t="str">
        <f>IFERROR(VLOOKUP(BY157,Horarios!$H:$I,2,0),"")</f>
        <v/>
      </c>
      <c r="CB157" s="28" t="str">
        <f>IFERROR(VLOOKUP(BZ157,Horarios!$H:$I,2,0),"")</f>
        <v/>
      </c>
      <c r="CC157" s="28" t="str">
        <f t="shared" si="109"/>
        <v>00:00</v>
      </c>
      <c r="CD157" s="29"/>
      <c r="CE157" s="27"/>
      <c r="CF157" s="27"/>
      <c r="CG157" s="28" t="str">
        <f>IFERROR(VLOOKUP(CE157,Horarios!$H:$I,2,0),"")</f>
        <v/>
      </c>
      <c r="CH157" s="28" t="str">
        <f>IFERROR(VLOOKUP(CF157,Horarios!$H:$I,2,0),"")</f>
        <v/>
      </c>
      <c r="CI157" s="28" t="str">
        <f t="shared" si="110"/>
        <v>00:00</v>
      </c>
      <c r="CJ157" s="29"/>
      <c r="CK157" s="31" t="str">
        <f t="shared" si="111"/>
        <v/>
      </c>
      <c r="CL157" s="27"/>
      <c r="CM157" s="27"/>
      <c r="CN157" s="28" t="str">
        <f>IFERROR(VLOOKUP(CL157,Horarios!$H:$I,2,0),"")</f>
        <v/>
      </c>
      <c r="CO157" s="28" t="str">
        <f>IFERROR(VLOOKUP(CM157,Horarios!$H:$I,2,0),"")</f>
        <v/>
      </c>
      <c r="CP157" s="28" t="str">
        <f t="shared" si="112"/>
        <v>00:00</v>
      </c>
      <c r="CQ157" s="29"/>
      <c r="CR157" s="27"/>
      <c r="CS157" s="27"/>
      <c r="CT157" s="28" t="str">
        <f>IFERROR(VLOOKUP(CR157,Horarios!$H:$I,2,0),"")</f>
        <v/>
      </c>
      <c r="CU157" s="28" t="str">
        <f>IFERROR(VLOOKUP(CS157,Horarios!$H:$I,2,0),"")</f>
        <v/>
      </c>
      <c r="CV157" s="28" t="str">
        <f t="shared" si="113"/>
        <v>00:00</v>
      </c>
      <c r="CW157" s="29"/>
      <c r="CX157" s="27"/>
      <c r="CY157" s="27"/>
      <c r="CZ157" s="28" t="str">
        <f>IFERROR(VLOOKUP(CX157,Horarios!$H:$I,2,0),"")</f>
        <v/>
      </c>
      <c r="DA157" s="28" t="str">
        <f>IFERROR(VLOOKUP(CY157,Horarios!$H:$I,2,0),"")</f>
        <v/>
      </c>
      <c r="DB157" s="28" t="str">
        <f t="shared" si="114"/>
        <v>00:00</v>
      </c>
      <c r="DC157" s="29"/>
      <c r="DD157" s="27"/>
      <c r="DE157" s="27"/>
      <c r="DF157" s="28" t="str">
        <f>IFERROR(VLOOKUP(DD157,Horarios!$H:$I,2,0),"")</f>
        <v/>
      </c>
      <c r="DG157" s="28" t="str">
        <f>IFERROR(VLOOKUP(DE157,Horarios!$H:$I,2,0),"")</f>
        <v/>
      </c>
      <c r="DH157" s="28" t="str">
        <f t="shared" si="115"/>
        <v>00:00</v>
      </c>
      <c r="DI157" s="29"/>
      <c r="DJ157" s="27"/>
      <c r="DK157" s="27"/>
      <c r="DL157" s="28" t="str">
        <f>IFERROR(VLOOKUP(DJ157,Horarios!$H:$I,2,0),"")</f>
        <v/>
      </c>
      <c r="DM157" s="28" t="str">
        <f>IFERROR(VLOOKUP(DK157,Horarios!$H:$I,2,0),"")</f>
        <v/>
      </c>
      <c r="DN157" s="28" t="str">
        <f t="shared" si="116"/>
        <v>00:00</v>
      </c>
      <c r="DO157" s="29"/>
      <c r="DP157" s="27"/>
      <c r="DQ157" s="27"/>
      <c r="DR157" s="28" t="str">
        <f>IFERROR(VLOOKUP(DP157,Horarios!$H:$I,2,0),"")</f>
        <v/>
      </c>
      <c r="DS157" s="28" t="str">
        <f>IFERROR(VLOOKUP(DQ157,Horarios!$H:$I,2,0),"")</f>
        <v/>
      </c>
      <c r="DT157" s="28" t="str">
        <f t="shared" si="117"/>
        <v>00:00</v>
      </c>
      <c r="DU157" s="29"/>
      <c r="DV157" s="27"/>
      <c r="DW157" s="27"/>
      <c r="DX157" s="28" t="str">
        <f>IFERROR(VLOOKUP(DV157,Horarios!$H:$I,2,0),"")</f>
        <v/>
      </c>
      <c r="DY157" s="28" t="str">
        <f>IFERROR(VLOOKUP(DW157,Horarios!$H:$I,2,0),"")</f>
        <v/>
      </c>
      <c r="DZ157" s="28" t="str">
        <f t="shared" si="118"/>
        <v>00:00</v>
      </c>
      <c r="EA157" s="29"/>
      <c r="EB157" s="31" t="str">
        <f t="shared" si="119"/>
        <v/>
      </c>
      <c r="EC157" s="27"/>
      <c r="ED157" s="27"/>
      <c r="EE157" s="28" t="str">
        <f>IFERROR(VLOOKUP(EC157,Horarios!$H:$I,2,0),"")</f>
        <v/>
      </c>
      <c r="EF157" s="28" t="str">
        <f>IFERROR(VLOOKUP(ED157,Horarios!$H:$I,2,0),"")</f>
        <v/>
      </c>
      <c r="EG157" s="28" t="str">
        <f t="shared" si="120"/>
        <v>00:00</v>
      </c>
      <c r="EH157" s="29"/>
      <c r="EI157" s="27"/>
      <c r="EJ157" s="27"/>
      <c r="EK157" s="28" t="str">
        <f>IFERROR(VLOOKUP(EI157,Horarios!$H:$I,2,0),"")</f>
        <v/>
      </c>
      <c r="EL157" s="28" t="str">
        <f>IFERROR(VLOOKUP(EJ157,Horarios!$H:$I,2,0),"")</f>
        <v/>
      </c>
      <c r="EM157" s="28" t="str">
        <f t="shared" si="121"/>
        <v>00:00</v>
      </c>
      <c r="EN157" s="29"/>
      <c r="EO157" s="27"/>
      <c r="EP157" s="27"/>
      <c r="EQ157" s="28" t="str">
        <f>IFERROR(VLOOKUP(EO157,Horarios!$H:$I,2,0),"")</f>
        <v/>
      </c>
      <c r="ER157" s="28" t="str">
        <f>IFERROR(VLOOKUP(EP157,Horarios!$H:$I,2,0),"")</f>
        <v/>
      </c>
      <c r="ES157" s="28" t="str">
        <f t="shared" si="122"/>
        <v>00:00</v>
      </c>
      <c r="ET157" s="29"/>
      <c r="EU157" s="27"/>
      <c r="EV157" s="27"/>
      <c r="EW157" s="28" t="str">
        <f>IFERROR(VLOOKUP(EU157,Horarios!$H:$I,2,0),"")</f>
        <v/>
      </c>
      <c r="EX157" s="28" t="str">
        <f>IFERROR(VLOOKUP(EV157,Horarios!$H:$I,2,0),"")</f>
        <v/>
      </c>
      <c r="EY157" s="28" t="str">
        <f t="shared" si="123"/>
        <v>00:00</v>
      </c>
      <c r="EZ157" s="29"/>
      <c r="FA157" s="27"/>
      <c r="FB157" s="27"/>
      <c r="FC157" s="28" t="str">
        <f>IFERROR(VLOOKUP(FA157,Horarios!$H:$I,2,0),"")</f>
        <v/>
      </c>
      <c r="FD157" s="28" t="str">
        <f>IFERROR(VLOOKUP(FB157,Horarios!$H:$I,2,0),"")</f>
        <v/>
      </c>
      <c r="FE157" s="28" t="str">
        <f t="shared" si="124"/>
        <v>00:00</v>
      </c>
      <c r="FF157" s="29"/>
      <c r="FG157" s="27"/>
      <c r="FH157" s="27"/>
      <c r="FI157" s="28" t="str">
        <f>IFERROR(VLOOKUP(FG157,Horarios!$H:$I,2,0),"")</f>
        <v/>
      </c>
      <c r="FJ157" s="28" t="str">
        <f>IFERROR(VLOOKUP(FH157,Horarios!$H:$I,2,0),"")</f>
        <v/>
      </c>
      <c r="FK157" s="28" t="str">
        <f t="shared" si="125"/>
        <v>00:00</v>
      </c>
      <c r="FL157" s="29"/>
      <c r="FM157" s="27"/>
      <c r="FN157" s="27"/>
      <c r="FO157" s="28" t="str">
        <f>IFERROR(VLOOKUP(FM157,Horarios!$H:$I,2,0),"")</f>
        <v/>
      </c>
      <c r="FP157" s="28" t="str">
        <f>IFERROR(VLOOKUP(FN157,Horarios!$H:$I,2,0),"")</f>
        <v/>
      </c>
      <c r="FQ157" s="28" t="str">
        <f t="shared" si="126"/>
        <v>00:00</v>
      </c>
      <c r="FR157" s="29"/>
      <c r="FS157" s="31" t="str">
        <f t="shared" si="127"/>
        <v/>
      </c>
      <c r="FT157" s="27"/>
      <c r="FU157" s="27"/>
      <c r="FV157" s="28" t="str">
        <f>IFERROR(VLOOKUP(FT157,Horarios!$H:$I,2,0),"")</f>
        <v/>
      </c>
      <c r="FW157" s="28" t="str">
        <f>IFERROR(VLOOKUP(FU157,Horarios!$H:$I,2,0),"")</f>
        <v/>
      </c>
      <c r="FX157" s="28" t="str">
        <f t="shared" si="128"/>
        <v>00:00</v>
      </c>
      <c r="FY157" s="29"/>
      <c r="FZ157" s="27"/>
      <c r="GA157" s="27"/>
      <c r="GB157" s="28" t="str">
        <f>IFERROR(VLOOKUP(FZ157,Horarios!$H:$I,2,0),"")</f>
        <v/>
      </c>
      <c r="GC157" s="28" t="str">
        <f>IFERROR(VLOOKUP(GA157,Horarios!$H:$I,2,0),"")</f>
        <v/>
      </c>
      <c r="GD157" s="28" t="str">
        <f t="shared" si="129"/>
        <v>00:00</v>
      </c>
      <c r="GE157" s="29"/>
      <c r="GF157" s="27"/>
      <c r="GG157" s="27"/>
      <c r="GH157" s="28" t="str">
        <f>IFERROR(VLOOKUP(GF157,Horarios!$H:$I,2,0),"")</f>
        <v/>
      </c>
      <c r="GI157" s="28" t="str">
        <f>IFERROR(VLOOKUP(GG157,Horarios!$H:$I,2,0),"")</f>
        <v/>
      </c>
      <c r="GJ157" s="28" t="str">
        <f t="shared" si="130"/>
        <v>00:00</v>
      </c>
      <c r="GK157" s="29"/>
      <c r="GL157" s="27"/>
      <c r="GM157" s="27"/>
      <c r="GN157" s="28" t="str">
        <f>IFERROR(VLOOKUP(GL157,Horarios!$H:$I,2,0),"")</f>
        <v/>
      </c>
      <c r="GO157" s="28" t="str">
        <f>IFERROR(VLOOKUP(GM157,Horarios!$H:$I,2,0),"")</f>
        <v/>
      </c>
      <c r="GP157" s="28" t="str">
        <f t="shared" si="131"/>
        <v>00:00</v>
      </c>
      <c r="GQ157" s="29"/>
      <c r="GR157" s="27"/>
      <c r="GS157" s="27"/>
      <c r="GT157" s="28" t="str">
        <f>IFERROR(VLOOKUP(GR157,Horarios!$H:$I,2,0),"")</f>
        <v/>
      </c>
      <c r="GU157" s="28" t="str">
        <f>IFERROR(VLOOKUP(GS157,Horarios!$H:$I,2,0),"")</f>
        <v/>
      </c>
      <c r="GV157" s="28" t="str">
        <f t="shared" si="132"/>
        <v>00:00</v>
      </c>
      <c r="GW157" s="29"/>
      <c r="GX157" s="27"/>
      <c r="GY157" s="27"/>
      <c r="GZ157" s="28" t="str">
        <f>IFERROR(VLOOKUP(GX157,Horarios!$H:$I,2,0),"")</f>
        <v/>
      </c>
      <c r="HA157" s="28" t="str">
        <f>IFERROR(VLOOKUP(GY157,Horarios!$H:$I,2,0),"")</f>
        <v/>
      </c>
      <c r="HB157" s="28" t="str">
        <f t="shared" si="133"/>
        <v>00:00</v>
      </c>
      <c r="HC157" s="29"/>
      <c r="HD157" s="27"/>
      <c r="HE157" s="27"/>
      <c r="HF157" s="28" t="str">
        <f>IFERROR(VLOOKUP(HD157,Horarios!$H:$I,2,0),"")</f>
        <v/>
      </c>
      <c r="HG157" s="28" t="str">
        <f>IFERROR(VLOOKUP(HE157,Horarios!$H:$I,2,0),"")</f>
        <v/>
      </c>
      <c r="HH157" s="28" t="str">
        <f t="shared" si="134"/>
        <v>00:00</v>
      </c>
      <c r="HI157" s="29"/>
      <c r="HJ157" s="31" t="str">
        <f t="shared" si="135"/>
        <v/>
      </c>
      <c r="HK157" s="27"/>
      <c r="HL157" s="27"/>
      <c r="HM157" s="28" t="str">
        <f>IFERROR(VLOOKUP(HK157,Horarios!$H:$I,2,0),"")</f>
        <v/>
      </c>
      <c r="HN157" s="28" t="str">
        <f>IFERROR(VLOOKUP(HL157,Horarios!$H:$I,2,0),"")</f>
        <v/>
      </c>
      <c r="HO157" s="28" t="str">
        <f t="shared" si="136"/>
        <v>00:00</v>
      </c>
      <c r="HP157" s="29"/>
      <c r="HQ157" s="27"/>
      <c r="HR157" s="27"/>
      <c r="HS157" s="28" t="str">
        <f>IFERROR(VLOOKUP(HQ157,Horarios!$H:$I,2,0),"")</f>
        <v/>
      </c>
      <c r="HT157" s="28" t="str">
        <f>IFERROR(VLOOKUP(HR157,Horarios!$H:$I,2,0),"")</f>
        <v/>
      </c>
      <c r="HU157" s="28" t="str">
        <f t="shared" si="137"/>
        <v>00:00</v>
      </c>
      <c r="HV157" s="29"/>
      <c r="HW157" s="27"/>
      <c r="HX157" s="27"/>
      <c r="HY157" s="28" t="str">
        <f>IFERROR(VLOOKUP(HW157,Horarios!$H:$I,2,0),"")</f>
        <v/>
      </c>
      <c r="HZ157" s="28" t="str">
        <f>IFERROR(VLOOKUP(HX157,Horarios!$H:$I,2,0),"")</f>
        <v/>
      </c>
      <c r="IA157" s="28" t="str">
        <f t="shared" si="138"/>
        <v>00:00</v>
      </c>
      <c r="IB157" s="29"/>
      <c r="IC157" s="27"/>
      <c r="ID157" s="27"/>
      <c r="IE157" s="28" t="str">
        <f>IFERROR(VLOOKUP(IC157,Horarios!$H:$I,2,0),"")</f>
        <v/>
      </c>
      <c r="IF157" s="28" t="str">
        <f>IFERROR(VLOOKUP(ID157,Horarios!$H:$I,2,0),"")</f>
        <v/>
      </c>
      <c r="IG157" s="28" t="str">
        <f t="shared" si="139"/>
        <v>00:00</v>
      </c>
      <c r="IH157" s="29"/>
      <c r="II157" s="27"/>
      <c r="IJ157" s="27"/>
      <c r="IK157" s="28" t="str">
        <f>IFERROR(VLOOKUP(II157,Horarios!$H:$I,2,0),"")</f>
        <v/>
      </c>
      <c r="IL157" s="28" t="str">
        <f>IFERROR(VLOOKUP(IJ157,Horarios!$H:$I,2,0),"")</f>
        <v/>
      </c>
      <c r="IM157" s="28" t="str">
        <f t="shared" si="140"/>
        <v>00:00</v>
      </c>
      <c r="IN157" s="29"/>
      <c r="IO157" s="27"/>
      <c r="IP157" s="27"/>
      <c r="IQ157" s="28" t="str">
        <f>IFERROR(VLOOKUP(IO157,Horarios!$H:$I,2,0),"")</f>
        <v/>
      </c>
      <c r="IR157" s="28" t="str">
        <f>IFERROR(VLOOKUP(IP157,Horarios!$H:$I,2,0),"")</f>
        <v/>
      </c>
      <c r="IS157" s="28" t="str">
        <f t="shared" si="141"/>
        <v>00:00</v>
      </c>
      <c r="IT157" s="29"/>
      <c r="IU157" s="27"/>
      <c r="IV157" s="27"/>
      <c r="IW157" s="28" t="str">
        <f>IFERROR(VLOOKUP(IU157,Horarios!$H:$I,2,0),"")</f>
        <v/>
      </c>
      <c r="IX157" s="28" t="str">
        <f>IFERROR(VLOOKUP(IV157,Horarios!$H:$I,2,0),"")</f>
        <v/>
      </c>
      <c r="IY157" s="28" t="str">
        <f t="shared" si="142"/>
        <v>00:00</v>
      </c>
      <c r="IZ157" s="29"/>
      <c r="JA157" s="31" t="str">
        <f t="shared" si="143"/>
        <v/>
      </c>
    </row>
    <row r="158" spans="1:261" s="24" customFormat="1" ht="17.399999999999999" x14ac:dyDescent="0.25">
      <c r="A158" s="25"/>
      <c r="B158" s="26" t="str">
        <f>IFERROR(VLOOKUP(A158,BaseNombres!A:B,2,0),"")</f>
        <v/>
      </c>
      <c r="C158" s="26" t="str">
        <f>IFERROR(VLOOKUP(A158,BaseNombres!A:C,3,0),"")</f>
        <v/>
      </c>
      <c r="D158" s="27"/>
      <c r="E158" s="27"/>
      <c r="F158" s="28" t="str">
        <f>IFERROR(VLOOKUP(D158,Horarios!$H:$I,2,0),"")</f>
        <v/>
      </c>
      <c r="G158" s="28" t="str">
        <f>IFERROR(VLOOKUP(E158,Horarios!$H:$I,2,0),"")</f>
        <v/>
      </c>
      <c r="H158" s="28" t="str">
        <f t="shared" si="96"/>
        <v>00:00</v>
      </c>
      <c r="I158" s="29"/>
      <c r="J158" s="27"/>
      <c r="K158" s="27"/>
      <c r="L158" s="28" t="str">
        <f>IFERROR(VLOOKUP(J158,Horarios!$H:$I,2,0),"")</f>
        <v/>
      </c>
      <c r="M158" s="28" t="str">
        <f>IFERROR(VLOOKUP(K158,Horarios!$H:$I,2,0),"")</f>
        <v/>
      </c>
      <c r="N158" s="28" t="str">
        <f t="shared" si="97"/>
        <v>00:00</v>
      </c>
      <c r="O158" s="29"/>
      <c r="P158" s="27"/>
      <c r="Q158" s="27"/>
      <c r="R158" s="28" t="str">
        <f>IFERROR(VLOOKUP(P158,Horarios!$H:$I,2,0),"")</f>
        <v/>
      </c>
      <c r="S158" s="28" t="str">
        <f>IFERROR(VLOOKUP(Q158,Horarios!$H:$I,2,0),"")</f>
        <v/>
      </c>
      <c r="T158" s="28" t="str">
        <f t="shared" si="98"/>
        <v>00:00</v>
      </c>
      <c r="U158" s="29"/>
      <c r="V158" s="27"/>
      <c r="W158" s="27"/>
      <c r="X158" s="28" t="str">
        <f>IFERROR(VLOOKUP(V158,Horarios!$H:$I,2,0),"")</f>
        <v/>
      </c>
      <c r="Y158" s="28" t="str">
        <f>IFERROR(VLOOKUP(W158,Horarios!$H:$I,2,0),"")</f>
        <v/>
      </c>
      <c r="Z158" s="28" t="str">
        <f t="shared" si="99"/>
        <v>00:00</v>
      </c>
      <c r="AA158" s="29"/>
      <c r="AB158" s="27"/>
      <c r="AC158" s="27"/>
      <c r="AD158" s="28" t="str">
        <f>IFERROR(VLOOKUP(AB158,Horarios!$H:$I,2,0),"")</f>
        <v/>
      </c>
      <c r="AE158" s="28" t="str">
        <f>IFERROR(VLOOKUP(AC158,Horarios!$H:$I,2,0),"")</f>
        <v/>
      </c>
      <c r="AF158" s="28" t="str">
        <f t="shared" si="100"/>
        <v>00:00</v>
      </c>
      <c r="AG158" s="29"/>
      <c r="AH158" s="27"/>
      <c r="AI158" s="27"/>
      <c r="AJ158" s="28" t="str">
        <f>IFERROR(VLOOKUP(AH158,Horarios!$H:$I,2,0),"")</f>
        <v/>
      </c>
      <c r="AK158" s="28" t="str">
        <f>IFERROR(VLOOKUP(AI158,Horarios!$H:$I,2,0),"")</f>
        <v/>
      </c>
      <c r="AL158" s="28" t="str">
        <f t="shared" si="101"/>
        <v>00:00</v>
      </c>
      <c r="AM158" s="29"/>
      <c r="AN158" s="27"/>
      <c r="AO158" s="27"/>
      <c r="AP158" s="28" t="str">
        <f>IFERROR(VLOOKUP(AN158,Horarios!$H:$I,2,0),"")</f>
        <v/>
      </c>
      <c r="AQ158" s="28" t="str">
        <f>IFERROR(VLOOKUP(AO158,Horarios!$H:$I,2,0),"")</f>
        <v/>
      </c>
      <c r="AR158" s="28" t="str">
        <f t="shared" si="102"/>
        <v>00:00</v>
      </c>
      <c r="AS158" s="29"/>
      <c r="AT158" s="31" t="str">
        <f t="shared" si="103"/>
        <v/>
      </c>
      <c r="AU158" s="27"/>
      <c r="AV158" s="27"/>
      <c r="AW158" s="28" t="str">
        <f>IFERROR(VLOOKUP(AU158,Horarios!$H:$I,2,0),"")</f>
        <v/>
      </c>
      <c r="AX158" s="28" t="str">
        <f>IFERROR(VLOOKUP(AV158,Horarios!$H:$I,2,0),"")</f>
        <v/>
      </c>
      <c r="AY158" s="28" t="str">
        <f t="shared" si="104"/>
        <v>00:00</v>
      </c>
      <c r="AZ158" s="29"/>
      <c r="BA158" s="27"/>
      <c r="BB158" s="27"/>
      <c r="BC158" s="28" t="str">
        <f>IFERROR(VLOOKUP(BA158,Horarios!$H:$I,2,0),"")</f>
        <v/>
      </c>
      <c r="BD158" s="28" t="str">
        <f>IFERROR(VLOOKUP(BB158,Horarios!$H:$I,2,0),"")</f>
        <v/>
      </c>
      <c r="BE158" s="28" t="str">
        <f t="shared" si="105"/>
        <v>00:00</v>
      </c>
      <c r="BF158" s="29"/>
      <c r="BG158" s="27"/>
      <c r="BH158" s="27"/>
      <c r="BI158" s="28" t="str">
        <f>IFERROR(VLOOKUP(BG158,Horarios!$H:$I,2,0),"")</f>
        <v/>
      </c>
      <c r="BJ158" s="28" t="str">
        <f>IFERROR(VLOOKUP(BH158,Horarios!$H:$I,2,0),"")</f>
        <v/>
      </c>
      <c r="BK158" s="28" t="str">
        <f t="shared" si="106"/>
        <v>00:00</v>
      </c>
      <c r="BL158" s="29"/>
      <c r="BM158" s="27"/>
      <c r="BN158" s="27"/>
      <c r="BO158" s="28" t="str">
        <f>IFERROR(VLOOKUP(BM158,Horarios!$H:$I,2,0),"")</f>
        <v/>
      </c>
      <c r="BP158" s="28" t="str">
        <f>IFERROR(VLOOKUP(BN158,Horarios!$H:$I,2,0),"")</f>
        <v/>
      </c>
      <c r="BQ158" s="28" t="str">
        <f t="shared" si="107"/>
        <v>00:00</v>
      </c>
      <c r="BR158" s="29"/>
      <c r="BS158" s="27"/>
      <c r="BT158" s="27"/>
      <c r="BU158" s="28" t="str">
        <f>IFERROR(VLOOKUP(BS158,Horarios!$H:$I,2,0),"")</f>
        <v/>
      </c>
      <c r="BV158" s="28" t="str">
        <f>IFERROR(VLOOKUP(BT158,Horarios!$H:$I,2,0),"")</f>
        <v/>
      </c>
      <c r="BW158" s="28" t="str">
        <f t="shared" si="108"/>
        <v>00:00</v>
      </c>
      <c r="BX158" s="29"/>
      <c r="BY158" s="27"/>
      <c r="BZ158" s="27"/>
      <c r="CA158" s="28" t="str">
        <f>IFERROR(VLOOKUP(BY158,Horarios!$H:$I,2,0),"")</f>
        <v/>
      </c>
      <c r="CB158" s="28" t="str">
        <f>IFERROR(VLOOKUP(BZ158,Horarios!$H:$I,2,0),"")</f>
        <v/>
      </c>
      <c r="CC158" s="28" t="str">
        <f t="shared" si="109"/>
        <v>00:00</v>
      </c>
      <c r="CD158" s="29"/>
      <c r="CE158" s="27"/>
      <c r="CF158" s="27"/>
      <c r="CG158" s="28" t="str">
        <f>IFERROR(VLOOKUP(CE158,Horarios!$H:$I,2,0),"")</f>
        <v/>
      </c>
      <c r="CH158" s="28" t="str">
        <f>IFERROR(VLOOKUP(CF158,Horarios!$H:$I,2,0),"")</f>
        <v/>
      </c>
      <c r="CI158" s="28" t="str">
        <f t="shared" si="110"/>
        <v>00:00</v>
      </c>
      <c r="CJ158" s="29"/>
      <c r="CK158" s="31" t="str">
        <f t="shared" si="111"/>
        <v/>
      </c>
      <c r="CL158" s="27"/>
      <c r="CM158" s="27"/>
      <c r="CN158" s="28" t="str">
        <f>IFERROR(VLOOKUP(CL158,Horarios!$H:$I,2,0),"")</f>
        <v/>
      </c>
      <c r="CO158" s="28" t="str">
        <f>IFERROR(VLOOKUP(CM158,Horarios!$H:$I,2,0),"")</f>
        <v/>
      </c>
      <c r="CP158" s="28" t="str">
        <f t="shared" si="112"/>
        <v>00:00</v>
      </c>
      <c r="CQ158" s="29"/>
      <c r="CR158" s="27"/>
      <c r="CS158" s="27"/>
      <c r="CT158" s="28" t="str">
        <f>IFERROR(VLOOKUP(CR158,Horarios!$H:$I,2,0),"")</f>
        <v/>
      </c>
      <c r="CU158" s="28" t="str">
        <f>IFERROR(VLOOKUP(CS158,Horarios!$H:$I,2,0),"")</f>
        <v/>
      </c>
      <c r="CV158" s="28" t="str">
        <f t="shared" si="113"/>
        <v>00:00</v>
      </c>
      <c r="CW158" s="29"/>
      <c r="CX158" s="27"/>
      <c r="CY158" s="27"/>
      <c r="CZ158" s="28" t="str">
        <f>IFERROR(VLOOKUP(CX158,Horarios!$H:$I,2,0),"")</f>
        <v/>
      </c>
      <c r="DA158" s="28" t="str">
        <f>IFERROR(VLOOKUP(CY158,Horarios!$H:$I,2,0),"")</f>
        <v/>
      </c>
      <c r="DB158" s="28" t="str">
        <f t="shared" si="114"/>
        <v>00:00</v>
      </c>
      <c r="DC158" s="29"/>
      <c r="DD158" s="27"/>
      <c r="DE158" s="27"/>
      <c r="DF158" s="28" t="str">
        <f>IFERROR(VLOOKUP(DD158,Horarios!$H:$I,2,0),"")</f>
        <v/>
      </c>
      <c r="DG158" s="28" t="str">
        <f>IFERROR(VLOOKUP(DE158,Horarios!$H:$I,2,0),"")</f>
        <v/>
      </c>
      <c r="DH158" s="28" t="str">
        <f t="shared" si="115"/>
        <v>00:00</v>
      </c>
      <c r="DI158" s="29"/>
      <c r="DJ158" s="27"/>
      <c r="DK158" s="27"/>
      <c r="DL158" s="28" t="str">
        <f>IFERROR(VLOOKUP(DJ158,Horarios!$H:$I,2,0),"")</f>
        <v/>
      </c>
      <c r="DM158" s="28" t="str">
        <f>IFERROR(VLOOKUP(DK158,Horarios!$H:$I,2,0),"")</f>
        <v/>
      </c>
      <c r="DN158" s="28" t="str">
        <f t="shared" si="116"/>
        <v>00:00</v>
      </c>
      <c r="DO158" s="29"/>
      <c r="DP158" s="27"/>
      <c r="DQ158" s="27"/>
      <c r="DR158" s="28" t="str">
        <f>IFERROR(VLOOKUP(DP158,Horarios!$H:$I,2,0),"")</f>
        <v/>
      </c>
      <c r="DS158" s="28" t="str">
        <f>IFERROR(VLOOKUP(DQ158,Horarios!$H:$I,2,0),"")</f>
        <v/>
      </c>
      <c r="DT158" s="28" t="str">
        <f t="shared" si="117"/>
        <v>00:00</v>
      </c>
      <c r="DU158" s="29"/>
      <c r="DV158" s="27"/>
      <c r="DW158" s="27"/>
      <c r="DX158" s="28" t="str">
        <f>IFERROR(VLOOKUP(DV158,Horarios!$H:$I,2,0),"")</f>
        <v/>
      </c>
      <c r="DY158" s="28" t="str">
        <f>IFERROR(VLOOKUP(DW158,Horarios!$H:$I,2,0),"")</f>
        <v/>
      </c>
      <c r="DZ158" s="28" t="str">
        <f t="shared" si="118"/>
        <v>00:00</v>
      </c>
      <c r="EA158" s="29"/>
      <c r="EB158" s="31" t="str">
        <f t="shared" si="119"/>
        <v/>
      </c>
      <c r="EC158" s="27"/>
      <c r="ED158" s="27"/>
      <c r="EE158" s="28" t="str">
        <f>IFERROR(VLOOKUP(EC158,Horarios!$H:$I,2,0),"")</f>
        <v/>
      </c>
      <c r="EF158" s="28" t="str">
        <f>IFERROR(VLOOKUP(ED158,Horarios!$H:$I,2,0),"")</f>
        <v/>
      </c>
      <c r="EG158" s="28" t="str">
        <f t="shared" si="120"/>
        <v>00:00</v>
      </c>
      <c r="EH158" s="29"/>
      <c r="EI158" s="27"/>
      <c r="EJ158" s="27"/>
      <c r="EK158" s="28" t="str">
        <f>IFERROR(VLOOKUP(EI158,Horarios!$H:$I,2,0),"")</f>
        <v/>
      </c>
      <c r="EL158" s="28" t="str">
        <f>IFERROR(VLOOKUP(EJ158,Horarios!$H:$I,2,0),"")</f>
        <v/>
      </c>
      <c r="EM158" s="28" t="str">
        <f t="shared" si="121"/>
        <v>00:00</v>
      </c>
      <c r="EN158" s="29"/>
      <c r="EO158" s="27"/>
      <c r="EP158" s="27"/>
      <c r="EQ158" s="28" t="str">
        <f>IFERROR(VLOOKUP(EO158,Horarios!$H:$I,2,0),"")</f>
        <v/>
      </c>
      <c r="ER158" s="28" t="str">
        <f>IFERROR(VLOOKUP(EP158,Horarios!$H:$I,2,0),"")</f>
        <v/>
      </c>
      <c r="ES158" s="28" t="str">
        <f t="shared" si="122"/>
        <v>00:00</v>
      </c>
      <c r="ET158" s="29"/>
      <c r="EU158" s="27"/>
      <c r="EV158" s="27"/>
      <c r="EW158" s="28" t="str">
        <f>IFERROR(VLOOKUP(EU158,Horarios!$H:$I,2,0),"")</f>
        <v/>
      </c>
      <c r="EX158" s="28" t="str">
        <f>IFERROR(VLOOKUP(EV158,Horarios!$H:$I,2,0),"")</f>
        <v/>
      </c>
      <c r="EY158" s="28" t="str">
        <f t="shared" si="123"/>
        <v>00:00</v>
      </c>
      <c r="EZ158" s="29"/>
      <c r="FA158" s="27"/>
      <c r="FB158" s="27"/>
      <c r="FC158" s="28" t="str">
        <f>IFERROR(VLOOKUP(FA158,Horarios!$H:$I,2,0),"")</f>
        <v/>
      </c>
      <c r="FD158" s="28" t="str">
        <f>IFERROR(VLOOKUP(FB158,Horarios!$H:$I,2,0),"")</f>
        <v/>
      </c>
      <c r="FE158" s="28" t="str">
        <f t="shared" si="124"/>
        <v>00:00</v>
      </c>
      <c r="FF158" s="29"/>
      <c r="FG158" s="27"/>
      <c r="FH158" s="27"/>
      <c r="FI158" s="28" t="str">
        <f>IFERROR(VLOOKUP(FG158,Horarios!$H:$I,2,0),"")</f>
        <v/>
      </c>
      <c r="FJ158" s="28" t="str">
        <f>IFERROR(VLOOKUP(FH158,Horarios!$H:$I,2,0),"")</f>
        <v/>
      </c>
      <c r="FK158" s="28" t="str">
        <f t="shared" si="125"/>
        <v>00:00</v>
      </c>
      <c r="FL158" s="29"/>
      <c r="FM158" s="27"/>
      <c r="FN158" s="27"/>
      <c r="FO158" s="28" t="str">
        <f>IFERROR(VLOOKUP(FM158,Horarios!$H:$I,2,0),"")</f>
        <v/>
      </c>
      <c r="FP158" s="28" t="str">
        <f>IFERROR(VLOOKUP(FN158,Horarios!$H:$I,2,0),"")</f>
        <v/>
      </c>
      <c r="FQ158" s="28" t="str">
        <f t="shared" si="126"/>
        <v>00:00</v>
      </c>
      <c r="FR158" s="29"/>
      <c r="FS158" s="31" t="str">
        <f t="shared" si="127"/>
        <v/>
      </c>
      <c r="FT158" s="27"/>
      <c r="FU158" s="27"/>
      <c r="FV158" s="28" t="str">
        <f>IFERROR(VLOOKUP(FT158,Horarios!$H:$I,2,0),"")</f>
        <v/>
      </c>
      <c r="FW158" s="28" t="str">
        <f>IFERROR(VLOOKUP(FU158,Horarios!$H:$I,2,0),"")</f>
        <v/>
      </c>
      <c r="FX158" s="28" t="str">
        <f t="shared" si="128"/>
        <v>00:00</v>
      </c>
      <c r="FY158" s="29"/>
      <c r="FZ158" s="27"/>
      <c r="GA158" s="27"/>
      <c r="GB158" s="28" t="str">
        <f>IFERROR(VLOOKUP(FZ158,Horarios!$H:$I,2,0),"")</f>
        <v/>
      </c>
      <c r="GC158" s="28" t="str">
        <f>IFERROR(VLOOKUP(GA158,Horarios!$H:$I,2,0),"")</f>
        <v/>
      </c>
      <c r="GD158" s="28" t="str">
        <f t="shared" si="129"/>
        <v>00:00</v>
      </c>
      <c r="GE158" s="29"/>
      <c r="GF158" s="27"/>
      <c r="GG158" s="27"/>
      <c r="GH158" s="28" t="str">
        <f>IFERROR(VLOOKUP(GF158,Horarios!$H:$I,2,0),"")</f>
        <v/>
      </c>
      <c r="GI158" s="28" t="str">
        <f>IFERROR(VLOOKUP(GG158,Horarios!$H:$I,2,0),"")</f>
        <v/>
      </c>
      <c r="GJ158" s="28" t="str">
        <f t="shared" si="130"/>
        <v>00:00</v>
      </c>
      <c r="GK158" s="29"/>
      <c r="GL158" s="27"/>
      <c r="GM158" s="27"/>
      <c r="GN158" s="28" t="str">
        <f>IFERROR(VLOOKUP(GL158,Horarios!$H:$I,2,0),"")</f>
        <v/>
      </c>
      <c r="GO158" s="28" t="str">
        <f>IFERROR(VLOOKUP(GM158,Horarios!$H:$I,2,0),"")</f>
        <v/>
      </c>
      <c r="GP158" s="28" t="str">
        <f t="shared" si="131"/>
        <v>00:00</v>
      </c>
      <c r="GQ158" s="29"/>
      <c r="GR158" s="27"/>
      <c r="GS158" s="27"/>
      <c r="GT158" s="28" t="str">
        <f>IFERROR(VLOOKUP(GR158,Horarios!$H:$I,2,0),"")</f>
        <v/>
      </c>
      <c r="GU158" s="28" t="str">
        <f>IFERROR(VLOOKUP(GS158,Horarios!$H:$I,2,0),"")</f>
        <v/>
      </c>
      <c r="GV158" s="28" t="str">
        <f t="shared" si="132"/>
        <v>00:00</v>
      </c>
      <c r="GW158" s="29"/>
      <c r="GX158" s="27"/>
      <c r="GY158" s="27"/>
      <c r="GZ158" s="28" t="str">
        <f>IFERROR(VLOOKUP(GX158,Horarios!$H:$I,2,0),"")</f>
        <v/>
      </c>
      <c r="HA158" s="28" t="str">
        <f>IFERROR(VLOOKUP(GY158,Horarios!$H:$I,2,0),"")</f>
        <v/>
      </c>
      <c r="HB158" s="28" t="str">
        <f t="shared" si="133"/>
        <v>00:00</v>
      </c>
      <c r="HC158" s="29"/>
      <c r="HD158" s="27"/>
      <c r="HE158" s="27"/>
      <c r="HF158" s="28" t="str">
        <f>IFERROR(VLOOKUP(HD158,Horarios!$H:$I,2,0),"")</f>
        <v/>
      </c>
      <c r="HG158" s="28" t="str">
        <f>IFERROR(VLOOKUP(HE158,Horarios!$H:$I,2,0),"")</f>
        <v/>
      </c>
      <c r="HH158" s="28" t="str">
        <f t="shared" si="134"/>
        <v>00:00</v>
      </c>
      <c r="HI158" s="29"/>
      <c r="HJ158" s="31" t="str">
        <f t="shared" si="135"/>
        <v/>
      </c>
      <c r="HK158" s="27"/>
      <c r="HL158" s="27"/>
      <c r="HM158" s="28" t="str">
        <f>IFERROR(VLOOKUP(HK158,Horarios!$H:$I,2,0),"")</f>
        <v/>
      </c>
      <c r="HN158" s="28" t="str">
        <f>IFERROR(VLOOKUP(HL158,Horarios!$H:$I,2,0),"")</f>
        <v/>
      </c>
      <c r="HO158" s="28" t="str">
        <f t="shared" si="136"/>
        <v>00:00</v>
      </c>
      <c r="HP158" s="29"/>
      <c r="HQ158" s="27"/>
      <c r="HR158" s="27"/>
      <c r="HS158" s="28" t="str">
        <f>IFERROR(VLOOKUP(HQ158,Horarios!$H:$I,2,0),"")</f>
        <v/>
      </c>
      <c r="HT158" s="28" t="str">
        <f>IFERROR(VLOOKUP(HR158,Horarios!$H:$I,2,0),"")</f>
        <v/>
      </c>
      <c r="HU158" s="28" t="str">
        <f t="shared" si="137"/>
        <v>00:00</v>
      </c>
      <c r="HV158" s="29"/>
      <c r="HW158" s="27"/>
      <c r="HX158" s="27"/>
      <c r="HY158" s="28" t="str">
        <f>IFERROR(VLOOKUP(HW158,Horarios!$H:$I,2,0),"")</f>
        <v/>
      </c>
      <c r="HZ158" s="28" t="str">
        <f>IFERROR(VLOOKUP(HX158,Horarios!$H:$I,2,0),"")</f>
        <v/>
      </c>
      <c r="IA158" s="28" t="str">
        <f t="shared" si="138"/>
        <v>00:00</v>
      </c>
      <c r="IB158" s="29"/>
      <c r="IC158" s="27"/>
      <c r="ID158" s="27"/>
      <c r="IE158" s="28" t="str">
        <f>IFERROR(VLOOKUP(IC158,Horarios!$H:$I,2,0),"")</f>
        <v/>
      </c>
      <c r="IF158" s="28" t="str">
        <f>IFERROR(VLOOKUP(ID158,Horarios!$H:$I,2,0),"")</f>
        <v/>
      </c>
      <c r="IG158" s="28" t="str">
        <f t="shared" si="139"/>
        <v>00:00</v>
      </c>
      <c r="IH158" s="29"/>
      <c r="II158" s="27"/>
      <c r="IJ158" s="27"/>
      <c r="IK158" s="28" t="str">
        <f>IFERROR(VLOOKUP(II158,Horarios!$H:$I,2,0),"")</f>
        <v/>
      </c>
      <c r="IL158" s="28" t="str">
        <f>IFERROR(VLOOKUP(IJ158,Horarios!$H:$I,2,0),"")</f>
        <v/>
      </c>
      <c r="IM158" s="28" t="str">
        <f t="shared" si="140"/>
        <v>00:00</v>
      </c>
      <c r="IN158" s="29"/>
      <c r="IO158" s="27"/>
      <c r="IP158" s="27"/>
      <c r="IQ158" s="28" t="str">
        <f>IFERROR(VLOOKUP(IO158,Horarios!$H:$I,2,0),"")</f>
        <v/>
      </c>
      <c r="IR158" s="28" t="str">
        <f>IFERROR(VLOOKUP(IP158,Horarios!$H:$I,2,0),"")</f>
        <v/>
      </c>
      <c r="IS158" s="28" t="str">
        <f t="shared" si="141"/>
        <v>00:00</v>
      </c>
      <c r="IT158" s="29"/>
      <c r="IU158" s="27"/>
      <c r="IV158" s="27"/>
      <c r="IW158" s="28" t="str">
        <f>IFERROR(VLOOKUP(IU158,Horarios!$H:$I,2,0),"")</f>
        <v/>
      </c>
      <c r="IX158" s="28" t="str">
        <f>IFERROR(VLOOKUP(IV158,Horarios!$H:$I,2,0),"")</f>
        <v/>
      </c>
      <c r="IY158" s="28" t="str">
        <f t="shared" si="142"/>
        <v>00:00</v>
      </c>
      <c r="IZ158" s="29"/>
      <c r="JA158" s="31" t="str">
        <f t="shared" si="143"/>
        <v/>
      </c>
    </row>
    <row r="159" spans="1:261" s="24" customFormat="1" ht="17.399999999999999" x14ac:dyDescent="0.25">
      <c r="A159" s="25"/>
      <c r="B159" s="26" t="str">
        <f>IFERROR(VLOOKUP(A159,BaseNombres!A:B,2,0),"")</f>
        <v/>
      </c>
      <c r="C159" s="26" t="str">
        <f>IFERROR(VLOOKUP(A159,BaseNombres!A:C,3,0),"")</f>
        <v/>
      </c>
      <c r="D159" s="27"/>
      <c r="E159" s="27"/>
      <c r="F159" s="28" t="str">
        <f>IFERROR(VLOOKUP(D159,Horarios!$H:$I,2,0),"")</f>
        <v/>
      </c>
      <c r="G159" s="28" t="str">
        <f>IFERROR(VLOOKUP(E159,Horarios!$H:$I,2,0),"")</f>
        <v/>
      </c>
      <c r="H159" s="28" t="str">
        <f t="shared" si="96"/>
        <v>00:00</v>
      </c>
      <c r="I159" s="29"/>
      <c r="J159" s="27"/>
      <c r="K159" s="27"/>
      <c r="L159" s="28" t="str">
        <f>IFERROR(VLOOKUP(J159,Horarios!$H:$I,2,0),"")</f>
        <v/>
      </c>
      <c r="M159" s="28" t="str">
        <f>IFERROR(VLOOKUP(K159,Horarios!$H:$I,2,0),"")</f>
        <v/>
      </c>
      <c r="N159" s="28" t="str">
        <f t="shared" si="97"/>
        <v>00:00</v>
      </c>
      <c r="O159" s="29"/>
      <c r="P159" s="27"/>
      <c r="Q159" s="27"/>
      <c r="R159" s="28" t="str">
        <f>IFERROR(VLOOKUP(P159,Horarios!$H:$I,2,0),"")</f>
        <v/>
      </c>
      <c r="S159" s="28" t="str">
        <f>IFERROR(VLOOKUP(Q159,Horarios!$H:$I,2,0),"")</f>
        <v/>
      </c>
      <c r="T159" s="28" t="str">
        <f t="shared" si="98"/>
        <v>00:00</v>
      </c>
      <c r="U159" s="29"/>
      <c r="V159" s="27"/>
      <c r="W159" s="27"/>
      <c r="X159" s="28" t="str">
        <f>IFERROR(VLOOKUP(V159,Horarios!$H:$I,2,0),"")</f>
        <v/>
      </c>
      <c r="Y159" s="28" t="str">
        <f>IFERROR(VLOOKUP(W159,Horarios!$H:$I,2,0),"")</f>
        <v/>
      </c>
      <c r="Z159" s="28" t="str">
        <f t="shared" si="99"/>
        <v>00:00</v>
      </c>
      <c r="AA159" s="29"/>
      <c r="AB159" s="27"/>
      <c r="AC159" s="27"/>
      <c r="AD159" s="28" t="str">
        <f>IFERROR(VLOOKUP(AB159,Horarios!$H:$I,2,0),"")</f>
        <v/>
      </c>
      <c r="AE159" s="28" t="str">
        <f>IFERROR(VLOOKUP(AC159,Horarios!$H:$I,2,0),"")</f>
        <v/>
      </c>
      <c r="AF159" s="28" t="str">
        <f t="shared" si="100"/>
        <v>00:00</v>
      </c>
      <c r="AG159" s="29"/>
      <c r="AH159" s="27"/>
      <c r="AI159" s="27"/>
      <c r="AJ159" s="28" t="str">
        <f>IFERROR(VLOOKUP(AH159,Horarios!$H:$I,2,0),"")</f>
        <v/>
      </c>
      <c r="AK159" s="28" t="str">
        <f>IFERROR(VLOOKUP(AI159,Horarios!$H:$I,2,0),"")</f>
        <v/>
      </c>
      <c r="AL159" s="28" t="str">
        <f t="shared" si="101"/>
        <v>00:00</v>
      </c>
      <c r="AM159" s="29"/>
      <c r="AN159" s="27"/>
      <c r="AO159" s="27"/>
      <c r="AP159" s="28" t="str">
        <f>IFERROR(VLOOKUP(AN159,Horarios!$H:$I,2,0),"")</f>
        <v/>
      </c>
      <c r="AQ159" s="28" t="str">
        <f>IFERROR(VLOOKUP(AO159,Horarios!$H:$I,2,0),"")</f>
        <v/>
      </c>
      <c r="AR159" s="28" t="str">
        <f t="shared" si="102"/>
        <v>00:00</v>
      </c>
      <c r="AS159" s="29"/>
      <c r="AT159" s="31" t="str">
        <f t="shared" si="103"/>
        <v/>
      </c>
      <c r="AU159" s="27"/>
      <c r="AV159" s="27"/>
      <c r="AW159" s="28" t="str">
        <f>IFERROR(VLOOKUP(AU159,Horarios!$H:$I,2,0),"")</f>
        <v/>
      </c>
      <c r="AX159" s="28" t="str">
        <f>IFERROR(VLOOKUP(AV159,Horarios!$H:$I,2,0),"")</f>
        <v/>
      </c>
      <c r="AY159" s="28" t="str">
        <f t="shared" si="104"/>
        <v>00:00</v>
      </c>
      <c r="AZ159" s="29"/>
      <c r="BA159" s="27"/>
      <c r="BB159" s="27"/>
      <c r="BC159" s="28" t="str">
        <f>IFERROR(VLOOKUP(BA159,Horarios!$H:$I,2,0),"")</f>
        <v/>
      </c>
      <c r="BD159" s="28" t="str">
        <f>IFERROR(VLOOKUP(BB159,Horarios!$H:$I,2,0),"")</f>
        <v/>
      </c>
      <c r="BE159" s="28" t="str">
        <f t="shared" si="105"/>
        <v>00:00</v>
      </c>
      <c r="BF159" s="29"/>
      <c r="BG159" s="27"/>
      <c r="BH159" s="27"/>
      <c r="BI159" s="28" t="str">
        <f>IFERROR(VLOOKUP(BG159,Horarios!$H:$I,2,0),"")</f>
        <v/>
      </c>
      <c r="BJ159" s="28" t="str">
        <f>IFERROR(VLOOKUP(BH159,Horarios!$H:$I,2,0),"")</f>
        <v/>
      </c>
      <c r="BK159" s="28" t="str">
        <f t="shared" si="106"/>
        <v>00:00</v>
      </c>
      <c r="BL159" s="29"/>
      <c r="BM159" s="27"/>
      <c r="BN159" s="27"/>
      <c r="BO159" s="28" t="str">
        <f>IFERROR(VLOOKUP(BM159,Horarios!$H:$I,2,0),"")</f>
        <v/>
      </c>
      <c r="BP159" s="28" t="str">
        <f>IFERROR(VLOOKUP(BN159,Horarios!$H:$I,2,0),"")</f>
        <v/>
      </c>
      <c r="BQ159" s="28" t="str">
        <f t="shared" si="107"/>
        <v>00:00</v>
      </c>
      <c r="BR159" s="29"/>
      <c r="BS159" s="27"/>
      <c r="BT159" s="27"/>
      <c r="BU159" s="28" t="str">
        <f>IFERROR(VLOOKUP(BS159,Horarios!$H:$I,2,0),"")</f>
        <v/>
      </c>
      <c r="BV159" s="28" t="str">
        <f>IFERROR(VLOOKUP(BT159,Horarios!$H:$I,2,0),"")</f>
        <v/>
      </c>
      <c r="BW159" s="28" t="str">
        <f t="shared" si="108"/>
        <v>00:00</v>
      </c>
      <c r="BX159" s="29"/>
      <c r="BY159" s="27"/>
      <c r="BZ159" s="27"/>
      <c r="CA159" s="28" t="str">
        <f>IFERROR(VLOOKUP(BY159,Horarios!$H:$I,2,0),"")</f>
        <v/>
      </c>
      <c r="CB159" s="28" t="str">
        <f>IFERROR(VLOOKUP(BZ159,Horarios!$H:$I,2,0),"")</f>
        <v/>
      </c>
      <c r="CC159" s="28" t="str">
        <f t="shared" si="109"/>
        <v>00:00</v>
      </c>
      <c r="CD159" s="29"/>
      <c r="CE159" s="27"/>
      <c r="CF159" s="27"/>
      <c r="CG159" s="28" t="str">
        <f>IFERROR(VLOOKUP(CE159,Horarios!$H:$I,2,0),"")</f>
        <v/>
      </c>
      <c r="CH159" s="28" t="str">
        <f>IFERROR(VLOOKUP(CF159,Horarios!$H:$I,2,0),"")</f>
        <v/>
      </c>
      <c r="CI159" s="28" t="str">
        <f t="shared" si="110"/>
        <v>00:00</v>
      </c>
      <c r="CJ159" s="29"/>
      <c r="CK159" s="31" t="str">
        <f t="shared" si="111"/>
        <v/>
      </c>
      <c r="CL159" s="27"/>
      <c r="CM159" s="27"/>
      <c r="CN159" s="28" t="str">
        <f>IFERROR(VLOOKUP(CL159,Horarios!$H:$I,2,0),"")</f>
        <v/>
      </c>
      <c r="CO159" s="28" t="str">
        <f>IFERROR(VLOOKUP(CM159,Horarios!$H:$I,2,0),"")</f>
        <v/>
      </c>
      <c r="CP159" s="28" t="str">
        <f t="shared" si="112"/>
        <v>00:00</v>
      </c>
      <c r="CQ159" s="29"/>
      <c r="CR159" s="27"/>
      <c r="CS159" s="27"/>
      <c r="CT159" s="28" t="str">
        <f>IFERROR(VLOOKUP(CR159,Horarios!$H:$I,2,0),"")</f>
        <v/>
      </c>
      <c r="CU159" s="28" t="str">
        <f>IFERROR(VLOOKUP(CS159,Horarios!$H:$I,2,0),"")</f>
        <v/>
      </c>
      <c r="CV159" s="28" t="str">
        <f t="shared" si="113"/>
        <v>00:00</v>
      </c>
      <c r="CW159" s="29"/>
      <c r="CX159" s="27"/>
      <c r="CY159" s="27"/>
      <c r="CZ159" s="28" t="str">
        <f>IFERROR(VLOOKUP(CX159,Horarios!$H:$I,2,0),"")</f>
        <v/>
      </c>
      <c r="DA159" s="28" t="str">
        <f>IFERROR(VLOOKUP(CY159,Horarios!$H:$I,2,0),"")</f>
        <v/>
      </c>
      <c r="DB159" s="28" t="str">
        <f t="shared" si="114"/>
        <v>00:00</v>
      </c>
      <c r="DC159" s="29"/>
      <c r="DD159" s="27"/>
      <c r="DE159" s="27"/>
      <c r="DF159" s="28" t="str">
        <f>IFERROR(VLOOKUP(DD159,Horarios!$H:$I,2,0),"")</f>
        <v/>
      </c>
      <c r="DG159" s="28" t="str">
        <f>IFERROR(VLOOKUP(DE159,Horarios!$H:$I,2,0),"")</f>
        <v/>
      </c>
      <c r="DH159" s="28" t="str">
        <f t="shared" si="115"/>
        <v>00:00</v>
      </c>
      <c r="DI159" s="29"/>
      <c r="DJ159" s="27"/>
      <c r="DK159" s="27"/>
      <c r="DL159" s="28" t="str">
        <f>IFERROR(VLOOKUP(DJ159,Horarios!$H:$I,2,0),"")</f>
        <v/>
      </c>
      <c r="DM159" s="28" t="str">
        <f>IFERROR(VLOOKUP(DK159,Horarios!$H:$I,2,0),"")</f>
        <v/>
      </c>
      <c r="DN159" s="28" t="str">
        <f t="shared" si="116"/>
        <v>00:00</v>
      </c>
      <c r="DO159" s="29"/>
      <c r="DP159" s="27"/>
      <c r="DQ159" s="27"/>
      <c r="DR159" s="28" t="str">
        <f>IFERROR(VLOOKUP(DP159,Horarios!$H:$I,2,0),"")</f>
        <v/>
      </c>
      <c r="DS159" s="28" t="str">
        <f>IFERROR(VLOOKUP(DQ159,Horarios!$H:$I,2,0),"")</f>
        <v/>
      </c>
      <c r="DT159" s="28" t="str">
        <f t="shared" si="117"/>
        <v>00:00</v>
      </c>
      <c r="DU159" s="29"/>
      <c r="DV159" s="27"/>
      <c r="DW159" s="27"/>
      <c r="DX159" s="28" t="str">
        <f>IFERROR(VLOOKUP(DV159,Horarios!$H:$I,2,0),"")</f>
        <v/>
      </c>
      <c r="DY159" s="28" t="str">
        <f>IFERROR(VLOOKUP(DW159,Horarios!$H:$I,2,0),"")</f>
        <v/>
      </c>
      <c r="DZ159" s="28" t="str">
        <f t="shared" si="118"/>
        <v>00:00</v>
      </c>
      <c r="EA159" s="29"/>
      <c r="EB159" s="31" t="str">
        <f t="shared" si="119"/>
        <v/>
      </c>
      <c r="EC159" s="27"/>
      <c r="ED159" s="27"/>
      <c r="EE159" s="28" t="str">
        <f>IFERROR(VLOOKUP(EC159,Horarios!$H:$I,2,0),"")</f>
        <v/>
      </c>
      <c r="EF159" s="28" t="str">
        <f>IFERROR(VLOOKUP(ED159,Horarios!$H:$I,2,0),"")</f>
        <v/>
      </c>
      <c r="EG159" s="28" t="str">
        <f t="shared" si="120"/>
        <v>00:00</v>
      </c>
      <c r="EH159" s="29"/>
      <c r="EI159" s="27"/>
      <c r="EJ159" s="27"/>
      <c r="EK159" s="28" t="str">
        <f>IFERROR(VLOOKUP(EI159,Horarios!$H:$I,2,0),"")</f>
        <v/>
      </c>
      <c r="EL159" s="28" t="str">
        <f>IFERROR(VLOOKUP(EJ159,Horarios!$H:$I,2,0),"")</f>
        <v/>
      </c>
      <c r="EM159" s="28" t="str">
        <f t="shared" si="121"/>
        <v>00:00</v>
      </c>
      <c r="EN159" s="29"/>
      <c r="EO159" s="27"/>
      <c r="EP159" s="27"/>
      <c r="EQ159" s="28" t="str">
        <f>IFERROR(VLOOKUP(EO159,Horarios!$H:$I,2,0),"")</f>
        <v/>
      </c>
      <c r="ER159" s="28" t="str">
        <f>IFERROR(VLOOKUP(EP159,Horarios!$H:$I,2,0),"")</f>
        <v/>
      </c>
      <c r="ES159" s="28" t="str">
        <f t="shared" si="122"/>
        <v>00:00</v>
      </c>
      <c r="ET159" s="29"/>
      <c r="EU159" s="27"/>
      <c r="EV159" s="27"/>
      <c r="EW159" s="28" t="str">
        <f>IFERROR(VLOOKUP(EU159,Horarios!$H:$I,2,0),"")</f>
        <v/>
      </c>
      <c r="EX159" s="28" t="str">
        <f>IFERROR(VLOOKUP(EV159,Horarios!$H:$I,2,0),"")</f>
        <v/>
      </c>
      <c r="EY159" s="28" t="str">
        <f t="shared" si="123"/>
        <v>00:00</v>
      </c>
      <c r="EZ159" s="29"/>
      <c r="FA159" s="27"/>
      <c r="FB159" s="27"/>
      <c r="FC159" s="28" t="str">
        <f>IFERROR(VLOOKUP(FA159,Horarios!$H:$I,2,0),"")</f>
        <v/>
      </c>
      <c r="FD159" s="28" t="str">
        <f>IFERROR(VLOOKUP(FB159,Horarios!$H:$I,2,0),"")</f>
        <v/>
      </c>
      <c r="FE159" s="28" t="str">
        <f t="shared" si="124"/>
        <v>00:00</v>
      </c>
      <c r="FF159" s="29"/>
      <c r="FG159" s="27"/>
      <c r="FH159" s="27"/>
      <c r="FI159" s="28" t="str">
        <f>IFERROR(VLOOKUP(FG159,Horarios!$H:$I,2,0),"")</f>
        <v/>
      </c>
      <c r="FJ159" s="28" t="str">
        <f>IFERROR(VLOOKUP(FH159,Horarios!$H:$I,2,0),"")</f>
        <v/>
      </c>
      <c r="FK159" s="28" t="str">
        <f t="shared" si="125"/>
        <v>00:00</v>
      </c>
      <c r="FL159" s="29"/>
      <c r="FM159" s="27"/>
      <c r="FN159" s="27"/>
      <c r="FO159" s="28" t="str">
        <f>IFERROR(VLOOKUP(FM159,Horarios!$H:$I,2,0),"")</f>
        <v/>
      </c>
      <c r="FP159" s="28" t="str">
        <f>IFERROR(VLOOKUP(FN159,Horarios!$H:$I,2,0),"")</f>
        <v/>
      </c>
      <c r="FQ159" s="28" t="str">
        <f t="shared" si="126"/>
        <v>00:00</v>
      </c>
      <c r="FR159" s="29"/>
      <c r="FS159" s="31" t="str">
        <f t="shared" si="127"/>
        <v/>
      </c>
      <c r="FT159" s="27"/>
      <c r="FU159" s="27"/>
      <c r="FV159" s="28" t="str">
        <f>IFERROR(VLOOKUP(FT159,Horarios!$H:$I,2,0),"")</f>
        <v/>
      </c>
      <c r="FW159" s="28" t="str">
        <f>IFERROR(VLOOKUP(FU159,Horarios!$H:$I,2,0),"")</f>
        <v/>
      </c>
      <c r="FX159" s="28" t="str">
        <f t="shared" si="128"/>
        <v>00:00</v>
      </c>
      <c r="FY159" s="29"/>
      <c r="FZ159" s="27"/>
      <c r="GA159" s="27"/>
      <c r="GB159" s="28" t="str">
        <f>IFERROR(VLOOKUP(FZ159,Horarios!$H:$I,2,0),"")</f>
        <v/>
      </c>
      <c r="GC159" s="28" t="str">
        <f>IFERROR(VLOOKUP(GA159,Horarios!$H:$I,2,0),"")</f>
        <v/>
      </c>
      <c r="GD159" s="28" t="str">
        <f t="shared" si="129"/>
        <v>00:00</v>
      </c>
      <c r="GE159" s="29"/>
      <c r="GF159" s="27"/>
      <c r="GG159" s="27"/>
      <c r="GH159" s="28" t="str">
        <f>IFERROR(VLOOKUP(GF159,Horarios!$H:$I,2,0),"")</f>
        <v/>
      </c>
      <c r="GI159" s="28" t="str">
        <f>IFERROR(VLOOKUP(GG159,Horarios!$H:$I,2,0),"")</f>
        <v/>
      </c>
      <c r="GJ159" s="28" t="str">
        <f t="shared" si="130"/>
        <v>00:00</v>
      </c>
      <c r="GK159" s="29"/>
      <c r="GL159" s="27"/>
      <c r="GM159" s="27"/>
      <c r="GN159" s="28" t="str">
        <f>IFERROR(VLOOKUP(GL159,Horarios!$H:$I,2,0),"")</f>
        <v/>
      </c>
      <c r="GO159" s="28" t="str">
        <f>IFERROR(VLOOKUP(GM159,Horarios!$H:$I,2,0),"")</f>
        <v/>
      </c>
      <c r="GP159" s="28" t="str">
        <f t="shared" si="131"/>
        <v>00:00</v>
      </c>
      <c r="GQ159" s="29"/>
      <c r="GR159" s="27"/>
      <c r="GS159" s="27"/>
      <c r="GT159" s="28" t="str">
        <f>IFERROR(VLOOKUP(GR159,Horarios!$H:$I,2,0),"")</f>
        <v/>
      </c>
      <c r="GU159" s="28" t="str">
        <f>IFERROR(VLOOKUP(GS159,Horarios!$H:$I,2,0),"")</f>
        <v/>
      </c>
      <c r="GV159" s="28" t="str">
        <f t="shared" si="132"/>
        <v>00:00</v>
      </c>
      <c r="GW159" s="29"/>
      <c r="GX159" s="27"/>
      <c r="GY159" s="27"/>
      <c r="GZ159" s="28" t="str">
        <f>IFERROR(VLOOKUP(GX159,Horarios!$H:$I,2,0),"")</f>
        <v/>
      </c>
      <c r="HA159" s="28" t="str">
        <f>IFERROR(VLOOKUP(GY159,Horarios!$H:$I,2,0),"")</f>
        <v/>
      </c>
      <c r="HB159" s="28" t="str">
        <f t="shared" si="133"/>
        <v>00:00</v>
      </c>
      <c r="HC159" s="29"/>
      <c r="HD159" s="27"/>
      <c r="HE159" s="27"/>
      <c r="HF159" s="28" t="str">
        <f>IFERROR(VLOOKUP(HD159,Horarios!$H:$I,2,0),"")</f>
        <v/>
      </c>
      <c r="HG159" s="28" t="str">
        <f>IFERROR(VLOOKUP(HE159,Horarios!$H:$I,2,0),"")</f>
        <v/>
      </c>
      <c r="HH159" s="28" t="str">
        <f t="shared" si="134"/>
        <v>00:00</v>
      </c>
      <c r="HI159" s="29"/>
      <c r="HJ159" s="31" t="str">
        <f t="shared" si="135"/>
        <v/>
      </c>
      <c r="HK159" s="27"/>
      <c r="HL159" s="27"/>
      <c r="HM159" s="28" t="str">
        <f>IFERROR(VLOOKUP(HK159,Horarios!$H:$I,2,0),"")</f>
        <v/>
      </c>
      <c r="HN159" s="28" t="str">
        <f>IFERROR(VLOOKUP(HL159,Horarios!$H:$I,2,0),"")</f>
        <v/>
      </c>
      <c r="HO159" s="28" t="str">
        <f t="shared" si="136"/>
        <v>00:00</v>
      </c>
      <c r="HP159" s="29"/>
      <c r="HQ159" s="27"/>
      <c r="HR159" s="27"/>
      <c r="HS159" s="28" t="str">
        <f>IFERROR(VLOOKUP(HQ159,Horarios!$H:$I,2,0),"")</f>
        <v/>
      </c>
      <c r="HT159" s="28" t="str">
        <f>IFERROR(VLOOKUP(HR159,Horarios!$H:$I,2,0),"")</f>
        <v/>
      </c>
      <c r="HU159" s="28" t="str">
        <f t="shared" si="137"/>
        <v>00:00</v>
      </c>
      <c r="HV159" s="29"/>
      <c r="HW159" s="27"/>
      <c r="HX159" s="27"/>
      <c r="HY159" s="28" t="str">
        <f>IFERROR(VLOOKUP(HW159,Horarios!$H:$I,2,0),"")</f>
        <v/>
      </c>
      <c r="HZ159" s="28" t="str">
        <f>IFERROR(VLOOKUP(HX159,Horarios!$H:$I,2,0),"")</f>
        <v/>
      </c>
      <c r="IA159" s="28" t="str">
        <f t="shared" si="138"/>
        <v>00:00</v>
      </c>
      <c r="IB159" s="29"/>
      <c r="IC159" s="27"/>
      <c r="ID159" s="27"/>
      <c r="IE159" s="28" t="str">
        <f>IFERROR(VLOOKUP(IC159,Horarios!$H:$I,2,0),"")</f>
        <v/>
      </c>
      <c r="IF159" s="28" t="str">
        <f>IFERROR(VLOOKUP(ID159,Horarios!$H:$I,2,0),"")</f>
        <v/>
      </c>
      <c r="IG159" s="28" t="str">
        <f t="shared" si="139"/>
        <v>00:00</v>
      </c>
      <c r="IH159" s="29"/>
      <c r="II159" s="27"/>
      <c r="IJ159" s="27"/>
      <c r="IK159" s="28" t="str">
        <f>IFERROR(VLOOKUP(II159,Horarios!$H:$I,2,0),"")</f>
        <v/>
      </c>
      <c r="IL159" s="28" t="str">
        <f>IFERROR(VLOOKUP(IJ159,Horarios!$H:$I,2,0),"")</f>
        <v/>
      </c>
      <c r="IM159" s="28" t="str">
        <f t="shared" si="140"/>
        <v>00:00</v>
      </c>
      <c r="IN159" s="29"/>
      <c r="IO159" s="27"/>
      <c r="IP159" s="27"/>
      <c r="IQ159" s="28" t="str">
        <f>IFERROR(VLOOKUP(IO159,Horarios!$H:$I,2,0),"")</f>
        <v/>
      </c>
      <c r="IR159" s="28" t="str">
        <f>IFERROR(VLOOKUP(IP159,Horarios!$H:$I,2,0),"")</f>
        <v/>
      </c>
      <c r="IS159" s="28" t="str">
        <f t="shared" si="141"/>
        <v>00:00</v>
      </c>
      <c r="IT159" s="29"/>
      <c r="IU159" s="27"/>
      <c r="IV159" s="27"/>
      <c r="IW159" s="28" t="str">
        <f>IFERROR(VLOOKUP(IU159,Horarios!$H:$I,2,0),"")</f>
        <v/>
      </c>
      <c r="IX159" s="28" t="str">
        <f>IFERROR(VLOOKUP(IV159,Horarios!$H:$I,2,0),"")</f>
        <v/>
      </c>
      <c r="IY159" s="28" t="str">
        <f t="shared" si="142"/>
        <v>00:00</v>
      </c>
      <c r="IZ159" s="29"/>
      <c r="JA159" s="31" t="str">
        <f t="shared" si="143"/>
        <v/>
      </c>
    </row>
    <row r="160" spans="1:261" s="24" customFormat="1" ht="17.399999999999999" x14ac:dyDescent="0.25">
      <c r="A160" s="25"/>
      <c r="B160" s="26" t="str">
        <f>IFERROR(VLOOKUP(A160,BaseNombres!A:B,2,0),"")</f>
        <v/>
      </c>
      <c r="C160" s="26" t="str">
        <f>IFERROR(VLOOKUP(A160,BaseNombres!A:C,3,0),"")</f>
        <v/>
      </c>
      <c r="D160" s="27"/>
      <c r="E160" s="27"/>
      <c r="F160" s="28" t="str">
        <f>IFERROR(VLOOKUP(D160,Horarios!$H:$I,2,0),"")</f>
        <v/>
      </c>
      <c r="G160" s="28" t="str">
        <f>IFERROR(VLOOKUP(E160,Horarios!$H:$I,2,0),"")</f>
        <v/>
      </c>
      <c r="H160" s="28" t="str">
        <f t="shared" si="96"/>
        <v>00:00</v>
      </c>
      <c r="I160" s="29"/>
      <c r="J160" s="27"/>
      <c r="K160" s="27"/>
      <c r="L160" s="28" t="str">
        <f>IFERROR(VLOOKUP(J160,Horarios!$H:$I,2,0),"")</f>
        <v/>
      </c>
      <c r="M160" s="28" t="str">
        <f>IFERROR(VLOOKUP(K160,Horarios!$H:$I,2,0),"")</f>
        <v/>
      </c>
      <c r="N160" s="28" t="str">
        <f t="shared" si="97"/>
        <v>00:00</v>
      </c>
      <c r="O160" s="29"/>
      <c r="P160" s="27"/>
      <c r="Q160" s="27"/>
      <c r="R160" s="28" t="str">
        <f>IFERROR(VLOOKUP(P160,Horarios!$H:$I,2,0),"")</f>
        <v/>
      </c>
      <c r="S160" s="28" t="str">
        <f>IFERROR(VLOOKUP(Q160,Horarios!$H:$I,2,0),"")</f>
        <v/>
      </c>
      <c r="T160" s="28" t="str">
        <f t="shared" si="98"/>
        <v>00:00</v>
      </c>
      <c r="U160" s="29"/>
      <c r="V160" s="27"/>
      <c r="W160" s="27"/>
      <c r="X160" s="28" t="str">
        <f>IFERROR(VLOOKUP(V160,Horarios!$H:$I,2,0),"")</f>
        <v/>
      </c>
      <c r="Y160" s="28" t="str">
        <f>IFERROR(VLOOKUP(W160,Horarios!$H:$I,2,0),"")</f>
        <v/>
      </c>
      <c r="Z160" s="28" t="str">
        <f t="shared" si="99"/>
        <v>00:00</v>
      </c>
      <c r="AA160" s="29"/>
      <c r="AB160" s="27"/>
      <c r="AC160" s="27"/>
      <c r="AD160" s="28" t="str">
        <f>IFERROR(VLOOKUP(AB160,Horarios!$H:$I,2,0),"")</f>
        <v/>
      </c>
      <c r="AE160" s="28" t="str">
        <f>IFERROR(VLOOKUP(AC160,Horarios!$H:$I,2,0),"")</f>
        <v/>
      </c>
      <c r="AF160" s="28" t="str">
        <f t="shared" si="100"/>
        <v>00:00</v>
      </c>
      <c r="AG160" s="29"/>
      <c r="AH160" s="27"/>
      <c r="AI160" s="27"/>
      <c r="AJ160" s="28" t="str">
        <f>IFERROR(VLOOKUP(AH160,Horarios!$H:$I,2,0),"")</f>
        <v/>
      </c>
      <c r="AK160" s="28" t="str">
        <f>IFERROR(VLOOKUP(AI160,Horarios!$H:$I,2,0),"")</f>
        <v/>
      </c>
      <c r="AL160" s="28" t="str">
        <f t="shared" si="101"/>
        <v>00:00</v>
      </c>
      <c r="AM160" s="29"/>
      <c r="AN160" s="27"/>
      <c r="AO160" s="27"/>
      <c r="AP160" s="28" t="str">
        <f>IFERROR(VLOOKUP(AN160,Horarios!$H:$I,2,0),"")</f>
        <v/>
      </c>
      <c r="AQ160" s="28" t="str">
        <f>IFERROR(VLOOKUP(AO160,Horarios!$H:$I,2,0),"")</f>
        <v/>
      </c>
      <c r="AR160" s="28" t="str">
        <f t="shared" si="102"/>
        <v>00:00</v>
      </c>
      <c r="AS160" s="29"/>
      <c r="AT160" s="31" t="str">
        <f t="shared" si="103"/>
        <v/>
      </c>
      <c r="AU160" s="27"/>
      <c r="AV160" s="27"/>
      <c r="AW160" s="28" t="str">
        <f>IFERROR(VLOOKUP(AU160,Horarios!$H:$I,2,0),"")</f>
        <v/>
      </c>
      <c r="AX160" s="28" t="str">
        <f>IFERROR(VLOOKUP(AV160,Horarios!$H:$I,2,0),"")</f>
        <v/>
      </c>
      <c r="AY160" s="28" t="str">
        <f t="shared" si="104"/>
        <v>00:00</v>
      </c>
      <c r="AZ160" s="29"/>
      <c r="BA160" s="27"/>
      <c r="BB160" s="27"/>
      <c r="BC160" s="28" t="str">
        <f>IFERROR(VLOOKUP(BA160,Horarios!$H:$I,2,0),"")</f>
        <v/>
      </c>
      <c r="BD160" s="28" t="str">
        <f>IFERROR(VLOOKUP(BB160,Horarios!$H:$I,2,0),"")</f>
        <v/>
      </c>
      <c r="BE160" s="28" t="str">
        <f t="shared" si="105"/>
        <v>00:00</v>
      </c>
      <c r="BF160" s="29"/>
      <c r="BG160" s="27"/>
      <c r="BH160" s="27"/>
      <c r="BI160" s="28" t="str">
        <f>IFERROR(VLOOKUP(BG160,Horarios!$H:$I,2,0),"")</f>
        <v/>
      </c>
      <c r="BJ160" s="28" t="str">
        <f>IFERROR(VLOOKUP(BH160,Horarios!$H:$I,2,0),"")</f>
        <v/>
      </c>
      <c r="BK160" s="28" t="str">
        <f t="shared" si="106"/>
        <v>00:00</v>
      </c>
      <c r="BL160" s="29"/>
      <c r="BM160" s="27"/>
      <c r="BN160" s="27"/>
      <c r="BO160" s="28" t="str">
        <f>IFERROR(VLOOKUP(BM160,Horarios!$H:$I,2,0),"")</f>
        <v/>
      </c>
      <c r="BP160" s="28" t="str">
        <f>IFERROR(VLOOKUP(BN160,Horarios!$H:$I,2,0),"")</f>
        <v/>
      </c>
      <c r="BQ160" s="28" t="str">
        <f t="shared" si="107"/>
        <v>00:00</v>
      </c>
      <c r="BR160" s="29"/>
      <c r="BS160" s="27"/>
      <c r="BT160" s="27"/>
      <c r="BU160" s="28" t="str">
        <f>IFERROR(VLOOKUP(BS160,Horarios!$H:$I,2,0),"")</f>
        <v/>
      </c>
      <c r="BV160" s="28" t="str">
        <f>IFERROR(VLOOKUP(BT160,Horarios!$H:$I,2,0),"")</f>
        <v/>
      </c>
      <c r="BW160" s="28" t="str">
        <f t="shared" si="108"/>
        <v>00:00</v>
      </c>
      <c r="BX160" s="29"/>
      <c r="BY160" s="27"/>
      <c r="BZ160" s="27"/>
      <c r="CA160" s="28" t="str">
        <f>IFERROR(VLOOKUP(BY160,Horarios!$H:$I,2,0),"")</f>
        <v/>
      </c>
      <c r="CB160" s="28" t="str">
        <f>IFERROR(VLOOKUP(BZ160,Horarios!$H:$I,2,0),"")</f>
        <v/>
      </c>
      <c r="CC160" s="28" t="str">
        <f t="shared" si="109"/>
        <v>00:00</v>
      </c>
      <c r="CD160" s="29"/>
      <c r="CE160" s="27"/>
      <c r="CF160" s="27"/>
      <c r="CG160" s="28" t="str">
        <f>IFERROR(VLOOKUP(CE160,Horarios!$H:$I,2,0),"")</f>
        <v/>
      </c>
      <c r="CH160" s="28" t="str">
        <f>IFERROR(VLOOKUP(CF160,Horarios!$H:$I,2,0),"")</f>
        <v/>
      </c>
      <c r="CI160" s="28" t="str">
        <f t="shared" si="110"/>
        <v>00:00</v>
      </c>
      <c r="CJ160" s="29"/>
      <c r="CK160" s="31" t="str">
        <f t="shared" si="111"/>
        <v/>
      </c>
      <c r="CL160" s="27"/>
      <c r="CM160" s="27"/>
      <c r="CN160" s="28" t="str">
        <f>IFERROR(VLOOKUP(CL160,Horarios!$H:$I,2,0),"")</f>
        <v/>
      </c>
      <c r="CO160" s="28" t="str">
        <f>IFERROR(VLOOKUP(CM160,Horarios!$H:$I,2,0),"")</f>
        <v/>
      </c>
      <c r="CP160" s="28" t="str">
        <f t="shared" si="112"/>
        <v>00:00</v>
      </c>
      <c r="CQ160" s="29"/>
      <c r="CR160" s="27"/>
      <c r="CS160" s="27"/>
      <c r="CT160" s="28" t="str">
        <f>IFERROR(VLOOKUP(CR160,Horarios!$H:$I,2,0),"")</f>
        <v/>
      </c>
      <c r="CU160" s="28" t="str">
        <f>IFERROR(VLOOKUP(CS160,Horarios!$H:$I,2,0),"")</f>
        <v/>
      </c>
      <c r="CV160" s="28" t="str">
        <f t="shared" si="113"/>
        <v>00:00</v>
      </c>
      <c r="CW160" s="29"/>
      <c r="CX160" s="27"/>
      <c r="CY160" s="27"/>
      <c r="CZ160" s="28" t="str">
        <f>IFERROR(VLOOKUP(CX160,Horarios!$H:$I,2,0),"")</f>
        <v/>
      </c>
      <c r="DA160" s="28" t="str">
        <f>IFERROR(VLOOKUP(CY160,Horarios!$H:$I,2,0),"")</f>
        <v/>
      </c>
      <c r="DB160" s="28" t="str">
        <f t="shared" si="114"/>
        <v>00:00</v>
      </c>
      <c r="DC160" s="29"/>
      <c r="DD160" s="27"/>
      <c r="DE160" s="27"/>
      <c r="DF160" s="28" t="str">
        <f>IFERROR(VLOOKUP(DD160,Horarios!$H:$I,2,0),"")</f>
        <v/>
      </c>
      <c r="DG160" s="28" t="str">
        <f>IFERROR(VLOOKUP(DE160,Horarios!$H:$I,2,0),"")</f>
        <v/>
      </c>
      <c r="DH160" s="28" t="str">
        <f t="shared" si="115"/>
        <v>00:00</v>
      </c>
      <c r="DI160" s="29"/>
      <c r="DJ160" s="27"/>
      <c r="DK160" s="27"/>
      <c r="DL160" s="28" t="str">
        <f>IFERROR(VLOOKUP(DJ160,Horarios!$H:$I,2,0),"")</f>
        <v/>
      </c>
      <c r="DM160" s="28" t="str">
        <f>IFERROR(VLOOKUP(DK160,Horarios!$H:$I,2,0),"")</f>
        <v/>
      </c>
      <c r="DN160" s="28" t="str">
        <f t="shared" si="116"/>
        <v>00:00</v>
      </c>
      <c r="DO160" s="29"/>
      <c r="DP160" s="27"/>
      <c r="DQ160" s="27"/>
      <c r="DR160" s="28" t="str">
        <f>IFERROR(VLOOKUP(DP160,Horarios!$H:$I,2,0),"")</f>
        <v/>
      </c>
      <c r="DS160" s="28" t="str">
        <f>IFERROR(VLOOKUP(DQ160,Horarios!$H:$I,2,0),"")</f>
        <v/>
      </c>
      <c r="DT160" s="28" t="str">
        <f t="shared" si="117"/>
        <v>00:00</v>
      </c>
      <c r="DU160" s="29"/>
      <c r="DV160" s="27"/>
      <c r="DW160" s="27"/>
      <c r="DX160" s="28" t="str">
        <f>IFERROR(VLOOKUP(DV160,Horarios!$H:$I,2,0),"")</f>
        <v/>
      </c>
      <c r="DY160" s="28" t="str">
        <f>IFERROR(VLOOKUP(DW160,Horarios!$H:$I,2,0),"")</f>
        <v/>
      </c>
      <c r="DZ160" s="28" t="str">
        <f t="shared" si="118"/>
        <v>00:00</v>
      </c>
      <c r="EA160" s="29"/>
      <c r="EB160" s="31" t="str">
        <f t="shared" si="119"/>
        <v/>
      </c>
      <c r="EC160" s="27"/>
      <c r="ED160" s="27"/>
      <c r="EE160" s="28" t="str">
        <f>IFERROR(VLOOKUP(EC160,Horarios!$H:$I,2,0),"")</f>
        <v/>
      </c>
      <c r="EF160" s="28" t="str">
        <f>IFERROR(VLOOKUP(ED160,Horarios!$H:$I,2,0),"")</f>
        <v/>
      </c>
      <c r="EG160" s="28" t="str">
        <f t="shared" si="120"/>
        <v>00:00</v>
      </c>
      <c r="EH160" s="29"/>
      <c r="EI160" s="27"/>
      <c r="EJ160" s="27"/>
      <c r="EK160" s="28" t="str">
        <f>IFERROR(VLOOKUP(EI160,Horarios!$H:$I,2,0),"")</f>
        <v/>
      </c>
      <c r="EL160" s="28" t="str">
        <f>IFERROR(VLOOKUP(EJ160,Horarios!$H:$I,2,0),"")</f>
        <v/>
      </c>
      <c r="EM160" s="28" t="str">
        <f t="shared" si="121"/>
        <v>00:00</v>
      </c>
      <c r="EN160" s="29"/>
      <c r="EO160" s="27"/>
      <c r="EP160" s="27"/>
      <c r="EQ160" s="28" t="str">
        <f>IFERROR(VLOOKUP(EO160,Horarios!$H:$I,2,0),"")</f>
        <v/>
      </c>
      <c r="ER160" s="28" t="str">
        <f>IFERROR(VLOOKUP(EP160,Horarios!$H:$I,2,0),"")</f>
        <v/>
      </c>
      <c r="ES160" s="28" t="str">
        <f t="shared" si="122"/>
        <v>00:00</v>
      </c>
      <c r="ET160" s="29"/>
      <c r="EU160" s="27"/>
      <c r="EV160" s="27"/>
      <c r="EW160" s="28" t="str">
        <f>IFERROR(VLOOKUP(EU160,Horarios!$H:$I,2,0),"")</f>
        <v/>
      </c>
      <c r="EX160" s="28" t="str">
        <f>IFERROR(VLOOKUP(EV160,Horarios!$H:$I,2,0),"")</f>
        <v/>
      </c>
      <c r="EY160" s="28" t="str">
        <f t="shared" si="123"/>
        <v>00:00</v>
      </c>
      <c r="EZ160" s="29"/>
      <c r="FA160" s="27"/>
      <c r="FB160" s="27"/>
      <c r="FC160" s="28" t="str">
        <f>IFERROR(VLOOKUP(FA160,Horarios!$H:$I,2,0),"")</f>
        <v/>
      </c>
      <c r="FD160" s="28" t="str">
        <f>IFERROR(VLOOKUP(FB160,Horarios!$H:$I,2,0),"")</f>
        <v/>
      </c>
      <c r="FE160" s="28" t="str">
        <f t="shared" si="124"/>
        <v>00:00</v>
      </c>
      <c r="FF160" s="29"/>
      <c r="FG160" s="27"/>
      <c r="FH160" s="27"/>
      <c r="FI160" s="28" t="str">
        <f>IFERROR(VLOOKUP(FG160,Horarios!$H:$I,2,0),"")</f>
        <v/>
      </c>
      <c r="FJ160" s="28" t="str">
        <f>IFERROR(VLOOKUP(FH160,Horarios!$H:$I,2,0),"")</f>
        <v/>
      </c>
      <c r="FK160" s="28" t="str">
        <f t="shared" si="125"/>
        <v>00:00</v>
      </c>
      <c r="FL160" s="29"/>
      <c r="FM160" s="27"/>
      <c r="FN160" s="27"/>
      <c r="FO160" s="28" t="str">
        <f>IFERROR(VLOOKUP(FM160,Horarios!$H:$I,2,0),"")</f>
        <v/>
      </c>
      <c r="FP160" s="28" t="str">
        <f>IFERROR(VLOOKUP(FN160,Horarios!$H:$I,2,0),"")</f>
        <v/>
      </c>
      <c r="FQ160" s="28" t="str">
        <f t="shared" si="126"/>
        <v>00:00</v>
      </c>
      <c r="FR160" s="29"/>
      <c r="FS160" s="31" t="str">
        <f t="shared" si="127"/>
        <v/>
      </c>
      <c r="FT160" s="27"/>
      <c r="FU160" s="27"/>
      <c r="FV160" s="28" t="str">
        <f>IFERROR(VLOOKUP(FT160,Horarios!$H:$I,2,0),"")</f>
        <v/>
      </c>
      <c r="FW160" s="28" t="str">
        <f>IFERROR(VLOOKUP(FU160,Horarios!$H:$I,2,0),"")</f>
        <v/>
      </c>
      <c r="FX160" s="28" t="str">
        <f t="shared" si="128"/>
        <v>00:00</v>
      </c>
      <c r="FY160" s="29"/>
      <c r="FZ160" s="27"/>
      <c r="GA160" s="27"/>
      <c r="GB160" s="28" t="str">
        <f>IFERROR(VLOOKUP(FZ160,Horarios!$H:$I,2,0),"")</f>
        <v/>
      </c>
      <c r="GC160" s="28" t="str">
        <f>IFERROR(VLOOKUP(GA160,Horarios!$H:$I,2,0),"")</f>
        <v/>
      </c>
      <c r="GD160" s="28" t="str">
        <f t="shared" si="129"/>
        <v>00:00</v>
      </c>
      <c r="GE160" s="29"/>
      <c r="GF160" s="27"/>
      <c r="GG160" s="27"/>
      <c r="GH160" s="28" t="str">
        <f>IFERROR(VLOOKUP(GF160,Horarios!$H:$I,2,0),"")</f>
        <v/>
      </c>
      <c r="GI160" s="28" t="str">
        <f>IFERROR(VLOOKUP(GG160,Horarios!$H:$I,2,0),"")</f>
        <v/>
      </c>
      <c r="GJ160" s="28" t="str">
        <f t="shared" si="130"/>
        <v>00:00</v>
      </c>
      <c r="GK160" s="29"/>
      <c r="GL160" s="27"/>
      <c r="GM160" s="27"/>
      <c r="GN160" s="28" t="str">
        <f>IFERROR(VLOOKUP(GL160,Horarios!$H:$I,2,0),"")</f>
        <v/>
      </c>
      <c r="GO160" s="28" t="str">
        <f>IFERROR(VLOOKUP(GM160,Horarios!$H:$I,2,0),"")</f>
        <v/>
      </c>
      <c r="GP160" s="28" t="str">
        <f t="shared" si="131"/>
        <v>00:00</v>
      </c>
      <c r="GQ160" s="29"/>
      <c r="GR160" s="27"/>
      <c r="GS160" s="27"/>
      <c r="GT160" s="28" t="str">
        <f>IFERROR(VLOOKUP(GR160,Horarios!$H:$I,2,0),"")</f>
        <v/>
      </c>
      <c r="GU160" s="28" t="str">
        <f>IFERROR(VLOOKUP(GS160,Horarios!$H:$I,2,0),"")</f>
        <v/>
      </c>
      <c r="GV160" s="28" t="str">
        <f t="shared" si="132"/>
        <v>00:00</v>
      </c>
      <c r="GW160" s="29"/>
      <c r="GX160" s="27"/>
      <c r="GY160" s="27"/>
      <c r="GZ160" s="28" t="str">
        <f>IFERROR(VLOOKUP(GX160,Horarios!$H:$I,2,0),"")</f>
        <v/>
      </c>
      <c r="HA160" s="28" t="str">
        <f>IFERROR(VLOOKUP(GY160,Horarios!$H:$I,2,0),"")</f>
        <v/>
      </c>
      <c r="HB160" s="28" t="str">
        <f t="shared" si="133"/>
        <v>00:00</v>
      </c>
      <c r="HC160" s="29"/>
      <c r="HD160" s="27"/>
      <c r="HE160" s="27"/>
      <c r="HF160" s="28" t="str">
        <f>IFERROR(VLOOKUP(HD160,Horarios!$H:$I,2,0),"")</f>
        <v/>
      </c>
      <c r="HG160" s="28" t="str">
        <f>IFERROR(VLOOKUP(HE160,Horarios!$H:$I,2,0),"")</f>
        <v/>
      </c>
      <c r="HH160" s="28" t="str">
        <f t="shared" si="134"/>
        <v>00:00</v>
      </c>
      <c r="HI160" s="29"/>
      <c r="HJ160" s="31" t="str">
        <f t="shared" si="135"/>
        <v/>
      </c>
      <c r="HK160" s="27"/>
      <c r="HL160" s="27"/>
      <c r="HM160" s="28" t="str">
        <f>IFERROR(VLOOKUP(HK160,Horarios!$H:$I,2,0),"")</f>
        <v/>
      </c>
      <c r="HN160" s="28" t="str">
        <f>IFERROR(VLOOKUP(HL160,Horarios!$H:$I,2,0),"")</f>
        <v/>
      </c>
      <c r="HO160" s="28" t="str">
        <f t="shared" si="136"/>
        <v>00:00</v>
      </c>
      <c r="HP160" s="29"/>
      <c r="HQ160" s="27"/>
      <c r="HR160" s="27"/>
      <c r="HS160" s="28" t="str">
        <f>IFERROR(VLOOKUP(HQ160,Horarios!$H:$I,2,0),"")</f>
        <v/>
      </c>
      <c r="HT160" s="28" t="str">
        <f>IFERROR(VLOOKUP(HR160,Horarios!$H:$I,2,0),"")</f>
        <v/>
      </c>
      <c r="HU160" s="28" t="str">
        <f t="shared" si="137"/>
        <v>00:00</v>
      </c>
      <c r="HV160" s="29"/>
      <c r="HW160" s="27"/>
      <c r="HX160" s="27"/>
      <c r="HY160" s="28" t="str">
        <f>IFERROR(VLOOKUP(HW160,Horarios!$H:$I,2,0),"")</f>
        <v/>
      </c>
      <c r="HZ160" s="28" t="str">
        <f>IFERROR(VLOOKUP(HX160,Horarios!$H:$I,2,0),"")</f>
        <v/>
      </c>
      <c r="IA160" s="28" t="str">
        <f t="shared" si="138"/>
        <v>00:00</v>
      </c>
      <c r="IB160" s="29"/>
      <c r="IC160" s="27"/>
      <c r="ID160" s="27"/>
      <c r="IE160" s="28" t="str">
        <f>IFERROR(VLOOKUP(IC160,Horarios!$H:$I,2,0),"")</f>
        <v/>
      </c>
      <c r="IF160" s="28" t="str">
        <f>IFERROR(VLOOKUP(ID160,Horarios!$H:$I,2,0),"")</f>
        <v/>
      </c>
      <c r="IG160" s="28" t="str">
        <f t="shared" si="139"/>
        <v>00:00</v>
      </c>
      <c r="IH160" s="29"/>
      <c r="II160" s="27"/>
      <c r="IJ160" s="27"/>
      <c r="IK160" s="28" t="str">
        <f>IFERROR(VLOOKUP(II160,Horarios!$H:$I,2,0),"")</f>
        <v/>
      </c>
      <c r="IL160" s="28" t="str">
        <f>IFERROR(VLOOKUP(IJ160,Horarios!$H:$I,2,0),"")</f>
        <v/>
      </c>
      <c r="IM160" s="28" t="str">
        <f t="shared" si="140"/>
        <v>00:00</v>
      </c>
      <c r="IN160" s="29"/>
      <c r="IO160" s="27"/>
      <c r="IP160" s="27"/>
      <c r="IQ160" s="28" t="str">
        <f>IFERROR(VLOOKUP(IO160,Horarios!$H:$I,2,0),"")</f>
        <v/>
      </c>
      <c r="IR160" s="28" t="str">
        <f>IFERROR(VLOOKUP(IP160,Horarios!$H:$I,2,0),"")</f>
        <v/>
      </c>
      <c r="IS160" s="28" t="str">
        <f t="shared" si="141"/>
        <v>00:00</v>
      </c>
      <c r="IT160" s="29"/>
      <c r="IU160" s="27"/>
      <c r="IV160" s="27"/>
      <c r="IW160" s="28" t="str">
        <f>IFERROR(VLOOKUP(IU160,Horarios!$H:$I,2,0),"")</f>
        <v/>
      </c>
      <c r="IX160" s="28" t="str">
        <f>IFERROR(VLOOKUP(IV160,Horarios!$H:$I,2,0),"")</f>
        <v/>
      </c>
      <c r="IY160" s="28" t="str">
        <f t="shared" si="142"/>
        <v>00:00</v>
      </c>
      <c r="IZ160" s="29"/>
      <c r="JA160" s="31" t="str">
        <f t="shared" si="143"/>
        <v/>
      </c>
    </row>
    <row r="161" spans="1:261" s="24" customFormat="1" ht="17.399999999999999" x14ac:dyDescent="0.25">
      <c r="A161" s="25"/>
      <c r="B161" s="26" t="str">
        <f>IFERROR(VLOOKUP(A161,BaseNombres!A:B,2,0),"")</f>
        <v/>
      </c>
      <c r="C161" s="26" t="str">
        <f>IFERROR(VLOOKUP(A161,BaseNombres!A:C,3,0),"")</f>
        <v/>
      </c>
      <c r="D161" s="27"/>
      <c r="E161" s="27"/>
      <c r="F161" s="28" t="str">
        <f>IFERROR(VLOOKUP(D161,Horarios!$H:$I,2,0),"")</f>
        <v/>
      </c>
      <c r="G161" s="28" t="str">
        <f>IFERROR(VLOOKUP(E161,Horarios!$H:$I,2,0),"")</f>
        <v/>
      </c>
      <c r="H161" s="28" t="str">
        <f t="shared" si="96"/>
        <v>00:00</v>
      </c>
      <c r="I161" s="29"/>
      <c r="J161" s="27"/>
      <c r="K161" s="27"/>
      <c r="L161" s="28" t="str">
        <f>IFERROR(VLOOKUP(J161,Horarios!$H:$I,2,0),"")</f>
        <v/>
      </c>
      <c r="M161" s="28" t="str">
        <f>IFERROR(VLOOKUP(K161,Horarios!$H:$I,2,0),"")</f>
        <v/>
      </c>
      <c r="N161" s="28" t="str">
        <f t="shared" si="97"/>
        <v>00:00</v>
      </c>
      <c r="O161" s="29"/>
      <c r="P161" s="27"/>
      <c r="Q161" s="27"/>
      <c r="R161" s="28" t="str">
        <f>IFERROR(VLOOKUP(P161,Horarios!$H:$I,2,0),"")</f>
        <v/>
      </c>
      <c r="S161" s="28" t="str">
        <f>IFERROR(VLOOKUP(Q161,Horarios!$H:$I,2,0),"")</f>
        <v/>
      </c>
      <c r="T161" s="28" t="str">
        <f t="shared" si="98"/>
        <v>00:00</v>
      </c>
      <c r="U161" s="29"/>
      <c r="V161" s="27"/>
      <c r="W161" s="27"/>
      <c r="X161" s="28" t="str">
        <f>IFERROR(VLOOKUP(V161,Horarios!$H:$I,2,0),"")</f>
        <v/>
      </c>
      <c r="Y161" s="28" t="str">
        <f>IFERROR(VLOOKUP(W161,Horarios!$H:$I,2,0),"")</f>
        <v/>
      </c>
      <c r="Z161" s="28" t="str">
        <f t="shared" si="99"/>
        <v>00:00</v>
      </c>
      <c r="AA161" s="29"/>
      <c r="AB161" s="27"/>
      <c r="AC161" s="27"/>
      <c r="AD161" s="28" t="str">
        <f>IFERROR(VLOOKUP(AB161,Horarios!$H:$I,2,0),"")</f>
        <v/>
      </c>
      <c r="AE161" s="28" t="str">
        <f>IFERROR(VLOOKUP(AC161,Horarios!$H:$I,2,0),"")</f>
        <v/>
      </c>
      <c r="AF161" s="28" t="str">
        <f t="shared" si="100"/>
        <v>00:00</v>
      </c>
      <c r="AG161" s="29"/>
      <c r="AH161" s="27"/>
      <c r="AI161" s="27"/>
      <c r="AJ161" s="28" t="str">
        <f>IFERROR(VLOOKUP(AH161,Horarios!$H:$I,2,0),"")</f>
        <v/>
      </c>
      <c r="AK161" s="28" t="str">
        <f>IFERROR(VLOOKUP(AI161,Horarios!$H:$I,2,0),"")</f>
        <v/>
      </c>
      <c r="AL161" s="28" t="str">
        <f t="shared" si="101"/>
        <v>00:00</v>
      </c>
      <c r="AM161" s="29"/>
      <c r="AN161" s="27"/>
      <c r="AO161" s="27"/>
      <c r="AP161" s="28" t="str">
        <f>IFERROR(VLOOKUP(AN161,Horarios!$H:$I,2,0),"")</f>
        <v/>
      </c>
      <c r="AQ161" s="28" t="str">
        <f>IFERROR(VLOOKUP(AO161,Horarios!$H:$I,2,0),"")</f>
        <v/>
      </c>
      <c r="AR161" s="28" t="str">
        <f t="shared" si="102"/>
        <v>00:00</v>
      </c>
      <c r="AS161" s="29"/>
      <c r="AT161" s="31" t="str">
        <f t="shared" si="103"/>
        <v/>
      </c>
      <c r="AU161" s="27"/>
      <c r="AV161" s="27"/>
      <c r="AW161" s="28" t="str">
        <f>IFERROR(VLOOKUP(AU161,Horarios!$H:$I,2,0),"")</f>
        <v/>
      </c>
      <c r="AX161" s="28" t="str">
        <f>IFERROR(VLOOKUP(AV161,Horarios!$H:$I,2,0),"")</f>
        <v/>
      </c>
      <c r="AY161" s="28" t="str">
        <f t="shared" si="104"/>
        <v>00:00</v>
      </c>
      <c r="AZ161" s="29"/>
      <c r="BA161" s="27"/>
      <c r="BB161" s="27"/>
      <c r="BC161" s="28" t="str">
        <f>IFERROR(VLOOKUP(BA161,Horarios!$H:$I,2,0),"")</f>
        <v/>
      </c>
      <c r="BD161" s="28" t="str">
        <f>IFERROR(VLOOKUP(BB161,Horarios!$H:$I,2,0),"")</f>
        <v/>
      </c>
      <c r="BE161" s="28" t="str">
        <f t="shared" si="105"/>
        <v>00:00</v>
      </c>
      <c r="BF161" s="29"/>
      <c r="BG161" s="27"/>
      <c r="BH161" s="27"/>
      <c r="BI161" s="28" t="str">
        <f>IFERROR(VLOOKUP(BG161,Horarios!$H:$I,2,0),"")</f>
        <v/>
      </c>
      <c r="BJ161" s="28" t="str">
        <f>IFERROR(VLOOKUP(BH161,Horarios!$H:$I,2,0),"")</f>
        <v/>
      </c>
      <c r="BK161" s="28" t="str">
        <f t="shared" si="106"/>
        <v>00:00</v>
      </c>
      <c r="BL161" s="29"/>
      <c r="BM161" s="27"/>
      <c r="BN161" s="27"/>
      <c r="BO161" s="28" t="str">
        <f>IFERROR(VLOOKUP(BM161,Horarios!$H:$I,2,0),"")</f>
        <v/>
      </c>
      <c r="BP161" s="28" t="str">
        <f>IFERROR(VLOOKUP(BN161,Horarios!$H:$I,2,0),"")</f>
        <v/>
      </c>
      <c r="BQ161" s="28" t="str">
        <f t="shared" si="107"/>
        <v>00:00</v>
      </c>
      <c r="BR161" s="29"/>
      <c r="BS161" s="27"/>
      <c r="BT161" s="27"/>
      <c r="BU161" s="28" t="str">
        <f>IFERROR(VLOOKUP(BS161,Horarios!$H:$I,2,0),"")</f>
        <v/>
      </c>
      <c r="BV161" s="28" t="str">
        <f>IFERROR(VLOOKUP(BT161,Horarios!$H:$I,2,0),"")</f>
        <v/>
      </c>
      <c r="BW161" s="28" t="str">
        <f t="shared" si="108"/>
        <v>00:00</v>
      </c>
      <c r="BX161" s="29"/>
      <c r="BY161" s="27"/>
      <c r="BZ161" s="27"/>
      <c r="CA161" s="28" t="str">
        <f>IFERROR(VLOOKUP(BY161,Horarios!$H:$I,2,0),"")</f>
        <v/>
      </c>
      <c r="CB161" s="28" t="str">
        <f>IFERROR(VLOOKUP(BZ161,Horarios!$H:$I,2,0),"")</f>
        <v/>
      </c>
      <c r="CC161" s="28" t="str">
        <f t="shared" si="109"/>
        <v>00:00</v>
      </c>
      <c r="CD161" s="29"/>
      <c r="CE161" s="27"/>
      <c r="CF161" s="27"/>
      <c r="CG161" s="28" t="str">
        <f>IFERROR(VLOOKUP(CE161,Horarios!$H:$I,2,0),"")</f>
        <v/>
      </c>
      <c r="CH161" s="28" t="str">
        <f>IFERROR(VLOOKUP(CF161,Horarios!$H:$I,2,0),"")</f>
        <v/>
      </c>
      <c r="CI161" s="28" t="str">
        <f t="shared" si="110"/>
        <v>00:00</v>
      </c>
      <c r="CJ161" s="29"/>
      <c r="CK161" s="31" t="str">
        <f t="shared" si="111"/>
        <v/>
      </c>
      <c r="CL161" s="27"/>
      <c r="CM161" s="27"/>
      <c r="CN161" s="28" t="str">
        <f>IFERROR(VLOOKUP(CL161,Horarios!$H:$I,2,0),"")</f>
        <v/>
      </c>
      <c r="CO161" s="28" t="str">
        <f>IFERROR(VLOOKUP(CM161,Horarios!$H:$I,2,0),"")</f>
        <v/>
      </c>
      <c r="CP161" s="28" t="str">
        <f t="shared" si="112"/>
        <v>00:00</v>
      </c>
      <c r="CQ161" s="29"/>
      <c r="CR161" s="27"/>
      <c r="CS161" s="27"/>
      <c r="CT161" s="28" t="str">
        <f>IFERROR(VLOOKUP(CR161,Horarios!$H:$I,2,0),"")</f>
        <v/>
      </c>
      <c r="CU161" s="28" t="str">
        <f>IFERROR(VLOOKUP(CS161,Horarios!$H:$I,2,0),"")</f>
        <v/>
      </c>
      <c r="CV161" s="28" t="str">
        <f t="shared" si="113"/>
        <v>00:00</v>
      </c>
      <c r="CW161" s="29"/>
      <c r="CX161" s="27"/>
      <c r="CY161" s="27"/>
      <c r="CZ161" s="28" t="str">
        <f>IFERROR(VLOOKUP(CX161,Horarios!$H:$I,2,0),"")</f>
        <v/>
      </c>
      <c r="DA161" s="28" t="str">
        <f>IFERROR(VLOOKUP(CY161,Horarios!$H:$I,2,0),"")</f>
        <v/>
      </c>
      <c r="DB161" s="28" t="str">
        <f t="shared" si="114"/>
        <v>00:00</v>
      </c>
      <c r="DC161" s="29"/>
      <c r="DD161" s="27"/>
      <c r="DE161" s="27"/>
      <c r="DF161" s="28" t="str">
        <f>IFERROR(VLOOKUP(DD161,Horarios!$H:$I,2,0),"")</f>
        <v/>
      </c>
      <c r="DG161" s="28" t="str">
        <f>IFERROR(VLOOKUP(DE161,Horarios!$H:$I,2,0),"")</f>
        <v/>
      </c>
      <c r="DH161" s="28" t="str">
        <f t="shared" si="115"/>
        <v>00:00</v>
      </c>
      <c r="DI161" s="29"/>
      <c r="DJ161" s="27"/>
      <c r="DK161" s="27"/>
      <c r="DL161" s="28" t="str">
        <f>IFERROR(VLOOKUP(DJ161,Horarios!$H:$I,2,0),"")</f>
        <v/>
      </c>
      <c r="DM161" s="28" t="str">
        <f>IFERROR(VLOOKUP(DK161,Horarios!$H:$I,2,0),"")</f>
        <v/>
      </c>
      <c r="DN161" s="28" t="str">
        <f t="shared" si="116"/>
        <v>00:00</v>
      </c>
      <c r="DO161" s="29"/>
      <c r="DP161" s="27"/>
      <c r="DQ161" s="27"/>
      <c r="DR161" s="28" t="str">
        <f>IFERROR(VLOOKUP(DP161,Horarios!$H:$I,2,0),"")</f>
        <v/>
      </c>
      <c r="DS161" s="28" t="str">
        <f>IFERROR(VLOOKUP(DQ161,Horarios!$H:$I,2,0),"")</f>
        <v/>
      </c>
      <c r="DT161" s="28" t="str">
        <f t="shared" si="117"/>
        <v>00:00</v>
      </c>
      <c r="DU161" s="29"/>
      <c r="DV161" s="27"/>
      <c r="DW161" s="27"/>
      <c r="DX161" s="28" t="str">
        <f>IFERROR(VLOOKUP(DV161,Horarios!$H:$I,2,0),"")</f>
        <v/>
      </c>
      <c r="DY161" s="28" t="str">
        <f>IFERROR(VLOOKUP(DW161,Horarios!$H:$I,2,0),"")</f>
        <v/>
      </c>
      <c r="DZ161" s="28" t="str">
        <f t="shared" si="118"/>
        <v>00:00</v>
      </c>
      <c r="EA161" s="29"/>
      <c r="EB161" s="31" t="str">
        <f t="shared" si="119"/>
        <v/>
      </c>
      <c r="EC161" s="27"/>
      <c r="ED161" s="27"/>
      <c r="EE161" s="28" t="str">
        <f>IFERROR(VLOOKUP(EC161,Horarios!$H:$I,2,0),"")</f>
        <v/>
      </c>
      <c r="EF161" s="28" t="str">
        <f>IFERROR(VLOOKUP(ED161,Horarios!$H:$I,2,0),"")</f>
        <v/>
      </c>
      <c r="EG161" s="28" t="str">
        <f t="shared" si="120"/>
        <v>00:00</v>
      </c>
      <c r="EH161" s="29"/>
      <c r="EI161" s="27"/>
      <c r="EJ161" s="27"/>
      <c r="EK161" s="28" t="str">
        <f>IFERROR(VLOOKUP(EI161,Horarios!$H:$I,2,0),"")</f>
        <v/>
      </c>
      <c r="EL161" s="28" t="str">
        <f>IFERROR(VLOOKUP(EJ161,Horarios!$H:$I,2,0),"")</f>
        <v/>
      </c>
      <c r="EM161" s="28" t="str">
        <f t="shared" si="121"/>
        <v>00:00</v>
      </c>
      <c r="EN161" s="29"/>
      <c r="EO161" s="27"/>
      <c r="EP161" s="27"/>
      <c r="EQ161" s="28" t="str">
        <f>IFERROR(VLOOKUP(EO161,Horarios!$H:$I,2,0),"")</f>
        <v/>
      </c>
      <c r="ER161" s="28" t="str">
        <f>IFERROR(VLOOKUP(EP161,Horarios!$H:$I,2,0),"")</f>
        <v/>
      </c>
      <c r="ES161" s="28" t="str">
        <f t="shared" si="122"/>
        <v>00:00</v>
      </c>
      <c r="ET161" s="29"/>
      <c r="EU161" s="27"/>
      <c r="EV161" s="27"/>
      <c r="EW161" s="28" t="str">
        <f>IFERROR(VLOOKUP(EU161,Horarios!$H:$I,2,0),"")</f>
        <v/>
      </c>
      <c r="EX161" s="28" t="str">
        <f>IFERROR(VLOOKUP(EV161,Horarios!$H:$I,2,0),"")</f>
        <v/>
      </c>
      <c r="EY161" s="28" t="str">
        <f t="shared" si="123"/>
        <v>00:00</v>
      </c>
      <c r="EZ161" s="29"/>
      <c r="FA161" s="27"/>
      <c r="FB161" s="27"/>
      <c r="FC161" s="28" t="str">
        <f>IFERROR(VLOOKUP(FA161,Horarios!$H:$I,2,0),"")</f>
        <v/>
      </c>
      <c r="FD161" s="28" t="str">
        <f>IFERROR(VLOOKUP(FB161,Horarios!$H:$I,2,0),"")</f>
        <v/>
      </c>
      <c r="FE161" s="28" t="str">
        <f t="shared" si="124"/>
        <v>00:00</v>
      </c>
      <c r="FF161" s="29"/>
      <c r="FG161" s="27"/>
      <c r="FH161" s="27"/>
      <c r="FI161" s="28" t="str">
        <f>IFERROR(VLOOKUP(FG161,Horarios!$H:$I,2,0),"")</f>
        <v/>
      </c>
      <c r="FJ161" s="28" t="str">
        <f>IFERROR(VLOOKUP(FH161,Horarios!$H:$I,2,0),"")</f>
        <v/>
      </c>
      <c r="FK161" s="28" t="str">
        <f t="shared" si="125"/>
        <v>00:00</v>
      </c>
      <c r="FL161" s="29"/>
      <c r="FM161" s="27"/>
      <c r="FN161" s="27"/>
      <c r="FO161" s="28" t="str">
        <f>IFERROR(VLOOKUP(FM161,Horarios!$H:$I,2,0),"")</f>
        <v/>
      </c>
      <c r="FP161" s="28" t="str">
        <f>IFERROR(VLOOKUP(FN161,Horarios!$H:$I,2,0),"")</f>
        <v/>
      </c>
      <c r="FQ161" s="28" t="str">
        <f t="shared" si="126"/>
        <v>00:00</v>
      </c>
      <c r="FR161" s="29"/>
      <c r="FS161" s="31" t="str">
        <f t="shared" si="127"/>
        <v/>
      </c>
      <c r="FT161" s="27"/>
      <c r="FU161" s="27"/>
      <c r="FV161" s="28" t="str">
        <f>IFERROR(VLOOKUP(FT161,Horarios!$H:$I,2,0),"")</f>
        <v/>
      </c>
      <c r="FW161" s="28" t="str">
        <f>IFERROR(VLOOKUP(FU161,Horarios!$H:$I,2,0),"")</f>
        <v/>
      </c>
      <c r="FX161" s="28" t="str">
        <f t="shared" si="128"/>
        <v>00:00</v>
      </c>
      <c r="FY161" s="29"/>
      <c r="FZ161" s="27"/>
      <c r="GA161" s="27"/>
      <c r="GB161" s="28" t="str">
        <f>IFERROR(VLOOKUP(FZ161,Horarios!$H:$I,2,0),"")</f>
        <v/>
      </c>
      <c r="GC161" s="28" t="str">
        <f>IFERROR(VLOOKUP(GA161,Horarios!$H:$I,2,0),"")</f>
        <v/>
      </c>
      <c r="GD161" s="28" t="str">
        <f t="shared" si="129"/>
        <v>00:00</v>
      </c>
      <c r="GE161" s="29"/>
      <c r="GF161" s="27"/>
      <c r="GG161" s="27"/>
      <c r="GH161" s="28" t="str">
        <f>IFERROR(VLOOKUP(GF161,Horarios!$H:$I,2,0),"")</f>
        <v/>
      </c>
      <c r="GI161" s="28" t="str">
        <f>IFERROR(VLOOKUP(GG161,Horarios!$H:$I,2,0),"")</f>
        <v/>
      </c>
      <c r="GJ161" s="28" t="str">
        <f t="shared" si="130"/>
        <v>00:00</v>
      </c>
      <c r="GK161" s="29"/>
      <c r="GL161" s="27"/>
      <c r="GM161" s="27"/>
      <c r="GN161" s="28" t="str">
        <f>IFERROR(VLOOKUP(GL161,Horarios!$H:$I,2,0),"")</f>
        <v/>
      </c>
      <c r="GO161" s="28" t="str">
        <f>IFERROR(VLOOKUP(GM161,Horarios!$H:$I,2,0),"")</f>
        <v/>
      </c>
      <c r="GP161" s="28" t="str">
        <f t="shared" si="131"/>
        <v>00:00</v>
      </c>
      <c r="GQ161" s="29"/>
      <c r="GR161" s="27"/>
      <c r="GS161" s="27"/>
      <c r="GT161" s="28" t="str">
        <f>IFERROR(VLOOKUP(GR161,Horarios!$H:$I,2,0),"")</f>
        <v/>
      </c>
      <c r="GU161" s="28" t="str">
        <f>IFERROR(VLOOKUP(GS161,Horarios!$H:$I,2,0),"")</f>
        <v/>
      </c>
      <c r="GV161" s="28" t="str">
        <f t="shared" si="132"/>
        <v>00:00</v>
      </c>
      <c r="GW161" s="29"/>
      <c r="GX161" s="27"/>
      <c r="GY161" s="27"/>
      <c r="GZ161" s="28" t="str">
        <f>IFERROR(VLOOKUP(GX161,Horarios!$H:$I,2,0),"")</f>
        <v/>
      </c>
      <c r="HA161" s="28" t="str">
        <f>IFERROR(VLOOKUP(GY161,Horarios!$H:$I,2,0),"")</f>
        <v/>
      </c>
      <c r="HB161" s="28" t="str">
        <f t="shared" si="133"/>
        <v>00:00</v>
      </c>
      <c r="HC161" s="29"/>
      <c r="HD161" s="27"/>
      <c r="HE161" s="27"/>
      <c r="HF161" s="28" t="str">
        <f>IFERROR(VLOOKUP(HD161,Horarios!$H:$I,2,0),"")</f>
        <v/>
      </c>
      <c r="HG161" s="28" t="str">
        <f>IFERROR(VLOOKUP(HE161,Horarios!$H:$I,2,0),"")</f>
        <v/>
      </c>
      <c r="HH161" s="28" t="str">
        <f t="shared" si="134"/>
        <v>00:00</v>
      </c>
      <c r="HI161" s="29"/>
      <c r="HJ161" s="31" t="str">
        <f t="shared" si="135"/>
        <v/>
      </c>
      <c r="HK161" s="27"/>
      <c r="HL161" s="27"/>
      <c r="HM161" s="28" t="str">
        <f>IFERROR(VLOOKUP(HK161,Horarios!$H:$I,2,0),"")</f>
        <v/>
      </c>
      <c r="HN161" s="28" t="str">
        <f>IFERROR(VLOOKUP(HL161,Horarios!$H:$I,2,0),"")</f>
        <v/>
      </c>
      <c r="HO161" s="28" t="str">
        <f t="shared" si="136"/>
        <v>00:00</v>
      </c>
      <c r="HP161" s="29"/>
      <c r="HQ161" s="27"/>
      <c r="HR161" s="27"/>
      <c r="HS161" s="28" t="str">
        <f>IFERROR(VLOOKUP(HQ161,Horarios!$H:$I,2,0),"")</f>
        <v/>
      </c>
      <c r="HT161" s="28" t="str">
        <f>IFERROR(VLOOKUP(HR161,Horarios!$H:$I,2,0),"")</f>
        <v/>
      </c>
      <c r="HU161" s="28" t="str">
        <f t="shared" si="137"/>
        <v>00:00</v>
      </c>
      <c r="HV161" s="29"/>
      <c r="HW161" s="27"/>
      <c r="HX161" s="27"/>
      <c r="HY161" s="28" t="str">
        <f>IFERROR(VLOOKUP(HW161,Horarios!$H:$I,2,0),"")</f>
        <v/>
      </c>
      <c r="HZ161" s="28" t="str">
        <f>IFERROR(VLOOKUP(HX161,Horarios!$H:$I,2,0),"")</f>
        <v/>
      </c>
      <c r="IA161" s="28" t="str">
        <f t="shared" si="138"/>
        <v>00:00</v>
      </c>
      <c r="IB161" s="29"/>
      <c r="IC161" s="27"/>
      <c r="ID161" s="27"/>
      <c r="IE161" s="28" t="str">
        <f>IFERROR(VLOOKUP(IC161,Horarios!$H:$I,2,0),"")</f>
        <v/>
      </c>
      <c r="IF161" s="28" t="str">
        <f>IFERROR(VLOOKUP(ID161,Horarios!$H:$I,2,0),"")</f>
        <v/>
      </c>
      <c r="IG161" s="28" t="str">
        <f t="shared" si="139"/>
        <v>00:00</v>
      </c>
      <c r="IH161" s="29"/>
      <c r="II161" s="27"/>
      <c r="IJ161" s="27"/>
      <c r="IK161" s="28" t="str">
        <f>IFERROR(VLOOKUP(II161,Horarios!$H:$I,2,0),"")</f>
        <v/>
      </c>
      <c r="IL161" s="28" t="str">
        <f>IFERROR(VLOOKUP(IJ161,Horarios!$H:$I,2,0),"")</f>
        <v/>
      </c>
      <c r="IM161" s="28" t="str">
        <f t="shared" si="140"/>
        <v>00:00</v>
      </c>
      <c r="IN161" s="29"/>
      <c r="IO161" s="27"/>
      <c r="IP161" s="27"/>
      <c r="IQ161" s="28" t="str">
        <f>IFERROR(VLOOKUP(IO161,Horarios!$H:$I,2,0),"")</f>
        <v/>
      </c>
      <c r="IR161" s="28" t="str">
        <f>IFERROR(VLOOKUP(IP161,Horarios!$H:$I,2,0),"")</f>
        <v/>
      </c>
      <c r="IS161" s="28" t="str">
        <f t="shared" si="141"/>
        <v>00:00</v>
      </c>
      <c r="IT161" s="29"/>
      <c r="IU161" s="27"/>
      <c r="IV161" s="27"/>
      <c r="IW161" s="28" t="str">
        <f>IFERROR(VLOOKUP(IU161,Horarios!$H:$I,2,0),"")</f>
        <v/>
      </c>
      <c r="IX161" s="28" t="str">
        <f>IFERROR(VLOOKUP(IV161,Horarios!$H:$I,2,0),"")</f>
        <v/>
      </c>
      <c r="IY161" s="28" t="str">
        <f t="shared" si="142"/>
        <v>00:00</v>
      </c>
      <c r="IZ161" s="29"/>
      <c r="JA161" s="31" t="str">
        <f t="shared" si="143"/>
        <v/>
      </c>
    </row>
    <row r="162" spans="1:261" s="24" customFormat="1" ht="17.399999999999999" x14ac:dyDescent="0.25">
      <c r="A162" s="25"/>
      <c r="B162" s="26" t="str">
        <f>IFERROR(VLOOKUP(A162,BaseNombres!A:B,2,0),"")</f>
        <v/>
      </c>
      <c r="C162" s="26" t="str">
        <f>IFERROR(VLOOKUP(A162,BaseNombres!A:C,3,0),"")</f>
        <v/>
      </c>
      <c r="D162" s="27"/>
      <c r="E162" s="27"/>
      <c r="F162" s="28" t="str">
        <f>IFERROR(VLOOKUP(D162,Horarios!$H:$I,2,0),"")</f>
        <v/>
      </c>
      <c r="G162" s="28" t="str">
        <f>IFERROR(VLOOKUP(E162,Horarios!$H:$I,2,0),"")</f>
        <v/>
      </c>
      <c r="H162" s="28" t="str">
        <f t="shared" si="96"/>
        <v>00:00</v>
      </c>
      <c r="I162" s="29"/>
      <c r="J162" s="27"/>
      <c r="K162" s="27"/>
      <c r="L162" s="28" t="str">
        <f>IFERROR(VLOOKUP(J162,Horarios!$H:$I,2,0),"")</f>
        <v/>
      </c>
      <c r="M162" s="28" t="str">
        <f>IFERROR(VLOOKUP(K162,Horarios!$H:$I,2,0),"")</f>
        <v/>
      </c>
      <c r="N162" s="28" t="str">
        <f t="shared" si="97"/>
        <v>00:00</v>
      </c>
      <c r="O162" s="29"/>
      <c r="P162" s="27"/>
      <c r="Q162" s="27"/>
      <c r="R162" s="28" t="str">
        <f>IFERROR(VLOOKUP(P162,Horarios!$H:$I,2,0),"")</f>
        <v/>
      </c>
      <c r="S162" s="28" t="str">
        <f>IFERROR(VLOOKUP(Q162,Horarios!$H:$I,2,0),"")</f>
        <v/>
      </c>
      <c r="T162" s="28" t="str">
        <f t="shared" si="98"/>
        <v>00:00</v>
      </c>
      <c r="U162" s="29"/>
      <c r="V162" s="27"/>
      <c r="W162" s="27"/>
      <c r="X162" s="28" t="str">
        <f>IFERROR(VLOOKUP(V162,Horarios!$H:$I,2,0),"")</f>
        <v/>
      </c>
      <c r="Y162" s="28" t="str">
        <f>IFERROR(VLOOKUP(W162,Horarios!$H:$I,2,0),"")</f>
        <v/>
      </c>
      <c r="Z162" s="28" t="str">
        <f t="shared" si="99"/>
        <v>00:00</v>
      </c>
      <c r="AA162" s="29"/>
      <c r="AB162" s="27"/>
      <c r="AC162" s="27"/>
      <c r="AD162" s="28" t="str">
        <f>IFERROR(VLOOKUP(AB162,Horarios!$H:$I,2,0),"")</f>
        <v/>
      </c>
      <c r="AE162" s="28" t="str">
        <f>IFERROR(VLOOKUP(AC162,Horarios!$H:$I,2,0),"")</f>
        <v/>
      </c>
      <c r="AF162" s="28" t="str">
        <f t="shared" si="100"/>
        <v>00:00</v>
      </c>
      <c r="AG162" s="29"/>
      <c r="AH162" s="27"/>
      <c r="AI162" s="27"/>
      <c r="AJ162" s="28" t="str">
        <f>IFERROR(VLOOKUP(AH162,Horarios!$H:$I,2,0),"")</f>
        <v/>
      </c>
      <c r="AK162" s="28" t="str">
        <f>IFERROR(VLOOKUP(AI162,Horarios!$H:$I,2,0),"")</f>
        <v/>
      </c>
      <c r="AL162" s="28" t="str">
        <f t="shared" si="101"/>
        <v>00:00</v>
      </c>
      <c r="AM162" s="29"/>
      <c r="AN162" s="27"/>
      <c r="AO162" s="27"/>
      <c r="AP162" s="28" t="str">
        <f>IFERROR(VLOOKUP(AN162,Horarios!$H:$I,2,0),"")</f>
        <v/>
      </c>
      <c r="AQ162" s="28" t="str">
        <f>IFERROR(VLOOKUP(AO162,Horarios!$H:$I,2,0),"")</f>
        <v/>
      </c>
      <c r="AR162" s="28" t="str">
        <f t="shared" si="102"/>
        <v>00:00</v>
      </c>
      <c r="AS162" s="29"/>
      <c r="AT162" s="31" t="str">
        <f t="shared" si="103"/>
        <v/>
      </c>
      <c r="AU162" s="27"/>
      <c r="AV162" s="27"/>
      <c r="AW162" s="28" t="str">
        <f>IFERROR(VLOOKUP(AU162,Horarios!$H:$I,2,0),"")</f>
        <v/>
      </c>
      <c r="AX162" s="28" t="str">
        <f>IFERROR(VLOOKUP(AV162,Horarios!$H:$I,2,0),"")</f>
        <v/>
      </c>
      <c r="AY162" s="28" t="str">
        <f t="shared" si="104"/>
        <v>00:00</v>
      </c>
      <c r="AZ162" s="29"/>
      <c r="BA162" s="27"/>
      <c r="BB162" s="27"/>
      <c r="BC162" s="28" t="str">
        <f>IFERROR(VLOOKUP(BA162,Horarios!$H:$I,2,0),"")</f>
        <v/>
      </c>
      <c r="BD162" s="28" t="str">
        <f>IFERROR(VLOOKUP(BB162,Horarios!$H:$I,2,0),"")</f>
        <v/>
      </c>
      <c r="BE162" s="28" t="str">
        <f t="shared" si="105"/>
        <v>00:00</v>
      </c>
      <c r="BF162" s="29"/>
      <c r="BG162" s="27"/>
      <c r="BH162" s="27"/>
      <c r="BI162" s="28" t="str">
        <f>IFERROR(VLOOKUP(BG162,Horarios!$H:$I,2,0),"")</f>
        <v/>
      </c>
      <c r="BJ162" s="28" t="str">
        <f>IFERROR(VLOOKUP(BH162,Horarios!$H:$I,2,0),"")</f>
        <v/>
      </c>
      <c r="BK162" s="28" t="str">
        <f t="shared" si="106"/>
        <v>00:00</v>
      </c>
      <c r="BL162" s="29"/>
      <c r="BM162" s="27"/>
      <c r="BN162" s="27"/>
      <c r="BO162" s="28" t="str">
        <f>IFERROR(VLOOKUP(BM162,Horarios!$H:$I,2,0),"")</f>
        <v/>
      </c>
      <c r="BP162" s="28" t="str">
        <f>IFERROR(VLOOKUP(BN162,Horarios!$H:$I,2,0),"")</f>
        <v/>
      </c>
      <c r="BQ162" s="28" t="str">
        <f t="shared" si="107"/>
        <v>00:00</v>
      </c>
      <c r="BR162" s="29"/>
      <c r="BS162" s="27"/>
      <c r="BT162" s="27"/>
      <c r="BU162" s="28" t="str">
        <f>IFERROR(VLOOKUP(BS162,Horarios!$H:$I,2,0),"")</f>
        <v/>
      </c>
      <c r="BV162" s="28" t="str">
        <f>IFERROR(VLOOKUP(BT162,Horarios!$H:$I,2,0),"")</f>
        <v/>
      </c>
      <c r="BW162" s="28" t="str">
        <f t="shared" si="108"/>
        <v>00:00</v>
      </c>
      <c r="BX162" s="29"/>
      <c r="BY162" s="27"/>
      <c r="BZ162" s="27"/>
      <c r="CA162" s="28" t="str">
        <f>IFERROR(VLOOKUP(BY162,Horarios!$H:$I,2,0),"")</f>
        <v/>
      </c>
      <c r="CB162" s="28" t="str">
        <f>IFERROR(VLOOKUP(BZ162,Horarios!$H:$I,2,0),"")</f>
        <v/>
      </c>
      <c r="CC162" s="28" t="str">
        <f t="shared" si="109"/>
        <v>00:00</v>
      </c>
      <c r="CD162" s="29"/>
      <c r="CE162" s="27"/>
      <c r="CF162" s="27"/>
      <c r="CG162" s="28" t="str">
        <f>IFERROR(VLOOKUP(CE162,Horarios!$H:$I,2,0),"")</f>
        <v/>
      </c>
      <c r="CH162" s="28" t="str">
        <f>IFERROR(VLOOKUP(CF162,Horarios!$H:$I,2,0),"")</f>
        <v/>
      </c>
      <c r="CI162" s="28" t="str">
        <f t="shared" si="110"/>
        <v>00:00</v>
      </c>
      <c r="CJ162" s="29"/>
      <c r="CK162" s="31" t="str">
        <f t="shared" si="111"/>
        <v/>
      </c>
      <c r="CL162" s="27"/>
      <c r="CM162" s="27"/>
      <c r="CN162" s="28" t="str">
        <f>IFERROR(VLOOKUP(CL162,Horarios!$H:$I,2,0),"")</f>
        <v/>
      </c>
      <c r="CO162" s="28" t="str">
        <f>IFERROR(VLOOKUP(CM162,Horarios!$H:$I,2,0),"")</f>
        <v/>
      </c>
      <c r="CP162" s="28" t="str">
        <f t="shared" si="112"/>
        <v>00:00</v>
      </c>
      <c r="CQ162" s="29"/>
      <c r="CR162" s="27"/>
      <c r="CS162" s="27"/>
      <c r="CT162" s="28" t="str">
        <f>IFERROR(VLOOKUP(CR162,Horarios!$H:$I,2,0),"")</f>
        <v/>
      </c>
      <c r="CU162" s="28" t="str">
        <f>IFERROR(VLOOKUP(CS162,Horarios!$H:$I,2,0),"")</f>
        <v/>
      </c>
      <c r="CV162" s="28" t="str">
        <f t="shared" si="113"/>
        <v>00:00</v>
      </c>
      <c r="CW162" s="29"/>
      <c r="CX162" s="27"/>
      <c r="CY162" s="27"/>
      <c r="CZ162" s="28" t="str">
        <f>IFERROR(VLOOKUP(CX162,Horarios!$H:$I,2,0),"")</f>
        <v/>
      </c>
      <c r="DA162" s="28" t="str">
        <f>IFERROR(VLOOKUP(CY162,Horarios!$H:$I,2,0),"")</f>
        <v/>
      </c>
      <c r="DB162" s="28" t="str">
        <f t="shared" si="114"/>
        <v>00:00</v>
      </c>
      <c r="DC162" s="29"/>
      <c r="DD162" s="27"/>
      <c r="DE162" s="27"/>
      <c r="DF162" s="28" t="str">
        <f>IFERROR(VLOOKUP(DD162,Horarios!$H:$I,2,0),"")</f>
        <v/>
      </c>
      <c r="DG162" s="28" t="str">
        <f>IFERROR(VLOOKUP(DE162,Horarios!$H:$I,2,0),"")</f>
        <v/>
      </c>
      <c r="DH162" s="28" t="str">
        <f t="shared" si="115"/>
        <v>00:00</v>
      </c>
      <c r="DI162" s="29"/>
      <c r="DJ162" s="27"/>
      <c r="DK162" s="27"/>
      <c r="DL162" s="28" t="str">
        <f>IFERROR(VLOOKUP(DJ162,Horarios!$H:$I,2,0),"")</f>
        <v/>
      </c>
      <c r="DM162" s="28" t="str">
        <f>IFERROR(VLOOKUP(DK162,Horarios!$H:$I,2,0),"")</f>
        <v/>
      </c>
      <c r="DN162" s="28" t="str">
        <f t="shared" si="116"/>
        <v>00:00</v>
      </c>
      <c r="DO162" s="29"/>
      <c r="DP162" s="27"/>
      <c r="DQ162" s="27"/>
      <c r="DR162" s="28" t="str">
        <f>IFERROR(VLOOKUP(DP162,Horarios!$H:$I,2,0),"")</f>
        <v/>
      </c>
      <c r="DS162" s="28" t="str">
        <f>IFERROR(VLOOKUP(DQ162,Horarios!$H:$I,2,0),"")</f>
        <v/>
      </c>
      <c r="DT162" s="28" t="str">
        <f t="shared" si="117"/>
        <v>00:00</v>
      </c>
      <c r="DU162" s="29"/>
      <c r="DV162" s="27"/>
      <c r="DW162" s="27"/>
      <c r="DX162" s="28" t="str">
        <f>IFERROR(VLOOKUP(DV162,Horarios!$H:$I,2,0),"")</f>
        <v/>
      </c>
      <c r="DY162" s="28" t="str">
        <f>IFERROR(VLOOKUP(DW162,Horarios!$H:$I,2,0),"")</f>
        <v/>
      </c>
      <c r="DZ162" s="28" t="str">
        <f t="shared" si="118"/>
        <v>00:00</v>
      </c>
      <c r="EA162" s="29"/>
      <c r="EB162" s="31" t="str">
        <f t="shared" si="119"/>
        <v/>
      </c>
      <c r="EC162" s="27"/>
      <c r="ED162" s="27"/>
      <c r="EE162" s="28" t="str">
        <f>IFERROR(VLOOKUP(EC162,Horarios!$H:$I,2,0),"")</f>
        <v/>
      </c>
      <c r="EF162" s="28" t="str">
        <f>IFERROR(VLOOKUP(ED162,Horarios!$H:$I,2,0),"")</f>
        <v/>
      </c>
      <c r="EG162" s="28" t="str">
        <f t="shared" si="120"/>
        <v>00:00</v>
      </c>
      <c r="EH162" s="29"/>
      <c r="EI162" s="27"/>
      <c r="EJ162" s="27"/>
      <c r="EK162" s="28" t="str">
        <f>IFERROR(VLOOKUP(EI162,Horarios!$H:$I,2,0),"")</f>
        <v/>
      </c>
      <c r="EL162" s="28" t="str">
        <f>IFERROR(VLOOKUP(EJ162,Horarios!$H:$I,2,0),"")</f>
        <v/>
      </c>
      <c r="EM162" s="28" t="str">
        <f t="shared" si="121"/>
        <v>00:00</v>
      </c>
      <c r="EN162" s="29"/>
      <c r="EO162" s="27"/>
      <c r="EP162" s="27"/>
      <c r="EQ162" s="28" t="str">
        <f>IFERROR(VLOOKUP(EO162,Horarios!$H:$I,2,0),"")</f>
        <v/>
      </c>
      <c r="ER162" s="28" t="str">
        <f>IFERROR(VLOOKUP(EP162,Horarios!$H:$I,2,0),"")</f>
        <v/>
      </c>
      <c r="ES162" s="28" t="str">
        <f t="shared" si="122"/>
        <v>00:00</v>
      </c>
      <c r="ET162" s="29"/>
      <c r="EU162" s="27"/>
      <c r="EV162" s="27"/>
      <c r="EW162" s="28" t="str">
        <f>IFERROR(VLOOKUP(EU162,Horarios!$H:$I,2,0),"")</f>
        <v/>
      </c>
      <c r="EX162" s="28" t="str">
        <f>IFERROR(VLOOKUP(EV162,Horarios!$H:$I,2,0),"")</f>
        <v/>
      </c>
      <c r="EY162" s="28" t="str">
        <f t="shared" si="123"/>
        <v>00:00</v>
      </c>
      <c r="EZ162" s="29"/>
      <c r="FA162" s="27"/>
      <c r="FB162" s="27"/>
      <c r="FC162" s="28" t="str">
        <f>IFERROR(VLOOKUP(FA162,Horarios!$H:$I,2,0),"")</f>
        <v/>
      </c>
      <c r="FD162" s="28" t="str">
        <f>IFERROR(VLOOKUP(FB162,Horarios!$H:$I,2,0),"")</f>
        <v/>
      </c>
      <c r="FE162" s="28" t="str">
        <f t="shared" si="124"/>
        <v>00:00</v>
      </c>
      <c r="FF162" s="29"/>
      <c r="FG162" s="27"/>
      <c r="FH162" s="27"/>
      <c r="FI162" s="28" t="str">
        <f>IFERROR(VLOOKUP(FG162,Horarios!$H:$I,2,0),"")</f>
        <v/>
      </c>
      <c r="FJ162" s="28" t="str">
        <f>IFERROR(VLOOKUP(FH162,Horarios!$H:$I,2,0),"")</f>
        <v/>
      </c>
      <c r="FK162" s="28" t="str">
        <f t="shared" si="125"/>
        <v>00:00</v>
      </c>
      <c r="FL162" s="29"/>
      <c r="FM162" s="27"/>
      <c r="FN162" s="27"/>
      <c r="FO162" s="28" t="str">
        <f>IFERROR(VLOOKUP(FM162,Horarios!$H:$I,2,0),"")</f>
        <v/>
      </c>
      <c r="FP162" s="28" t="str">
        <f>IFERROR(VLOOKUP(FN162,Horarios!$H:$I,2,0),"")</f>
        <v/>
      </c>
      <c r="FQ162" s="28" t="str">
        <f t="shared" si="126"/>
        <v>00:00</v>
      </c>
      <c r="FR162" s="29"/>
      <c r="FS162" s="31" t="str">
        <f t="shared" si="127"/>
        <v/>
      </c>
      <c r="FT162" s="27"/>
      <c r="FU162" s="27"/>
      <c r="FV162" s="28" t="str">
        <f>IFERROR(VLOOKUP(FT162,Horarios!$H:$I,2,0),"")</f>
        <v/>
      </c>
      <c r="FW162" s="28" t="str">
        <f>IFERROR(VLOOKUP(FU162,Horarios!$H:$I,2,0),"")</f>
        <v/>
      </c>
      <c r="FX162" s="28" t="str">
        <f t="shared" si="128"/>
        <v>00:00</v>
      </c>
      <c r="FY162" s="29"/>
      <c r="FZ162" s="27"/>
      <c r="GA162" s="27"/>
      <c r="GB162" s="28" t="str">
        <f>IFERROR(VLOOKUP(FZ162,Horarios!$H:$I,2,0),"")</f>
        <v/>
      </c>
      <c r="GC162" s="28" t="str">
        <f>IFERROR(VLOOKUP(GA162,Horarios!$H:$I,2,0),"")</f>
        <v/>
      </c>
      <c r="GD162" s="28" t="str">
        <f t="shared" si="129"/>
        <v>00:00</v>
      </c>
      <c r="GE162" s="29"/>
      <c r="GF162" s="27"/>
      <c r="GG162" s="27"/>
      <c r="GH162" s="28" t="str">
        <f>IFERROR(VLOOKUP(GF162,Horarios!$H:$I,2,0),"")</f>
        <v/>
      </c>
      <c r="GI162" s="28" t="str">
        <f>IFERROR(VLOOKUP(GG162,Horarios!$H:$I,2,0),"")</f>
        <v/>
      </c>
      <c r="GJ162" s="28" t="str">
        <f t="shared" si="130"/>
        <v>00:00</v>
      </c>
      <c r="GK162" s="29"/>
      <c r="GL162" s="27"/>
      <c r="GM162" s="27"/>
      <c r="GN162" s="28" t="str">
        <f>IFERROR(VLOOKUP(GL162,Horarios!$H:$I,2,0),"")</f>
        <v/>
      </c>
      <c r="GO162" s="28" t="str">
        <f>IFERROR(VLOOKUP(GM162,Horarios!$H:$I,2,0),"")</f>
        <v/>
      </c>
      <c r="GP162" s="28" t="str">
        <f t="shared" si="131"/>
        <v>00:00</v>
      </c>
      <c r="GQ162" s="29"/>
      <c r="GR162" s="27"/>
      <c r="GS162" s="27"/>
      <c r="GT162" s="28" t="str">
        <f>IFERROR(VLOOKUP(GR162,Horarios!$H:$I,2,0),"")</f>
        <v/>
      </c>
      <c r="GU162" s="28" t="str">
        <f>IFERROR(VLOOKUP(GS162,Horarios!$H:$I,2,0),"")</f>
        <v/>
      </c>
      <c r="GV162" s="28" t="str">
        <f t="shared" si="132"/>
        <v>00:00</v>
      </c>
      <c r="GW162" s="29"/>
      <c r="GX162" s="27"/>
      <c r="GY162" s="27"/>
      <c r="GZ162" s="28" t="str">
        <f>IFERROR(VLOOKUP(GX162,Horarios!$H:$I,2,0),"")</f>
        <v/>
      </c>
      <c r="HA162" s="28" t="str">
        <f>IFERROR(VLOOKUP(GY162,Horarios!$H:$I,2,0),"")</f>
        <v/>
      </c>
      <c r="HB162" s="28" t="str">
        <f t="shared" si="133"/>
        <v>00:00</v>
      </c>
      <c r="HC162" s="29"/>
      <c r="HD162" s="27"/>
      <c r="HE162" s="27"/>
      <c r="HF162" s="28" t="str">
        <f>IFERROR(VLOOKUP(HD162,Horarios!$H:$I,2,0),"")</f>
        <v/>
      </c>
      <c r="HG162" s="28" t="str">
        <f>IFERROR(VLOOKUP(HE162,Horarios!$H:$I,2,0),"")</f>
        <v/>
      </c>
      <c r="HH162" s="28" t="str">
        <f t="shared" si="134"/>
        <v>00:00</v>
      </c>
      <c r="HI162" s="29"/>
      <c r="HJ162" s="31" t="str">
        <f t="shared" si="135"/>
        <v/>
      </c>
      <c r="HK162" s="27"/>
      <c r="HL162" s="27"/>
      <c r="HM162" s="28" t="str">
        <f>IFERROR(VLOOKUP(HK162,Horarios!$H:$I,2,0),"")</f>
        <v/>
      </c>
      <c r="HN162" s="28" t="str">
        <f>IFERROR(VLOOKUP(HL162,Horarios!$H:$I,2,0),"")</f>
        <v/>
      </c>
      <c r="HO162" s="28" t="str">
        <f t="shared" si="136"/>
        <v>00:00</v>
      </c>
      <c r="HP162" s="29"/>
      <c r="HQ162" s="27"/>
      <c r="HR162" s="27"/>
      <c r="HS162" s="28" t="str">
        <f>IFERROR(VLOOKUP(HQ162,Horarios!$H:$I,2,0),"")</f>
        <v/>
      </c>
      <c r="HT162" s="28" t="str">
        <f>IFERROR(VLOOKUP(HR162,Horarios!$H:$I,2,0),"")</f>
        <v/>
      </c>
      <c r="HU162" s="28" t="str">
        <f t="shared" si="137"/>
        <v>00:00</v>
      </c>
      <c r="HV162" s="29"/>
      <c r="HW162" s="27"/>
      <c r="HX162" s="27"/>
      <c r="HY162" s="28" t="str">
        <f>IFERROR(VLOOKUP(HW162,Horarios!$H:$I,2,0),"")</f>
        <v/>
      </c>
      <c r="HZ162" s="28" t="str">
        <f>IFERROR(VLOOKUP(HX162,Horarios!$H:$I,2,0),"")</f>
        <v/>
      </c>
      <c r="IA162" s="28" t="str">
        <f t="shared" si="138"/>
        <v>00:00</v>
      </c>
      <c r="IB162" s="29"/>
      <c r="IC162" s="27"/>
      <c r="ID162" s="27"/>
      <c r="IE162" s="28" t="str">
        <f>IFERROR(VLOOKUP(IC162,Horarios!$H:$I,2,0),"")</f>
        <v/>
      </c>
      <c r="IF162" s="28" t="str">
        <f>IFERROR(VLOOKUP(ID162,Horarios!$H:$I,2,0),"")</f>
        <v/>
      </c>
      <c r="IG162" s="28" t="str">
        <f t="shared" si="139"/>
        <v>00:00</v>
      </c>
      <c r="IH162" s="29"/>
      <c r="II162" s="27"/>
      <c r="IJ162" s="27"/>
      <c r="IK162" s="28" t="str">
        <f>IFERROR(VLOOKUP(II162,Horarios!$H:$I,2,0),"")</f>
        <v/>
      </c>
      <c r="IL162" s="28" t="str">
        <f>IFERROR(VLOOKUP(IJ162,Horarios!$H:$I,2,0),"")</f>
        <v/>
      </c>
      <c r="IM162" s="28" t="str">
        <f t="shared" si="140"/>
        <v>00:00</v>
      </c>
      <c r="IN162" s="29"/>
      <c r="IO162" s="27"/>
      <c r="IP162" s="27"/>
      <c r="IQ162" s="28" t="str">
        <f>IFERROR(VLOOKUP(IO162,Horarios!$H:$I,2,0),"")</f>
        <v/>
      </c>
      <c r="IR162" s="28" t="str">
        <f>IFERROR(VLOOKUP(IP162,Horarios!$H:$I,2,0),"")</f>
        <v/>
      </c>
      <c r="IS162" s="28" t="str">
        <f t="shared" si="141"/>
        <v>00:00</v>
      </c>
      <c r="IT162" s="29"/>
      <c r="IU162" s="27"/>
      <c r="IV162" s="27"/>
      <c r="IW162" s="28" t="str">
        <f>IFERROR(VLOOKUP(IU162,Horarios!$H:$I,2,0),"")</f>
        <v/>
      </c>
      <c r="IX162" s="28" t="str">
        <f>IFERROR(VLOOKUP(IV162,Horarios!$H:$I,2,0),"")</f>
        <v/>
      </c>
      <c r="IY162" s="28" t="str">
        <f t="shared" si="142"/>
        <v>00:00</v>
      </c>
      <c r="IZ162" s="29"/>
      <c r="JA162" s="31" t="str">
        <f t="shared" si="143"/>
        <v/>
      </c>
    </row>
    <row r="163" spans="1:261" s="24" customFormat="1" ht="17.399999999999999" x14ac:dyDescent="0.25">
      <c r="A163" s="25"/>
      <c r="B163" s="26" t="str">
        <f>IFERROR(VLOOKUP(A163,BaseNombres!A:B,2,0),"")</f>
        <v/>
      </c>
      <c r="C163" s="26" t="str">
        <f>IFERROR(VLOOKUP(A163,BaseNombres!A:C,3,0),"")</f>
        <v/>
      </c>
      <c r="D163" s="27"/>
      <c r="E163" s="27"/>
      <c r="F163" s="28" t="str">
        <f>IFERROR(VLOOKUP(D163,Horarios!$H:$I,2,0),"")</f>
        <v/>
      </c>
      <c r="G163" s="28" t="str">
        <f>IFERROR(VLOOKUP(E163,Horarios!$H:$I,2,0),"")</f>
        <v/>
      </c>
      <c r="H163" s="28" t="str">
        <f t="shared" si="96"/>
        <v>00:00</v>
      </c>
      <c r="I163" s="29"/>
      <c r="J163" s="27"/>
      <c r="K163" s="27"/>
      <c r="L163" s="28" t="str">
        <f>IFERROR(VLOOKUP(J163,Horarios!$H:$I,2,0),"")</f>
        <v/>
      </c>
      <c r="M163" s="28" t="str">
        <f>IFERROR(VLOOKUP(K163,Horarios!$H:$I,2,0),"")</f>
        <v/>
      </c>
      <c r="N163" s="28" t="str">
        <f t="shared" si="97"/>
        <v>00:00</v>
      </c>
      <c r="O163" s="29"/>
      <c r="P163" s="27"/>
      <c r="Q163" s="27"/>
      <c r="R163" s="28" t="str">
        <f>IFERROR(VLOOKUP(P163,Horarios!$H:$I,2,0),"")</f>
        <v/>
      </c>
      <c r="S163" s="28" t="str">
        <f>IFERROR(VLOOKUP(Q163,Horarios!$H:$I,2,0),"")</f>
        <v/>
      </c>
      <c r="T163" s="28" t="str">
        <f t="shared" si="98"/>
        <v>00:00</v>
      </c>
      <c r="U163" s="29"/>
      <c r="V163" s="27"/>
      <c r="W163" s="27"/>
      <c r="X163" s="28" t="str">
        <f>IFERROR(VLOOKUP(V163,Horarios!$H:$I,2,0),"")</f>
        <v/>
      </c>
      <c r="Y163" s="28" t="str">
        <f>IFERROR(VLOOKUP(W163,Horarios!$H:$I,2,0),"")</f>
        <v/>
      </c>
      <c r="Z163" s="28" t="str">
        <f t="shared" si="99"/>
        <v>00:00</v>
      </c>
      <c r="AA163" s="29"/>
      <c r="AB163" s="27"/>
      <c r="AC163" s="27"/>
      <c r="AD163" s="28" t="str">
        <f>IFERROR(VLOOKUP(AB163,Horarios!$H:$I,2,0),"")</f>
        <v/>
      </c>
      <c r="AE163" s="28" t="str">
        <f>IFERROR(VLOOKUP(AC163,Horarios!$H:$I,2,0),"")</f>
        <v/>
      </c>
      <c r="AF163" s="28" t="str">
        <f t="shared" si="100"/>
        <v>00:00</v>
      </c>
      <c r="AG163" s="29"/>
      <c r="AH163" s="27"/>
      <c r="AI163" s="27"/>
      <c r="AJ163" s="28" t="str">
        <f>IFERROR(VLOOKUP(AH163,Horarios!$H:$I,2,0),"")</f>
        <v/>
      </c>
      <c r="AK163" s="28" t="str">
        <f>IFERROR(VLOOKUP(AI163,Horarios!$H:$I,2,0),"")</f>
        <v/>
      </c>
      <c r="AL163" s="28" t="str">
        <f t="shared" si="101"/>
        <v>00:00</v>
      </c>
      <c r="AM163" s="29"/>
      <c r="AN163" s="27"/>
      <c r="AO163" s="27"/>
      <c r="AP163" s="28" t="str">
        <f>IFERROR(VLOOKUP(AN163,Horarios!$H:$I,2,0),"")</f>
        <v/>
      </c>
      <c r="AQ163" s="28" t="str">
        <f>IFERROR(VLOOKUP(AO163,Horarios!$H:$I,2,0),"")</f>
        <v/>
      </c>
      <c r="AR163" s="28" t="str">
        <f t="shared" si="102"/>
        <v>00:00</v>
      </c>
      <c r="AS163" s="29"/>
      <c r="AT163" s="31" t="str">
        <f t="shared" si="103"/>
        <v/>
      </c>
      <c r="AU163" s="27"/>
      <c r="AV163" s="27"/>
      <c r="AW163" s="28" t="str">
        <f>IFERROR(VLOOKUP(AU163,Horarios!$H:$I,2,0),"")</f>
        <v/>
      </c>
      <c r="AX163" s="28" t="str">
        <f>IFERROR(VLOOKUP(AV163,Horarios!$H:$I,2,0),"")</f>
        <v/>
      </c>
      <c r="AY163" s="28" t="str">
        <f t="shared" si="104"/>
        <v>00:00</v>
      </c>
      <c r="AZ163" s="29"/>
      <c r="BA163" s="27"/>
      <c r="BB163" s="27"/>
      <c r="BC163" s="28" t="str">
        <f>IFERROR(VLOOKUP(BA163,Horarios!$H:$I,2,0),"")</f>
        <v/>
      </c>
      <c r="BD163" s="28" t="str">
        <f>IFERROR(VLOOKUP(BB163,Horarios!$H:$I,2,0),"")</f>
        <v/>
      </c>
      <c r="BE163" s="28" t="str">
        <f t="shared" si="105"/>
        <v>00:00</v>
      </c>
      <c r="BF163" s="29"/>
      <c r="BG163" s="27"/>
      <c r="BH163" s="27"/>
      <c r="BI163" s="28" t="str">
        <f>IFERROR(VLOOKUP(BG163,Horarios!$H:$I,2,0),"")</f>
        <v/>
      </c>
      <c r="BJ163" s="28" t="str">
        <f>IFERROR(VLOOKUP(BH163,Horarios!$H:$I,2,0),"")</f>
        <v/>
      </c>
      <c r="BK163" s="28" t="str">
        <f t="shared" si="106"/>
        <v>00:00</v>
      </c>
      <c r="BL163" s="29"/>
      <c r="BM163" s="27"/>
      <c r="BN163" s="27"/>
      <c r="BO163" s="28" t="str">
        <f>IFERROR(VLOOKUP(BM163,Horarios!$H:$I,2,0),"")</f>
        <v/>
      </c>
      <c r="BP163" s="28" t="str">
        <f>IFERROR(VLOOKUP(BN163,Horarios!$H:$I,2,0),"")</f>
        <v/>
      </c>
      <c r="BQ163" s="28" t="str">
        <f t="shared" si="107"/>
        <v>00:00</v>
      </c>
      <c r="BR163" s="29"/>
      <c r="BS163" s="27"/>
      <c r="BT163" s="27"/>
      <c r="BU163" s="28" t="str">
        <f>IFERROR(VLOOKUP(BS163,Horarios!$H:$I,2,0),"")</f>
        <v/>
      </c>
      <c r="BV163" s="28" t="str">
        <f>IFERROR(VLOOKUP(BT163,Horarios!$H:$I,2,0),"")</f>
        <v/>
      </c>
      <c r="BW163" s="28" t="str">
        <f t="shared" si="108"/>
        <v>00:00</v>
      </c>
      <c r="BX163" s="29"/>
      <c r="BY163" s="27"/>
      <c r="BZ163" s="27"/>
      <c r="CA163" s="28" t="str">
        <f>IFERROR(VLOOKUP(BY163,Horarios!$H:$I,2,0),"")</f>
        <v/>
      </c>
      <c r="CB163" s="28" t="str">
        <f>IFERROR(VLOOKUP(BZ163,Horarios!$H:$I,2,0),"")</f>
        <v/>
      </c>
      <c r="CC163" s="28" t="str">
        <f t="shared" si="109"/>
        <v>00:00</v>
      </c>
      <c r="CD163" s="29"/>
      <c r="CE163" s="27"/>
      <c r="CF163" s="27"/>
      <c r="CG163" s="28" t="str">
        <f>IFERROR(VLOOKUP(CE163,Horarios!$H:$I,2,0),"")</f>
        <v/>
      </c>
      <c r="CH163" s="28" t="str">
        <f>IFERROR(VLOOKUP(CF163,Horarios!$H:$I,2,0),"")</f>
        <v/>
      </c>
      <c r="CI163" s="28" t="str">
        <f t="shared" si="110"/>
        <v>00:00</v>
      </c>
      <c r="CJ163" s="29"/>
      <c r="CK163" s="31" t="str">
        <f t="shared" si="111"/>
        <v/>
      </c>
      <c r="CL163" s="27"/>
      <c r="CM163" s="27"/>
      <c r="CN163" s="28" t="str">
        <f>IFERROR(VLOOKUP(CL163,Horarios!$H:$I,2,0),"")</f>
        <v/>
      </c>
      <c r="CO163" s="28" t="str">
        <f>IFERROR(VLOOKUP(CM163,Horarios!$H:$I,2,0),"")</f>
        <v/>
      </c>
      <c r="CP163" s="28" t="str">
        <f t="shared" si="112"/>
        <v>00:00</v>
      </c>
      <c r="CQ163" s="29"/>
      <c r="CR163" s="27"/>
      <c r="CS163" s="27"/>
      <c r="CT163" s="28" t="str">
        <f>IFERROR(VLOOKUP(CR163,Horarios!$H:$I,2,0),"")</f>
        <v/>
      </c>
      <c r="CU163" s="28" t="str">
        <f>IFERROR(VLOOKUP(CS163,Horarios!$H:$I,2,0),"")</f>
        <v/>
      </c>
      <c r="CV163" s="28" t="str">
        <f t="shared" si="113"/>
        <v>00:00</v>
      </c>
      <c r="CW163" s="29"/>
      <c r="CX163" s="27"/>
      <c r="CY163" s="27"/>
      <c r="CZ163" s="28" t="str">
        <f>IFERROR(VLOOKUP(CX163,Horarios!$H:$I,2,0),"")</f>
        <v/>
      </c>
      <c r="DA163" s="28" t="str">
        <f>IFERROR(VLOOKUP(CY163,Horarios!$H:$I,2,0),"")</f>
        <v/>
      </c>
      <c r="DB163" s="28" t="str">
        <f t="shared" si="114"/>
        <v>00:00</v>
      </c>
      <c r="DC163" s="29"/>
      <c r="DD163" s="27"/>
      <c r="DE163" s="27"/>
      <c r="DF163" s="28" t="str">
        <f>IFERROR(VLOOKUP(DD163,Horarios!$H:$I,2,0),"")</f>
        <v/>
      </c>
      <c r="DG163" s="28" t="str">
        <f>IFERROR(VLOOKUP(DE163,Horarios!$H:$I,2,0),"")</f>
        <v/>
      </c>
      <c r="DH163" s="28" t="str">
        <f t="shared" si="115"/>
        <v>00:00</v>
      </c>
      <c r="DI163" s="29"/>
      <c r="DJ163" s="27"/>
      <c r="DK163" s="27"/>
      <c r="DL163" s="28" t="str">
        <f>IFERROR(VLOOKUP(DJ163,Horarios!$H:$I,2,0),"")</f>
        <v/>
      </c>
      <c r="DM163" s="28" t="str">
        <f>IFERROR(VLOOKUP(DK163,Horarios!$H:$I,2,0),"")</f>
        <v/>
      </c>
      <c r="DN163" s="28" t="str">
        <f t="shared" si="116"/>
        <v>00:00</v>
      </c>
      <c r="DO163" s="29"/>
      <c r="DP163" s="27"/>
      <c r="DQ163" s="27"/>
      <c r="DR163" s="28" t="str">
        <f>IFERROR(VLOOKUP(DP163,Horarios!$H:$I,2,0),"")</f>
        <v/>
      </c>
      <c r="DS163" s="28" t="str">
        <f>IFERROR(VLOOKUP(DQ163,Horarios!$H:$I,2,0),"")</f>
        <v/>
      </c>
      <c r="DT163" s="28" t="str">
        <f t="shared" si="117"/>
        <v>00:00</v>
      </c>
      <c r="DU163" s="29"/>
      <c r="DV163" s="27"/>
      <c r="DW163" s="27"/>
      <c r="DX163" s="28" t="str">
        <f>IFERROR(VLOOKUP(DV163,Horarios!$H:$I,2,0),"")</f>
        <v/>
      </c>
      <c r="DY163" s="28" t="str">
        <f>IFERROR(VLOOKUP(DW163,Horarios!$H:$I,2,0),"")</f>
        <v/>
      </c>
      <c r="DZ163" s="28" t="str">
        <f t="shared" si="118"/>
        <v>00:00</v>
      </c>
      <c r="EA163" s="29"/>
      <c r="EB163" s="31" t="str">
        <f t="shared" si="119"/>
        <v/>
      </c>
      <c r="EC163" s="27"/>
      <c r="ED163" s="27"/>
      <c r="EE163" s="28" t="str">
        <f>IFERROR(VLOOKUP(EC163,Horarios!$H:$I,2,0),"")</f>
        <v/>
      </c>
      <c r="EF163" s="28" t="str">
        <f>IFERROR(VLOOKUP(ED163,Horarios!$H:$I,2,0),"")</f>
        <v/>
      </c>
      <c r="EG163" s="28" t="str">
        <f t="shared" si="120"/>
        <v>00:00</v>
      </c>
      <c r="EH163" s="29"/>
      <c r="EI163" s="27"/>
      <c r="EJ163" s="27"/>
      <c r="EK163" s="28" t="str">
        <f>IFERROR(VLOOKUP(EI163,Horarios!$H:$I,2,0),"")</f>
        <v/>
      </c>
      <c r="EL163" s="28" t="str">
        <f>IFERROR(VLOOKUP(EJ163,Horarios!$H:$I,2,0),"")</f>
        <v/>
      </c>
      <c r="EM163" s="28" t="str">
        <f t="shared" si="121"/>
        <v>00:00</v>
      </c>
      <c r="EN163" s="29"/>
      <c r="EO163" s="27"/>
      <c r="EP163" s="27"/>
      <c r="EQ163" s="28" t="str">
        <f>IFERROR(VLOOKUP(EO163,Horarios!$H:$I,2,0),"")</f>
        <v/>
      </c>
      <c r="ER163" s="28" t="str">
        <f>IFERROR(VLOOKUP(EP163,Horarios!$H:$I,2,0),"")</f>
        <v/>
      </c>
      <c r="ES163" s="28" t="str">
        <f t="shared" si="122"/>
        <v>00:00</v>
      </c>
      <c r="ET163" s="29"/>
      <c r="EU163" s="27"/>
      <c r="EV163" s="27"/>
      <c r="EW163" s="28" t="str">
        <f>IFERROR(VLOOKUP(EU163,Horarios!$H:$I,2,0),"")</f>
        <v/>
      </c>
      <c r="EX163" s="28" t="str">
        <f>IFERROR(VLOOKUP(EV163,Horarios!$H:$I,2,0),"")</f>
        <v/>
      </c>
      <c r="EY163" s="28" t="str">
        <f t="shared" si="123"/>
        <v>00:00</v>
      </c>
      <c r="EZ163" s="29"/>
      <c r="FA163" s="27"/>
      <c r="FB163" s="27"/>
      <c r="FC163" s="28" t="str">
        <f>IFERROR(VLOOKUP(FA163,Horarios!$H:$I,2,0),"")</f>
        <v/>
      </c>
      <c r="FD163" s="28" t="str">
        <f>IFERROR(VLOOKUP(FB163,Horarios!$H:$I,2,0),"")</f>
        <v/>
      </c>
      <c r="FE163" s="28" t="str">
        <f t="shared" si="124"/>
        <v>00:00</v>
      </c>
      <c r="FF163" s="29"/>
      <c r="FG163" s="27"/>
      <c r="FH163" s="27"/>
      <c r="FI163" s="28" t="str">
        <f>IFERROR(VLOOKUP(FG163,Horarios!$H:$I,2,0),"")</f>
        <v/>
      </c>
      <c r="FJ163" s="28" t="str">
        <f>IFERROR(VLOOKUP(FH163,Horarios!$H:$I,2,0),"")</f>
        <v/>
      </c>
      <c r="FK163" s="28" t="str">
        <f t="shared" si="125"/>
        <v>00:00</v>
      </c>
      <c r="FL163" s="29"/>
      <c r="FM163" s="27"/>
      <c r="FN163" s="27"/>
      <c r="FO163" s="28" t="str">
        <f>IFERROR(VLOOKUP(FM163,Horarios!$H:$I,2,0),"")</f>
        <v/>
      </c>
      <c r="FP163" s="28" t="str">
        <f>IFERROR(VLOOKUP(FN163,Horarios!$H:$I,2,0),"")</f>
        <v/>
      </c>
      <c r="FQ163" s="28" t="str">
        <f t="shared" si="126"/>
        <v>00:00</v>
      </c>
      <c r="FR163" s="29"/>
      <c r="FS163" s="31" t="str">
        <f t="shared" si="127"/>
        <v/>
      </c>
      <c r="FT163" s="27"/>
      <c r="FU163" s="27"/>
      <c r="FV163" s="28" t="str">
        <f>IFERROR(VLOOKUP(FT163,Horarios!$H:$I,2,0),"")</f>
        <v/>
      </c>
      <c r="FW163" s="28" t="str">
        <f>IFERROR(VLOOKUP(FU163,Horarios!$H:$I,2,0),"")</f>
        <v/>
      </c>
      <c r="FX163" s="28" t="str">
        <f t="shared" si="128"/>
        <v>00:00</v>
      </c>
      <c r="FY163" s="29"/>
      <c r="FZ163" s="27"/>
      <c r="GA163" s="27"/>
      <c r="GB163" s="28" t="str">
        <f>IFERROR(VLOOKUP(FZ163,Horarios!$H:$I,2,0),"")</f>
        <v/>
      </c>
      <c r="GC163" s="28" t="str">
        <f>IFERROR(VLOOKUP(GA163,Horarios!$H:$I,2,0),"")</f>
        <v/>
      </c>
      <c r="GD163" s="28" t="str">
        <f t="shared" si="129"/>
        <v>00:00</v>
      </c>
      <c r="GE163" s="29"/>
      <c r="GF163" s="27"/>
      <c r="GG163" s="27"/>
      <c r="GH163" s="28" t="str">
        <f>IFERROR(VLOOKUP(GF163,Horarios!$H:$I,2,0),"")</f>
        <v/>
      </c>
      <c r="GI163" s="28" t="str">
        <f>IFERROR(VLOOKUP(GG163,Horarios!$H:$I,2,0),"")</f>
        <v/>
      </c>
      <c r="GJ163" s="28" t="str">
        <f t="shared" si="130"/>
        <v>00:00</v>
      </c>
      <c r="GK163" s="29"/>
      <c r="GL163" s="27"/>
      <c r="GM163" s="27"/>
      <c r="GN163" s="28" t="str">
        <f>IFERROR(VLOOKUP(GL163,Horarios!$H:$I,2,0),"")</f>
        <v/>
      </c>
      <c r="GO163" s="28" t="str">
        <f>IFERROR(VLOOKUP(GM163,Horarios!$H:$I,2,0),"")</f>
        <v/>
      </c>
      <c r="GP163" s="28" t="str">
        <f t="shared" si="131"/>
        <v>00:00</v>
      </c>
      <c r="GQ163" s="29"/>
      <c r="GR163" s="27"/>
      <c r="GS163" s="27"/>
      <c r="GT163" s="28" t="str">
        <f>IFERROR(VLOOKUP(GR163,Horarios!$H:$I,2,0),"")</f>
        <v/>
      </c>
      <c r="GU163" s="28" t="str">
        <f>IFERROR(VLOOKUP(GS163,Horarios!$H:$I,2,0),"")</f>
        <v/>
      </c>
      <c r="GV163" s="28" t="str">
        <f t="shared" si="132"/>
        <v>00:00</v>
      </c>
      <c r="GW163" s="29"/>
      <c r="GX163" s="27"/>
      <c r="GY163" s="27"/>
      <c r="GZ163" s="28" t="str">
        <f>IFERROR(VLOOKUP(GX163,Horarios!$H:$I,2,0),"")</f>
        <v/>
      </c>
      <c r="HA163" s="28" t="str">
        <f>IFERROR(VLOOKUP(GY163,Horarios!$H:$I,2,0),"")</f>
        <v/>
      </c>
      <c r="HB163" s="28" t="str">
        <f t="shared" si="133"/>
        <v>00:00</v>
      </c>
      <c r="HC163" s="29"/>
      <c r="HD163" s="27"/>
      <c r="HE163" s="27"/>
      <c r="HF163" s="28" t="str">
        <f>IFERROR(VLOOKUP(HD163,Horarios!$H:$I,2,0),"")</f>
        <v/>
      </c>
      <c r="HG163" s="28" t="str">
        <f>IFERROR(VLOOKUP(HE163,Horarios!$H:$I,2,0),"")</f>
        <v/>
      </c>
      <c r="HH163" s="28" t="str">
        <f t="shared" si="134"/>
        <v>00:00</v>
      </c>
      <c r="HI163" s="29"/>
      <c r="HJ163" s="31" t="str">
        <f t="shared" si="135"/>
        <v/>
      </c>
      <c r="HK163" s="27"/>
      <c r="HL163" s="27"/>
      <c r="HM163" s="28" t="str">
        <f>IFERROR(VLOOKUP(HK163,Horarios!$H:$I,2,0),"")</f>
        <v/>
      </c>
      <c r="HN163" s="28" t="str">
        <f>IFERROR(VLOOKUP(HL163,Horarios!$H:$I,2,0),"")</f>
        <v/>
      </c>
      <c r="HO163" s="28" t="str">
        <f t="shared" si="136"/>
        <v>00:00</v>
      </c>
      <c r="HP163" s="29"/>
      <c r="HQ163" s="27"/>
      <c r="HR163" s="27"/>
      <c r="HS163" s="28" t="str">
        <f>IFERROR(VLOOKUP(HQ163,Horarios!$H:$I,2,0),"")</f>
        <v/>
      </c>
      <c r="HT163" s="28" t="str">
        <f>IFERROR(VLOOKUP(HR163,Horarios!$H:$I,2,0),"")</f>
        <v/>
      </c>
      <c r="HU163" s="28" t="str">
        <f t="shared" si="137"/>
        <v>00:00</v>
      </c>
      <c r="HV163" s="29"/>
      <c r="HW163" s="27"/>
      <c r="HX163" s="27"/>
      <c r="HY163" s="28" t="str">
        <f>IFERROR(VLOOKUP(HW163,Horarios!$H:$I,2,0),"")</f>
        <v/>
      </c>
      <c r="HZ163" s="28" t="str">
        <f>IFERROR(VLOOKUP(HX163,Horarios!$H:$I,2,0),"")</f>
        <v/>
      </c>
      <c r="IA163" s="28" t="str">
        <f t="shared" si="138"/>
        <v>00:00</v>
      </c>
      <c r="IB163" s="29"/>
      <c r="IC163" s="27"/>
      <c r="ID163" s="27"/>
      <c r="IE163" s="28" t="str">
        <f>IFERROR(VLOOKUP(IC163,Horarios!$H:$I,2,0),"")</f>
        <v/>
      </c>
      <c r="IF163" s="28" t="str">
        <f>IFERROR(VLOOKUP(ID163,Horarios!$H:$I,2,0),"")</f>
        <v/>
      </c>
      <c r="IG163" s="28" t="str">
        <f t="shared" si="139"/>
        <v>00:00</v>
      </c>
      <c r="IH163" s="29"/>
      <c r="II163" s="27"/>
      <c r="IJ163" s="27"/>
      <c r="IK163" s="28" t="str">
        <f>IFERROR(VLOOKUP(II163,Horarios!$H:$I,2,0),"")</f>
        <v/>
      </c>
      <c r="IL163" s="28" t="str">
        <f>IFERROR(VLOOKUP(IJ163,Horarios!$H:$I,2,0),"")</f>
        <v/>
      </c>
      <c r="IM163" s="28" t="str">
        <f t="shared" si="140"/>
        <v>00:00</v>
      </c>
      <c r="IN163" s="29"/>
      <c r="IO163" s="27"/>
      <c r="IP163" s="27"/>
      <c r="IQ163" s="28" t="str">
        <f>IFERROR(VLOOKUP(IO163,Horarios!$H:$I,2,0),"")</f>
        <v/>
      </c>
      <c r="IR163" s="28" t="str">
        <f>IFERROR(VLOOKUP(IP163,Horarios!$H:$I,2,0),"")</f>
        <v/>
      </c>
      <c r="IS163" s="28" t="str">
        <f t="shared" si="141"/>
        <v>00:00</v>
      </c>
      <c r="IT163" s="29"/>
      <c r="IU163" s="27"/>
      <c r="IV163" s="27"/>
      <c r="IW163" s="28" t="str">
        <f>IFERROR(VLOOKUP(IU163,Horarios!$H:$I,2,0),"")</f>
        <v/>
      </c>
      <c r="IX163" s="28" t="str">
        <f>IFERROR(VLOOKUP(IV163,Horarios!$H:$I,2,0),"")</f>
        <v/>
      </c>
      <c r="IY163" s="28" t="str">
        <f t="shared" si="142"/>
        <v>00:00</v>
      </c>
      <c r="IZ163" s="29"/>
      <c r="JA163" s="31" t="str">
        <f t="shared" si="143"/>
        <v/>
      </c>
    </row>
    <row r="164" spans="1:261" s="24" customFormat="1" ht="17.399999999999999" x14ac:dyDescent="0.25">
      <c r="A164" s="25"/>
      <c r="B164" s="26" t="str">
        <f>IFERROR(VLOOKUP(A164,BaseNombres!A:B,2,0),"")</f>
        <v/>
      </c>
      <c r="C164" s="26" t="str">
        <f>IFERROR(VLOOKUP(A164,BaseNombres!A:C,3,0),"")</f>
        <v/>
      </c>
      <c r="D164" s="27"/>
      <c r="E164" s="27"/>
      <c r="F164" s="28" t="str">
        <f>IFERROR(VLOOKUP(D164,Horarios!$H:$I,2,0),"")</f>
        <v/>
      </c>
      <c r="G164" s="28" t="str">
        <f>IFERROR(VLOOKUP(E164,Horarios!$H:$I,2,0),"")</f>
        <v/>
      </c>
      <c r="H164" s="28" t="str">
        <f t="shared" si="96"/>
        <v>00:00</v>
      </c>
      <c r="I164" s="29"/>
      <c r="J164" s="27"/>
      <c r="K164" s="27"/>
      <c r="L164" s="28" t="str">
        <f>IFERROR(VLOOKUP(J164,Horarios!$H:$I,2,0),"")</f>
        <v/>
      </c>
      <c r="M164" s="28" t="str">
        <f>IFERROR(VLOOKUP(K164,Horarios!$H:$I,2,0),"")</f>
        <v/>
      </c>
      <c r="N164" s="28" t="str">
        <f t="shared" si="97"/>
        <v>00:00</v>
      </c>
      <c r="O164" s="29"/>
      <c r="P164" s="27"/>
      <c r="Q164" s="27"/>
      <c r="R164" s="28" t="str">
        <f>IFERROR(VLOOKUP(P164,Horarios!$H:$I,2,0),"")</f>
        <v/>
      </c>
      <c r="S164" s="28" t="str">
        <f>IFERROR(VLOOKUP(Q164,Horarios!$H:$I,2,0),"")</f>
        <v/>
      </c>
      <c r="T164" s="28" t="str">
        <f t="shared" si="98"/>
        <v>00:00</v>
      </c>
      <c r="U164" s="29"/>
      <c r="V164" s="27"/>
      <c r="W164" s="27"/>
      <c r="X164" s="28" t="str">
        <f>IFERROR(VLOOKUP(V164,Horarios!$H:$I,2,0),"")</f>
        <v/>
      </c>
      <c r="Y164" s="28" t="str">
        <f>IFERROR(VLOOKUP(W164,Horarios!$H:$I,2,0),"")</f>
        <v/>
      </c>
      <c r="Z164" s="28" t="str">
        <f t="shared" si="99"/>
        <v>00:00</v>
      </c>
      <c r="AA164" s="29"/>
      <c r="AB164" s="27"/>
      <c r="AC164" s="27"/>
      <c r="AD164" s="28" t="str">
        <f>IFERROR(VLOOKUP(AB164,Horarios!$H:$I,2,0),"")</f>
        <v/>
      </c>
      <c r="AE164" s="28" t="str">
        <f>IFERROR(VLOOKUP(AC164,Horarios!$H:$I,2,0),"")</f>
        <v/>
      </c>
      <c r="AF164" s="28" t="str">
        <f t="shared" si="100"/>
        <v>00:00</v>
      </c>
      <c r="AG164" s="29"/>
      <c r="AH164" s="27"/>
      <c r="AI164" s="27"/>
      <c r="AJ164" s="28" t="str">
        <f>IFERROR(VLOOKUP(AH164,Horarios!$H:$I,2,0),"")</f>
        <v/>
      </c>
      <c r="AK164" s="28" t="str">
        <f>IFERROR(VLOOKUP(AI164,Horarios!$H:$I,2,0),"")</f>
        <v/>
      </c>
      <c r="AL164" s="28" t="str">
        <f t="shared" si="101"/>
        <v>00:00</v>
      </c>
      <c r="AM164" s="29"/>
      <c r="AN164" s="27"/>
      <c r="AO164" s="27"/>
      <c r="AP164" s="28" t="str">
        <f>IFERROR(VLOOKUP(AN164,Horarios!$H:$I,2,0),"")</f>
        <v/>
      </c>
      <c r="AQ164" s="28" t="str">
        <f>IFERROR(VLOOKUP(AO164,Horarios!$H:$I,2,0),"")</f>
        <v/>
      </c>
      <c r="AR164" s="28" t="str">
        <f t="shared" si="102"/>
        <v>00:00</v>
      </c>
      <c r="AS164" s="29"/>
      <c r="AT164" s="31" t="str">
        <f t="shared" si="103"/>
        <v/>
      </c>
      <c r="AU164" s="27"/>
      <c r="AV164" s="27"/>
      <c r="AW164" s="28" t="str">
        <f>IFERROR(VLOOKUP(AU164,Horarios!$H:$I,2,0),"")</f>
        <v/>
      </c>
      <c r="AX164" s="28" t="str">
        <f>IFERROR(VLOOKUP(AV164,Horarios!$H:$I,2,0),"")</f>
        <v/>
      </c>
      <c r="AY164" s="28" t="str">
        <f t="shared" si="104"/>
        <v>00:00</v>
      </c>
      <c r="AZ164" s="29"/>
      <c r="BA164" s="27"/>
      <c r="BB164" s="27"/>
      <c r="BC164" s="28" t="str">
        <f>IFERROR(VLOOKUP(BA164,Horarios!$H:$I,2,0),"")</f>
        <v/>
      </c>
      <c r="BD164" s="28" t="str">
        <f>IFERROR(VLOOKUP(BB164,Horarios!$H:$I,2,0),"")</f>
        <v/>
      </c>
      <c r="BE164" s="28" t="str">
        <f t="shared" si="105"/>
        <v>00:00</v>
      </c>
      <c r="BF164" s="29"/>
      <c r="BG164" s="27"/>
      <c r="BH164" s="27"/>
      <c r="BI164" s="28" t="str">
        <f>IFERROR(VLOOKUP(BG164,Horarios!$H:$I,2,0),"")</f>
        <v/>
      </c>
      <c r="BJ164" s="28" t="str">
        <f>IFERROR(VLOOKUP(BH164,Horarios!$H:$I,2,0),"")</f>
        <v/>
      </c>
      <c r="BK164" s="28" t="str">
        <f t="shared" si="106"/>
        <v>00:00</v>
      </c>
      <c r="BL164" s="29"/>
      <c r="BM164" s="27"/>
      <c r="BN164" s="27"/>
      <c r="BO164" s="28" t="str">
        <f>IFERROR(VLOOKUP(BM164,Horarios!$H:$I,2,0),"")</f>
        <v/>
      </c>
      <c r="BP164" s="28" t="str">
        <f>IFERROR(VLOOKUP(BN164,Horarios!$H:$I,2,0),"")</f>
        <v/>
      </c>
      <c r="BQ164" s="28" t="str">
        <f t="shared" si="107"/>
        <v>00:00</v>
      </c>
      <c r="BR164" s="29"/>
      <c r="BS164" s="27"/>
      <c r="BT164" s="27"/>
      <c r="BU164" s="28" t="str">
        <f>IFERROR(VLOOKUP(BS164,Horarios!$H:$I,2,0),"")</f>
        <v/>
      </c>
      <c r="BV164" s="28" t="str">
        <f>IFERROR(VLOOKUP(BT164,Horarios!$H:$I,2,0),"")</f>
        <v/>
      </c>
      <c r="BW164" s="28" t="str">
        <f t="shared" si="108"/>
        <v>00:00</v>
      </c>
      <c r="BX164" s="29"/>
      <c r="BY164" s="27"/>
      <c r="BZ164" s="27"/>
      <c r="CA164" s="28" t="str">
        <f>IFERROR(VLOOKUP(BY164,Horarios!$H:$I,2,0),"")</f>
        <v/>
      </c>
      <c r="CB164" s="28" t="str">
        <f>IFERROR(VLOOKUP(BZ164,Horarios!$H:$I,2,0),"")</f>
        <v/>
      </c>
      <c r="CC164" s="28" t="str">
        <f t="shared" si="109"/>
        <v>00:00</v>
      </c>
      <c r="CD164" s="29"/>
      <c r="CE164" s="27"/>
      <c r="CF164" s="27"/>
      <c r="CG164" s="28" t="str">
        <f>IFERROR(VLOOKUP(CE164,Horarios!$H:$I,2,0),"")</f>
        <v/>
      </c>
      <c r="CH164" s="28" t="str">
        <f>IFERROR(VLOOKUP(CF164,Horarios!$H:$I,2,0),"")</f>
        <v/>
      </c>
      <c r="CI164" s="28" t="str">
        <f t="shared" si="110"/>
        <v>00:00</v>
      </c>
      <c r="CJ164" s="29"/>
      <c r="CK164" s="31" t="str">
        <f t="shared" si="111"/>
        <v/>
      </c>
      <c r="CL164" s="27"/>
      <c r="CM164" s="27"/>
      <c r="CN164" s="28" t="str">
        <f>IFERROR(VLOOKUP(CL164,Horarios!$H:$I,2,0),"")</f>
        <v/>
      </c>
      <c r="CO164" s="28" t="str">
        <f>IFERROR(VLOOKUP(CM164,Horarios!$H:$I,2,0),"")</f>
        <v/>
      </c>
      <c r="CP164" s="28" t="str">
        <f t="shared" si="112"/>
        <v>00:00</v>
      </c>
      <c r="CQ164" s="29"/>
      <c r="CR164" s="27"/>
      <c r="CS164" s="27"/>
      <c r="CT164" s="28" t="str">
        <f>IFERROR(VLOOKUP(CR164,Horarios!$H:$I,2,0),"")</f>
        <v/>
      </c>
      <c r="CU164" s="28" t="str">
        <f>IFERROR(VLOOKUP(CS164,Horarios!$H:$I,2,0),"")</f>
        <v/>
      </c>
      <c r="CV164" s="28" t="str">
        <f t="shared" si="113"/>
        <v>00:00</v>
      </c>
      <c r="CW164" s="29"/>
      <c r="CX164" s="27"/>
      <c r="CY164" s="27"/>
      <c r="CZ164" s="28" t="str">
        <f>IFERROR(VLOOKUP(CX164,Horarios!$H:$I,2,0),"")</f>
        <v/>
      </c>
      <c r="DA164" s="28" t="str">
        <f>IFERROR(VLOOKUP(CY164,Horarios!$H:$I,2,0),"")</f>
        <v/>
      </c>
      <c r="DB164" s="28" t="str">
        <f t="shared" si="114"/>
        <v>00:00</v>
      </c>
      <c r="DC164" s="29"/>
      <c r="DD164" s="27"/>
      <c r="DE164" s="27"/>
      <c r="DF164" s="28" t="str">
        <f>IFERROR(VLOOKUP(DD164,Horarios!$H:$I,2,0),"")</f>
        <v/>
      </c>
      <c r="DG164" s="28" t="str">
        <f>IFERROR(VLOOKUP(DE164,Horarios!$H:$I,2,0),"")</f>
        <v/>
      </c>
      <c r="DH164" s="28" t="str">
        <f t="shared" si="115"/>
        <v>00:00</v>
      </c>
      <c r="DI164" s="29"/>
      <c r="DJ164" s="27"/>
      <c r="DK164" s="27"/>
      <c r="DL164" s="28" t="str">
        <f>IFERROR(VLOOKUP(DJ164,Horarios!$H:$I,2,0),"")</f>
        <v/>
      </c>
      <c r="DM164" s="28" t="str">
        <f>IFERROR(VLOOKUP(DK164,Horarios!$H:$I,2,0),"")</f>
        <v/>
      </c>
      <c r="DN164" s="28" t="str">
        <f t="shared" si="116"/>
        <v>00:00</v>
      </c>
      <c r="DO164" s="29"/>
      <c r="DP164" s="27"/>
      <c r="DQ164" s="27"/>
      <c r="DR164" s="28" t="str">
        <f>IFERROR(VLOOKUP(DP164,Horarios!$H:$I,2,0),"")</f>
        <v/>
      </c>
      <c r="DS164" s="28" t="str">
        <f>IFERROR(VLOOKUP(DQ164,Horarios!$H:$I,2,0),"")</f>
        <v/>
      </c>
      <c r="DT164" s="28" t="str">
        <f t="shared" si="117"/>
        <v>00:00</v>
      </c>
      <c r="DU164" s="29"/>
      <c r="DV164" s="27"/>
      <c r="DW164" s="27"/>
      <c r="DX164" s="28" t="str">
        <f>IFERROR(VLOOKUP(DV164,Horarios!$H:$I,2,0),"")</f>
        <v/>
      </c>
      <c r="DY164" s="28" t="str">
        <f>IFERROR(VLOOKUP(DW164,Horarios!$H:$I,2,0),"")</f>
        <v/>
      </c>
      <c r="DZ164" s="28" t="str">
        <f t="shared" si="118"/>
        <v>00:00</v>
      </c>
      <c r="EA164" s="29"/>
      <c r="EB164" s="31" t="str">
        <f t="shared" si="119"/>
        <v/>
      </c>
      <c r="EC164" s="27"/>
      <c r="ED164" s="27"/>
      <c r="EE164" s="28" t="str">
        <f>IFERROR(VLOOKUP(EC164,Horarios!$H:$I,2,0),"")</f>
        <v/>
      </c>
      <c r="EF164" s="28" t="str">
        <f>IFERROR(VLOOKUP(ED164,Horarios!$H:$I,2,0),"")</f>
        <v/>
      </c>
      <c r="EG164" s="28" t="str">
        <f t="shared" si="120"/>
        <v>00:00</v>
      </c>
      <c r="EH164" s="29"/>
      <c r="EI164" s="27"/>
      <c r="EJ164" s="27"/>
      <c r="EK164" s="28" t="str">
        <f>IFERROR(VLOOKUP(EI164,Horarios!$H:$I,2,0),"")</f>
        <v/>
      </c>
      <c r="EL164" s="28" t="str">
        <f>IFERROR(VLOOKUP(EJ164,Horarios!$H:$I,2,0),"")</f>
        <v/>
      </c>
      <c r="EM164" s="28" t="str">
        <f t="shared" si="121"/>
        <v>00:00</v>
      </c>
      <c r="EN164" s="29"/>
      <c r="EO164" s="27"/>
      <c r="EP164" s="27"/>
      <c r="EQ164" s="28" t="str">
        <f>IFERROR(VLOOKUP(EO164,Horarios!$H:$I,2,0),"")</f>
        <v/>
      </c>
      <c r="ER164" s="28" t="str">
        <f>IFERROR(VLOOKUP(EP164,Horarios!$H:$I,2,0),"")</f>
        <v/>
      </c>
      <c r="ES164" s="28" t="str">
        <f t="shared" si="122"/>
        <v>00:00</v>
      </c>
      <c r="ET164" s="29"/>
      <c r="EU164" s="27"/>
      <c r="EV164" s="27"/>
      <c r="EW164" s="28" t="str">
        <f>IFERROR(VLOOKUP(EU164,Horarios!$H:$I,2,0),"")</f>
        <v/>
      </c>
      <c r="EX164" s="28" t="str">
        <f>IFERROR(VLOOKUP(EV164,Horarios!$H:$I,2,0),"")</f>
        <v/>
      </c>
      <c r="EY164" s="28" t="str">
        <f t="shared" si="123"/>
        <v>00:00</v>
      </c>
      <c r="EZ164" s="29"/>
      <c r="FA164" s="27"/>
      <c r="FB164" s="27"/>
      <c r="FC164" s="28" t="str">
        <f>IFERROR(VLOOKUP(FA164,Horarios!$H:$I,2,0),"")</f>
        <v/>
      </c>
      <c r="FD164" s="28" t="str">
        <f>IFERROR(VLOOKUP(FB164,Horarios!$H:$I,2,0),"")</f>
        <v/>
      </c>
      <c r="FE164" s="28" t="str">
        <f t="shared" si="124"/>
        <v>00:00</v>
      </c>
      <c r="FF164" s="29"/>
      <c r="FG164" s="27"/>
      <c r="FH164" s="27"/>
      <c r="FI164" s="28" t="str">
        <f>IFERROR(VLOOKUP(FG164,Horarios!$H:$I,2,0),"")</f>
        <v/>
      </c>
      <c r="FJ164" s="28" t="str">
        <f>IFERROR(VLOOKUP(FH164,Horarios!$H:$I,2,0),"")</f>
        <v/>
      </c>
      <c r="FK164" s="28" t="str">
        <f t="shared" si="125"/>
        <v>00:00</v>
      </c>
      <c r="FL164" s="29"/>
      <c r="FM164" s="27"/>
      <c r="FN164" s="27"/>
      <c r="FO164" s="28" t="str">
        <f>IFERROR(VLOOKUP(FM164,Horarios!$H:$I,2,0),"")</f>
        <v/>
      </c>
      <c r="FP164" s="28" t="str">
        <f>IFERROR(VLOOKUP(FN164,Horarios!$H:$I,2,0),"")</f>
        <v/>
      </c>
      <c r="FQ164" s="28" t="str">
        <f t="shared" si="126"/>
        <v>00:00</v>
      </c>
      <c r="FR164" s="29"/>
      <c r="FS164" s="31" t="str">
        <f t="shared" si="127"/>
        <v/>
      </c>
      <c r="FT164" s="27"/>
      <c r="FU164" s="27"/>
      <c r="FV164" s="28" t="str">
        <f>IFERROR(VLOOKUP(FT164,Horarios!$H:$I,2,0),"")</f>
        <v/>
      </c>
      <c r="FW164" s="28" t="str">
        <f>IFERROR(VLOOKUP(FU164,Horarios!$H:$I,2,0),"")</f>
        <v/>
      </c>
      <c r="FX164" s="28" t="str">
        <f t="shared" si="128"/>
        <v>00:00</v>
      </c>
      <c r="FY164" s="29"/>
      <c r="FZ164" s="27"/>
      <c r="GA164" s="27"/>
      <c r="GB164" s="28" t="str">
        <f>IFERROR(VLOOKUP(FZ164,Horarios!$H:$I,2,0),"")</f>
        <v/>
      </c>
      <c r="GC164" s="28" t="str">
        <f>IFERROR(VLOOKUP(GA164,Horarios!$H:$I,2,0),"")</f>
        <v/>
      </c>
      <c r="GD164" s="28" t="str">
        <f t="shared" si="129"/>
        <v>00:00</v>
      </c>
      <c r="GE164" s="29"/>
      <c r="GF164" s="27"/>
      <c r="GG164" s="27"/>
      <c r="GH164" s="28" t="str">
        <f>IFERROR(VLOOKUP(GF164,Horarios!$H:$I,2,0),"")</f>
        <v/>
      </c>
      <c r="GI164" s="28" t="str">
        <f>IFERROR(VLOOKUP(GG164,Horarios!$H:$I,2,0),"")</f>
        <v/>
      </c>
      <c r="GJ164" s="28" t="str">
        <f t="shared" si="130"/>
        <v>00:00</v>
      </c>
      <c r="GK164" s="29"/>
      <c r="GL164" s="27"/>
      <c r="GM164" s="27"/>
      <c r="GN164" s="28" t="str">
        <f>IFERROR(VLOOKUP(GL164,Horarios!$H:$I,2,0),"")</f>
        <v/>
      </c>
      <c r="GO164" s="28" t="str">
        <f>IFERROR(VLOOKUP(GM164,Horarios!$H:$I,2,0),"")</f>
        <v/>
      </c>
      <c r="GP164" s="28" t="str">
        <f t="shared" si="131"/>
        <v>00:00</v>
      </c>
      <c r="GQ164" s="29"/>
      <c r="GR164" s="27"/>
      <c r="GS164" s="27"/>
      <c r="GT164" s="28" t="str">
        <f>IFERROR(VLOOKUP(GR164,Horarios!$H:$I,2,0),"")</f>
        <v/>
      </c>
      <c r="GU164" s="28" t="str">
        <f>IFERROR(VLOOKUP(GS164,Horarios!$H:$I,2,0),"")</f>
        <v/>
      </c>
      <c r="GV164" s="28" t="str">
        <f t="shared" si="132"/>
        <v>00:00</v>
      </c>
      <c r="GW164" s="29"/>
      <c r="GX164" s="27"/>
      <c r="GY164" s="27"/>
      <c r="GZ164" s="28" t="str">
        <f>IFERROR(VLOOKUP(GX164,Horarios!$H:$I,2,0),"")</f>
        <v/>
      </c>
      <c r="HA164" s="28" t="str">
        <f>IFERROR(VLOOKUP(GY164,Horarios!$H:$I,2,0),"")</f>
        <v/>
      </c>
      <c r="HB164" s="28" t="str">
        <f t="shared" si="133"/>
        <v>00:00</v>
      </c>
      <c r="HC164" s="29"/>
      <c r="HD164" s="27"/>
      <c r="HE164" s="27"/>
      <c r="HF164" s="28" t="str">
        <f>IFERROR(VLOOKUP(HD164,Horarios!$H:$I,2,0),"")</f>
        <v/>
      </c>
      <c r="HG164" s="28" t="str">
        <f>IFERROR(VLOOKUP(HE164,Horarios!$H:$I,2,0),"")</f>
        <v/>
      </c>
      <c r="HH164" s="28" t="str">
        <f t="shared" si="134"/>
        <v>00:00</v>
      </c>
      <c r="HI164" s="29"/>
      <c r="HJ164" s="31" t="str">
        <f t="shared" si="135"/>
        <v/>
      </c>
      <c r="HK164" s="27"/>
      <c r="HL164" s="27"/>
      <c r="HM164" s="28" t="str">
        <f>IFERROR(VLOOKUP(HK164,Horarios!$H:$I,2,0),"")</f>
        <v/>
      </c>
      <c r="HN164" s="28" t="str">
        <f>IFERROR(VLOOKUP(HL164,Horarios!$H:$I,2,0),"")</f>
        <v/>
      </c>
      <c r="HO164" s="28" t="str">
        <f t="shared" si="136"/>
        <v>00:00</v>
      </c>
      <c r="HP164" s="29"/>
      <c r="HQ164" s="27"/>
      <c r="HR164" s="27"/>
      <c r="HS164" s="28" t="str">
        <f>IFERROR(VLOOKUP(HQ164,Horarios!$H:$I,2,0),"")</f>
        <v/>
      </c>
      <c r="HT164" s="28" t="str">
        <f>IFERROR(VLOOKUP(HR164,Horarios!$H:$I,2,0),"")</f>
        <v/>
      </c>
      <c r="HU164" s="28" t="str">
        <f t="shared" si="137"/>
        <v>00:00</v>
      </c>
      <c r="HV164" s="29"/>
      <c r="HW164" s="27"/>
      <c r="HX164" s="27"/>
      <c r="HY164" s="28" t="str">
        <f>IFERROR(VLOOKUP(HW164,Horarios!$H:$I,2,0),"")</f>
        <v/>
      </c>
      <c r="HZ164" s="28" t="str">
        <f>IFERROR(VLOOKUP(HX164,Horarios!$H:$I,2,0),"")</f>
        <v/>
      </c>
      <c r="IA164" s="28" t="str">
        <f t="shared" si="138"/>
        <v>00:00</v>
      </c>
      <c r="IB164" s="29"/>
      <c r="IC164" s="27"/>
      <c r="ID164" s="27"/>
      <c r="IE164" s="28" t="str">
        <f>IFERROR(VLOOKUP(IC164,Horarios!$H:$I,2,0),"")</f>
        <v/>
      </c>
      <c r="IF164" s="28" t="str">
        <f>IFERROR(VLOOKUP(ID164,Horarios!$H:$I,2,0),"")</f>
        <v/>
      </c>
      <c r="IG164" s="28" t="str">
        <f t="shared" si="139"/>
        <v>00:00</v>
      </c>
      <c r="IH164" s="29"/>
      <c r="II164" s="27"/>
      <c r="IJ164" s="27"/>
      <c r="IK164" s="28" t="str">
        <f>IFERROR(VLOOKUP(II164,Horarios!$H:$I,2,0),"")</f>
        <v/>
      </c>
      <c r="IL164" s="28" t="str">
        <f>IFERROR(VLOOKUP(IJ164,Horarios!$H:$I,2,0),"")</f>
        <v/>
      </c>
      <c r="IM164" s="28" t="str">
        <f t="shared" si="140"/>
        <v>00:00</v>
      </c>
      <c r="IN164" s="29"/>
      <c r="IO164" s="27"/>
      <c r="IP164" s="27"/>
      <c r="IQ164" s="28" t="str">
        <f>IFERROR(VLOOKUP(IO164,Horarios!$H:$I,2,0),"")</f>
        <v/>
      </c>
      <c r="IR164" s="28" t="str">
        <f>IFERROR(VLOOKUP(IP164,Horarios!$H:$I,2,0),"")</f>
        <v/>
      </c>
      <c r="IS164" s="28" t="str">
        <f t="shared" si="141"/>
        <v>00:00</v>
      </c>
      <c r="IT164" s="29"/>
      <c r="IU164" s="27"/>
      <c r="IV164" s="27"/>
      <c r="IW164" s="28" t="str">
        <f>IFERROR(VLOOKUP(IU164,Horarios!$H:$I,2,0),"")</f>
        <v/>
      </c>
      <c r="IX164" s="28" t="str">
        <f>IFERROR(VLOOKUP(IV164,Horarios!$H:$I,2,0),"")</f>
        <v/>
      </c>
      <c r="IY164" s="28" t="str">
        <f t="shared" si="142"/>
        <v>00:00</v>
      </c>
      <c r="IZ164" s="29"/>
      <c r="JA164" s="31" t="str">
        <f t="shared" si="143"/>
        <v/>
      </c>
    </row>
    <row r="165" spans="1:261" s="24" customFormat="1" ht="17.399999999999999" x14ac:dyDescent="0.25">
      <c r="A165" s="25"/>
      <c r="B165" s="26" t="str">
        <f>IFERROR(VLOOKUP(A165,BaseNombres!A:B,2,0),"")</f>
        <v/>
      </c>
      <c r="C165" s="26" t="str">
        <f>IFERROR(VLOOKUP(A165,BaseNombres!A:C,3,0),"")</f>
        <v/>
      </c>
      <c r="D165" s="27"/>
      <c r="E165" s="27"/>
      <c r="F165" s="28" t="str">
        <f>IFERROR(VLOOKUP(D165,Horarios!$H:$I,2,0),"")</f>
        <v/>
      </c>
      <c r="G165" s="28" t="str">
        <f>IFERROR(VLOOKUP(E165,Horarios!$H:$I,2,0),"")</f>
        <v/>
      </c>
      <c r="H165" s="28" t="str">
        <f t="shared" si="96"/>
        <v>00:00</v>
      </c>
      <c r="I165" s="29"/>
      <c r="J165" s="27"/>
      <c r="K165" s="27"/>
      <c r="L165" s="28" t="str">
        <f>IFERROR(VLOOKUP(J165,Horarios!$H:$I,2,0),"")</f>
        <v/>
      </c>
      <c r="M165" s="28" t="str">
        <f>IFERROR(VLOOKUP(K165,Horarios!$H:$I,2,0),"")</f>
        <v/>
      </c>
      <c r="N165" s="28" t="str">
        <f t="shared" si="97"/>
        <v>00:00</v>
      </c>
      <c r="O165" s="29"/>
      <c r="P165" s="27"/>
      <c r="Q165" s="27"/>
      <c r="R165" s="28" t="str">
        <f>IFERROR(VLOOKUP(P165,Horarios!$H:$I,2,0),"")</f>
        <v/>
      </c>
      <c r="S165" s="28" t="str">
        <f>IFERROR(VLOOKUP(Q165,Horarios!$H:$I,2,0),"")</f>
        <v/>
      </c>
      <c r="T165" s="28" t="str">
        <f t="shared" si="98"/>
        <v>00:00</v>
      </c>
      <c r="U165" s="29"/>
      <c r="V165" s="27"/>
      <c r="W165" s="27"/>
      <c r="X165" s="28" t="str">
        <f>IFERROR(VLOOKUP(V165,Horarios!$H:$I,2,0),"")</f>
        <v/>
      </c>
      <c r="Y165" s="28" t="str">
        <f>IFERROR(VLOOKUP(W165,Horarios!$H:$I,2,0),"")</f>
        <v/>
      </c>
      <c r="Z165" s="28" t="str">
        <f t="shared" si="99"/>
        <v>00:00</v>
      </c>
      <c r="AA165" s="29"/>
      <c r="AB165" s="27"/>
      <c r="AC165" s="27"/>
      <c r="AD165" s="28" t="str">
        <f>IFERROR(VLOOKUP(AB165,Horarios!$H:$I,2,0),"")</f>
        <v/>
      </c>
      <c r="AE165" s="28" t="str">
        <f>IFERROR(VLOOKUP(AC165,Horarios!$H:$I,2,0),"")</f>
        <v/>
      </c>
      <c r="AF165" s="28" t="str">
        <f t="shared" si="100"/>
        <v>00:00</v>
      </c>
      <c r="AG165" s="29"/>
      <c r="AH165" s="27"/>
      <c r="AI165" s="27"/>
      <c r="AJ165" s="28" t="str">
        <f>IFERROR(VLOOKUP(AH165,Horarios!$H:$I,2,0),"")</f>
        <v/>
      </c>
      <c r="AK165" s="28" t="str">
        <f>IFERROR(VLOOKUP(AI165,Horarios!$H:$I,2,0),"")</f>
        <v/>
      </c>
      <c r="AL165" s="28" t="str">
        <f t="shared" si="101"/>
        <v>00:00</v>
      </c>
      <c r="AM165" s="29"/>
      <c r="AN165" s="27"/>
      <c r="AO165" s="27"/>
      <c r="AP165" s="28" t="str">
        <f>IFERROR(VLOOKUP(AN165,Horarios!$H:$I,2,0),"")</f>
        <v/>
      </c>
      <c r="AQ165" s="28" t="str">
        <f>IFERROR(VLOOKUP(AO165,Horarios!$H:$I,2,0),"")</f>
        <v/>
      </c>
      <c r="AR165" s="28" t="str">
        <f t="shared" si="102"/>
        <v>00:00</v>
      </c>
      <c r="AS165" s="29"/>
      <c r="AT165" s="31" t="str">
        <f t="shared" si="103"/>
        <v/>
      </c>
      <c r="AU165" s="27"/>
      <c r="AV165" s="27"/>
      <c r="AW165" s="28" t="str">
        <f>IFERROR(VLOOKUP(AU165,Horarios!$H:$I,2,0),"")</f>
        <v/>
      </c>
      <c r="AX165" s="28" t="str">
        <f>IFERROR(VLOOKUP(AV165,Horarios!$H:$I,2,0),"")</f>
        <v/>
      </c>
      <c r="AY165" s="28" t="str">
        <f t="shared" si="104"/>
        <v>00:00</v>
      </c>
      <c r="AZ165" s="29"/>
      <c r="BA165" s="27"/>
      <c r="BB165" s="27"/>
      <c r="BC165" s="28" t="str">
        <f>IFERROR(VLOOKUP(BA165,Horarios!$H:$I,2,0),"")</f>
        <v/>
      </c>
      <c r="BD165" s="28" t="str">
        <f>IFERROR(VLOOKUP(BB165,Horarios!$H:$I,2,0),"")</f>
        <v/>
      </c>
      <c r="BE165" s="28" t="str">
        <f t="shared" si="105"/>
        <v>00:00</v>
      </c>
      <c r="BF165" s="29"/>
      <c r="BG165" s="27"/>
      <c r="BH165" s="27"/>
      <c r="BI165" s="28" t="str">
        <f>IFERROR(VLOOKUP(BG165,Horarios!$H:$I,2,0),"")</f>
        <v/>
      </c>
      <c r="BJ165" s="28" t="str">
        <f>IFERROR(VLOOKUP(BH165,Horarios!$H:$I,2,0),"")</f>
        <v/>
      </c>
      <c r="BK165" s="28" t="str">
        <f t="shared" si="106"/>
        <v>00:00</v>
      </c>
      <c r="BL165" s="29"/>
      <c r="BM165" s="27"/>
      <c r="BN165" s="27"/>
      <c r="BO165" s="28" t="str">
        <f>IFERROR(VLOOKUP(BM165,Horarios!$H:$I,2,0),"")</f>
        <v/>
      </c>
      <c r="BP165" s="28" t="str">
        <f>IFERROR(VLOOKUP(BN165,Horarios!$H:$I,2,0),"")</f>
        <v/>
      </c>
      <c r="BQ165" s="28" t="str">
        <f t="shared" si="107"/>
        <v>00:00</v>
      </c>
      <c r="BR165" s="29"/>
      <c r="BS165" s="27"/>
      <c r="BT165" s="27"/>
      <c r="BU165" s="28" t="str">
        <f>IFERROR(VLOOKUP(BS165,Horarios!$H:$I,2,0),"")</f>
        <v/>
      </c>
      <c r="BV165" s="28" t="str">
        <f>IFERROR(VLOOKUP(BT165,Horarios!$H:$I,2,0),"")</f>
        <v/>
      </c>
      <c r="BW165" s="28" t="str">
        <f t="shared" si="108"/>
        <v>00:00</v>
      </c>
      <c r="BX165" s="29"/>
      <c r="BY165" s="27"/>
      <c r="BZ165" s="27"/>
      <c r="CA165" s="28" t="str">
        <f>IFERROR(VLOOKUP(BY165,Horarios!$H:$I,2,0),"")</f>
        <v/>
      </c>
      <c r="CB165" s="28" t="str">
        <f>IFERROR(VLOOKUP(BZ165,Horarios!$H:$I,2,0),"")</f>
        <v/>
      </c>
      <c r="CC165" s="28" t="str">
        <f t="shared" si="109"/>
        <v>00:00</v>
      </c>
      <c r="CD165" s="29"/>
      <c r="CE165" s="27"/>
      <c r="CF165" s="27"/>
      <c r="CG165" s="28" t="str">
        <f>IFERROR(VLOOKUP(CE165,Horarios!$H:$I,2,0),"")</f>
        <v/>
      </c>
      <c r="CH165" s="28" t="str">
        <f>IFERROR(VLOOKUP(CF165,Horarios!$H:$I,2,0),"")</f>
        <v/>
      </c>
      <c r="CI165" s="28" t="str">
        <f t="shared" si="110"/>
        <v>00:00</v>
      </c>
      <c r="CJ165" s="29"/>
      <c r="CK165" s="31" t="str">
        <f t="shared" si="111"/>
        <v/>
      </c>
      <c r="CL165" s="27"/>
      <c r="CM165" s="27"/>
      <c r="CN165" s="28" t="str">
        <f>IFERROR(VLOOKUP(CL165,Horarios!$H:$I,2,0),"")</f>
        <v/>
      </c>
      <c r="CO165" s="28" t="str">
        <f>IFERROR(VLOOKUP(CM165,Horarios!$H:$I,2,0),"")</f>
        <v/>
      </c>
      <c r="CP165" s="28" t="str">
        <f t="shared" si="112"/>
        <v>00:00</v>
      </c>
      <c r="CQ165" s="29"/>
      <c r="CR165" s="27"/>
      <c r="CS165" s="27"/>
      <c r="CT165" s="28" t="str">
        <f>IFERROR(VLOOKUP(CR165,Horarios!$H:$I,2,0),"")</f>
        <v/>
      </c>
      <c r="CU165" s="28" t="str">
        <f>IFERROR(VLOOKUP(CS165,Horarios!$H:$I,2,0),"")</f>
        <v/>
      </c>
      <c r="CV165" s="28" t="str">
        <f t="shared" si="113"/>
        <v>00:00</v>
      </c>
      <c r="CW165" s="29"/>
      <c r="CX165" s="27"/>
      <c r="CY165" s="27"/>
      <c r="CZ165" s="28" t="str">
        <f>IFERROR(VLOOKUP(CX165,Horarios!$H:$I,2,0),"")</f>
        <v/>
      </c>
      <c r="DA165" s="28" t="str">
        <f>IFERROR(VLOOKUP(CY165,Horarios!$H:$I,2,0),"")</f>
        <v/>
      </c>
      <c r="DB165" s="28" t="str">
        <f t="shared" si="114"/>
        <v>00:00</v>
      </c>
      <c r="DC165" s="29"/>
      <c r="DD165" s="27"/>
      <c r="DE165" s="27"/>
      <c r="DF165" s="28" t="str">
        <f>IFERROR(VLOOKUP(DD165,Horarios!$H:$I,2,0),"")</f>
        <v/>
      </c>
      <c r="DG165" s="28" t="str">
        <f>IFERROR(VLOOKUP(DE165,Horarios!$H:$I,2,0),"")</f>
        <v/>
      </c>
      <c r="DH165" s="28" t="str">
        <f t="shared" si="115"/>
        <v>00:00</v>
      </c>
      <c r="DI165" s="29"/>
      <c r="DJ165" s="27"/>
      <c r="DK165" s="27"/>
      <c r="DL165" s="28" t="str">
        <f>IFERROR(VLOOKUP(DJ165,Horarios!$H:$I,2,0),"")</f>
        <v/>
      </c>
      <c r="DM165" s="28" t="str">
        <f>IFERROR(VLOOKUP(DK165,Horarios!$H:$I,2,0),"")</f>
        <v/>
      </c>
      <c r="DN165" s="28" t="str">
        <f t="shared" si="116"/>
        <v>00:00</v>
      </c>
      <c r="DO165" s="29"/>
      <c r="DP165" s="27"/>
      <c r="DQ165" s="27"/>
      <c r="DR165" s="28" t="str">
        <f>IFERROR(VLOOKUP(DP165,Horarios!$H:$I,2,0),"")</f>
        <v/>
      </c>
      <c r="DS165" s="28" t="str">
        <f>IFERROR(VLOOKUP(DQ165,Horarios!$H:$I,2,0),"")</f>
        <v/>
      </c>
      <c r="DT165" s="28" t="str">
        <f t="shared" si="117"/>
        <v>00:00</v>
      </c>
      <c r="DU165" s="29"/>
      <c r="DV165" s="27"/>
      <c r="DW165" s="27"/>
      <c r="DX165" s="28" t="str">
        <f>IFERROR(VLOOKUP(DV165,Horarios!$H:$I,2,0),"")</f>
        <v/>
      </c>
      <c r="DY165" s="28" t="str">
        <f>IFERROR(VLOOKUP(DW165,Horarios!$H:$I,2,0),"")</f>
        <v/>
      </c>
      <c r="DZ165" s="28" t="str">
        <f t="shared" si="118"/>
        <v>00:00</v>
      </c>
      <c r="EA165" s="29"/>
      <c r="EB165" s="31" t="str">
        <f t="shared" si="119"/>
        <v/>
      </c>
      <c r="EC165" s="27"/>
      <c r="ED165" s="27"/>
      <c r="EE165" s="28" t="str">
        <f>IFERROR(VLOOKUP(EC165,Horarios!$H:$I,2,0),"")</f>
        <v/>
      </c>
      <c r="EF165" s="28" t="str">
        <f>IFERROR(VLOOKUP(ED165,Horarios!$H:$I,2,0),"")</f>
        <v/>
      </c>
      <c r="EG165" s="28" t="str">
        <f t="shared" si="120"/>
        <v>00:00</v>
      </c>
      <c r="EH165" s="29"/>
      <c r="EI165" s="27"/>
      <c r="EJ165" s="27"/>
      <c r="EK165" s="28" t="str">
        <f>IFERROR(VLOOKUP(EI165,Horarios!$H:$I,2,0),"")</f>
        <v/>
      </c>
      <c r="EL165" s="28" t="str">
        <f>IFERROR(VLOOKUP(EJ165,Horarios!$H:$I,2,0),"")</f>
        <v/>
      </c>
      <c r="EM165" s="28" t="str">
        <f t="shared" si="121"/>
        <v>00:00</v>
      </c>
      <c r="EN165" s="29"/>
      <c r="EO165" s="27"/>
      <c r="EP165" s="27"/>
      <c r="EQ165" s="28" t="str">
        <f>IFERROR(VLOOKUP(EO165,Horarios!$H:$I,2,0),"")</f>
        <v/>
      </c>
      <c r="ER165" s="28" t="str">
        <f>IFERROR(VLOOKUP(EP165,Horarios!$H:$I,2,0),"")</f>
        <v/>
      </c>
      <c r="ES165" s="28" t="str">
        <f t="shared" si="122"/>
        <v>00:00</v>
      </c>
      <c r="ET165" s="29"/>
      <c r="EU165" s="27"/>
      <c r="EV165" s="27"/>
      <c r="EW165" s="28" t="str">
        <f>IFERROR(VLOOKUP(EU165,Horarios!$H:$I,2,0),"")</f>
        <v/>
      </c>
      <c r="EX165" s="28" t="str">
        <f>IFERROR(VLOOKUP(EV165,Horarios!$H:$I,2,0),"")</f>
        <v/>
      </c>
      <c r="EY165" s="28" t="str">
        <f t="shared" si="123"/>
        <v>00:00</v>
      </c>
      <c r="EZ165" s="29"/>
      <c r="FA165" s="27"/>
      <c r="FB165" s="27"/>
      <c r="FC165" s="28" t="str">
        <f>IFERROR(VLOOKUP(FA165,Horarios!$H:$I,2,0),"")</f>
        <v/>
      </c>
      <c r="FD165" s="28" t="str">
        <f>IFERROR(VLOOKUP(FB165,Horarios!$H:$I,2,0),"")</f>
        <v/>
      </c>
      <c r="FE165" s="28" t="str">
        <f t="shared" si="124"/>
        <v>00:00</v>
      </c>
      <c r="FF165" s="29"/>
      <c r="FG165" s="27"/>
      <c r="FH165" s="27"/>
      <c r="FI165" s="28" t="str">
        <f>IFERROR(VLOOKUP(FG165,Horarios!$H:$I,2,0),"")</f>
        <v/>
      </c>
      <c r="FJ165" s="28" t="str">
        <f>IFERROR(VLOOKUP(FH165,Horarios!$H:$I,2,0),"")</f>
        <v/>
      </c>
      <c r="FK165" s="28" t="str">
        <f t="shared" si="125"/>
        <v>00:00</v>
      </c>
      <c r="FL165" s="29"/>
      <c r="FM165" s="27"/>
      <c r="FN165" s="27"/>
      <c r="FO165" s="28" t="str">
        <f>IFERROR(VLOOKUP(FM165,Horarios!$H:$I,2,0),"")</f>
        <v/>
      </c>
      <c r="FP165" s="28" t="str">
        <f>IFERROR(VLOOKUP(FN165,Horarios!$H:$I,2,0),"")</f>
        <v/>
      </c>
      <c r="FQ165" s="28" t="str">
        <f t="shared" si="126"/>
        <v>00:00</v>
      </c>
      <c r="FR165" s="29"/>
      <c r="FS165" s="31" t="str">
        <f t="shared" si="127"/>
        <v/>
      </c>
      <c r="FT165" s="27"/>
      <c r="FU165" s="27"/>
      <c r="FV165" s="28" t="str">
        <f>IFERROR(VLOOKUP(FT165,Horarios!$H:$I,2,0),"")</f>
        <v/>
      </c>
      <c r="FW165" s="28" t="str">
        <f>IFERROR(VLOOKUP(FU165,Horarios!$H:$I,2,0),"")</f>
        <v/>
      </c>
      <c r="FX165" s="28" t="str">
        <f t="shared" si="128"/>
        <v>00:00</v>
      </c>
      <c r="FY165" s="29"/>
      <c r="FZ165" s="27"/>
      <c r="GA165" s="27"/>
      <c r="GB165" s="28" t="str">
        <f>IFERROR(VLOOKUP(FZ165,Horarios!$H:$I,2,0),"")</f>
        <v/>
      </c>
      <c r="GC165" s="28" t="str">
        <f>IFERROR(VLOOKUP(GA165,Horarios!$H:$I,2,0),"")</f>
        <v/>
      </c>
      <c r="GD165" s="28" t="str">
        <f t="shared" si="129"/>
        <v>00:00</v>
      </c>
      <c r="GE165" s="29"/>
      <c r="GF165" s="27"/>
      <c r="GG165" s="27"/>
      <c r="GH165" s="28" t="str">
        <f>IFERROR(VLOOKUP(GF165,Horarios!$H:$I,2,0),"")</f>
        <v/>
      </c>
      <c r="GI165" s="28" t="str">
        <f>IFERROR(VLOOKUP(GG165,Horarios!$H:$I,2,0),"")</f>
        <v/>
      </c>
      <c r="GJ165" s="28" t="str">
        <f t="shared" si="130"/>
        <v>00:00</v>
      </c>
      <c r="GK165" s="29"/>
      <c r="GL165" s="27"/>
      <c r="GM165" s="27"/>
      <c r="GN165" s="28" t="str">
        <f>IFERROR(VLOOKUP(GL165,Horarios!$H:$I,2,0),"")</f>
        <v/>
      </c>
      <c r="GO165" s="28" t="str">
        <f>IFERROR(VLOOKUP(GM165,Horarios!$H:$I,2,0),"")</f>
        <v/>
      </c>
      <c r="GP165" s="28" t="str">
        <f t="shared" si="131"/>
        <v>00:00</v>
      </c>
      <c r="GQ165" s="29"/>
      <c r="GR165" s="27"/>
      <c r="GS165" s="27"/>
      <c r="GT165" s="28" t="str">
        <f>IFERROR(VLOOKUP(GR165,Horarios!$H:$I,2,0),"")</f>
        <v/>
      </c>
      <c r="GU165" s="28" t="str">
        <f>IFERROR(VLOOKUP(GS165,Horarios!$H:$I,2,0),"")</f>
        <v/>
      </c>
      <c r="GV165" s="28" t="str">
        <f t="shared" si="132"/>
        <v>00:00</v>
      </c>
      <c r="GW165" s="29"/>
      <c r="GX165" s="27"/>
      <c r="GY165" s="27"/>
      <c r="GZ165" s="28" t="str">
        <f>IFERROR(VLOOKUP(GX165,Horarios!$H:$I,2,0),"")</f>
        <v/>
      </c>
      <c r="HA165" s="28" t="str">
        <f>IFERROR(VLOOKUP(GY165,Horarios!$H:$I,2,0),"")</f>
        <v/>
      </c>
      <c r="HB165" s="28" t="str">
        <f t="shared" si="133"/>
        <v>00:00</v>
      </c>
      <c r="HC165" s="29"/>
      <c r="HD165" s="27"/>
      <c r="HE165" s="27"/>
      <c r="HF165" s="28" t="str">
        <f>IFERROR(VLOOKUP(HD165,Horarios!$H:$I,2,0),"")</f>
        <v/>
      </c>
      <c r="HG165" s="28" t="str">
        <f>IFERROR(VLOOKUP(HE165,Horarios!$H:$I,2,0),"")</f>
        <v/>
      </c>
      <c r="HH165" s="28" t="str">
        <f t="shared" si="134"/>
        <v>00:00</v>
      </c>
      <c r="HI165" s="29"/>
      <c r="HJ165" s="31" t="str">
        <f t="shared" si="135"/>
        <v/>
      </c>
      <c r="HK165" s="27"/>
      <c r="HL165" s="27"/>
      <c r="HM165" s="28" t="str">
        <f>IFERROR(VLOOKUP(HK165,Horarios!$H:$I,2,0),"")</f>
        <v/>
      </c>
      <c r="HN165" s="28" t="str">
        <f>IFERROR(VLOOKUP(HL165,Horarios!$H:$I,2,0),"")</f>
        <v/>
      </c>
      <c r="HO165" s="28" t="str">
        <f t="shared" si="136"/>
        <v>00:00</v>
      </c>
      <c r="HP165" s="29"/>
      <c r="HQ165" s="27"/>
      <c r="HR165" s="27"/>
      <c r="HS165" s="28" t="str">
        <f>IFERROR(VLOOKUP(HQ165,Horarios!$H:$I,2,0),"")</f>
        <v/>
      </c>
      <c r="HT165" s="28" t="str">
        <f>IFERROR(VLOOKUP(HR165,Horarios!$H:$I,2,0),"")</f>
        <v/>
      </c>
      <c r="HU165" s="28" t="str">
        <f t="shared" si="137"/>
        <v>00:00</v>
      </c>
      <c r="HV165" s="29"/>
      <c r="HW165" s="27"/>
      <c r="HX165" s="27"/>
      <c r="HY165" s="28" t="str">
        <f>IFERROR(VLOOKUP(HW165,Horarios!$H:$I,2,0),"")</f>
        <v/>
      </c>
      <c r="HZ165" s="28" t="str">
        <f>IFERROR(VLOOKUP(HX165,Horarios!$H:$I,2,0),"")</f>
        <v/>
      </c>
      <c r="IA165" s="28" t="str">
        <f t="shared" si="138"/>
        <v>00:00</v>
      </c>
      <c r="IB165" s="29"/>
      <c r="IC165" s="27"/>
      <c r="ID165" s="27"/>
      <c r="IE165" s="28" t="str">
        <f>IFERROR(VLOOKUP(IC165,Horarios!$H:$I,2,0),"")</f>
        <v/>
      </c>
      <c r="IF165" s="28" t="str">
        <f>IFERROR(VLOOKUP(ID165,Horarios!$H:$I,2,0),"")</f>
        <v/>
      </c>
      <c r="IG165" s="28" t="str">
        <f t="shared" si="139"/>
        <v>00:00</v>
      </c>
      <c r="IH165" s="29"/>
      <c r="II165" s="27"/>
      <c r="IJ165" s="27"/>
      <c r="IK165" s="28" t="str">
        <f>IFERROR(VLOOKUP(II165,Horarios!$H:$I,2,0),"")</f>
        <v/>
      </c>
      <c r="IL165" s="28" t="str">
        <f>IFERROR(VLOOKUP(IJ165,Horarios!$H:$I,2,0),"")</f>
        <v/>
      </c>
      <c r="IM165" s="28" t="str">
        <f t="shared" si="140"/>
        <v>00:00</v>
      </c>
      <c r="IN165" s="29"/>
      <c r="IO165" s="27"/>
      <c r="IP165" s="27"/>
      <c r="IQ165" s="28" t="str">
        <f>IFERROR(VLOOKUP(IO165,Horarios!$H:$I,2,0),"")</f>
        <v/>
      </c>
      <c r="IR165" s="28" t="str">
        <f>IFERROR(VLOOKUP(IP165,Horarios!$H:$I,2,0),"")</f>
        <v/>
      </c>
      <c r="IS165" s="28" t="str">
        <f t="shared" si="141"/>
        <v>00:00</v>
      </c>
      <c r="IT165" s="29"/>
      <c r="IU165" s="27"/>
      <c r="IV165" s="27"/>
      <c r="IW165" s="28" t="str">
        <f>IFERROR(VLOOKUP(IU165,Horarios!$H:$I,2,0),"")</f>
        <v/>
      </c>
      <c r="IX165" s="28" t="str">
        <f>IFERROR(VLOOKUP(IV165,Horarios!$H:$I,2,0),"")</f>
        <v/>
      </c>
      <c r="IY165" s="28" t="str">
        <f t="shared" si="142"/>
        <v>00:00</v>
      </c>
      <c r="IZ165" s="29"/>
      <c r="JA165" s="31" t="str">
        <f t="shared" si="143"/>
        <v/>
      </c>
    </row>
    <row r="166" spans="1:261" s="24" customFormat="1" ht="17.399999999999999" x14ac:dyDescent="0.25">
      <c r="A166" s="25"/>
      <c r="B166" s="26" t="str">
        <f>IFERROR(VLOOKUP(A166,BaseNombres!A:B,2,0),"")</f>
        <v/>
      </c>
      <c r="C166" s="26" t="str">
        <f>IFERROR(VLOOKUP(A166,BaseNombres!A:C,3,0),"")</f>
        <v/>
      </c>
      <c r="D166" s="27"/>
      <c r="E166" s="27"/>
      <c r="F166" s="28" t="str">
        <f>IFERROR(VLOOKUP(D166,Horarios!$H:$I,2,0),"")</f>
        <v/>
      </c>
      <c r="G166" s="28" t="str">
        <f>IFERROR(VLOOKUP(E166,Horarios!$H:$I,2,0),"")</f>
        <v/>
      </c>
      <c r="H166" s="28" t="str">
        <f t="shared" si="96"/>
        <v>00:00</v>
      </c>
      <c r="I166" s="29"/>
      <c r="J166" s="27"/>
      <c r="K166" s="27"/>
      <c r="L166" s="28" t="str">
        <f>IFERROR(VLOOKUP(J166,Horarios!$H:$I,2,0),"")</f>
        <v/>
      </c>
      <c r="M166" s="28" t="str">
        <f>IFERROR(VLOOKUP(K166,Horarios!$H:$I,2,0),"")</f>
        <v/>
      </c>
      <c r="N166" s="28" t="str">
        <f t="shared" si="97"/>
        <v>00:00</v>
      </c>
      <c r="O166" s="29"/>
      <c r="P166" s="27"/>
      <c r="Q166" s="27"/>
      <c r="R166" s="28" t="str">
        <f>IFERROR(VLOOKUP(P166,Horarios!$H:$I,2,0),"")</f>
        <v/>
      </c>
      <c r="S166" s="28" t="str">
        <f>IFERROR(VLOOKUP(Q166,Horarios!$H:$I,2,0),"")</f>
        <v/>
      </c>
      <c r="T166" s="28" t="str">
        <f t="shared" si="98"/>
        <v>00:00</v>
      </c>
      <c r="U166" s="29"/>
      <c r="V166" s="27"/>
      <c r="W166" s="27"/>
      <c r="X166" s="28" t="str">
        <f>IFERROR(VLOOKUP(V166,Horarios!$H:$I,2,0),"")</f>
        <v/>
      </c>
      <c r="Y166" s="28" t="str">
        <f>IFERROR(VLOOKUP(W166,Horarios!$H:$I,2,0),"")</f>
        <v/>
      </c>
      <c r="Z166" s="28" t="str">
        <f t="shared" si="99"/>
        <v>00:00</v>
      </c>
      <c r="AA166" s="29"/>
      <c r="AB166" s="27"/>
      <c r="AC166" s="27"/>
      <c r="AD166" s="28" t="str">
        <f>IFERROR(VLOOKUP(AB166,Horarios!$H:$I,2,0),"")</f>
        <v/>
      </c>
      <c r="AE166" s="28" t="str">
        <f>IFERROR(VLOOKUP(AC166,Horarios!$H:$I,2,0),"")</f>
        <v/>
      </c>
      <c r="AF166" s="28" t="str">
        <f t="shared" si="100"/>
        <v>00:00</v>
      </c>
      <c r="AG166" s="29"/>
      <c r="AH166" s="27"/>
      <c r="AI166" s="27"/>
      <c r="AJ166" s="28" t="str">
        <f>IFERROR(VLOOKUP(AH166,Horarios!$H:$I,2,0),"")</f>
        <v/>
      </c>
      <c r="AK166" s="28" t="str">
        <f>IFERROR(VLOOKUP(AI166,Horarios!$H:$I,2,0),"")</f>
        <v/>
      </c>
      <c r="AL166" s="28" t="str">
        <f t="shared" si="101"/>
        <v>00:00</v>
      </c>
      <c r="AM166" s="29"/>
      <c r="AN166" s="27"/>
      <c r="AO166" s="27"/>
      <c r="AP166" s="28" t="str">
        <f>IFERROR(VLOOKUP(AN166,Horarios!$H:$I,2,0),"")</f>
        <v/>
      </c>
      <c r="AQ166" s="28" t="str">
        <f>IFERROR(VLOOKUP(AO166,Horarios!$H:$I,2,0),"")</f>
        <v/>
      </c>
      <c r="AR166" s="28" t="str">
        <f t="shared" si="102"/>
        <v>00:00</v>
      </c>
      <c r="AS166" s="29"/>
      <c r="AT166" s="31" t="str">
        <f t="shared" si="103"/>
        <v/>
      </c>
      <c r="AU166" s="27"/>
      <c r="AV166" s="27"/>
      <c r="AW166" s="28" t="str">
        <f>IFERROR(VLOOKUP(AU166,Horarios!$H:$I,2,0),"")</f>
        <v/>
      </c>
      <c r="AX166" s="28" t="str">
        <f>IFERROR(VLOOKUP(AV166,Horarios!$H:$I,2,0),"")</f>
        <v/>
      </c>
      <c r="AY166" s="28" t="str">
        <f t="shared" si="104"/>
        <v>00:00</v>
      </c>
      <c r="AZ166" s="29"/>
      <c r="BA166" s="27"/>
      <c r="BB166" s="27"/>
      <c r="BC166" s="28" t="str">
        <f>IFERROR(VLOOKUP(BA166,Horarios!$H:$I,2,0),"")</f>
        <v/>
      </c>
      <c r="BD166" s="28" t="str">
        <f>IFERROR(VLOOKUP(BB166,Horarios!$H:$I,2,0),"")</f>
        <v/>
      </c>
      <c r="BE166" s="28" t="str">
        <f t="shared" si="105"/>
        <v>00:00</v>
      </c>
      <c r="BF166" s="29"/>
      <c r="BG166" s="27"/>
      <c r="BH166" s="27"/>
      <c r="BI166" s="28" t="str">
        <f>IFERROR(VLOOKUP(BG166,Horarios!$H:$I,2,0),"")</f>
        <v/>
      </c>
      <c r="BJ166" s="28" t="str">
        <f>IFERROR(VLOOKUP(BH166,Horarios!$H:$I,2,0),"")</f>
        <v/>
      </c>
      <c r="BK166" s="28" t="str">
        <f t="shared" si="106"/>
        <v>00:00</v>
      </c>
      <c r="BL166" s="29"/>
      <c r="BM166" s="27"/>
      <c r="BN166" s="27"/>
      <c r="BO166" s="28" t="str">
        <f>IFERROR(VLOOKUP(BM166,Horarios!$H:$I,2,0),"")</f>
        <v/>
      </c>
      <c r="BP166" s="28" t="str">
        <f>IFERROR(VLOOKUP(BN166,Horarios!$H:$I,2,0),"")</f>
        <v/>
      </c>
      <c r="BQ166" s="28" t="str">
        <f t="shared" si="107"/>
        <v>00:00</v>
      </c>
      <c r="BR166" s="29"/>
      <c r="BS166" s="27"/>
      <c r="BT166" s="27"/>
      <c r="BU166" s="28" t="str">
        <f>IFERROR(VLOOKUP(BS166,Horarios!$H:$I,2,0),"")</f>
        <v/>
      </c>
      <c r="BV166" s="28" t="str">
        <f>IFERROR(VLOOKUP(BT166,Horarios!$H:$I,2,0),"")</f>
        <v/>
      </c>
      <c r="BW166" s="28" t="str">
        <f t="shared" si="108"/>
        <v>00:00</v>
      </c>
      <c r="BX166" s="29"/>
      <c r="BY166" s="27"/>
      <c r="BZ166" s="27"/>
      <c r="CA166" s="28" t="str">
        <f>IFERROR(VLOOKUP(BY166,Horarios!$H:$I,2,0),"")</f>
        <v/>
      </c>
      <c r="CB166" s="28" t="str">
        <f>IFERROR(VLOOKUP(BZ166,Horarios!$H:$I,2,0),"")</f>
        <v/>
      </c>
      <c r="CC166" s="28" t="str">
        <f t="shared" si="109"/>
        <v>00:00</v>
      </c>
      <c r="CD166" s="29"/>
      <c r="CE166" s="27"/>
      <c r="CF166" s="27"/>
      <c r="CG166" s="28" t="str">
        <f>IFERROR(VLOOKUP(CE166,Horarios!$H:$I,2,0),"")</f>
        <v/>
      </c>
      <c r="CH166" s="28" t="str">
        <f>IFERROR(VLOOKUP(CF166,Horarios!$H:$I,2,0),"")</f>
        <v/>
      </c>
      <c r="CI166" s="28" t="str">
        <f t="shared" si="110"/>
        <v>00:00</v>
      </c>
      <c r="CJ166" s="29"/>
      <c r="CK166" s="31" t="str">
        <f t="shared" si="111"/>
        <v/>
      </c>
      <c r="CL166" s="27"/>
      <c r="CM166" s="27"/>
      <c r="CN166" s="28" t="str">
        <f>IFERROR(VLOOKUP(CL166,Horarios!$H:$I,2,0),"")</f>
        <v/>
      </c>
      <c r="CO166" s="28" t="str">
        <f>IFERROR(VLOOKUP(CM166,Horarios!$H:$I,2,0),"")</f>
        <v/>
      </c>
      <c r="CP166" s="28" t="str">
        <f t="shared" si="112"/>
        <v>00:00</v>
      </c>
      <c r="CQ166" s="29"/>
      <c r="CR166" s="27"/>
      <c r="CS166" s="27"/>
      <c r="CT166" s="28" t="str">
        <f>IFERROR(VLOOKUP(CR166,Horarios!$H:$I,2,0),"")</f>
        <v/>
      </c>
      <c r="CU166" s="28" t="str">
        <f>IFERROR(VLOOKUP(CS166,Horarios!$H:$I,2,0),"")</f>
        <v/>
      </c>
      <c r="CV166" s="28" t="str">
        <f t="shared" si="113"/>
        <v>00:00</v>
      </c>
      <c r="CW166" s="29"/>
      <c r="CX166" s="27"/>
      <c r="CY166" s="27"/>
      <c r="CZ166" s="28" t="str">
        <f>IFERROR(VLOOKUP(CX166,Horarios!$H:$I,2,0),"")</f>
        <v/>
      </c>
      <c r="DA166" s="28" t="str">
        <f>IFERROR(VLOOKUP(CY166,Horarios!$H:$I,2,0),"")</f>
        <v/>
      </c>
      <c r="DB166" s="28" t="str">
        <f t="shared" si="114"/>
        <v>00:00</v>
      </c>
      <c r="DC166" s="29"/>
      <c r="DD166" s="27"/>
      <c r="DE166" s="27"/>
      <c r="DF166" s="28" t="str">
        <f>IFERROR(VLOOKUP(DD166,Horarios!$H:$I,2,0),"")</f>
        <v/>
      </c>
      <c r="DG166" s="28" t="str">
        <f>IFERROR(VLOOKUP(DE166,Horarios!$H:$I,2,0),"")</f>
        <v/>
      </c>
      <c r="DH166" s="28" t="str">
        <f t="shared" si="115"/>
        <v>00:00</v>
      </c>
      <c r="DI166" s="29"/>
      <c r="DJ166" s="27"/>
      <c r="DK166" s="27"/>
      <c r="DL166" s="28" t="str">
        <f>IFERROR(VLOOKUP(DJ166,Horarios!$H:$I,2,0),"")</f>
        <v/>
      </c>
      <c r="DM166" s="28" t="str">
        <f>IFERROR(VLOOKUP(DK166,Horarios!$H:$I,2,0),"")</f>
        <v/>
      </c>
      <c r="DN166" s="28" t="str">
        <f t="shared" si="116"/>
        <v>00:00</v>
      </c>
      <c r="DO166" s="29"/>
      <c r="DP166" s="27"/>
      <c r="DQ166" s="27"/>
      <c r="DR166" s="28" t="str">
        <f>IFERROR(VLOOKUP(DP166,Horarios!$H:$I,2,0),"")</f>
        <v/>
      </c>
      <c r="DS166" s="28" t="str">
        <f>IFERROR(VLOOKUP(DQ166,Horarios!$H:$I,2,0),"")</f>
        <v/>
      </c>
      <c r="DT166" s="28" t="str">
        <f t="shared" si="117"/>
        <v>00:00</v>
      </c>
      <c r="DU166" s="29"/>
      <c r="DV166" s="27"/>
      <c r="DW166" s="27"/>
      <c r="DX166" s="28" t="str">
        <f>IFERROR(VLOOKUP(DV166,Horarios!$H:$I,2,0),"")</f>
        <v/>
      </c>
      <c r="DY166" s="28" t="str">
        <f>IFERROR(VLOOKUP(DW166,Horarios!$H:$I,2,0),"")</f>
        <v/>
      </c>
      <c r="DZ166" s="28" t="str">
        <f t="shared" si="118"/>
        <v>00:00</v>
      </c>
      <c r="EA166" s="29"/>
      <c r="EB166" s="31" t="str">
        <f t="shared" si="119"/>
        <v/>
      </c>
      <c r="EC166" s="27"/>
      <c r="ED166" s="27"/>
      <c r="EE166" s="28" t="str">
        <f>IFERROR(VLOOKUP(EC166,Horarios!$H:$I,2,0),"")</f>
        <v/>
      </c>
      <c r="EF166" s="28" t="str">
        <f>IFERROR(VLOOKUP(ED166,Horarios!$H:$I,2,0),"")</f>
        <v/>
      </c>
      <c r="EG166" s="28" t="str">
        <f t="shared" si="120"/>
        <v>00:00</v>
      </c>
      <c r="EH166" s="29"/>
      <c r="EI166" s="27"/>
      <c r="EJ166" s="27"/>
      <c r="EK166" s="28" t="str">
        <f>IFERROR(VLOOKUP(EI166,Horarios!$H:$I,2,0),"")</f>
        <v/>
      </c>
      <c r="EL166" s="28" t="str">
        <f>IFERROR(VLOOKUP(EJ166,Horarios!$H:$I,2,0),"")</f>
        <v/>
      </c>
      <c r="EM166" s="28" t="str">
        <f t="shared" si="121"/>
        <v>00:00</v>
      </c>
      <c r="EN166" s="29"/>
      <c r="EO166" s="27"/>
      <c r="EP166" s="27"/>
      <c r="EQ166" s="28" t="str">
        <f>IFERROR(VLOOKUP(EO166,Horarios!$H:$I,2,0),"")</f>
        <v/>
      </c>
      <c r="ER166" s="28" t="str">
        <f>IFERROR(VLOOKUP(EP166,Horarios!$H:$I,2,0),"")</f>
        <v/>
      </c>
      <c r="ES166" s="28" t="str">
        <f t="shared" si="122"/>
        <v>00:00</v>
      </c>
      <c r="ET166" s="29"/>
      <c r="EU166" s="27"/>
      <c r="EV166" s="27"/>
      <c r="EW166" s="28" t="str">
        <f>IFERROR(VLOOKUP(EU166,Horarios!$H:$I,2,0),"")</f>
        <v/>
      </c>
      <c r="EX166" s="28" t="str">
        <f>IFERROR(VLOOKUP(EV166,Horarios!$H:$I,2,0),"")</f>
        <v/>
      </c>
      <c r="EY166" s="28" t="str">
        <f t="shared" si="123"/>
        <v>00:00</v>
      </c>
      <c r="EZ166" s="29"/>
      <c r="FA166" s="27"/>
      <c r="FB166" s="27"/>
      <c r="FC166" s="28" t="str">
        <f>IFERROR(VLOOKUP(FA166,Horarios!$H:$I,2,0),"")</f>
        <v/>
      </c>
      <c r="FD166" s="28" t="str">
        <f>IFERROR(VLOOKUP(FB166,Horarios!$H:$I,2,0),"")</f>
        <v/>
      </c>
      <c r="FE166" s="28" t="str">
        <f t="shared" si="124"/>
        <v>00:00</v>
      </c>
      <c r="FF166" s="29"/>
      <c r="FG166" s="27"/>
      <c r="FH166" s="27"/>
      <c r="FI166" s="28" t="str">
        <f>IFERROR(VLOOKUP(FG166,Horarios!$H:$I,2,0),"")</f>
        <v/>
      </c>
      <c r="FJ166" s="28" t="str">
        <f>IFERROR(VLOOKUP(FH166,Horarios!$H:$I,2,0),"")</f>
        <v/>
      </c>
      <c r="FK166" s="28" t="str">
        <f t="shared" si="125"/>
        <v>00:00</v>
      </c>
      <c r="FL166" s="29"/>
      <c r="FM166" s="27"/>
      <c r="FN166" s="27"/>
      <c r="FO166" s="28" t="str">
        <f>IFERROR(VLOOKUP(FM166,Horarios!$H:$I,2,0),"")</f>
        <v/>
      </c>
      <c r="FP166" s="28" t="str">
        <f>IFERROR(VLOOKUP(FN166,Horarios!$H:$I,2,0),"")</f>
        <v/>
      </c>
      <c r="FQ166" s="28" t="str">
        <f t="shared" si="126"/>
        <v>00:00</v>
      </c>
      <c r="FR166" s="29"/>
      <c r="FS166" s="31" t="str">
        <f t="shared" si="127"/>
        <v/>
      </c>
      <c r="FT166" s="27"/>
      <c r="FU166" s="27"/>
      <c r="FV166" s="28" t="str">
        <f>IFERROR(VLOOKUP(FT166,Horarios!$H:$I,2,0),"")</f>
        <v/>
      </c>
      <c r="FW166" s="28" t="str">
        <f>IFERROR(VLOOKUP(FU166,Horarios!$H:$I,2,0),"")</f>
        <v/>
      </c>
      <c r="FX166" s="28" t="str">
        <f t="shared" si="128"/>
        <v>00:00</v>
      </c>
      <c r="FY166" s="29"/>
      <c r="FZ166" s="27"/>
      <c r="GA166" s="27"/>
      <c r="GB166" s="28" t="str">
        <f>IFERROR(VLOOKUP(FZ166,Horarios!$H:$I,2,0),"")</f>
        <v/>
      </c>
      <c r="GC166" s="28" t="str">
        <f>IFERROR(VLOOKUP(GA166,Horarios!$H:$I,2,0),"")</f>
        <v/>
      </c>
      <c r="GD166" s="28" t="str">
        <f t="shared" si="129"/>
        <v>00:00</v>
      </c>
      <c r="GE166" s="29"/>
      <c r="GF166" s="27"/>
      <c r="GG166" s="27"/>
      <c r="GH166" s="28" t="str">
        <f>IFERROR(VLOOKUP(GF166,Horarios!$H:$I,2,0),"")</f>
        <v/>
      </c>
      <c r="GI166" s="28" t="str">
        <f>IFERROR(VLOOKUP(GG166,Horarios!$H:$I,2,0),"")</f>
        <v/>
      </c>
      <c r="GJ166" s="28" t="str">
        <f t="shared" si="130"/>
        <v>00:00</v>
      </c>
      <c r="GK166" s="29"/>
      <c r="GL166" s="27"/>
      <c r="GM166" s="27"/>
      <c r="GN166" s="28" t="str">
        <f>IFERROR(VLOOKUP(GL166,Horarios!$H:$I,2,0),"")</f>
        <v/>
      </c>
      <c r="GO166" s="28" t="str">
        <f>IFERROR(VLOOKUP(GM166,Horarios!$H:$I,2,0),"")</f>
        <v/>
      </c>
      <c r="GP166" s="28" t="str">
        <f t="shared" si="131"/>
        <v>00:00</v>
      </c>
      <c r="GQ166" s="29"/>
      <c r="GR166" s="27"/>
      <c r="GS166" s="27"/>
      <c r="GT166" s="28" t="str">
        <f>IFERROR(VLOOKUP(GR166,Horarios!$H:$I,2,0),"")</f>
        <v/>
      </c>
      <c r="GU166" s="28" t="str">
        <f>IFERROR(VLOOKUP(GS166,Horarios!$H:$I,2,0),"")</f>
        <v/>
      </c>
      <c r="GV166" s="28" t="str">
        <f t="shared" si="132"/>
        <v>00:00</v>
      </c>
      <c r="GW166" s="29"/>
      <c r="GX166" s="27"/>
      <c r="GY166" s="27"/>
      <c r="GZ166" s="28" t="str">
        <f>IFERROR(VLOOKUP(GX166,Horarios!$H:$I,2,0),"")</f>
        <v/>
      </c>
      <c r="HA166" s="28" t="str">
        <f>IFERROR(VLOOKUP(GY166,Horarios!$H:$I,2,0),"")</f>
        <v/>
      </c>
      <c r="HB166" s="28" t="str">
        <f t="shared" si="133"/>
        <v>00:00</v>
      </c>
      <c r="HC166" s="29"/>
      <c r="HD166" s="27"/>
      <c r="HE166" s="27"/>
      <c r="HF166" s="28" t="str">
        <f>IFERROR(VLOOKUP(HD166,Horarios!$H:$I,2,0),"")</f>
        <v/>
      </c>
      <c r="HG166" s="28" t="str">
        <f>IFERROR(VLOOKUP(HE166,Horarios!$H:$I,2,0),"")</f>
        <v/>
      </c>
      <c r="HH166" s="28" t="str">
        <f t="shared" si="134"/>
        <v>00:00</v>
      </c>
      <c r="HI166" s="29"/>
      <c r="HJ166" s="31" t="str">
        <f t="shared" si="135"/>
        <v/>
      </c>
      <c r="HK166" s="27"/>
      <c r="HL166" s="27"/>
      <c r="HM166" s="28" t="str">
        <f>IFERROR(VLOOKUP(HK166,Horarios!$H:$I,2,0),"")</f>
        <v/>
      </c>
      <c r="HN166" s="28" t="str">
        <f>IFERROR(VLOOKUP(HL166,Horarios!$H:$I,2,0),"")</f>
        <v/>
      </c>
      <c r="HO166" s="28" t="str">
        <f t="shared" si="136"/>
        <v>00:00</v>
      </c>
      <c r="HP166" s="29"/>
      <c r="HQ166" s="27"/>
      <c r="HR166" s="27"/>
      <c r="HS166" s="28" t="str">
        <f>IFERROR(VLOOKUP(HQ166,Horarios!$H:$I,2,0),"")</f>
        <v/>
      </c>
      <c r="HT166" s="28" t="str">
        <f>IFERROR(VLOOKUP(HR166,Horarios!$H:$I,2,0),"")</f>
        <v/>
      </c>
      <c r="HU166" s="28" t="str">
        <f t="shared" si="137"/>
        <v>00:00</v>
      </c>
      <c r="HV166" s="29"/>
      <c r="HW166" s="27"/>
      <c r="HX166" s="27"/>
      <c r="HY166" s="28" t="str">
        <f>IFERROR(VLOOKUP(HW166,Horarios!$H:$I,2,0),"")</f>
        <v/>
      </c>
      <c r="HZ166" s="28" t="str">
        <f>IFERROR(VLOOKUP(HX166,Horarios!$H:$I,2,0),"")</f>
        <v/>
      </c>
      <c r="IA166" s="28" t="str">
        <f t="shared" si="138"/>
        <v>00:00</v>
      </c>
      <c r="IB166" s="29"/>
      <c r="IC166" s="27"/>
      <c r="ID166" s="27"/>
      <c r="IE166" s="28" t="str">
        <f>IFERROR(VLOOKUP(IC166,Horarios!$H:$I,2,0),"")</f>
        <v/>
      </c>
      <c r="IF166" s="28" t="str">
        <f>IFERROR(VLOOKUP(ID166,Horarios!$H:$I,2,0),"")</f>
        <v/>
      </c>
      <c r="IG166" s="28" t="str">
        <f t="shared" si="139"/>
        <v>00:00</v>
      </c>
      <c r="IH166" s="29"/>
      <c r="II166" s="27"/>
      <c r="IJ166" s="27"/>
      <c r="IK166" s="28" t="str">
        <f>IFERROR(VLOOKUP(II166,Horarios!$H:$I,2,0),"")</f>
        <v/>
      </c>
      <c r="IL166" s="28" t="str">
        <f>IFERROR(VLOOKUP(IJ166,Horarios!$H:$I,2,0),"")</f>
        <v/>
      </c>
      <c r="IM166" s="28" t="str">
        <f t="shared" si="140"/>
        <v>00:00</v>
      </c>
      <c r="IN166" s="29"/>
      <c r="IO166" s="27"/>
      <c r="IP166" s="27"/>
      <c r="IQ166" s="28" t="str">
        <f>IFERROR(VLOOKUP(IO166,Horarios!$H:$I,2,0),"")</f>
        <v/>
      </c>
      <c r="IR166" s="28" t="str">
        <f>IFERROR(VLOOKUP(IP166,Horarios!$H:$I,2,0),"")</f>
        <v/>
      </c>
      <c r="IS166" s="28" t="str">
        <f t="shared" si="141"/>
        <v>00:00</v>
      </c>
      <c r="IT166" s="29"/>
      <c r="IU166" s="27"/>
      <c r="IV166" s="27"/>
      <c r="IW166" s="28" t="str">
        <f>IFERROR(VLOOKUP(IU166,Horarios!$H:$I,2,0),"")</f>
        <v/>
      </c>
      <c r="IX166" s="28" t="str">
        <f>IFERROR(VLOOKUP(IV166,Horarios!$H:$I,2,0),"")</f>
        <v/>
      </c>
      <c r="IY166" s="28" t="str">
        <f t="shared" si="142"/>
        <v>00:00</v>
      </c>
      <c r="IZ166" s="29"/>
      <c r="JA166" s="31" t="str">
        <f t="shared" si="143"/>
        <v/>
      </c>
    </row>
    <row r="167" spans="1:261" s="24" customFormat="1" ht="17.399999999999999" x14ac:dyDescent="0.25">
      <c r="A167" s="25"/>
      <c r="B167" s="26" t="str">
        <f>IFERROR(VLOOKUP(A167,BaseNombres!A:B,2,0),"")</f>
        <v/>
      </c>
      <c r="C167" s="26" t="str">
        <f>IFERROR(VLOOKUP(A167,BaseNombres!A:C,3,0),"")</f>
        <v/>
      </c>
      <c r="D167" s="27"/>
      <c r="E167" s="27"/>
      <c r="F167" s="28" t="str">
        <f>IFERROR(VLOOKUP(D167,Horarios!$H:$I,2,0),"")</f>
        <v/>
      </c>
      <c r="G167" s="28" t="str">
        <f>IFERROR(VLOOKUP(E167,Horarios!$H:$I,2,0),"")</f>
        <v/>
      </c>
      <c r="H167" s="28" t="str">
        <f t="shared" si="96"/>
        <v>00:00</v>
      </c>
      <c r="I167" s="29"/>
      <c r="J167" s="27"/>
      <c r="K167" s="27"/>
      <c r="L167" s="28" t="str">
        <f>IFERROR(VLOOKUP(J167,Horarios!$H:$I,2,0),"")</f>
        <v/>
      </c>
      <c r="M167" s="28" t="str">
        <f>IFERROR(VLOOKUP(K167,Horarios!$H:$I,2,0),"")</f>
        <v/>
      </c>
      <c r="N167" s="28" t="str">
        <f t="shared" si="97"/>
        <v>00:00</v>
      </c>
      <c r="O167" s="29"/>
      <c r="P167" s="27"/>
      <c r="Q167" s="27"/>
      <c r="R167" s="28" t="str">
        <f>IFERROR(VLOOKUP(P167,Horarios!$H:$I,2,0),"")</f>
        <v/>
      </c>
      <c r="S167" s="28" t="str">
        <f>IFERROR(VLOOKUP(Q167,Horarios!$H:$I,2,0),"")</f>
        <v/>
      </c>
      <c r="T167" s="28" t="str">
        <f t="shared" si="98"/>
        <v>00:00</v>
      </c>
      <c r="U167" s="29"/>
      <c r="V167" s="27"/>
      <c r="W167" s="27"/>
      <c r="X167" s="28" t="str">
        <f>IFERROR(VLOOKUP(V167,Horarios!$H:$I,2,0),"")</f>
        <v/>
      </c>
      <c r="Y167" s="28" t="str">
        <f>IFERROR(VLOOKUP(W167,Horarios!$H:$I,2,0),"")</f>
        <v/>
      </c>
      <c r="Z167" s="28" t="str">
        <f t="shared" si="99"/>
        <v>00:00</v>
      </c>
      <c r="AA167" s="29"/>
      <c r="AB167" s="27"/>
      <c r="AC167" s="27"/>
      <c r="AD167" s="28" t="str">
        <f>IFERROR(VLOOKUP(AB167,Horarios!$H:$I,2,0),"")</f>
        <v/>
      </c>
      <c r="AE167" s="28" t="str">
        <f>IFERROR(VLOOKUP(AC167,Horarios!$H:$I,2,0),"")</f>
        <v/>
      </c>
      <c r="AF167" s="28" t="str">
        <f t="shared" si="100"/>
        <v>00:00</v>
      </c>
      <c r="AG167" s="29"/>
      <c r="AH167" s="27"/>
      <c r="AI167" s="27"/>
      <c r="AJ167" s="28" t="str">
        <f>IFERROR(VLOOKUP(AH167,Horarios!$H:$I,2,0),"")</f>
        <v/>
      </c>
      <c r="AK167" s="28" t="str">
        <f>IFERROR(VLOOKUP(AI167,Horarios!$H:$I,2,0),"")</f>
        <v/>
      </c>
      <c r="AL167" s="28" t="str">
        <f t="shared" si="101"/>
        <v>00:00</v>
      </c>
      <c r="AM167" s="29"/>
      <c r="AN167" s="27"/>
      <c r="AO167" s="27"/>
      <c r="AP167" s="28" t="str">
        <f>IFERROR(VLOOKUP(AN167,Horarios!$H:$I,2,0),"")</f>
        <v/>
      </c>
      <c r="AQ167" s="28" t="str">
        <f>IFERROR(VLOOKUP(AO167,Horarios!$H:$I,2,0),"")</f>
        <v/>
      </c>
      <c r="AR167" s="28" t="str">
        <f t="shared" si="102"/>
        <v>00:00</v>
      </c>
      <c r="AS167" s="29"/>
      <c r="AT167" s="31" t="str">
        <f t="shared" si="103"/>
        <v/>
      </c>
      <c r="AU167" s="27"/>
      <c r="AV167" s="27"/>
      <c r="AW167" s="28" t="str">
        <f>IFERROR(VLOOKUP(AU167,Horarios!$H:$I,2,0),"")</f>
        <v/>
      </c>
      <c r="AX167" s="28" t="str">
        <f>IFERROR(VLOOKUP(AV167,Horarios!$H:$I,2,0),"")</f>
        <v/>
      </c>
      <c r="AY167" s="28" t="str">
        <f t="shared" si="104"/>
        <v>00:00</v>
      </c>
      <c r="AZ167" s="29"/>
      <c r="BA167" s="27"/>
      <c r="BB167" s="27"/>
      <c r="BC167" s="28" t="str">
        <f>IFERROR(VLOOKUP(BA167,Horarios!$H:$I,2,0),"")</f>
        <v/>
      </c>
      <c r="BD167" s="28" t="str">
        <f>IFERROR(VLOOKUP(BB167,Horarios!$H:$I,2,0),"")</f>
        <v/>
      </c>
      <c r="BE167" s="28" t="str">
        <f t="shared" si="105"/>
        <v>00:00</v>
      </c>
      <c r="BF167" s="29"/>
      <c r="BG167" s="27"/>
      <c r="BH167" s="27"/>
      <c r="BI167" s="28" t="str">
        <f>IFERROR(VLOOKUP(BG167,Horarios!$H:$I,2,0),"")</f>
        <v/>
      </c>
      <c r="BJ167" s="28" t="str">
        <f>IFERROR(VLOOKUP(BH167,Horarios!$H:$I,2,0),"")</f>
        <v/>
      </c>
      <c r="BK167" s="28" t="str">
        <f t="shared" si="106"/>
        <v>00:00</v>
      </c>
      <c r="BL167" s="29"/>
      <c r="BM167" s="27"/>
      <c r="BN167" s="27"/>
      <c r="BO167" s="28" t="str">
        <f>IFERROR(VLOOKUP(BM167,Horarios!$H:$I,2,0),"")</f>
        <v/>
      </c>
      <c r="BP167" s="28" t="str">
        <f>IFERROR(VLOOKUP(BN167,Horarios!$H:$I,2,0),"")</f>
        <v/>
      </c>
      <c r="BQ167" s="28" t="str">
        <f t="shared" si="107"/>
        <v>00:00</v>
      </c>
      <c r="BR167" s="29"/>
      <c r="BS167" s="27"/>
      <c r="BT167" s="27"/>
      <c r="BU167" s="28" t="str">
        <f>IFERROR(VLOOKUP(BS167,Horarios!$H:$I,2,0),"")</f>
        <v/>
      </c>
      <c r="BV167" s="28" t="str">
        <f>IFERROR(VLOOKUP(BT167,Horarios!$H:$I,2,0),"")</f>
        <v/>
      </c>
      <c r="BW167" s="28" t="str">
        <f t="shared" si="108"/>
        <v>00:00</v>
      </c>
      <c r="BX167" s="29"/>
      <c r="BY167" s="27"/>
      <c r="BZ167" s="27"/>
      <c r="CA167" s="28" t="str">
        <f>IFERROR(VLOOKUP(BY167,Horarios!$H:$I,2,0),"")</f>
        <v/>
      </c>
      <c r="CB167" s="28" t="str">
        <f>IFERROR(VLOOKUP(BZ167,Horarios!$H:$I,2,0),"")</f>
        <v/>
      </c>
      <c r="CC167" s="28" t="str">
        <f t="shared" si="109"/>
        <v>00:00</v>
      </c>
      <c r="CD167" s="29"/>
      <c r="CE167" s="27"/>
      <c r="CF167" s="27"/>
      <c r="CG167" s="28" t="str">
        <f>IFERROR(VLOOKUP(CE167,Horarios!$H:$I,2,0),"")</f>
        <v/>
      </c>
      <c r="CH167" s="28" t="str">
        <f>IFERROR(VLOOKUP(CF167,Horarios!$H:$I,2,0),"")</f>
        <v/>
      </c>
      <c r="CI167" s="28" t="str">
        <f t="shared" si="110"/>
        <v>00:00</v>
      </c>
      <c r="CJ167" s="29"/>
      <c r="CK167" s="31" t="str">
        <f t="shared" si="111"/>
        <v/>
      </c>
      <c r="CL167" s="27"/>
      <c r="CM167" s="27"/>
      <c r="CN167" s="28" t="str">
        <f>IFERROR(VLOOKUP(CL167,Horarios!$H:$I,2,0),"")</f>
        <v/>
      </c>
      <c r="CO167" s="28" t="str">
        <f>IFERROR(VLOOKUP(CM167,Horarios!$H:$I,2,0),"")</f>
        <v/>
      </c>
      <c r="CP167" s="28" t="str">
        <f t="shared" si="112"/>
        <v>00:00</v>
      </c>
      <c r="CQ167" s="29"/>
      <c r="CR167" s="27"/>
      <c r="CS167" s="27"/>
      <c r="CT167" s="28" t="str">
        <f>IFERROR(VLOOKUP(CR167,Horarios!$H:$I,2,0),"")</f>
        <v/>
      </c>
      <c r="CU167" s="28" t="str">
        <f>IFERROR(VLOOKUP(CS167,Horarios!$H:$I,2,0),"")</f>
        <v/>
      </c>
      <c r="CV167" s="28" t="str">
        <f t="shared" si="113"/>
        <v>00:00</v>
      </c>
      <c r="CW167" s="29"/>
      <c r="CX167" s="27"/>
      <c r="CY167" s="27"/>
      <c r="CZ167" s="28" t="str">
        <f>IFERROR(VLOOKUP(CX167,Horarios!$H:$I,2,0),"")</f>
        <v/>
      </c>
      <c r="DA167" s="28" t="str">
        <f>IFERROR(VLOOKUP(CY167,Horarios!$H:$I,2,0),"")</f>
        <v/>
      </c>
      <c r="DB167" s="28" t="str">
        <f t="shared" si="114"/>
        <v>00:00</v>
      </c>
      <c r="DC167" s="29"/>
      <c r="DD167" s="27"/>
      <c r="DE167" s="27"/>
      <c r="DF167" s="28" t="str">
        <f>IFERROR(VLOOKUP(DD167,Horarios!$H:$I,2,0),"")</f>
        <v/>
      </c>
      <c r="DG167" s="28" t="str">
        <f>IFERROR(VLOOKUP(DE167,Horarios!$H:$I,2,0),"")</f>
        <v/>
      </c>
      <c r="DH167" s="28" t="str">
        <f t="shared" si="115"/>
        <v>00:00</v>
      </c>
      <c r="DI167" s="29"/>
      <c r="DJ167" s="27"/>
      <c r="DK167" s="27"/>
      <c r="DL167" s="28" t="str">
        <f>IFERROR(VLOOKUP(DJ167,Horarios!$H:$I,2,0),"")</f>
        <v/>
      </c>
      <c r="DM167" s="28" t="str">
        <f>IFERROR(VLOOKUP(DK167,Horarios!$H:$I,2,0),"")</f>
        <v/>
      </c>
      <c r="DN167" s="28" t="str">
        <f t="shared" si="116"/>
        <v>00:00</v>
      </c>
      <c r="DO167" s="29"/>
      <c r="DP167" s="27"/>
      <c r="DQ167" s="27"/>
      <c r="DR167" s="28" t="str">
        <f>IFERROR(VLOOKUP(DP167,Horarios!$H:$I,2,0),"")</f>
        <v/>
      </c>
      <c r="DS167" s="28" t="str">
        <f>IFERROR(VLOOKUP(DQ167,Horarios!$H:$I,2,0),"")</f>
        <v/>
      </c>
      <c r="DT167" s="28" t="str">
        <f t="shared" si="117"/>
        <v>00:00</v>
      </c>
      <c r="DU167" s="29"/>
      <c r="DV167" s="27"/>
      <c r="DW167" s="27"/>
      <c r="DX167" s="28" t="str">
        <f>IFERROR(VLOOKUP(DV167,Horarios!$H:$I,2,0),"")</f>
        <v/>
      </c>
      <c r="DY167" s="28" t="str">
        <f>IFERROR(VLOOKUP(DW167,Horarios!$H:$I,2,0),"")</f>
        <v/>
      </c>
      <c r="DZ167" s="28" t="str">
        <f t="shared" si="118"/>
        <v>00:00</v>
      </c>
      <c r="EA167" s="29"/>
      <c r="EB167" s="31" t="str">
        <f t="shared" si="119"/>
        <v/>
      </c>
      <c r="EC167" s="27"/>
      <c r="ED167" s="27"/>
      <c r="EE167" s="28" t="str">
        <f>IFERROR(VLOOKUP(EC167,Horarios!$H:$I,2,0),"")</f>
        <v/>
      </c>
      <c r="EF167" s="28" t="str">
        <f>IFERROR(VLOOKUP(ED167,Horarios!$H:$I,2,0),"")</f>
        <v/>
      </c>
      <c r="EG167" s="28" t="str">
        <f t="shared" si="120"/>
        <v>00:00</v>
      </c>
      <c r="EH167" s="29"/>
      <c r="EI167" s="27"/>
      <c r="EJ167" s="27"/>
      <c r="EK167" s="28" t="str">
        <f>IFERROR(VLOOKUP(EI167,Horarios!$H:$I,2,0),"")</f>
        <v/>
      </c>
      <c r="EL167" s="28" t="str">
        <f>IFERROR(VLOOKUP(EJ167,Horarios!$H:$I,2,0),"")</f>
        <v/>
      </c>
      <c r="EM167" s="28" t="str">
        <f t="shared" si="121"/>
        <v>00:00</v>
      </c>
      <c r="EN167" s="29"/>
      <c r="EO167" s="27"/>
      <c r="EP167" s="27"/>
      <c r="EQ167" s="28" t="str">
        <f>IFERROR(VLOOKUP(EO167,Horarios!$H:$I,2,0),"")</f>
        <v/>
      </c>
      <c r="ER167" s="28" t="str">
        <f>IFERROR(VLOOKUP(EP167,Horarios!$H:$I,2,0),"")</f>
        <v/>
      </c>
      <c r="ES167" s="28" t="str">
        <f t="shared" si="122"/>
        <v>00:00</v>
      </c>
      <c r="ET167" s="29"/>
      <c r="EU167" s="27"/>
      <c r="EV167" s="27"/>
      <c r="EW167" s="28" t="str">
        <f>IFERROR(VLOOKUP(EU167,Horarios!$H:$I,2,0),"")</f>
        <v/>
      </c>
      <c r="EX167" s="28" t="str">
        <f>IFERROR(VLOOKUP(EV167,Horarios!$H:$I,2,0),"")</f>
        <v/>
      </c>
      <c r="EY167" s="28" t="str">
        <f t="shared" si="123"/>
        <v>00:00</v>
      </c>
      <c r="EZ167" s="29"/>
      <c r="FA167" s="27"/>
      <c r="FB167" s="27"/>
      <c r="FC167" s="28" t="str">
        <f>IFERROR(VLOOKUP(FA167,Horarios!$H:$I,2,0),"")</f>
        <v/>
      </c>
      <c r="FD167" s="28" t="str">
        <f>IFERROR(VLOOKUP(FB167,Horarios!$H:$I,2,0),"")</f>
        <v/>
      </c>
      <c r="FE167" s="28" t="str">
        <f t="shared" si="124"/>
        <v>00:00</v>
      </c>
      <c r="FF167" s="29"/>
      <c r="FG167" s="27"/>
      <c r="FH167" s="27"/>
      <c r="FI167" s="28" t="str">
        <f>IFERROR(VLOOKUP(FG167,Horarios!$H:$I,2,0),"")</f>
        <v/>
      </c>
      <c r="FJ167" s="28" t="str">
        <f>IFERROR(VLOOKUP(FH167,Horarios!$H:$I,2,0),"")</f>
        <v/>
      </c>
      <c r="FK167" s="28" t="str">
        <f t="shared" si="125"/>
        <v>00:00</v>
      </c>
      <c r="FL167" s="29"/>
      <c r="FM167" s="27"/>
      <c r="FN167" s="27"/>
      <c r="FO167" s="28" t="str">
        <f>IFERROR(VLOOKUP(FM167,Horarios!$H:$I,2,0),"")</f>
        <v/>
      </c>
      <c r="FP167" s="28" t="str">
        <f>IFERROR(VLOOKUP(FN167,Horarios!$H:$I,2,0),"")</f>
        <v/>
      </c>
      <c r="FQ167" s="28" t="str">
        <f t="shared" si="126"/>
        <v>00:00</v>
      </c>
      <c r="FR167" s="29"/>
      <c r="FS167" s="31" t="str">
        <f t="shared" si="127"/>
        <v/>
      </c>
      <c r="FT167" s="27"/>
      <c r="FU167" s="27"/>
      <c r="FV167" s="28" t="str">
        <f>IFERROR(VLOOKUP(FT167,Horarios!$H:$I,2,0),"")</f>
        <v/>
      </c>
      <c r="FW167" s="28" t="str">
        <f>IFERROR(VLOOKUP(FU167,Horarios!$H:$I,2,0),"")</f>
        <v/>
      </c>
      <c r="FX167" s="28" t="str">
        <f t="shared" si="128"/>
        <v>00:00</v>
      </c>
      <c r="FY167" s="29"/>
      <c r="FZ167" s="27"/>
      <c r="GA167" s="27"/>
      <c r="GB167" s="28" t="str">
        <f>IFERROR(VLOOKUP(FZ167,Horarios!$H:$I,2,0),"")</f>
        <v/>
      </c>
      <c r="GC167" s="28" t="str">
        <f>IFERROR(VLOOKUP(GA167,Horarios!$H:$I,2,0),"")</f>
        <v/>
      </c>
      <c r="GD167" s="28" t="str">
        <f t="shared" si="129"/>
        <v>00:00</v>
      </c>
      <c r="GE167" s="29"/>
      <c r="GF167" s="27"/>
      <c r="GG167" s="27"/>
      <c r="GH167" s="28" t="str">
        <f>IFERROR(VLOOKUP(GF167,Horarios!$H:$I,2,0),"")</f>
        <v/>
      </c>
      <c r="GI167" s="28" t="str">
        <f>IFERROR(VLOOKUP(GG167,Horarios!$H:$I,2,0),"")</f>
        <v/>
      </c>
      <c r="GJ167" s="28" t="str">
        <f t="shared" si="130"/>
        <v>00:00</v>
      </c>
      <c r="GK167" s="29"/>
      <c r="GL167" s="27"/>
      <c r="GM167" s="27"/>
      <c r="GN167" s="28" t="str">
        <f>IFERROR(VLOOKUP(GL167,Horarios!$H:$I,2,0),"")</f>
        <v/>
      </c>
      <c r="GO167" s="28" t="str">
        <f>IFERROR(VLOOKUP(GM167,Horarios!$H:$I,2,0),"")</f>
        <v/>
      </c>
      <c r="GP167" s="28" t="str">
        <f t="shared" si="131"/>
        <v>00:00</v>
      </c>
      <c r="GQ167" s="29"/>
      <c r="GR167" s="27"/>
      <c r="GS167" s="27"/>
      <c r="GT167" s="28" t="str">
        <f>IFERROR(VLOOKUP(GR167,Horarios!$H:$I,2,0),"")</f>
        <v/>
      </c>
      <c r="GU167" s="28" t="str">
        <f>IFERROR(VLOOKUP(GS167,Horarios!$H:$I,2,0),"")</f>
        <v/>
      </c>
      <c r="GV167" s="28" t="str">
        <f t="shared" si="132"/>
        <v>00:00</v>
      </c>
      <c r="GW167" s="29"/>
      <c r="GX167" s="27"/>
      <c r="GY167" s="27"/>
      <c r="GZ167" s="28" t="str">
        <f>IFERROR(VLOOKUP(GX167,Horarios!$H:$I,2,0),"")</f>
        <v/>
      </c>
      <c r="HA167" s="28" t="str">
        <f>IFERROR(VLOOKUP(GY167,Horarios!$H:$I,2,0),"")</f>
        <v/>
      </c>
      <c r="HB167" s="28" t="str">
        <f t="shared" si="133"/>
        <v>00:00</v>
      </c>
      <c r="HC167" s="29"/>
      <c r="HD167" s="27"/>
      <c r="HE167" s="27"/>
      <c r="HF167" s="28" t="str">
        <f>IFERROR(VLOOKUP(HD167,Horarios!$H:$I,2,0),"")</f>
        <v/>
      </c>
      <c r="HG167" s="28" t="str">
        <f>IFERROR(VLOOKUP(HE167,Horarios!$H:$I,2,0),"")</f>
        <v/>
      </c>
      <c r="HH167" s="28" t="str">
        <f t="shared" si="134"/>
        <v>00:00</v>
      </c>
      <c r="HI167" s="29"/>
      <c r="HJ167" s="31" t="str">
        <f t="shared" si="135"/>
        <v/>
      </c>
      <c r="HK167" s="27"/>
      <c r="HL167" s="27"/>
      <c r="HM167" s="28" t="str">
        <f>IFERROR(VLOOKUP(HK167,Horarios!$H:$I,2,0),"")</f>
        <v/>
      </c>
      <c r="HN167" s="28" t="str">
        <f>IFERROR(VLOOKUP(HL167,Horarios!$H:$I,2,0),"")</f>
        <v/>
      </c>
      <c r="HO167" s="28" t="str">
        <f t="shared" si="136"/>
        <v>00:00</v>
      </c>
      <c r="HP167" s="29"/>
      <c r="HQ167" s="27"/>
      <c r="HR167" s="27"/>
      <c r="HS167" s="28" t="str">
        <f>IFERROR(VLOOKUP(HQ167,Horarios!$H:$I,2,0),"")</f>
        <v/>
      </c>
      <c r="HT167" s="28" t="str">
        <f>IFERROR(VLOOKUP(HR167,Horarios!$H:$I,2,0),"")</f>
        <v/>
      </c>
      <c r="HU167" s="28" t="str">
        <f t="shared" si="137"/>
        <v>00:00</v>
      </c>
      <c r="HV167" s="29"/>
      <c r="HW167" s="27"/>
      <c r="HX167" s="27"/>
      <c r="HY167" s="28" t="str">
        <f>IFERROR(VLOOKUP(HW167,Horarios!$H:$I,2,0),"")</f>
        <v/>
      </c>
      <c r="HZ167" s="28" t="str">
        <f>IFERROR(VLOOKUP(HX167,Horarios!$H:$I,2,0),"")</f>
        <v/>
      </c>
      <c r="IA167" s="28" t="str">
        <f t="shared" si="138"/>
        <v>00:00</v>
      </c>
      <c r="IB167" s="29"/>
      <c r="IC167" s="27"/>
      <c r="ID167" s="27"/>
      <c r="IE167" s="28" t="str">
        <f>IFERROR(VLOOKUP(IC167,Horarios!$H:$I,2,0),"")</f>
        <v/>
      </c>
      <c r="IF167" s="28" t="str">
        <f>IFERROR(VLOOKUP(ID167,Horarios!$H:$I,2,0),"")</f>
        <v/>
      </c>
      <c r="IG167" s="28" t="str">
        <f t="shared" si="139"/>
        <v>00:00</v>
      </c>
      <c r="IH167" s="29"/>
      <c r="II167" s="27"/>
      <c r="IJ167" s="27"/>
      <c r="IK167" s="28" t="str">
        <f>IFERROR(VLOOKUP(II167,Horarios!$H:$I,2,0),"")</f>
        <v/>
      </c>
      <c r="IL167" s="28" t="str">
        <f>IFERROR(VLOOKUP(IJ167,Horarios!$H:$I,2,0),"")</f>
        <v/>
      </c>
      <c r="IM167" s="28" t="str">
        <f t="shared" si="140"/>
        <v>00:00</v>
      </c>
      <c r="IN167" s="29"/>
      <c r="IO167" s="27"/>
      <c r="IP167" s="27"/>
      <c r="IQ167" s="28" t="str">
        <f>IFERROR(VLOOKUP(IO167,Horarios!$H:$I,2,0),"")</f>
        <v/>
      </c>
      <c r="IR167" s="28" t="str">
        <f>IFERROR(VLOOKUP(IP167,Horarios!$H:$I,2,0),"")</f>
        <v/>
      </c>
      <c r="IS167" s="28" t="str">
        <f t="shared" si="141"/>
        <v>00:00</v>
      </c>
      <c r="IT167" s="29"/>
      <c r="IU167" s="27"/>
      <c r="IV167" s="27"/>
      <c r="IW167" s="28" t="str">
        <f>IFERROR(VLOOKUP(IU167,Horarios!$H:$I,2,0),"")</f>
        <v/>
      </c>
      <c r="IX167" s="28" t="str">
        <f>IFERROR(VLOOKUP(IV167,Horarios!$H:$I,2,0),"")</f>
        <v/>
      </c>
      <c r="IY167" s="28" t="str">
        <f t="shared" si="142"/>
        <v>00:00</v>
      </c>
      <c r="IZ167" s="29"/>
      <c r="JA167" s="31" t="str">
        <f t="shared" si="143"/>
        <v/>
      </c>
    </row>
    <row r="168" spans="1:261" s="24" customFormat="1" ht="17.399999999999999" x14ac:dyDescent="0.25">
      <c r="A168" s="25"/>
      <c r="B168" s="26" t="str">
        <f>IFERROR(VLOOKUP(A168,BaseNombres!A:B,2,0),"")</f>
        <v/>
      </c>
      <c r="C168" s="26" t="str">
        <f>IFERROR(VLOOKUP(A168,BaseNombres!A:C,3,0),"")</f>
        <v/>
      </c>
      <c r="D168" s="27"/>
      <c r="E168" s="27"/>
      <c r="F168" s="28" t="str">
        <f>IFERROR(VLOOKUP(D168,Horarios!$H:$I,2,0),"")</f>
        <v/>
      </c>
      <c r="G168" s="28" t="str">
        <f>IFERROR(VLOOKUP(E168,Horarios!$H:$I,2,0),"")</f>
        <v/>
      </c>
      <c r="H168" s="28" t="str">
        <f t="shared" si="96"/>
        <v>00:00</v>
      </c>
      <c r="I168" s="29"/>
      <c r="J168" s="27"/>
      <c r="K168" s="27"/>
      <c r="L168" s="28" t="str">
        <f>IFERROR(VLOOKUP(J168,Horarios!$H:$I,2,0),"")</f>
        <v/>
      </c>
      <c r="M168" s="28" t="str">
        <f>IFERROR(VLOOKUP(K168,Horarios!$H:$I,2,0),"")</f>
        <v/>
      </c>
      <c r="N168" s="28" t="str">
        <f t="shared" si="97"/>
        <v>00:00</v>
      </c>
      <c r="O168" s="29"/>
      <c r="P168" s="27"/>
      <c r="Q168" s="27"/>
      <c r="R168" s="28" t="str">
        <f>IFERROR(VLOOKUP(P168,Horarios!$H:$I,2,0),"")</f>
        <v/>
      </c>
      <c r="S168" s="28" t="str">
        <f>IFERROR(VLOOKUP(Q168,Horarios!$H:$I,2,0),"")</f>
        <v/>
      </c>
      <c r="T168" s="28" t="str">
        <f t="shared" si="98"/>
        <v>00:00</v>
      </c>
      <c r="U168" s="29"/>
      <c r="V168" s="27"/>
      <c r="W168" s="27"/>
      <c r="X168" s="28" t="str">
        <f>IFERROR(VLOOKUP(V168,Horarios!$H:$I,2,0),"")</f>
        <v/>
      </c>
      <c r="Y168" s="28" t="str">
        <f>IFERROR(VLOOKUP(W168,Horarios!$H:$I,2,0),"")</f>
        <v/>
      </c>
      <c r="Z168" s="28" t="str">
        <f t="shared" si="99"/>
        <v>00:00</v>
      </c>
      <c r="AA168" s="29"/>
      <c r="AB168" s="27"/>
      <c r="AC168" s="27"/>
      <c r="AD168" s="28" t="str">
        <f>IFERROR(VLOOKUP(AB168,Horarios!$H:$I,2,0),"")</f>
        <v/>
      </c>
      <c r="AE168" s="28" t="str">
        <f>IFERROR(VLOOKUP(AC168,Horarios!$H:$I,2,0),"")</f>
        <v/>
      </c>
      <c r="AF168" s="28" t="str">
        <f t="shared" si="100"/>
        <v>00:00</v>
      </c>
      <c r="AG168" s="29"/>
      <c r="AH168" s="27"/>
      <c r="AI168" s="27"/>
      <c r="AJ168" s="28" t="str">
        <f>IFERROR(VLOOKUP(AH168,Horarios!$H:$I,2,0),"")</f>
        <v/>
      </c>
      <c r="AK168" s="28" t="str">
        <f>IFERROR(VLOOKUP(AI168,Horarios!$H:$I,2,0),"")</f>
        <v/>
      </c>
      <c r="AL168" s="28" t="str">
        <f t="shared" si="101"/>
        <v>00:00</v>
      </c>
      <c r="AM168" s="29"/>
      <c r="AN168" s="27"/>
      <c r="AO168" s="27"/>
      <c r="AP168" s="28" t="str">
        <f>IFERROR(VLOOKUP(AN168,Horarios!$H:$I,2,0),"")</f>
        <v/>
      </c>
      <c r="AQ168" s="28" t="str">
        <f>IFERROR(VLOOKUP(AO168,Horarios!$H:$I,2,0),"")</f>
        <v/>
      </c>
      <c r="AR168" s="28" t="str">
        <f t="shared" si="102"/>
        <v>00:00</v>
      </c>
      <c r="AS168" s="29"/>
      <c r="AT168" s="31" t="str">
        <f t="shared" si="103"/>
        <v/>
      </c>
      <c r="AU168" s="27"/>
      <c r="AV168" s="27"/>
      <c r="AW168" s="28" t="str">
        <f>IFERROR(VLOOKUP(AU168,Horarios!$H:$I,2,0),"")</f>
        <v/>
      </c>
      <c r="AX168" s="28" t="str">
        <f>IFERROR(VLOOKUP(AV168,Horarios!$H:$I,2,0),"")</f>
        <v/>
      </c>
      <c r="AY168" s="28" t="str">
        <f t="shared" si="104"/>
        <v>00:00</v>
      </c>
      <c r="AZ168" s="29"/>
      <c r="BA168" s="27"/>
      <c r="BB168" s="27"/>
      <c r="BC168" s="28" t="str">
        <f>IFERROR(VLOOKUP(BA168,Horarios!$H:$I,2,0),"")</f>
        <v/>
      </c>
      <c r="BD168" s="28" t="str">
        <f>IFERROR(VLOOKUP(BB168,Horarios!$H:$I,2,0),"")</f>
        <v/>
      </c>
      <c r="BE168" s="28" t="str">
        <f t="shared" si="105"/>
        <v>00:00</v>
      </c>
      <c r="BF168" s="29"/>
      <c r="BG168" s="27"/>
      <c r="BH168" s="27"/>
      <c r="BI168" s="28" t="str">
        <f>IFERROR(VLOOKUP(BG168,Horarios!$H:$I,2,0),"")</f>
        <v/>
      </c>
      <c r="BJ168" s="28" t="str">
        <f>IFERROR(VLOOKUP(BH168,Horarios!$H:$I,2,0),"")</f>
        <v/>
      </c>
      <c r="BK168" s="28" t="str">
        <f t="shared" si="106"/>
        <v>00:00</v>
      </c>
      <c r="BL168" s="29"/>
      <c r="BM168" s="27"/>
      <c r="BN168" s="27"/>
      <c r="BO168" s="28" t="str">
        <f>IFERROR(VLOOKUP(BM168,Horarios!$H:$I,2,0),"")</f>
        <v/>
      </c>
      <c r="BP168" s="28" t="str">
        <f>IFERROR(VLOOKUP(BN168,Horarios!$H:$I,2,0),"")</f>
        <v/>
      </c>
      <c r="BQ168" s="28" t="str">
        <f t="shared" si="107"/>
        <v>00:00</v>
      </c>
      <c r="BR168" s="29"/>
      <c r="BS168" s="27"/>
      <c r="BT168" s="27"/>
      <c r="BU168" s="28" t="str">
        <f>IFERROR(VLOOKUP(BS168,Horarios!$H:$I,2,0),"")</f>
        <v/>
      </c>
      <c r="BV168" s="28" t="str">
        <f>IFERROR(VLOOKUP(BT168,Horarios!$H:$I,2,0),"")</f>
        <v/>
      </c>
      <c r="BW168" s="28" t="str">
        <f t="shared" si="108"/>
        <v>00:00</v>
      </c>
      <c r="BX168" s="29"/>
      <c r="BY168" s="27"/>
      <c r="BZ168" s="27"/>
      <c r="CA168" s="28" t="str">
        <f>IFERROR(VLOOKUP(BY168,Horarios!$H:$I,2,0),"")</f>
        <v/>
      </c>
      <c r="CB168" s="28" t="str">
        <f>IFERROR(VLOOKUP(BZ168,Horarios!$H:$I,2,0),"")</f>
        <v/>
      </c>
      <c r="CC168" s="28" t="str">
        <f t="shared" si="109"/>
        <v>00:00</v>
      </c>
      <c r="CD168" s="29"/>
      <c r="CE168" s="27"/>
      <c r="CF168" s="27"/>
      <c r="CG168" s="28" t="str">
        <f>IFERROR(VLOOKUP(CE168,Horarios!$H:$I,2,0),"")</f>
        <v/>
      </c>
      <c r="CH168" s="28" t="str">
        <f>IFERROR(VLOOKUP(CF168,Horarios!$H:$I,2,0),"")</f>
        <v/>
      </c>
      <c r="CI168" s="28" t="str">
        <f t="shared" si="110"/>
        <v>00:00</v>
      </c>
      <c r="CJ168" s="29"/>
      <c r="CK168" s="31" t="str">
        <f t="shared" si="111"/>
        <v/>
      </c>
      <c r="CL168" s="27"/>
      <c r="CM168" s="27"/>
      <c r="CN168" s="28" t="str">
        <f>IFERROR(VLOOKUP(CL168,Horarios!$H:$I,2,0),"")</f>
        <v/>
      </c>
      <c r="CO168" s="28" t="str">
        <f>IFERROR(VLOOKUP(CM168,Horarios!$H:$I,2,0),"")</f>
        <v/>
      </c>
      <c r="CP168" s="28" t="str">
        <f t="shared" si="112"/>
        <v>00:00</v>
      </c>
      <c r="CQ168" s="29"/>
      <c r="CR168" s="27"/>
      <c r="CS168" s="27"/>
      <c r="CT168" s="28" t="str">
        <f>IFERROR(VLOOKUP(CR168,Horarios!$H:$I,2,0),"")</f>
        <v/>
      </c>
      <c r="CU168" s="28" t="str">
        <f>IFERROR(VLOOKUP(CS168,Horarios!$H:$I,2,0),"")</f>
        <v/>
      </c>
      <c r="CV168" s="28" t="str">
        <f t="shared" si="113"/>
        <v>00:00</v>
      </c>
      <c r="CW168" s="29"/>
      <c r="CX168" s="27"/>
      <c r="CY168" s="27"/>
      <c r="CZ168" s="28" t="str">
        <f>IFERROR(VLOOKUP(CX168,Horarios!$H:$I,2,0),"")</f>
        <v/>
      </c>
      <c r="DA168" s="28" t="str">
        <f>IFERROR(VLOOKUP(CY168,Horarios!$H:$I,2,0),"")</f>
        <v/>
      </c>
      <c r="DB168" s="28" t="str">
        <f t="shared" si="114"/>
        <v>00:00</v>
      </c>
      <c r="DC168" s="29"/>
      <c r="DD168" s="27"/>
      <c r="DE168" s="27"/>
      <c r="DF168" s="28" t="str">
        <f>IFERROR(VLOOKUP(DD168,Horarios!$H:$I,2,0),"")</f>
        <v/>
      </c>
      <c r="DG168" s="28" t="str">
        <f>IFERROR(VLOOKUP(DE168,Horarios!$H:$I,2,0),"")</f>
        <v/>
      </c>
      <c r="DH168" s="28" t="str">
        <f t="shared" si="115"/>
        <v>00:00</v>
      </c>
      <c r="DI168" s="29"/>
      <c r="DJ168" s="27"/>
      <c r="DK168" s="27"/>
      <c r="DL168" s="28" t="str">
        <f>IFERROR(VLOOKUP(DJ168,Horarios!$H:$I,2,0),"")</f>
        <v/>
      </c>
      <c r="DM168" s="28" t="str">
        <f>IFERROR(VLOOKUP(DK168,Horarios!$H:$I,2,0),"")</f>
        <v/>
      </c>
      <c r="DN168" s="28" t="str">
        <f t="shared" si="116"/>
        <v>00:00</v>
      </c>
      <c r="DO168" s="29"/>
      <c r="DP168" s="27"/>
      <c r="DQ168" s="27"/>
      <c r="DR168" s="28" t="str">
        <f>IFERROR(VLOOKUP(DP168,Horarios!$H:$I,2,0),"")</f>
        <v/>
      </c>
      <c r="DS168" s="28" t="str">
        <f>IFERROR(VLOOKUP(DQ168,Horarios!$H:$I,2,0),"")</f>
        <v/>
      </c>
      <c r="DT168" s="28" t="str">
        <f t="shared" si="117"/>
        <v>00:00</v>
      </c>
      <c r="DU168" s="29"/>
      <c r="DV168" s="27"/>
      <c r="DW168" s="27"/>
      <c r="DX168" s="28" t="str">
        <f>IFERROR(VLOOKUP(DV168,Horarios!$H:$I,2,0),"")</f>
        <v/>
      </c>
      <c r="DY168" s="28" t="str">
        <f>IFERROR(VLOOKUP(DW168,Horarios!$H:$I,2,0),"")</f>
        <v/>
      </c>
      <c r="DZ168" s="28" t="str">
        <f t="shared" si="118"/>
        <v>00:00</v>
      </c>
      <c r="EA168" s="29"/>
      <c r="EB168" s="31" t="str">
        <f t="shared" si="119"/>
        <v/>
      </c>
      <c r="EC168" s="27"/>
      <c r="ED168" s="27"/>
      <c r="EE168" s="28" t="str">
        <f>IFERROR(VLOOKUP(EC168,Horarios!$H:$I,2,0),"")</f>
        <v/>
      </c>
      <c r="EF168" s="28" t="str">
        <f>IFERROR(VLOOKUP(ED168,Horarios!$H:$I,2,0),"")</f>
        <v/>
      </c>
      <c r="EG168" s="28" t="str">
        <f t="shared" si="120"/>
        <v>00:00</v>
      </c>
      <c r="EH168" s="29"/>
      <c r="EI168" s="27"/>
      <c r="EJ168" s="27"/>
      <c r="EK168" s="28" t="str">
        <f>IFERROR(VLOOKUP(EI168,Horarios!$H:$I,2,0),"")</f>
        <v/>
      </c>
      <c r="EL168" s="28" t="str">
        <f>IFERROR(VLOOKUP(EJ168,Horarios!$H:$I,2,0),"")</f>
        <v/>
      </c>
      <c r="EM168" s="28" t="str">
        <f t="shared" si="121"/>
        <v>00:00</v>
      </c>
      <c r="EN168" s="29"/>
      <c r="EO168" s="27"/>
      <c r="EP168" s="27"/>
      <c r="EQ168" s="28" t="str">
        <f>IFERROR(VLOOKUP(EO168,Horarios!$H:$I,2,0),"")</f>
        <v/>
      </c>
      <c r="ER168" s="28" t="str">
        <f>IFERROR(VLOOKUP(EP168,Horarios!$H:$I,2,0),"")</f>
        <v/>
      </c>
      <c r="ES168" s="28" t="str">
        <f t="shared" si="122"/>
        <v>00:00</v>
      </c>
      <c r="ET168" s="29"/>
      <c r="EU168" s="27"/>
      <c r="EV168" s="27"/>
      <c r="EW168" s="28" t="str">
        <f>IFERROR(VLOOKUP(EU168,Horarios!$H:$I,2,0),"")</f>
        <v/>
      </c>
      <c r="EX168" s="28" t="str">
        <f>IFERROR(VLOOKUP(EV168,Horarios!$H:$I,2,0),"")</f>
        <v/>
      </c>
      <c r="EY168" s="28" t="str">
        <f t="shared" si="123"/>
        <v>00:00</v>
      </c>
      <c r="EZ168" s="29"/>
      <c r="FA168" s="27"/>
      <c r="FB168" s="27"/>
      <c r="FC168" s="28" t="str">
        <f>IFERROR(VLOOKUP(FA168,Horarios!$H:$I,2,0),"")</f>
        <v/>
      </c>
      <c r="FD168" s="28" t="str">
        <f>IFERROR(VLOOKUP(FB168,Horarios!$H:$I,2,0),"")</f>
        <v/>
      </c>
      <c r="FE168" s="28" t="str">
        <f t="shared" si="124"/>
        <v>00:00</v>
      </c>
      <c r="FF168" s="29"/>
      <c r="FG168" s="27"/>
      <c r="FH168" s="27"/>
      <c r="FI168" s="28" t="str">
        <f>IFERROR(VLOOKUP(FG168,Horarios!$H:$I,2,0),"")</f>
        <v/>
      </c>
      <c r="FJ168" s="28" t="str">
        <f>IFERROR(VLOOKUP(FH168,Horarios!$H:$I,2,0),"")</f>
        <v/>
      </c>
      <c r="FK168" s="28" t="str">
        <f t="shared" si="125"/>
        <v>00:00</v>
      </c>
      <c r="FL168" s="29"/>
      <c r="FM168" s="27"/>
      <c r="FN168" s="27"/>
      <c r="FO168" s="28" t="str">
        <f>IFERROR(VLOOKUP(FM168,Horarios!$H:$I,2,0),"")</f>
        <v/>
      </c>
      <c r="FP168" s="28" t="str">
        <f>IFERROR(VLOOKUP(FN168,Horarios!$H:$I,2,0),"")</f>
        <v/>
      </c>
      <c r="FQ168" s="28" t="str">
        <f t="shared" si="126"/>
        <v>00:00</v>
      </c>
      <c r="FR168" s="29"/>
      <c r="FS168" s="31" t="str">
        <f t="shared" si="127"/>
        <v/>
      </c>
      <c r="FT168" s="27"/>
      <c r="FU168" s="27"/>
      <c r="FV168" s="28" t="str">
        <f>IFERROR(VLOOKUP(FT168,Horarios!$H:$I,2,0),"")</f>
        <v/>
      </c>
      <c r="FW168" s="28" t="str">
        <f>IFERROR(VLOOKUP(FU168,Horarios!$H:$I,2,0),"")</f>
        <v/>
      </c>
      <c r="FX168" s="28" t="str">
        <f t="shared" si="128"/>
        <v>00:00</v>
      </c>
      <c r="FY168" s="29"/>
      <c r="FZ168" s="27"/>
      <c r="GA168" s="27"/>
      <c r="GB168" s="28" t="str">
        <f>IFERROR(VLOOKUP(FZ168,Horarios!$H:$I,2,0),"")</f>
        <v/>
      </c>
      <c r="GC168" s="28" t="str">
        <f>IFERROR(VLOOKUP(GA168,Horarios!$H:$I,2,0),"")</f>
        <v/>
      </c>
      <c r="GD168" s="28" t="str">
        <f t="shared" si="129"/>
        <v>00:00</v>
      </c>
      <c r="GE168" s="29"/>
      <c r="GF168" s="27"/>
      <c r="GG168" s="27"/>
      <c r="GH168" s="28" t="str">
        <f>IFERROR(VLOOKUP(GF168,Horarios!$H:$I,2,0),"")</f>
        <v/>
      </c>
      <c r="GI168" s="28" t="str">
        <f>IFERROR(VLOOKUP(GG168,Horarios!$H:$I,2,0),"")</f>
        <v/>
      </c>
      <c r="GJ168" s="28" t="str">
        <f t="shared" si="130"/>
        <v>00:00</v>
      </c>
      <c r="GK168" s="29"/>
      <c r="GL168" s="27"/>
      <c r="GM168" s="27"/>
      <c r="GN168" s="28" t="str">
        <f>IFERROR(VLOOKUP(GL168,Horarios!$H:$I,2,0),"")</f>
        <v/>
      </c>
      <c r="GO168" s="28" t="str">
        <f>IFERROR(VLOOKUP(GM168,Horarios!$H:$I,2,0),"")</f>
        <v/>
      </c>
      <c r="GP168" s="28" t="str">
        <f t="shared" si="131"/>
        <v>00:00</v>
      </c>
      <c r="GQ168" s="29"/>
      <c r="GR168" s="27"/>
      <c r="GS168" s="27"/>
      <c r="GT168" s="28" t="str">
        <f>IFERROR(VLOOKUP(GR168,Horarios!$H:$I,2,0),"")</f>
        <v/>
      </c>
      <c r="GU168" s="28" t="str">
        <f>IFERROR(VLOOKUP(GS168,Horarios!$H:$I,2,0),"")</f>
        <v/>
      </c>
      <c r="GV168" s="28" t="str">
        <f t="shared" si="132"/>
        <v>00:00</v>
      </c>
      <c r="GW168" s="29"/>
      <c r="GX168" s="27"/>
      <c r="GY168" s="27"/>
      <c r="GZ168" s="28" t="str">
        <f>IFERROR(VLOOKUP(GX168,Horarios!$H:$I,2,0),"")</f>
        <v/>
      </c>
      <c r="HA168" s="28" t="str">
        <f>IFERROR(VLOOKUP(GY168,Horarios!$H:$I,2,0),"")</f>
        <v/>
      </c>
      <c r="HB168" s="28" t="str">
        <f t="shared" si="133"/>
        <v>00:00</v>
      </c>
      <c r="HC168" s="29"/>
      <c r="HD168" s="27"/>
      <c r="HE168" s="27"/>
      <c r="HF168" s="28" t="str">
        <f>IFERROR(VLOOKUP(HD168,Horarios!$H:$I,2,0),"")</f>
        <v/>
      </c>
      <c r="HG168" s="28" t="str">
        <f>IFERROR(VLOOKUP(HE168,Horarios!$H:$I,2,0),"")</f>
        <v/>
      </c>
      <c r="HH168" s="28" t="str">
        <f t="shared" si="134"/>
        <v>00:00</v>
      </c>
      <c r="HI168" s="29"/>
      <c r="HJ168" s="31" t="str">
        <f t="shared" si="135"/>
        <v/>
      </c>
      <c r="HK168" s="27"/>
      <c r="HL168" s="27"/>
      <c r="HM168" s="28" t="str">
        <f>IFERROR(VLOOKUP(HK168,Horarios!$H:$I,2,0),"")</f>
        <v/>
      </c>
      <c r="HN168" s="28" t="str">
        <f>IFERROR(VLOOKUP(HL168,Horarios!$H:$I,2,0),"")</f>
        <v/>
      </c>
      <c r="HO168" s="28" t="str">
        <f t="shared" si="136"/>
        <v>00:00</v>
      </c>
      <c r="HP168" s="29"/>
      <c r="HQ168" s="27"/>
      <c r="HR168" s="27"/>
      <c r="HS168" s="28" t="str">
        <f>IFERROR(VLOOKUP(HQ168,Horarios!$H:$I,2,0),"")</f>
        <v/>
      </c>
      <c r="HT168" s="28" t="str">
        <f>IFERROR(VLOOKUP(HR168,Horarios!$H:$I,2,0),"")</f>
        <v/>
      </c>
      <c r="HU168" s="28" t="str">
        <f t="shared" si="137"/>
        <v>00:00</v>
      </c>
      <c r="HV168" s="29"/>
      <c r="HW168" s="27"/>
      <c r="HX168" s="27"/>
      <c r="HY168" s="28" t="str">
        <f>IFERROR(VLOOKUP(HW168,Horarios!$H:$I,2,0),"")</f>
        <v/>
      </c>
      <c r="HZ168" s="28" t="str">
        <f>IFERROR(VLOOKUP(HX168,Horarios!$H:$I,2,0),"")</f>
        <v/>
      </c>
      <c r="IA168" s="28" t="str">
        <f t="shared" si="138"/>
        <v>00:00</v>
      </c>
      <c r="IB168" s="29"/>
      <c r="IC168" s="27"/>
      <c r="ID168" s="27"/>
      <c r="IE168" s="28" t="str">
        <f>IFERROR(VLOOKUP(IC168,Horarios!$H:$I,2,0),"")</f>
        <v/>
      </c>
      <c r="IF168" s="28" t="str">
        <f>IFERROR(VLOOKUP(ID168,Horarios!$H:$I,2,0),"")</f>
        <v/>
      </c>
      <c r="IG168" s="28" t="str">
        <f t="shared" si="139"/>
        <v>00:00</v>
      </c>
      <c r="IH168" s="29"/>
      <c r="II168" s="27"/>
      <c r="IJ168" s="27"/>
      <c r="IK168" s="28" t="str">
        <f>IFERROR(VLOOKUP(II168,Horarios!$H:$I,2,0),"")</f>
        <v/>
      </c>
      <c r="IL168" s="28" t="str">
        <f>IFERROR(VLOOKUP(IJ168,Horarios!$H:$I,2,0),"")</f>
        <v/>
      </c>
      <c r="IM168" s="28" t="str">
        <f t="shared" si="140"/>
        <v>00:00</v>
      </c>
      <c r="IN168" s="29"/>
      <c r="IO168" s="27"/>
      <c r="IP168" s="27"/>
      <c r="IQ168" s="28" t="str">
        <f>IFERROR(VLOOKUP(IO168,Horarios!$H:$I,2,0),"")</f>
        <v/>
      </c>
      <c r="IR168" s="28" t="str">
        <f>IFERROR(VLOOKUP(IP168,Horarios!$H:$I,2,0),"")</f>
        <v/>
      </c>
      <c r="IS168" s="28" t="str">
        <f t="shared" si="141"/>
        <v>00:00</v>
      </c>
      <c r="IT168" s="29"/>
      <c r="IU168" s="27"/>
      <c r="IV168" s="27"/>
      <c r="IW168" s="28" t="str">
        <f>IFERROR(VLOOKUP(IU168,Horarios!$H:$I,2,0),"")</f>
        <v/>
      </c>
      <c r="IX168" s="28" t="str">
        <f>IFERROR(VLOOKUP(IV168,Horarios!$H:$I,2,0),"")</f>
        <v/>
      </c>
      <c r="IY168" s="28" t="str">
        <f t="shared" si="142"/>
        <v>00:00</v>
      </c>
      <c r="IZ168" s="29"/>
      <c r="JA168" s="31" t="str">
        <f t="shared" si="143"/>
        <v/>
      </c>
    </row>
    <row r="169" spans="1:261" s="24" customFormat="1" ht="17.399999999999999" x14ac:dyDescent="0.25">
      <c r="A169" s="25"/>
      <c r="B169" s="26" t="str">
        <f>IFERROR(VLOOKUP(A169,BaseNombres!A:B,2,0),"")</f>
        <v/>
      </c>
      <c r="C169" s="26" t="str">
        <f>IFERROR(VLOOKUP(A169,BaseNombres!A:C,3,0),"")</f>
        <v/>
      </c>
      <c r="D169" s="27"/>
      <c r="E169" s="27"/>
      <c r="F169" s="28" t="str">
        <f>IFERROR(VLOOKUP(D169,Horarios!$H:$I,2,0),"")</f>
        <v/>
      </c>
      <c r="G169" s="28" t="str">
        <f>IFERROR(VLOOKUP(E169,Horarios!$H:$I,2,0),"")</f>
        <v/>
      </c>
      <c r="H169" s="28" t="str">
        <f t="shared" si="96"/>
        <v>00:00</v>
      </c>
      <c r="I169" s="29"/>
      <c r="J169" s="27"/>
      <c r="K169" s="27"/>
      <c r="L169" s="28" t="str">
        <f>IFERROR(VLOOKUP(J169,Horarios!$H:$I,2,0),"")</f>
        <v/>
      </c>
      <c r="M169" s="28" t="str">
        <f>IFERROR(VLOOKUP(K169,Horarios!$H:$I,2,0),"")</f>
        <v/>
      </c>
      <c r="N169" s="28" t="str">
        <f t="shared" si="97"/>
        <v>00:00</v>
      </c>
      <c r="O169" s="29"/>
      <c r="P169" s="27"/>
      <c r="Q169" s="27"/>
      <c r="R169" s="28" t="str">
        <f>IFERROR(VLOOKUP(P169,Horarios!$H:$I,2,0),"")</f>
        <v/>
      </c>
      <c r="S169" s="28" t="str">
        <f>IFERROR(VLOOKUP(Q169,Horarios!$H:$I,2,0),"")</f>
        <v/>
      </c>
      <c r="T169" s="28" t="str">
        <f t="shared" si="98"/>
        <v>00:00</v>
      </c>
      <c r="U169" s="29"/>
      <c r="V169" s="27"/>
      <c r="W169" s="27"/>
      <c r="X169" s="28" t="str">
        <f>IFERROR(VLOOKUP(V169,Horarios!$H:$I,2,0),"")</f>
        <v/>
      </c>
      <c r="Y169" s="28" t="str">
        <f>IFERROR(VLOOKUP(W169,Horarios!$H:$I,2,0),"")</f>
        <v/>
      </c>
      <c r="Z169" s="28" t="str">
        <f t="shared" si="99"/>
        <v>00:00</v>
      </c>
      <c r="AA169" s="29"/>
      <c r="AB169" s="27"/>
      <c r="AC169" s="27"/>
      <c r="AD169" s="28" t="str">
        <f>IFERROR(VLOOKUP(AB169,Horarios!$H:$I,2,0),"")</f>
        <v/>
      </c>
      <c r="AE169" s="28" t="str">
        <f>IFERROR(VLOOKUP(AC169,Horarios!$H:$I,2,0),"")</f>
        <v/>
      </c>
      <c r="AF169" s="28" t="str">
        <f t="shared" si="100"/>
        <v>00:00</v>
      </c>
      <c r="AG169" s="29"/>
      <c r="AH169" s="27"/>
      <c r="AI169" s="27"/>
      <c r="AJ169" s="28" t="str">
        <f>IFERROR(VLOOKUP(AH169,Horarios!$H:$I,2,0),"")</f>
        <v/>
      </c>
      <c r="AK169" s="28" t="str">
        <f>IFERROR(VLOOKUP(AI169,Horarios!$H:$I,2,0),"")</f>
        <v/>
      </c>
      <c r="AL169" s="28" t="str">
        <f t="shared" si="101"/>
        <v>00:00</v>
      </c>
      <c r="AM169" s="29"/>
      <c r="AN169" s="27"/>
      <c r="AO169" s="27"/>
      <c r="AP169" s="28" t="str">
        <f>IFERROR(VLOOKUP(AN169,Horarios!$H:$I,2,0),"")</f>
        <v/>
      </c>
      <c r="AQ169" s="28" t="str">
        <f>IFERROR(VLOOKUP(AO169,Horarios!$H:$I,2,0),"")</f>
        <v/>
      </c>
      <c r="AR169" s="28" t="str">
        <f t="shared" si="102"/>
        <v>00:00</v>
      </c>
      <c r="AS169" s="29"/>
      <c r="AT169" s="31" t="str">
        <f t="shared" si="103"/>
        <v/>
      </c>
      <c r="AU169" s="27"/>
      <c r="AV169" s="27"/>
      <c r="AW169" s="28" t="str">
        <f>IFERROR(VLOOKUP(AU169,Horarios!$H:$I,2,0),"")</f>
        <v/>
      </c>
      <c r="AX169" s="28" t="str">
        <f>IFERROR(VLOOKUP(AV169,Horarios!$H:$I,2,0),"")</f>
        <v/>
      </c>
      <c r="AY169" s="28" t="str">
        <f t="shared" si="104"/>
        <v>00:00</v>
      </c>
      <c r="AZ169" s="29"/>
      <c r="BA169" s="27"/>
      <c r="BB169" s="27"/>
      <c r="BC169" s="28" t="str">
        <f>IFERROR(VLOOKUP(BA169,Horarios!$H:$I,2,0),"")</f>
        <v/>
      </c>
      <c r="BD169" s="28" t="str">
        <f>IFERROR(VLOOKUP(BB169,Horarios!$H:$I,2,0),"")</f>
        <v/>
      </c>
      <c r="BE169" s="28" t="str">
        <f t="shared" si="105"/>
        <v>00:00</v>
      </c>
      <c r="BF169" s="29"/>
      <c r="BG169" s="27"/>
      <c r="BH169" s="27"/>
      <c r="BI169" s="28" t="str">
        <f>IFERROR(VLOOKUP(BG169,Horarios!$H:$I,2,0),"")</f>
        <v/>
      </c>
      <c r="BJ169" s="28" t="str">
        <f>IFERROR(VLOOKUP(BH169,Horarios!$H:$I,2,0),"")</f>
        <v/>
      </c>
      <c r="BK169" s="28" t="str">
        <f t="shared" si="106"/>
        <v>00:00</v>
      </c>
      <c r="BL169" s="29"/>
      <c r="BM169" s="27"/>
      <c r="BN169" s="27"/>
      <c r="BO169" s="28" t="str">
        <f>IFERROR(VLOOKUP(BM169,Horarios!$H:$I,2,0),"")</f>
        <v/>
      </c>
      <c r="BP169" s="28" t="str">
        <f>IFERROR(VLOOKUP(BN169,Horarios!$H:$I,2,0),"")</f>
        <v/>
      </c>
      <c r="BQ169" s="28" t="str">
        <f t="shared" si="107"/>
        <v>00:00</v>
      </c>
      <c r="BR169" s="29"/>
      <c r="BS169" s="27"/>
      <c r="BT169" s="27"/>
      <c r="BU169" s="28" t="str">
        <f>IFERROR(VLOOKUP(BS169,Horarios!$H:$I,2,0),"")</f>
        <v/>
      </c>
      <c r="BV169" s="28" t="str">
        <f>IFERROR(VLOOKUP(BT169,Horarios!$H:$I,2,0),"")</f>
        <v/>
      </c>
      <c r="BW169" s="28" t="str">
        <f t="shared" si="108"/>
        <v>00:00</v>
      </c>
      <c r="BX169" s="29"/>
      <c r="BY169" s="27"/>
      <c r="BZ169" s="27"/>
      <c r="CA169" s="28" t="str">
        <f>IFERROR(VLOOKUP(BY169,Horarios!$H:$I,2,0),"")</f>
        <v/>
      </c>
      <c r="CB169" s="28" t="str">
        <f>IFERROR(VLOOKUP(BZ169,Horarios!$H:$I,2,0),"")</f>
        <v/>
      </c>
      <c r="CC169" s="28" t="str">
        <f t="shared" si="109"/>
        <v>00:00</v>
      </c>
      <c r="CD169" s="29"/>
      <c r="CE169" s="27"/>
      <c r="CF169" s="27"/>
      <c r="CG169" s="28" t="str">
        <f>IFERROR(VLOOKUP(CE169,Horarios!$H:$I,2,0),"")</f>
        <v/>
      </c>
      <c r="CH169" s="28" t="str">
        <f>IFERROR(VLOOKUP(CF169,Horarios!$H:$I,2,0),"")</f>
        <v/>
      </c>
      <c r="CI169" s="28" t="str">
        <f t="shared" si="110"/>
        <v>00:00</v>
      </c>
      <c r="CJ169" s="29"/>
      <c r="CK169" s="31" t="str">
        <f t="shared" si="111"/>
        <v/>
      </c>
      <c r="CL169" s="27"/>
      <c r="CM169" s="27"/>
      <c r="CN169" s="28" t="str">
        <f>IFERROR(VLOOKUP(CL169,Horarios!$H:$I,2,0),"")</f>
        <v/>
      </c>
      <c r="CO169" s="28" t="str">
        <f>IFERROR(VLOOKUP(CM169,Horarios!$H:$I,2,0),"")</f>
        <v/>
      </c>
      <c r="CP169" s="28" t="str">
        <f t="shared" si="112"/>
        <v>00:00</v>
      </c>
      <c r="CQ169" s="29"/>
      <c r="CR169" s="27"/>
      <c r="CS169" s="27"/>
      <c r="CT169" s="28" t="str">
        <f>IFERROR(VLOOKUP(CR169,Horarios!$H:$I,2,0),"")</f>
        <v/>
      </c>
      <c r="CU169" s="28" t="str">
        <f>IFERROR(VLOOKUP(CS169,Horarios!$H:$I,2,0),"")</f>
        <v/>
      </c>
      <c r="CV169" s="28" t="str">
        <f t="shared" si="113"/>
        <v>00:00</v>
      </c>
      <c r="CW169" s="29"/>
      <c r="CX169" s="27"/>
      <c r="CY169" s="27"/>
      <c r="CZ169" s="28" t="str">
        <f>IFERROR(VLOOKUP(CX169,Horarios!$H:$I,2,0),"")</f>
        <v/>
      </c>
      <c r="DA169" s="28" t="str">
        <f>IFERROR(VLOOKUP(CY169,Horarios!$H:$I,2,0),"")</f>
        <v/>
      </c>
      <c r="DB169" s="28" t="str">
        <f t="shared" si="114"/>
        <v>00:00</v>
      </c>
      <c r="DC169" s="29"/>
      <c r="DD169" s="27"/>
      <c r="DE169" s="27"/>
      <c r="DF169" s="28" t="str">
        <f>IFERROR(VLOOKUP(DD169,Horarios!$H:$I,2,0),"")</f>
        <v/>
      </c>
      <c r="DG169" s="28" t="str">
        <f>IFERROR(VLOOKUP(DE169,Horarios!$H:$I,2,0),"")</f>
        <v/>
      </c>
      <c r="DH169" s="28" t="str">
        <f t="shared" si="115"/>
        <v>00:00</v>
      </c>
      <c r="DI169" s="29"/>
      <c r="DJ169" s="27"/>
      <c r="DK169" s="27"/>
      <c r="DL169" s="28" t="str">
        <f>IFERROR(VLOOKUP(DJ169,Horarios!$H:$I,2,0),"")</f>
        <v/>
      </c>
      <c r="DM169" s="28" t="str">
        <f>IFERROR(VLOOKUP(DK169,Horarios!$H:$I,2,0),"")</f>
        <v/>
      </c>
      <c r="DN169" s="28" t="str">
        <f t="shared" si="116"/>
        <v>00:00</v>
      </c>
      <c r="DO169" s="29"/>
      <c r="DP169" s="27"/>
      <c r="DQ169" s="27"/>
      <c r="DR169" s="28" t="str">
        <f>IFERROR(VLOOKUP(DP169,Horarios!$H:$I,2,0),"")</f>
        <v/>
      </c>
      <c r="DS169" s="28" t="str">
        <f>IFERROR(VLOOKUP(DQ169,Horarios!$H:$I,2,0),"")</f>
        <v/>
      </c>
      <c r="DT169" s="28" t="str">
        <f t="shared" si="117"/>
        <v>00:00</v>
      </c>
      <c r="DU169" s="29"/>
      <c r="DV169" s="27"/>
      <c r="DW169" s="27"/>
      <c r="DX169" s="28" t="str">
        <f>IFERROR(VLOOKUP(DV169,Horarios!$H:$I,2,0),"")</f>
        <v/>
      </c>
      <c r="DY169" s="28" t="str">
        <f>IFERROR(VLOOKUP(DW169,Horarios!$H:$I,2,0),"")</f>
        <v/>
      </c>
      <c r="DZ169" s="28" t="str">
        <f t="shared" si="118"/>
        <v>00:00</v>
      </c>
      <c r="EA169" s="29"/>
      <c r="EB169" s="31" t="str">
        <f t="shared" si="119"/>
        <v/>
      </c>
      <c r="EC169" s="27"/>
      <c r="ED169" s="27"/>
      <c r="EE169" s="28" t="str">
        <f>IFERROR(VLOOKUP(EC169,Horarios!$H:$I,2,0),"")</f>
        <v/>
      </c>
      <c r="EF169" s="28" t="str">
        <f>IFERROR(VLOOKUP(ED169,Horarios!$H:$I,2,0),"")</f>
        <v/>
      </c>
      <c r="EG169" s="28" t="str">
        <f t="shared" si="120"/>
        <v>00:00</v>
      </c>
      <c r="EH169" s="29"/>
      <c r="EI169" s="27"/>
      <c r="EJ169" s="27"/>
      <c r="EK169" s="28" t="str">
        <f>IFERROR(VLOOKUP(EI169,Horarios!$H:$I,2,0),"")</f>
        <v/>
      </c>
      <c r="EL169" s="28" t="str">
        <f>IFERROR(VLOOKUP(EJ169,Horarios!$H:$I,2,0),"")</f>
        <v/>
      </c>
      <c r="EM169" s="28" t="str">
        <f t="shared" si="121"/>
        <v>00:00</v>
      </c>
      <c r="EN169" s="29"/>
      <c r="EO169" s="27"/>
      <c r="EP169" s="27"/>
      <c r="EQ169" s="28" t="str">
        <f>IFERROR(VLOOKUP(EO169,Horarios!$H:$I,2,0),"")</f>
        <v/>
      </c>
      <c r="ER169" s="28" t="str">
        <f>IFERROR(VLOOKUP(EP169,Horarios!$H:$I,2,0),"")</f>
        <v/>
      </c>
      <c r="ES169" s="28" t="str">
        <f t="shared" si="122"/>
        <v>00:00</v>
      </c>
      <c r="ET169" s="29"/>
      <c r="EU169" s="27"/>
      <c r="EV169" s="27"/>
      <c r="EW169" s="28" t="str">
        <f>IFERROR(VLOOKUP(EU169,Horarios!$H:$I,2,0),"")</f>
        <v/>
      </c>
      <c r="EX169" s="28" t="str">
        <f>IFERROR(VLOOKUP(EV169,Horarios!$H:$I,2,0),"")</f>
        <v/>
      </c>
      <c r="EY169" s="28" t="str">
        <f t="shared" si="123"/>
        <v>00:00</v>
      </c>
      <c r="EZ169" s="29"/>
      <c r="FA169" s="27"/>
      <c r="FB169" s="27"/>
      <c r="FC169" s="28" t="str">
        <f>IFERROR(VLOOKUP(FA169,Horarios!$H:$I,2,0),"")</f>
        <v/>
      </c>
      <c r="FD169" s="28" t="str">
        <f>IFERROR(VLOOKUP(FB169,Horarios!$H:$I,2,0),"")</f>
        <v/>
      </c>
      <c r="FE169" s="28" t="str">
        <f t="shared" si="124"/>
        <v>00:00</v>
      </c>
      <c r="FF169" s="29"/>
      <c r="FG169" s="27"/>
      <c r="FH169" s="27"/>
      <c r="FI169" s="28" t="str">
        <f>IFERROR(VLOOKUP(FG169,Horarios!$H:$I,2,0),"")</f>
        <v/>
      </c>
      <c r="FJ169" s="28" t="str">
        <f>IFERROR(VLOOKUP(FH169,Horarios!$H:$I,2,0),"")</f>
        <v/>
      </c>
      <c r="FK169" s="28" t="str">
        <f t="shared" si="125"/>
        <v>00:00</v>
      </c>
      <c r="FL169" s="29"/>
      <c r="FM169" s="27"/>
      <c r="FN169" s="27"/>
      <c r="FO169" s="28" t="str">
        <f>IFERROR(VLOOKUP(FM169,Horarios!$H:$I,2,0),"")</f>
        <v/>
      </c>
      <c r="FP169" s="28" t="str">
        <f>IFERROR(VLOOKUP(FN169,Horarios!$H:$I,2,0),"")</f>
        <v/>
      </c>
      <c r="FQ169" s="28" t="str">
        <f t="shared" si="126"/>
        <v>00:00</v>
      </c>
      <c r="FR169" s="29"/>
      <c r="FS169" s="31" t="str">
        <f t="shared" si="127"/>
        <v/>
      </c>
      <c r="FT169" s="27"/>
      <c r="FU169" s="27"/>
      <c r="FV169" s="28" t="str">
        <f>IFERROR(VLOOKUP(FT169,Horarios!$H:$I,2,0),"")</f>
        <v/>
      </c>
      <c r="FW169" s="28" t="str">
        <f>IFERROR(VLOOKUP(FU169,Horarios!$H:$I,2,0),"")</f>
        <v/>
      </c>
      <c r="FX169" s="28" t="str">
        <f t="shared" si="128"/>
        <v>00:00</v>
      </c>
      <c r="FY169" s="29"/>
      <c r="FZ169" s="27"/>
      <c r="GA169" s="27"/>
      <c r="GB169" s="28" t="str">
        <f>IFERROR(VLOOKUP(FZ169,Horarios!$H:$I,2,0),"")</f>
        <v/>
      </c>
      <c r="GC169" s="28" t="str">
        <f>IFERROR(VLOOKUP(GA169,Horarios!$H:$I,2,0),"")</f>
        <v/>
      </c>
      <c r="GD169" s="28" t="str">
        <f t="shared" si="129"/>
        <v>00:00</v>
      </c>
      <c r="GE169" s="29"/>
      <c r="GF169" s="27"/>
      <c r="GG169" s="27"/>
      <c r="GH169" s="28" t="str">
        <f>IFERROR(VLOOKUP(GF169,Horarios!$H:$I,2,0),"")</f>
        <v/>
      </c>
      <c r="GI169" s="28" t="str">
        <f>IFERROR(VLOOKUP(GG169,Horarios!$H:$I,2,0),"")</f>
        <v/>
      </c>
      <c r="GJ169" s="28" t="str">
        <f t="shared" si="130"/>
        <v>00:00</v>
      </c>
      <c r="GK169" s="29"/>
      <c r="GL169" s="27"/>
      <c r="GM169" s="27"/>
      <c r="GN169" s="28" t="str">
        <f>IFERROR(VLOOKUP(GL169,Horarios!$H:$I,2,0),"")</f>
        <v/>
      </c>
      <c r="GO169" s="28" t="str">
        <f>IFERROR(VLOOKUP(GM169,Horarios!$H:$I,2,0),"")</f>
        <v/>
      </c>
      <c r="GP169" s="28" t="str">
        <f t="shared" si="131"/>
        <v>00:00</v>
      </c>
      <c r="GQ169" s="29"/>
      <c r="GR169" s="27"/>
      <c r="GS169" s="27"/>
      <c r="GT169" s="28" t="str">
        <f>IFERROR(VLOOKUP(GR169,Horarios!$H:$I,2,0),"")</f>
        <v/>
      </c>
      <c r="GU169" s="28" t="str">
        <f>IFERROR(VLOOKUP(GS169,Horarios!$H:$I,2,0),"")</f>
        <v/>
      </c>
      <c r="GV169" s="28" t="str">
        <f t="shared" si="132"/>
        <v>00:00</v>
      </c>
      <c r="GW169" s="29"/>
      <c r="GX169" s="27"/>
      <c r="GY169" s="27"/>
      <c r="GZ169" s="28" t="str">
        <f>IFERROR(VLOOKUP(GX169,Horarios!$H:$I,2,0),"")</f>
        <v/>
      </c>
      <c r="HA169" s="28" t="str">
        <f>IFERROR(VLOOKUP(GY169,Horarios!$H:$I,2,0),"")</f>
        <v/>
      </c>
      <c r="HB169" s="28" t="str">
        <f t="shared" si="133"/>
        <v>00:00</v>
      </c>
      <c r="HC169" s="29"/>
      <c r="HD169" s="27"/>
      <c r="HE169" s="27"/>
      <c r="HF169" s="28" t="str">
        <f>IFERROR(VLOOKUP(HD169,Horarios!$H:$I,2,0),"")</f>
        <v/>
      </c>
      <c r="HG169" s="28" t="str">
        <f>IFERROR(VLOOKUP(HE169,Horarios!$H:$I,2,0),"")</f>
        <v/>
      </c>
      <c r="HH169" s="28" t="str">
        <f t="shared" si="134"/>
        <v>00:00</v>
      </c>
      <c r="HI169" s="29"/>
      <c r="HJ169" s="31" t="str">
        <f t="shared" si="135"/>
        <v/>
      </c>
      <c r="HK169" s="27"/>
      <c r="HL169" s="27"/>
      <c r="HM169" s="28" t="str">
        <f>IFERROR(VLOOKUP(HK169,Horarios!$H:$I,2,0),"")</f>
        <v/>
      </c>
      <c r="HN169" s="28" t="str">
        <f>IFERROR(VLOOKUP(HL169,Horarios!$H:$I,2,0),"")</f>
        <v/>
      </c>
      <c r="HO169" s="28" t="str">
        <f t="shared" si="136"/>
        <v>00:00</v>
      </c>
      <c r="HP169" s="29"/>
      <c r="HQ169" s="27"/>
      <c r="HR169" s="27"/>
      <c r="HS169" s="28" t="str">
        <f>IFERROR(VLOOKUP(HQ169,Horarios!$H:$I,2,0),"")</f>
        <v/>
      </c>
      <c r="HT169" s="28" t="str">
        <f>IFERROR(VLOOKUP(HR169,Horarios!$H:$I,2,0),"")</f>
        <v/>
      </c>
      <c r="HU169" s="28" t="str">
        <f t="shared" si="137"/>
        <v>00:00</v>
      </c>
      <c r="HV169" s="29"/>
      <c r="HW169" s="27"/>
      <c r="HX169" s="27"/>
      <c r="HY169" s="28" t="str">
        <f>IFERROR(VLOOKUP(HW169,Horarios!$H:$I,2,0),"")</f>
        <v/>
      </c>
      <c r="HZ169" s="28" t="str">
        <f>IFERROR(VLOOKUP(HX169,Horarios!$H:$I,2,0),"")</f>
        <v/>
      </c>
      <c r="IA169" s="28" t="str">
        <f t="shared" si="138"/>
        <v>00:00</v>
      </c>
      <c r="IB169" s="29"/>
      <c r="IC169" s="27"/>
      <c r="ID169" s="27"/>
      <c r="IE169" s="28" t="str">
        <f>IFERROR(VLOOKUP(IC169,Horarios!$H:$I,2,0),"")</f>
        <v/>
      </c>
      <c r="IF169" s="28" t="str">
        <f>IFERROR(VLOOKUP(ID169,Horarios!$H:$I,2,0),"")</f>
        <v/>
      </c>
      <c r="IG169" s="28" t="str">
        <f t="shared" si="139"/>
        <v>00:00</v>
      </c>
      <c r="IH169" s="29"/>
      <c r="II169" s="27"/>
      <c r="IJ169" s="27"/>
      <c r="IK169" s="28" t="str">
        <f>IFERROR(VLOOKUP(II169,Horarios!$H:$I,2,0),"")</f>
        <v/>
      </c>
      <c r="IL169" s="28" t="str">
        <f>IFERROR(VLOOKUP(IJ169,Horarios!$H:$I,2,0),"")</f>
        <v/>
      </c>
      <c r="IM169" s="28" t="str">
        <f t="shared" si="140"/>
        <v>00:00</v>
      </c>
      <c r="IN169" s="29"/>
      <c r="IO169" s="27"/>
      <c r="IP169" s="27"/>
      <c r="IQ169" s="28" t="str">
        <f>IFERROR(VLOOKUP(IO169,Horarios!$H:$I,2,0),"")</f>
        <v/>
      </c>
      <c r="IR169" s="28" t="str">
        <f>IFERROR(VLOOKUP(IP169,Horarios!$H:$I,2,0),"")</f>
        <v/>
      </c>
      <c r="IS169" s="28" t="str">
        <f t="shared" si="141"/>
        <v>00:00</v>
      </c>
      <c r="IT169" s="29"/>
      <c r="IU169" s="27"/>
      <c r="IV169" s="27"/>
      <c r="IW169" s="28" t="str">
        <f>IFERROR(VLOOKUP(IU169,Horarios!$H:$I,2,0),"")</f>
        <v/>
      </c>
      <c r="IX169" s="28" t="str">
        <f>IFERROR(VLOOKUP(IV169,Horarios!$H:$I,2,0),"")</f>
        <v/>
      </c>
      <c r="IY169" s="28" t="str">
        <f t="shared" si="142"/>
        <v>00:00</v>
      </c>
      <c r="IZ169" s="29"/>
      <c r="JA169" s="31" t="str">
        <f t="shared" si="143"/>
        <v/>
      </c>
    </row>
    <row r="170" spans="1:261" s="24" customFormat="1" ht="17.399999999999999" x14ac:dyDescent="0.25">
      <c r="A170" s="25"/>
      <c r="B170" s="26" t="str">
        <f>IFERROR(VLOOKUP(A170,BaseNombres!A:B,2,0),"")</f>
        <v/>
      </c>
      <c r="C170" s="26" t="str">
        <f>IFERROR(VLOOKUP(A170,BaseNombres!A:C,3,0),"")</f>
        <v/>
      </c>
      <c r="D170" s="27"/>
      <c r="E170" s="27"/>
      <c r="F170" s="28" t="str">
        <f>IFERROR(VLOOKUP(D170,Horarios!$H:$I,2,0),"")</f>
        <v/>
      </c>
      <c r="G170" s="28" t="str">
        <f>IFERROR(VLOOKUP(E170,Horarios!$H:$I,2,0),"")</f>
        <v/>
      </c>
      <c r="H170" s="28" t="str">
        <f t="shared" si="96"/>
        <v>00:00</v>
      </c>
      <c r="I170" s="29"/>
      <c r="J170" s="27"/>
      <c r="K170" s="27"/>
      <c r="L170" s="28" t="str">
        <f>IFERROR(VLOOKUP(J170,Horarios!$H:$I,2,0),"")</f>
        <v/>
      </c>
      <c r="M170" s="28" t="str">
        <f>IFERROR(VLOOKUP(K170,Horarios!$H:$I,2,0),"")</f>
        <v/>
      </c>
      <c r="N170" s="28" t="str">
        <f t="shared" si="97"/>
        <v>00:00</v>
      </c>
      <c r="O170" s="29"/>
      <c r="P170" s="27"/>
      <c r="Q170" s="27"/>
      <c r="R170" s="28" t="str">
        <f>IFERROR(VLOOKUP(P170,Horarios!$H:$I,2,0),"")</f>
        <v/>
      </c>
      <c r="S170" s="28" t="str">
        <f>IFERROR(VLOOKUP(Q170,Horarios!$H:$I,2,0),"")</f>
        <v/>
      </c>
      <c r="T170" s="28" t="str">
        <f t="shared" si="98"/>
        <v>00:00</v>
      </c>
      <c r="U170" s="29"/>
      <c r="V170" s="27"/>
      <c r="W170" s="27"/>
      <c r="X170" s="28" t="str">
        <f>IFERROR(VLOOKUP(V170,Horarios!$H:$I,2,0),"")</f>
        <v/>
      </c>
      <c r="Y170" s="28" t="str">
        <f>IFERROR(VLOOKUP(W170,Horarios!$H:$I,2,0),"")</f>
        <v/>
      </c>
      <c r="Z170" s="28" t="str">
        <f t="shared" si="99"/>
        <v>00:00</v>
      </c>
      <c r="AA170" s="29"/>
      <c r="AB170" s="27"/>
      <c r="AC170" s="27"/>
      <c r="AD170" s="28" t="str">
        <f>IFERROR(VLOOKUP(AB170,Horarios!$H:$I,2,0),"")</f>
        <v/>
      </c>
      <c r="AE170" s="28" t="str">
        <f>IFERROR(VLOOKUP(AC170,Horarios!$H:$I,2,0),"")</f>
        <v/>
      </c>
      <c r="AF170" s="28" t="str">
        <f t="shared" si="100"/>
        <v>00:00</v>
      </c>
      <c r="AG170" s="29"/>
      <c r="AH170" s="27"/>
      <c r="AI170" s="27"/>
      <c r="AJ170" s="28" t="str">
        <f>IFERROR(VLOOKUP(AH170,Horarios!$H:$I,2,0),"")</f>
        <v/>
      </c>
      <c r="AK170" s="28" t="str">
        <f>IFERROR(VLOOKUP(AI170,Horarios!$H:$I,2,0),"")</f>
        <v/>
      </c>
      <c r="AL170" s="28" t="str">
        <f t="shared" si="101"/>
        <v>00:00</v>
      </c>
      <c r="AM170" s="29"/>
      <c r="AN170" s="27"/>
      <c r="AO170" s="27"/>
      <c r="AP170" s="28" t="str">
        <f>IFERROR(VLOOKUP(AN170,Horarios!$H:$I,2,0),"")</f>
        <v/>
      </c>
      <c r="AQ170" s="28" t="str">
        <f>IFERROR(VLOOKUP(AO170,Horarios!$H:$I,2,0),"")</f>
        <v/>
      </c>
      <c r="AR170" s="28" t="str">
        <f t="shared" si="102"/>
        <v>00:00</v>
      </c>
      <c r="AS170" s="29"/>
      <c r="AT170" s="31" t="str">
        <f t="shared" si="103"/>
        <v/>
      </c>
      <c r="AU170" s="27"/>
      <c r="AV170" s="27"/>
      <c r="AW170" s="28" t="str">
        <f>IFERROR(VLOOKUP(AU170,Horarios!$H:$I,2,0),"")</f>
        <v/>
      </c>
      <c r="AX170" s="28" t="str">
        <f>IFERROR(VLOOKUP(AV170,Horarios!$H:$I,2,0),"")</f>
        <v/>
      </c>
      <c r="AY170" s="28" t="str">
        <f t="shared" si="104"/>
        <v>00:00</v>
      </c>
      <c r="AZ170" s="29"/>
      <c r="BA170" s="27"/>
      <c r="BB170" s="27"/>
      <c r="BC170" s="28" t="str">
        <f>IFERROR(VLOOKUP(BA170,Horarios!$H:$I,2,0),"")</f>
        <v/>
      </c>
      <c r="BD170" s="28" t="str">
        <f>IFERROR(VLOOKUP(BB170,Horarios!$H:$I,2,0),"")</f>
        <v/>
      </c>
      <c r="BE170" s="28" t="str">
        <f t="shared" si="105"/>
        <v>00:00</v>
      </c>
      <c r="BF170" s="29"/>
      <c r="BG170" s="27"/>
      <c r="BH170" s="27"/>
      <c r="BI170" s="28" t="str">
        <f>IFERROR(VLOOKUP(BG170,Horarios!$H:$I,2,0),"")</f>
        <v/>
      </c>
      <c r="BJ170" s="28" t="str">
        <f>IFERROR(VLOOKUP(BH170,Horarios!$H:$I,2,0),"")</f>
        <v/>
      </c>
      <c r="BK170" s="28" t="str">
        <f t="shared" si="106"/>
        <v>00:00</v>
      </c>
      <c r="BL170" s="29"/>
      <c r="BM170" s="27"/>
      <c r="BN170" s="27"/>
      <c r="BO170" s="28" t="str">
        <f>IFERROR(VLOOKUP(BM170,Horarios!$H:$I,2,0),"")</f>
        <v/>
      </c>
      <c r="BP170" s="28" t="str">
        <f>IFERROR(VLOOKUP(BN170,Horarios!$H:$I,2,0),"")</f>
        <v/>
      </c>
      <c r="BQ170" s="28" t="str">
        <f t="shared" si="107"/>
        <v>00:00</v>
      </c>
      <c r="BR170" s="29"/>
      <c r="BS170" s="27"/>
      <c r="BT170" s="27"/>
      <c r="BU170" s="28" t="str">
        <f>IFERROR(VLOOKUP(BS170,Horarios!$H:$I,2,0),"")</f>
        <v/>
      </c>
      <c r="BV170" s="28" t="str">
        <f>IFERROR(VLOOKUP(BT170,Horarios!$H:$I,2,0),"")</f>
        <v/>
      </c>
      <c r="BW170" s="28" t="str">
        <f t="shared" si="108"/>
        <v>00:00</v>
      </c>
      <c r="BX170" s="29"/>
      <c r="BY170" s="27"/>
      <c r="BZ170" s="27"/>
      <c r="CA170" s="28" t="str">
        <f>IFERROR(VLOOKUP(BY170,Horarios!$H:$I,2,0),"")</f>
        <v/>
      </c>
      <c r="CB170" s="28" t="str">
        <f>IFERROR(VLOOKUP(BZ170,Horarios!$H:$I,2,0),"")</f>
        <v/>
      </c>
      <c r="CC170" s="28" t="str">
        <f t="shared" si="109"/>
        <v>00:00</v>
      </c>
      <c r="CD170" s="29"/>
      <c r="CE170" s="27"/>
      <c r="CF170" s="27"/>
      <c r="CG170" s="28" t="str">
        <f>IFERROR(VLOOKUP(CE170,Horarios!$H:$I,2,0),"")</f>
        <v/>
      </c>
      <c r="CH170" s="28" t="str">
        <f>IFERROR(VLOOKUP(CF170,Horarios!$H:$I,2,0),"")</f>
        <v/>
      </c>
      <c r="CI170" s="28" t="str">
        <f t="shared" si="110"/>
        <v>00:00</v>
      </c>
      <c r="CJ170" s="29"/>
      <c r="CK170" s="31" t="str">
        <f t="shared" si="111"/>
        <v/>
      </c>
      <c r="CL170" s="27"/>
      <c r="CM170" s="27"/>
      <c r="CN170" s="28" t="str">
        <f>IFERROR(VLOOKUP(CL170,Horarios!$H:$I,2,0),"")</f>
        <v/>
      </c>
      <c r="CO170" s="28" t="str">
        <f>IFERROR(VLOOKUP(CM170,Horarios!$H:$I,2,0),"")</f>
        <v/>
      </c>
      <c r="CP170" s="28" t="str">
        <f t="shared" si="112"/>
        <v>00:00</v>
      </c>
      <c r="CQ170" s="29"/>
      <c r="CR170" s="27"/>
      <c r="CS170" s="27"/>
      <c r="CT170" s="28" t="str">
        <f>IFERROR(VLOOKUP(CR170,Horarios!$H:$I,2,0),"")</f>
        <v/>
      </c>
      <c r="CU170" s="28" t="str">
        <f>IFERROR(VLOOKUP(CS170,Horarios!$H:$I,2,0),"")</f>
        <v/>
      </c>
      <c r="CV170" s="28" t="str">
        <f t="shared" si="113"/>
        <v>00:00</v>
      </c>
      <c r="CW170" s="29"/>
      <c r="CX170" s="27"/>
      <c r="CY170" s="27"/>
      <c r="CZ170" s="28" t="str">
        <f>IFERROR(VLOOKUP(CX170,Horarios!$H:$I,2,0),"")</f>
        <v/>
      </c>
      <c r="DA170" s="28" t="str">
        <f>IFERROR(VLOOKUP(CY170,Horarios!$H:$I,2,0),"")</f>
        <v/>
      </c>
      <c r="DB170" s="28" t="str">
        <f t="shared" si="114"/>
        <v>00:00</v>
      </c>
      <c r="DC170" s="29"/>
      <c r="DD170" s="27"/>
      <c r="DE170" s="27"/>
      <c r="DF170" s="28" t="str">
        <f>IFERROR(VLOOKUP(DD170,Horarios!$H:$I,2,0),"")</f>
        <v/>
      </c>
      <c r="DG170" s="28" t="str">
        <f>IFERROR(VLOOKUP(DE170,Horarios!$H:$I,2,0),"")</f>
        <v/>
      </c>
      <c r="DH170" s="28" t="str">
        <f t="shared" si="115"/>
        <v>00:00</v>
      </c>
      <c r="DI170" s="29"/>
      <c r="DJ170" s="27"/>
      <c r="DK170" s="27"/>
      <c r="DL170" s="28" t="str">
        <f>IFERROR(VLOOKUP(DJ170,Horarios!$H:$I,2,0),"")</f>
        <v/>
      </c>
      <c r="DM170" s="28" t="str">
        <f>IFERROR(VLOOKUP(DK170,Horarios!$H:$I,2,0),"")</f>
        <v/>
      </c>
      <c r="DN170" s="28" t="str">
        <f t="shared" si="116"/>
        <v>00:00</v>
      </c>
      <c r="DO170" s="29"/>
      <c r="DP170" s="27"/>
      <c r="DQ170" s="27"/>
      <c r="DR170" s="28" t="str">
        <f>IFERROR(VLOOKUP(DP170,Horarios!$H:$I,2,0),"")</f>
        <v/>
      </c>
      <c r="DS170" s="28" t="str">
        <f>IFERROR(VLOOKUP(DQ170,Horarios!$H:$I,2,0),"")</f>
        <v/>
      </c>
      <c r="DT170" s="28" t="str">
        <f t="shared" si="117"/>
        <v>00:00</v>
      </c>
      <c r="DU170" s="29"/>
      <c r="DV170" s="27"/>
      <c r="DW170" s="27"/>
      <c r="DX170" s="28" t="str">
        <f>IFERROR(VLOOKUP(DV170,Horarios!$H:$I,2,0),"")</f>
        <v/>
      </c>
      <c r="DY170" s="28" t="str">
        <f>IFERROR(VLOOKUP(DW170,Horarios!$H:$I,2,0),"")</f>
        <v/>
      </c>
      <c r="DZ170" s="28" t="str">
        <f t="shared" si="118"/>
        <v>00:00</v>
      </c>
      <c r="EA170" s="29"/>
      <c r="EB170" s="31" t="str">
        <f t="shared" si="119"/>
        <v/>
      </c>
      <c r="EC170" s="27"/>
      <c r="ED170" s="27"/>
      <c r="EE170" s="28" t="str">
        <f>IFERROR(VLOOKUP(EC170,Horarios!$H:$I,2,0),"")</f>
        <v/>
      </c>
      <c r="EF170" s="28" t="str">
        <f>IFERROR(VLOOKUP(ED170,Horarios!$H:$I,2,0),"")</f>
        <v/>
      </c>
      <c r="EG170" s="28" t="str">
        <f t="shared" si="120"/>
        <v>00:00</v>
      </c>
      <c r="EH170" s="29"/>
      <c r="EI170" s="27"/>
      <c r="EJ170" s="27"/>
      <c r="EK170" s="28" t="str">
        <f>IFERROR(VLOOKUP(EI170,Horarios!$H:$I,2,0),"")</f>
        <v/>
      </c>
      <c r="EL170" s="28" t="str">
        <f>IFERROR(VLOOKUP(EJ170,Horarios!$H:$I,2,0),"")</f>
        <v/>
      </c>
      <c r="EM170" s="28" t="str">
        <f t="shared" si="121"/>
        <v>00:00</v>
      </c>
      <c r="EN170" s="29"/>
      <c r="EO170" s="27"/>
      <c r="EP170" s="27"/>
      <c r="EQ170" s="28" t="str">
        <f>IFERROR(VLOOKUP(EO170,Horarios!$H:$I,2,0),"")</f>
        <v/>
      </c>
      <c r="ER170" s="28" t="str">
        <f>IFERROR(VLOOKUP(EP170,Horarios!$H:$I,2,0),"")</f>
        <v/>
      </c>
      <c r="ES170" s="28" t="str">
        <f t="shared" si="122"/>
        <v>00:00</v>
      </c>
      <c r="ET170" s="29"/>
      <c r="EU170" s="27"/>
      <c r="EV170" s="27"/>
      <c r="EW170" s="28" t="str">
        <f>IFERROR(VLOOKUP(EU170,Horarios!$H:$I,2,0),"")</f>
        <v/>
      </c>
      <c r="EX170" s="28" t="str">
        <f>IFERROR(VLOOKUP(EV170,Horarios!$H:$I,2,0),"")</f>
        <v/>
      </c>
      <c r="EY170" s="28" t="str">
        <f t="shared" si="123"/>
        <v>00:00</v>
      </c>
      <c r="EZ170" s="29"/>
      <c r="FA170" s="27"/>
      <c r="FB170" s="27"/>
      <c r="FC170" s="28" t="str">
        <f>IFERROR(VLOOKUP(FA170,Horarios!$H:$I,2,0),"")</f>
        <v/>
      </c>
      <c r="FD170" s="28" t="str">
        <f>IFERROR(VLOOKUP(FB170,Horarios!$H:$I,2,0),"")</f>
        <v/>
      </c>
      <c r="FE170" s="28" t="str">
        <f t="shared" si="124"/>
        <v>00:00</v>
      </c>
      <c r="FF170" s="29"/>
      <c r="FG170" s="27"/>
      <c r="FH170" s="27"/>
      <c r="FI170" s="28" t="str">
        <f>IFERROR(VLOOKUP(FG170,Horarios!$H:$I,2,0),"")</f>
        <v/>
      </c>
      <c r="FJ170" s="28" t="str">
        <f>IFERROR(VLOOKUP(FH170,Horarios!$H:$I,2,0),"")</f>
        <v/>
      </c>
      <c r="FK170" s="28" t="str">
        <f t="shared" si="125"/>
        <v>00:00</v>
      </c>
      <c r="FL170" s="29"/>
      <c r="FM170" s="27"/>
      <c r="FN170" s="27"/>
      <c r="FO170" s="28" t="str">
        <f>IFERROR(VLOOKUP(FM170,Horarios!$H:$I,2,0),"")</f>
        <v/>
      </c>
      <c r="FP170" s="28" t="str">
        <f>IFERROR(VLOOKUP(FN170,Horarios!$H:$I,2,0),"")</f>
        <v/>
      </c>
      <c r="FQ170" s="28" t="str">
        <f t="shared" si="126"/>
        <v>00:00</v>
      </c>
      <c r="FR170" s="29"/>
      <c r="FS170" s="31" t="str">
        <f t="shared" si="127"/>
        <v/>
      </c>
      <c r="FT170" s="27"/>
      <c r="FU170" s="27"/>
      <c r="FV170" s="28" t="str">
        <f>IFERROR(VLOOKUP(FT170,Horarios!$H:$I,2,0),"")</f>
        <v/>
      </c>
      <c r="FW170" s="28" t="str">
        <f>IFERROR(VLOOKUP(FU170,Horarios!$H:$I,2,0),"")</f>
        <v/>
      </c>
      <c r="FX170" s="28" t="str">
        <f t="shared" si="128"/>
        <v>00:00</v>
      </c>
      <c r="FY170" s="29"/>
      <c r="FZ170" s="27"/>
      <c r="GA170" s="27"/>
      <c r="GB170" s="28" t="str">
        <f>IFERROR(VLOOKUP(FZ170,Horarios!$H:$I,2,0),"")</f>
        <v/>
      </c>
      <c r="GC170" s="28" t="str">
        <f>IFERROR(VLOOKUP(GA170,Horarios!$H:$I,2,0),"")</f>
        <v/>
      </c>
      <c r="GD170" s="28" t="str">
        <f t="shared" si="129"/>
        <v>00:00</v>
      </c>
      <c r="GE170" s="29"/>
      <c r="GF170" s="27"/>
      <c r="GG170" s="27"/>
      <c r="GH170" s="28" t="str">
        <f>IFERROR(VLOOKUP(GF170,Horarios!$H:$I,2,0),"")</f>
        <v/>
      </c>
      <c r="GI170" s="28" t="str">
        <f>IFERROR(VLOOKUP(GG170,Horarios!$H:$I,2,0),"")</f>
        <v/>
      </c>
      <c r="GJ170" s="28" t="str">
        <f t="shared" si="130"/>
        <v>00:00</v>
      </c>
      <c r="GK170" s="29"/>
      <c r="GL170" s="27"/>
      <c r="GM170" s="27"/>
      <c r="GN170" s="28" t="str">
        <f>IFERROR(VLOOKUP(GL170,Horarios!$H:$I,2,0),"")</f>
        <v/>
      </c>
      <c r="GO170" s="28" t="str">
        <f>IFERROR(VLOOKUP(GM170,Horarios!$H:$I,2,0),"")</f>
        <v/>
      </c>
      <c r="GP170" s="28" t="str">
        <f t="shared" si="131"/>
        <v>00:00</v>
      </c>
      <c r="GQ170" s="29"/>
      <c r="GR170" s="27"/>
      <c r="GS170" s="27"/>
      <c r="GT170" s="28" t="str">
        <f>IFERROR(VLOOKUP(GR170,Horarios!$H:$I,2,0),"")</f>
        <v/>
      </c>
      <c r="GU170" s="28" t="str">
        <f>IFERROR(VLOOKUP(GS170,Horarios!$H:$I,2,0),"")</f>
        <v/>
      </c>
      <c r="GV170" s="28" t="str">
        <f t="shared" si="132"/>
        <v>00:00</v>
      </c>
      <c r="GW170" s="29"/>
      <c r="GX170" s="27"/>
      <c r="GY170" s="27"/>
      <c r="GZ170" s="28" t="str">
        <f>IFERROR(VLOOKUP(GX170,Horarios!$H:$I,2,0),"")</f>
        <v/>
      </c>
      <c r="HA170" s="28" t="str">
        <f>IFERROR(VLOOKUP(GY170,Horarios!$H:$I,2,0),"")</f>
        <v/>
      </c>
      <c r="HB170" s="28" t="str">
        <f t="shared" si="133"/>
        <v>00:00</v>
      </c>
      <c r="HC170" s="29"/>
      <c r="HD170" s="27"/>
      <c r="HE170" s="27"/>
      <c r="HF170" s="28" t="str">
        <f>IFERROR(VLOOKUP(HD170,Horarios!$H:$I,2,0),"")</f>
        <v/>
      </c>
      <c r="HG170" s="28" t="str">
        <f>IFERROR(VLOOKUP(HE170,Horarios!$H:$I,2,0),"")</f>
        <v/>
      </c>
      <c r="HH170" s="28" t="str">
        <f t="shared" si="134"/>
        <v>00:00</v>
      </c>
      <c r="HI170" s="29"/>
      <c r="HJ170" s="31" t="str">
        <f t="shared" si="135"/>
        <v/>
      </c>
      <c r="HK170" s="27"/>
      <c r="HL170" s="27"/>
      <c r="HM170" s="28" t="str">
        <f>IFERROR(VLOOKUP(HK170,Horarios!$H:$I,2,0),"")</f>
        <v/>
      </c>
      <c r="HN170" s="28" t="str">
        <f>IFERROR(VLOOKUP(HL170,Horarios!$H:$I,2,0),"")</f>
        <v/>
      </c>
      <c r="HO170" s="28" t="str">
        <f t="shared" si="136"/>
        <v>00:00</v>
      </c>
      <c r="HP170" s="29"/>
      <c r="HQ170" s="27"/>
      <c r="HR170" s="27"/>
      <c r="HS170" s="28" t="str">
        <f>IFERROR(VLOOKUP(HQ170,Horarios!$H:$I,2,0),"")</f>
        <v/>
      </c>
      <c r="HT170" s="28" t="str">
        <f>IFERROR(VLOOKUP(HR170,Horarios!$H:$I,2,0),"")</f>
        <v/>
      </c>
      <c r="HU170" s="28" t="str">
        <f t="shared" si="137"/>
        <v>00:00</v>
      </c>
      <c r="HV170" s="29"/>
      <c r="HW170" s="27"/>
      <c r="HX170" s="27"/>
      <c r="HY170" s="28" t="str">
        <f>IFERROR(VLOOKUP(HW170,Horarios!$H:$I,2,0),"")</f>
        <v/>
      </c>
      <c r="HZ170" s="28" t="str">
        <f>IFERROR(VLOOKUP(HX170,Horarios!$H:$I,2,0),"")</f>
        <v/>
      </c>
      <c r="IA170" s="28" t="str">
        <f t="shared" si="138"/>
        <v>00:00</v>
      </c>
      <c r="IB170" s="29"/>
      <c r="IC170" s="27"/>
      <c r="ID170" s="27"/>
      <c r="IE170" s="28" t="str">
        <f>IFERROR(VLOOKUP(IC170,Horarios!$H:$I,2,0),"")</f>
        <v/>
      </c>
      <c r="IF170" s="28" t="str">
        <f>IFERROR(VLOOKUP(ID170,Horarios!$H:$I,2,0),"")</f>
        <v/>
      </c>
      <c r="IG170" s="28" t="str">
        <f t="shared" si="139"/>
        <v>00:00</v>
      </c>
      <c r="IH170" s="29"/>
      <c r="II170" s="27"/>
      <c r="IJ170" s="27"/>
      <c r="IK170" s="28" t="str">
        <f>IFERROR(VLOOKUP(II170,Horarios!$H:$I,2,0),"")</f>
        <v/>
      </c>
      <c r="IL170" s="28" t="str">
        <f>IFERROR(VLOOKUP(IJ170,Horarios!$H:$I,2,0),"")</f>
        <v/>
      </c>
      <c r="IM170" s="28" t="str">
        <f t="shared" si="140"/>
        <v>00:00</v>
      </c>
      <c r="IN170" s="29"/>
      <c r="IO170" s="27"/>
      <c r="IP170" s="27"/>
      <c r="IQ170" s="28" t="str">
        <f>IFERROR(VLOOKUP(IO170,Horarios!$H:$I,2,0),"")</f>
        <v/>
      </c>
      <c r="IR170" s="28" t="str">
        <f>IFERROR(VLOOKUP(IP170,Horarios!$H:$I,2,0),"")</f>
        <v/>
      </c>
      <c r="IS170" s="28" t="str">
        <f t="shared" si="141"/>
        <v>00:00</v>
      </c>
      <c r="IT170" s="29"/>
      <c r="IU170" s="27"/>
      <c r="IV170" s="27"/>
      <c r="IW170" s="28" t="str">
        <f>IFERROR(VLOOKUP(IU170,Horarios!$H:$I,2,0),"")</f>
        <v/>
      </c>
      <c r="IX170" s="28" t="str">
        <f>IFERROR(VLOOKUP(IV170,Horarios!$H:$I,2,0),"")</f>
        <v/>
      </c>
      <c r="IY170" s="28" t="str">
        <f t="shared" si="142"/>
        <v>00:00</v>
      </c>
      <c r="IZ170" s="29"/>
      <c r="JA170" s="31" t="str">
        <f t="shared" si="143"/>
        <v/>
      </c>
    </row>
    <row r="171" spans="1:261" s="24" customFormat="1" ht="17.399999999999999" x14ac:dyDescent="0.25">
      <c r="A171" s="25"/>
      <c r="B171" s="26" t="str">
        <f>IFERROR(VLOOKUP(A171,BaseNombres!A:B,2,0),"")</f>
        <v/>
      </c>
      <c r="C171" s="26" t="str">
        <f>IFERROR(VLOOKUP(A171,BaseNombres!A:C,3,0),"")</f>
        <v/>
      </c>
      <c r="D171" s="27"/>
      <c r="E171" s="27"/>
      <c r="F171" s="28" t="str">
        <f>IFERROR(VLOOKUP(D171,Horarios!$H:$I,2,0),"")</f>
        <v/>
      </c>
      <c r="G171" s="28" t="str">
        <f>IFERROR(VLOOKUP(E171,Horarios!$H:$I,2,0),"")</f>
        <v/>
      </c>
      <c r="H171" s="28" t="str">
        <f t="shared" si="96"/>
        <v>00:00</v>
      </c>
      <c r="I171" s="29"/>
      <c r="J171" s="27"/>
      <c r="K171" s="27"/>
      <c r="L171" s="28" t="str">
        <f>IFERROR(VLOOKUP(J171,Horarios!$H:$I,2,0),"")</f>
        <v/>
      </c>
      <c r="M171" s="28" t="str">
        <f>IFERROR(VLOOKUP(K171,Horarios!$H:$I,2,0),"")</f>
        <v/>
      </c>
      <c r="N171" s="28" t="str">
        <f t="shared" si="97"/>
        <v>00:00</v>
      </c>
      <c r="O171" s="29"/>
      <c r="P171" s="27"/>
      <c r="Q171" s="27"/>
      <c r="R171" s="28" t="str">
        <f>IFERROR(VLOOKUP(P171,Horarios!$H:$I,2,0),"")</f>
        <v/>
      </c>
      <c r="S171" s="28" t="str">
        <f>IFERROR(VLOOKUP(Q171,Horarios!$H:$I,2,0),"")</f>
        <v/>
      </c>
      <c r="T171" s="28" t="str">
        <f t="shared" si="98"/>
        <v>00:00</v>
      </c>
      <c r="U171" s="29"/>
      <c r="V171" s="27"/>
      <c r="W171" s="27"/>
      <c r="X171" s="28" t="str">
        <f>IFERROR(VLOOKUP(V171,Horarios!$H:$I,2,0),"")</f>
        <v/>
      </c>
      <c r="Y171" s="28" t="str">
        <f>IFERROR(VLOOKUP(W171,Horarios!$H:$I,2,0),"")</f>
        <v/>
      </c>
      <c r="Z171" s="28" t="str">
        <f t="shared" si="99"/>
        <v>00:00</v>
      </c>
      <c r="AA171" s="29"/>
      <c r="AB171" s="27"/>
      <c r="AC171" s="27"/>
      <c r="AD171" s="28" t="str">
        <f>IFERROR(VLOOKUP(AB171,Horarios!$H:$I,2,0),"")</f>
        <v/>
      </c>
      <c r="AE171" s="28" t="str">
        <f>IFERROR(VLOOKUP(AC171,Horarios!$H:$I,2,0),"")</f>
        <v/>
      </c>
      <c r="AF171" s="28" t="str">
        <f t="shared" si="100"/>
        <v>00:00</v>
      </c>
      <c r="AG171" s="29"/>
      <c r="AH171" s="27"/>
      <c r="AI171" s="27"/>
      <c r="AJ171" s="28" t="str">
        <f>IFERROR(VLOOKUP(AH171,Horarios!$H:$I,2,0),"")</f>
        <v/>
      </c>
      <c r="AK171" s="28" t="str">
        <f>IFERROR(VLOOKUP(AI171,Horarios!$H:$I,2,0),"")</f>
        <v/>
      </c>
      <c r="AL171" s="28" t="str">
        <f t="shared" si="101"/>
        <v>00:00</v>
      </c>
      <c r="AM171" s="29"/>
      <c r="AN171" s="27"/>
      <c r="AO171" s="27"/>
      <c r="AP171" s="28" t="str">
        <f>IFERROR(VLOOKUP(AN171,Horarios!$H:$I,2,0),"")</f>
        <v/>
      </c>
      <c r="AQ171" s="28" t="str">
        <f>IFERROR(VLOOKUP(AO171,Horarios!$H:$I,2,0),"")</f>
        <v/>
      </c>
      <c r="AR171" s="28" t="str">
        <f t="shared" si="102"/>
        <v>00:00</v>
      </c>
      <c r="AS171" s="29"/>
      <c r="AT171" s="31" t="str">
        <f t="shared" si="103"/>
        <v/>
      </c>
      <c r="AU171" s="27"/>
      <c r="AV171" s="27"/>
      <c r="AW171" s="28" t="str">
        <f>IFERROR(VLOOKUP(AU171,Horarios!$H:$I,2,0),"")</f>
        <v/>
      </c>
      <c r="AX171" s="28" t="str">
        <f>IFERROR(VLOOKUP(AV171,Horarios!$H:$I,2,0),"")</f>
        <v/>
      </c>
      <c r="AY171" s="28" t="str">
        <f t="shared" si="104"/>
        <v>00:00</v>
      </c>
      <c r="AZ171" s="29"/>
      <c r="BA171" s="27"/>
      <c r="BB171" s="27"/>
      <c r="BC171" s="28" t="str">
        <f>IFERROR(VLOOKUP(BA171,Horarios!$H:$I,2,0),"")</f>
        <v/>
      </c>
      <c r="BD171" s="28" t="str">
        <f>IFERROR(VLOOKUP(BB171,Horarios!$H:$I,2,0),"")</f>
        <v/>
      </c>
      <c r="BE171" s="28" t="str">
        <f t="shared" si="105"/>
        <v>00:00</v>
      </c>
      <c r="BF171" s="29"/>
      <c r="BG171" s="27"/>
      <c r="BH171" s="27"/>
      <c r="BI171" s="28" t="str">
        <f>IFERROR(VLOOKUP(BG171,Horarios!$H:$I,2,0),"")</f>
        <v/>
      </c>
      <c r="BJ171" s="28" t="str">
        <f>IFERROR(VLOOKUP(BH171,Horarios!$H:$I,2,0),"")</f>
        <v/>
      </c>
      <c r="BK171" s="28" t="str">
        <f t="shared" si="106"/>
        <v>00:00</v>
      </c>
      <c r="BL171" s="29"/>
      <c r="BM171" s="27"/>
      <c r="BN171" s="27"/>
      <c r="BO171" s="28" t="str">
        <f>IFERROR(VLOOKUP(BM171,Horarios!$H:$I,2,0),"")</f>
        <v/>
      </c>
      <c r="BP171" s="28" t="str">
        <f>IFERROR(VLOOKUP(BN171,Horarios!$H:$I,2,0),"")</f>
        <v/>
      </c>
      <c r="BQ171" s="28" t="str">
        <f t="shared" si="107"/>
        <v>00:00</v>
      </c>
      <c r="BR171" s="29"/>
      <c r="BS171" s="27"/>
      <c r="BT171" s="27"/>
      <c r="BU171" s="28" t="str">
        <f>IFERROR(VLOOKUP(BS171,Horarios!$H:$I,2,0),"")</f>
        <v/>
      </c>
      <c r="BV171" s="28" t="str">
        <f>IFERROR(VLOOKUP(BT171,Horarios!$H:$I,2,0),"")</f>
        <v/>
      </c>
      <c r="BW171" s="28" t="str">
        <f t="shared" si="108"/>
        <v>00:00</v>
      </c>
      <c r="BX171" s="29"/>
      <c r="BY171" s="27"/>
      <c r="BZ171" s="27"/>
      <c r="CA171" s="28" t="str">
        <f>IFERROR(VLOOKUP(BY171,Horarios!$H:$I,2,0),"")</f>
        <v/>
      </c>
      <c r="CB171" s="28" t="str">
        <f>IFERROR(VLOOKUP(BZ171,Horarios!$H:$I,2,0),"")</f>
        <v/>
      </c>
      <c r="CC171" s="28" t="str">
        <f t="shared" si="109"/>
        <v>00:00</v>
      </c>
      <c r="CD171" s="29"/>
      <c r="CE171" s="27"/>
      <c r="CF171" s="27"/>
      <c r="CG171" s="28" t="str">
        <f>IFERROR(VLOOKUP(CE171,Horarios!$H:$I,2,0),"")</f>
        <v/>
      </c>
      <c r="CH171" s="28" t="str">
        <f>IFERROR(VLOOKUP(CF171,Horarios!$H:$I,2,0),"")</f>
        <v/>
      </c>
      <c r="CI171" s="28" t="str">
        <f t="shared" si="110"/>
        <v>00:00</v>
      </c>
      <c r="CJ171" s="29"/>
      <c r="CK171" s="31" t="str">
        <f t="shared" si="111"/>
        <v/>
      </c>
      <c r="CL171" s="27"/>
      <c r="CM171" s="27"/>
      <c r="CN171" s="28" t="str">
        <f>IFERROR(VLOOKUP(CL171,Horarios!$H:$I,2,0),"")</f>
        <v/>
      </c>
      <c r="CO171" s="28" t="str">
        <f>IFERROR(VLOOKUP(CM171,Horarios!$H:$I,2,0),"")</f>
        <v/>
      </c>
      <c r="CP171" s="28" t="str">
        <f t="shared" si="112"/>
        <v>00:00</v>
      </c>
      <c r="CQ171" s="29"/>
      <c r="CR171" s="27"/>
      <c r="CS171" s="27"/>
      <c r="CT171" s="28" t="str">
        <f>IFERROR(VLOOKUP(CR171,Horarios!$H:$I,2,0),"")</f>
        <v/>
      </c>
      <c r="CU171" s="28" t="str">
        <f>IFERROR(VLOOKUP(CS171,Horarios!$H:$I,2,0),"")</f>
        <v/>
      </c>
      <c r="CV171" s="28" t="str">
        <f t="shared" si="113"/>
        <v>00:00</v>
      </c>
      <c r="CW171" s="29"/>
      <c r="CX171" s="27"/>
      <c r="CY171" s="27"/>
      <c r="CZ171" s="28" t="str">
        <f>IFERROR(VLOOKUP(CX171,Horarios!$H:$I,2,0),"")</f>
        <v/>
      </c>
      <c r="DA171" s="28" t="str">
        <f>IFERROR(VLOOKUP(CY171,Horarios!$H:$I,2,0),"")</f>
        <v/>
      </c>
      <c r="DB171" s="28" t="str">
        <f t="shared" si="114"/>
        <v>00:00</v>
      </c>
      <c r="DC171" s="29"/>
      <c r="DD171" s="27"/>
      <c r="DE171" s="27"/>
      <c r="DF171" s="28" t="str">
        <f>IFERROR(VLOOKUP(DD171,Horarios!$H:$I,2,0),"")</f>
        <v/>
      </c>
      <c r="DG171" s="28" t="str">
        <f>IFERROR(VLOOKUP(DE171,Horarios!$H:$I,2,0),"")</f>
        <v/>
      </c>
      <c r="DH171" s="28" t="str">
        <f t="shared" si="115"/>
        <v>00:00</v>
      </c>
      <c r="DI171" s="29"/>
      <c r="DJ171" s="27"/>
      <c r="DK171" s="27"/>
      <c r="DL171" s="28" t="str">
        <f>IFERROR(VLOOKUP(DJ171,Horarios!$H:$I,2,0),"")</f>
        <v/>
      </c>
      <c r="DM171" s="28" t="str">
        <f>IFERROR(VLOOKUP(DK171,Horarios!$H:$I,2,0),"")</f>
        <v/>
      </c>
      <c r="DN171" s="28" t="str">
        <f t="shared" si="116"/>
        <v>00:00</v>
      </c>
      <c r="DO171" s="29"/>
      <c r="DP171" s="27"/>
      <c r="DQ171" s="27"/>
      <c r="DR171" s="28" t="str">
        <f>IFERROR(VLOOKUP(DP171,Horarios!$H:$I,2,0),"")</f>
        <v/>
      </c>
      <c r="DS171" s="28" t="str">
        <f>IFERROR(VLOOKUP(DQ171,Horarios!$H:$I,2,0),"")</f>
        <v/>
      </c>
      <c r="DT171" s="28" t="str">
        <f t="shared" si="117"/>
        <v>00:00</v>
      </c>
      <c r="DU171" s="29"/>
      <c r="DV171" s="27"/>
      <c r="DW171" s="27"/>
      <c r="DX171" s="28" t="str">
        <f>IFERROR(VLOOKUP(DV171,Horarios!$H:$I,2,0),"")</f>
        <v/>
      </c>
      <c r="DY171" s="28" t="str">
        <f>IFERROR(VLOOKUP(DW171,Horarios!$H:$I,2,0),"")</f>
        <v/>
      </c>
      <c r="DZ171" s="28" t="str">
        <f t="shared" si="118"/>
        <v>00:00</v>
      </c>
      <c r="EA171" s="29"/>
      <c r="EB171" s="31" t="str">
        <f t="shared" si="119"/>
        <v/>
      </c>
      <c r="EC171" s="27"/>
      <c r="ED171" s="27"/>
      <c r="EE171" s="28" t="str">
        <f>IFERROR(VLOOKUP(EC171,Horarios!$H:$I,2,0),"")</f>
        <v/>
      </c>
      <c r="EF171" s="28" t="str">
        <f>IFERROR(VLOOKUP(ED171,Horarios!$H:$I,2,0),"")</f>
        <v/>
      </c>
      <c r="EG171" s="28" t="str">
        <f t="shared" si="120"/>
        <v>00:00</v>
      </c>
      <c r="EH171" s="29"/>
      <c r="EI171" s="27"/>
      <c r="EJ171" s="27"/>
      <c r="EK171" s="28" t="str">
        <f>IFERROR(VLOOKUP(EI171,Horarios!$H:$I,2,0),"")</f>
        <v/>
      </c>
      <c r="EL171" s="28" t="str">
        <f>IFERROR(VLOOKUP(EJ171,Horarios!$H:$I,2,0),"")</f>
        <v/>
      </c>
      <c r="EM171" s="28" t="str">
        <f t="shared" si="121"/>
        <v>00:00</v>
      </c>
      <c r="EN171" s="29"/>
      <c r="EO171" s="27"/>
      <c r="EP171" s="27"/>
      <c r="EQ171" s="28" t="str">
        <f>IFERROR(VLOOKUP(EO171,Horarios!$H:$I,2,0),"")</f>
        <v/>
      </c>
      <c r="ER171" s="28" t="str">
        <f>IFERROR(VLOOKUP(EP171,Horarios!$H:$I,2,0),"")</f>
        <v/>
      </c>
      <c r="ES171" s="28" t="str">
        <f t="shared" si="122"/>
        <v>00:00</v>
      </c>
      <c r="ET171" s="29"/>
      <c r="EU171" s="27"/>
      <c r="EV171" s="27"/>
      <c r="EW171" s="28" t="str">
        <f>IFERROR(VLOOKUP(EU171,Horarios!$H:$I,2,0),"")</f>
        <v/>
      </c>
      <c r="EX171" s="28" t="str">
        <f>IFERROR(VLOOKUP(EV171,Horarios!$H:$I,2,0),"")</f>
        <v/>
      </c>
      <c r="EY171" s="28" t="str">
        <f t="shared" si="123"/>
        <v>00:00</v>
      </c>
      <c r="EZ171" s="29"/>
      <c r="FA171" s="27"/>
      <c r="FB171" s="27"/>
      <c r="FC171" s="28" t="str">
        <f>IFERROR(VLOOKUP(FA171,Horarios!$H:$I,2,0),"")</f>
        <v/>
      </c>
      <c r="FD171" s="28" t="str">
        <f>IFERROR(VLOOKUP(FB171,Horarios!$H:$I,2,0),"")</f>
        <v/>
      </c>
      <c r="FE171" s="28" t="str">
        <f t="shared" si="124"/>
        <v>00:00</v>
      </c>
      <c r="FF171" s="29"/>
      <c r="FG171" s="27"/>
      <c r="FH171" s="27"/>
      <c r="FI171" s="28" t="str">
        <f>IFERROR(VLOOKUP(FG171,Horarios!$H:$I,2,0),"")</f>
        <v/>
      </c>
      <c r="FJ171" s="28" t="str">
        <f>IFERROR(VLOOKUP(FH171,Horarios!$H:$I,2,0),"")</f>
        <v/>
      </c>
      <c r="FK171" s="28" t="str">
        <f t="shared" si="125"/>
        <v>00:00</v>
      </c>
      <c r="FL171" s="29"/>
      <c r="FM171" s="27"/>
      <c r="FN171" s="27"/>
      <c r="FO171" s="28" t="str">
        <f>IFERROR(VLOOKUP(FM171,Horarios!$H:$I,2,0),"")</f>
        <v/>
      </c>
      <c r="FP171" s="28" t="str">
        <f>IFERROR(VLOOKUP(FN171,Horarios!$H:$I,2,0),"")</f>
        <v/>
      </c>
      <c r="FQ171" s="28" t="str">
        <f t="shared" si="126"/>
        <v>00:00</v>
      </c>
      <c r="FR171" s="29"/>
      <c r="FS171" s="31" t="str">
        <f t="shared" si="127"/>
        <v/>
      </c>
      <c r="FT171" s="27"/>
      <c r="FU171" s="27"/>
      <c r="FV171" s="28" t="str">
        <f>IFERROR(VLOOKUP(FT171,Horarios!$H:$I,2,0),"")</f>
        <v/>
      </c>
      <c r="FW171" s="28" t="str">
        <f>IFERROR(VLOOKUP(FU171,Horarios!$H:$I,2,0),"")</f>
        <v/>
      </c>
      <c r="FX171" s="28" t="str">
        <f t="shared" si="128"/>
        <v>00:00</v>
      </c>
      <c r="FY171" s="29"/>
      <c r="FZ171" s="27"/>
      <c r="GA171" s="27"/>
      <c r="GB171" s="28" t="str">
        <f>IFERROR(VLOOKUP(FZ171,Horarios!$H:$I,2,0),"")</f>
        <v/>
      </c>
      <c r="GC171" s="28" t="str">
        <f>IFERROR(VLOOKUP(GA171,Horarios!$H:$I,2,0),"")</f>
        <v/>
      </c>
      <c r="GD171" s="28" t="str">
        <f t="shared" si="129"/>
        <v>00:00</v>
      </c>
      <c r="GE171" s="29"/>
      <c r="GF171" s="27"/>
      <c r="GG171" s="27"/>
      <c r="GH171" s="28" t="str">
        <f>IFERROR(VLOOKUP(GF171,Horarios!$H:$I,2,0),"")</f>
        <v/>
      </c>
      <c r="GI171" s="28" t="str">
        <f>IFERROR(VLOOKUP(GG171,Horarios!$H:$I,2,0),"")</f>
        <v/>
      </c>
      <c r="GJ171" s="28" t="str">
        <f t="shared" si="130"/>
        <v>00:00</v>
      </c>
      <c r="GK171" s="29"/>
      <c r="GL171" s="27"/>
      <c r="GM171" s="27"/>
      <c r="GN171" s="28" t="str">
        <f>IFERROR(VLOOKUP(GL171,Horarios!$H:$I,2,0),"")</f>
        <v/>
      </c>
      <c r="GO171" s="28" t="str">
        <f>IFERROR(VLOOKUP(GM171,Horarios!$H:$I,2,0),"")</f>
        <v/>
      </c>
      <c r="GP171" s="28" t="str">
        <f t="shared" si="131"/>
        <v>00:00</v>
      </c>
      <c r="GQ171" s="29"/>
      <c r="GR171" s="27"/>
      <c r="GS171" s="27"/>
      <c r="GT171" s="28" t="str">
        <f>IFERROR(VLOOKUP(GR171,Horarios!$H:$I,2,0),"")</f>
        <v/>
      </c>
      <c r="GU171" s="28" t="str">
        <f>IFERROR(VLOOKUP(GS171,Horarios!$H:$I,2,0),"")</f>
        <v/>
      </c>
      <c r="GV171" s="28" t="str">
        <f t="shared" si="132"/>
        <v>00:00</v>
      </c>
      <c r="GW171" s="29"/>
      <c r="GX171" s="27"/>
      <c r="GY171" s="27"/>
      <c r="GZ171" s="28" t="str">
        <f>IFERROR(VLOOKUP(GX171,Horarios!$H:$I,2,0),"")</f>
        <v/>
      </c>
      <c r="HA171" s="28" t="str">
        <f>IFERROR(VLOOKUP(GY171,Horarios!$H:$I,2,0),"")</f>
        <v/>
      </c>
      <c r="HB171" s="28" t="str">
        <f t="shared" si="133"/>
        <v>00:00</v>
      </c>
      <c r="HC171" s="29"/>
      <c r="HD171" s="27"/>
      <c r="HE171" s="27"/>
      <c r="HF171" s="28" t="str">
        <f>IFERROR(VLOOKUP(HD171,Horarios!$H:$I,2,0),"")</f>
        <v/>
      </c>
      <c r="HG171" s="28" t="str">
        <f>IFERROR(VLOOKUP(HE171,Horarios!$H:$I,2,0),"")</f>
        <v/>
      </c>
      <c r="HH171" s="28" t="str">
        <f t="shared" si="134"/>
        <v>00:00</v>
      </c>
      <c r="HI171" s="29"/>
      <c r="HJ171" s="31" t="str">
        <f t="shared" si="135"/>
        <v/>
      </c>
      <c r="HK171" s="27"/>
      <c r="HL171" s="27"/>
      <c r="HM171" s="28" t="str">
        <f>IFERROR(VLOOKUP(HK171,Horarios!$H:$I,2,0),"")</f>
        <v/>
      </c>
      <c r="HN171" s="28" t="str">
        <f>IFERROR(VLOOKUP(HL171,Horarios!$H:$I,2,0),"")</f>
        <v/>
      </c>
      <c r="HO171" s="28" t="str">
        <f t="shared" si="136"/>
        <v>00:00</v>
      </c>
      <c r="HP171" s="29"/>
      <c r="HQ171" s="27"/>
      <c r="HR171" s="27"/>
      <c r="HS171" s="28" t="str">
        <f>IFERROR(VLOOKUP(HQ171,Horarios!$H:$I,2,0),"")</f>
        <v/>
      </c>
      <c r="HT171" s="28" t="str">
        <f>IFERROR(VLOOKUP(HR171,Horarios!$H:$I,2,0),"")</f>
        <v/>
      </c>
      <c r="HU171" s="28" t="str">
        <f t="shared" si="137"/>
        <v>00:00</v>
      </c>
      <c r="HV171" s="29"/>
      <c r="HW171" s="27"/>
      <c r="HX171" s="27"/>
      <c r="HY171" s="28" t="str">
        <f>IFERROR(VLOOKUP(HW171,Horarios!$H:$I,2,0),"")</f>
        <v/>
      </c>
      <c r="HZ171" s="28" t="str">
        <f>IFERROR(VLOOKUP(HX171,Horarios!$H:$I,2,0),"")</f>
        <v/>
      </c>
      <c r="IA171" s="28" t="str">
        <f t="shared" si="138"/>
        <v>00:00</v>
      </c>
      <c r="IB171" s="29"/>
      <c r="IC171" s="27"/>
      <c r="ID171" s="27"/>
      <c r="IE171" s="28" t="str">
        <f>IFERROR(VLOOKUP(IC171,Horarios!$H:$I,2,0),"")</f>
        <v/>
      </c>
      <c r="IF171" s="28" t="str">
        <f>IFERROR(VLOOKUP(ID171,Horarios!$H:$I,2,0),"")</f>
        <v/>
      </c>
      <c r="IG171" s="28" t="str">
        <f t="shared" si="139"/>
        <v>00:00</v>
      </c>
      <c r="IH171" s="29"/>
      <c r="II171" s="27"/>
      <c r="IJ171" s="27"/>
      <c r="IK171" s="28" t="str">
        <f>IFERROR(VLOOKUP(II171,Horarios!$H:$I,2,0),"")</f>
        <v/>
      </c>
      <c r="IL171" s="28" t="str">
        <f>IFERROR(VLOOKUP(IJ171,Horarios!$H:$I,2,0),"")</f>
        <v/>
      </c>
      <c r="IM171" s="28" t="str">
        <f t="shared" si="140"/>
        <v>00:00</v>
      </c>
      <c r="IN171" s="29"/>
      <c r="IO171" s="27"/>
      <c r="IP171" s="27"/>
      <c r="IQ171" s="28" t="str">
        <f>IFERROR(VLOOKUP(IO171,Horarios!$H:$I,2,0),"")</f>
        <v/>
      </c>
      <c r="IR171" s="28" t="str">
        <f>IFERROR(VLOOKUP(IP171,Horarios!$H:$I,2,0),"")</f>
        <v/>
      </c>
      <c r="IS171" s="28" t="str">
        <f t="shared" si="141"/>
        <v>00:00</v>
      </c>
      <c r="IT171" s="29"/>
      <c r="IU171" s="27"/>
      <c r="IV171" s="27"/>
      <c r="IW171" s="28" t="str">
        <f>IFERROR(VLOOKUP(IU171,Horarios!$H:$I,2,0),"")</f>
        <v/>
      </c>
      <c r="IX171" s="28" t="str">
        <f>IFERROR(VLOOKUP(IV171,Horarios!$H:$I,2,0),"")</f>
        <v/>
      </c>
      <c r="IY171" s="28" t="str">
        <f t="shared" si="142"/>
        <v>00:00</v>
      </c>
      <c r="IZ171" s="29"/>
      <c r="JA171" s="31" t="str">
        <f t="shared" si="143"/>
        <v/>
      </c>
    </row>
    <row r="172" spans="1:261" s="24" customFormat="1" ht="17.399999999999999" x14ac:dyDescent="0.25">
      <c r="A172" s="25"/>
      <c r="B172" s="26" t="str">
        <f>IFERROR(VLOOKUP(A172,BaseNombres!A:B,2,0),"")</f>
        <v/>
      </c>
      <c r="C172" s="26" t="str">
        <f>IFERROR(VLOOKUP(A172,BaseNombres!A:C,3,0),"")</f>
        <v/>
      </c>
      <c r="D172" s="27"/>
      <c r="E172" s="27"/>
      <c r="F172" s="28" t="str">
        <f>IFERROR(VLOOKUP(D172,Horarios!$H:$I,2,0),"")</f>
        <v/>
      </c>
      <c r="G172" s="28" t="str">
        <f>IFERROR(VLOOKUP(E172,Horarios!$H:$I,2,0),"")</f>
        <v/>
      </c>
      <c r="H172" s="28" t="str">
        <f t="shared" si="96"/>
        <v>00:00</v>
      </c>
      <c r="I172" s="29"/>
      <c r="J172" s="27"/>
      <c r="K172" s="27"/>
      <c r="L172" s="28" t="str">
        <f>IFERROR(VLOOKUP(J172,Horarios!$H:$I,2,0),"")</f>
        <v/>
      </c>
      <c r="M172" s="28" t="str">
        <f>IFERROR(VLOOKUP(K172,Horarios!$H:$I,2,0),"")</f>
        <v/>
      </c>
      <c r="N172" s="28" t="str">
        <f t="shared" si="97"/>
        <v>00:00</v>
      </c>
      <c r="O172" s="29"/>
      <c r="P172" s="27"/>
      <c r="Q172" s="27"/>
      <c r="R172" s="28" t="str">
        <f>IFERROR(VLOOKUP(P172,Horarios!$H:$I,2,0),"")</f>
        <v/>
      </c>
      <c r="S172" s="28" t="str">
        <f>IFERROR(VLOOKUP(Q172,Horarios!$H:$I,2,0),"")</f>
        <v/>
      </c>
      <c r="T172" s="28" t="str">
        <f t="shared" si="98"/>
        <v>00:00</v>
      </c>
      <c r="U172" s="29"/>
      <c r="V172" s="27"/>
      <c r="W172" s="27"/>
      <c r="X172" s="28" t="str">
        <f>IFERROR(VLOOKUP(V172,Horarios!$H:$I,2,0),"")</f>
        <v/>
      </c>
      <c r="Y172" s="28" t="str">
        <f>IFERROR(VLOOKUP(W172,Horarios!$H:$I,2,0),"")</f>
        <v/>
      </c>
      <c r="Z172" s="28" t="str">
        <f t="shared" si="99"/>
        <v>00:00</v>
      </c>
      <c r="AA172" s="29"/>
      <c r="AB172" s="27"/>
      <c r="AC172" s="27"/>
      <c r="AD172" s="28" t="str">
        <f>IFERROR(VLOOKUP(AB172,Horarios!$H:$I,2,0),"")</f>
        <v/>
      </c>
      <c r="AE172" s="28" t="str">
        <f>IFERROR(VLOOKUP(AC172,Horarios!$H:$I,2,0),"")</f>
        <v/>
      </c>
      <c r="AF172" s="28" t="str">
        <f t="shared" si="100"/>
        <v>00:00</v>
      </c>
      <c r="AG172" s="29"/>
      <c r="AH172" s="27"/>
      <c r="AI172" s="27"/>
      <c r="AJ172" s="28" t="str">
        <f>IFERROR(VLOOKUP(AH172,Horarios!$H:$I,2,0),"")</f>
        <v/>
      </c>
      <c r="AK172" s="28" t="str">
        <f>IFERROR(VLOOKUP(AI172,Horarios!$H:$I,2,0),"")</f>
        <v/>
      </c>
      <c r="AL172" s="28" t="str">
        <f t="shared" si="101"/>
        <v>00:00</v>
      </c>
      <c r="AM172" s="29"/>
      <c r="AN172" s="27"/>
      <c r="AO172" s="27"/>
      <c r="AP172" s="28" t="str">
        <f>IFERROR(VLOOKUP(AN172,Horarios!$H:$I,2,0),"")</f>
        <v/>
      </c>
      <c r="AQ172" s="28" t="str">
        <f>IFERROR(VLOOKUP(AO172,Horarios!$H:$I,2,0),"")</f>
        <v/>
      </c>
      <c r="AR172" s="28" t="str">
        <f t="shared" si="102"/>
        <v>00:00</v>
      </c>
      <c r="AS172" s="29"/>
      <c r="AT172" s="31" t="str">
        <f t="shared" si="103"/>
        <v/>
      </c>
      <c r="AU172" s="27"/>
      <c r="AV172" s="27"/>
      <c r="AW172" s="28" t="str">
        <f>IFERROR(VLOOKUP(AU172,Horarios!$H:$I,2,0),"")</f>
        <v/>
      </c>
      <c r="AX172" s="28" t="str">
        <f>IFERROR(VLOOKUP(AV172,Horarios!$H:$I,2,0),"")</f>
        <v/>
      </c>
      <c r="AY172" s="28" t="str">
        <f t="shared" si="104"/>
        <v>00:00</v>
      </c>
      <c r="AZ172" s="29"/>
      <c r="BA172" s="27"/>
      <c r="BB172" s="27"/>
      <c r="BC172" s="28" t="str">
        <f>IFERROR(VLOOKUP(BA172,Horarios!$H:$I,2,0),"")</f>
        <v/>
      </c>
      <c r="BD172" s="28" t="str">
        <f>IFERROR(VLOOKUP(BB172,Horarios!$H:$I,2,0),"")</f>
        <v/>
      </c>
      <c r="BE172" s="28" t="str">
        <f t="shared" si="105"/>
        <v>00:00</v>
      </c>
      <c r="BF172" s="29"/>
      <c r="BG172" s="27"/>
      <c r="BH172" s="27"/>
      <c r="BI172" s="28" t="str">
        <f>IFERROR(VLOOKUP(BG172,Horarios!$H:$I,2,0),"")</f>
        <v/>
      </c>
      <c r="BJ172" s="28" t="str">
        <f>IFERROR(VLOOKUP(BH172,Horarios!$H:$I,2,0),"")</f>
        <v/>
      </c>
      <c r="BK172" s="28" t="str">
        <f t="shared" si="106"/>
        <v>00:00</v>
      </c>
      <c r="BL172" s="29"/>
      <c r="BM172" s="27"/>
      <c r="BN172" s="27"/>
      <c r="BO172" s="28" t="str">
        <f>IFERROR(VLOOKUP(BM172,Horarios!$H:$I,2,0),"")</f>
        <v/>
      </c>
      <c r="BP172" s="28" t="str">
        <f>IFERROR(VLOOKUP(BN172,Horarios!$H:$I,2,0),"")</f>
        <v/>
      </c>
      <c r="BQ172" s="28" t="str">
        <f t="shared" si="107"/>
        <v>00:00</v>
      </c>
      <c r="BR172" s="29"/>
      <c r="BS172" s="27"/>
      <c r="BT172" s="27"/>
      <c r="BU172" s="28" t="str">
        <f>IFERROR(VLOOKUP(BS172,Horarios!$H:$I,2,0),"")</f>
        <v/>
      </c>
      <c r="BV172" s="28" t="str">
        <f>IFERROR(VLOOKUP(BT172,Horarios!$H:$I,2,0),"")</f>
        <v/>
      </c>
      <c r="BW172" s="28" t="str">
        <f t="shared" si="108"/>
        <v>00:00</v>
      </c>
      <c r="BX172" s="29"/>
      <c r="BY172" s="27"/>
      <c r="BZ172" s="27"/>
      <c r="CA172" s="28" t="str">
        <f>IFERROR(VLOOKUP(BY172,Horarios!$H:$I,2,0),"")</f>
        <v/>
      </c>
      <c r="CB172" s="28" t="str">
        <f>IFERROR(VLOOKUP(BZ172,Horarios!$H:$I,2,0),"")</f>
        <v/>
      </c>
      <c r="CC172" s="28" t="str">
        <f t="shared" si="109"/>
        <v>00:00</v>
      </c>
      <c r="CD172" s="29"/>
      <c r="CE172" s="27"/>
      <c r="CF172" s="27"/>
      <c r="CG172" s="28" t="str">
        <f>IFERROR(VLOOKUP(CE172,Horarios!$H:$I,2,0),"")</f>
        <v/>
      </c>
      <c r="CH172" s="28" t="str">
        <f>IFERROR(VLOOKUP(CF172,Horarios!$H:$I,2,0),"")</f>
        <v/>
      </c>
      <c r="CI172" s="28" t="str">
        <f t="shared" si="110"/>
        <v>00:00</v>
      </c>
      <c r="CJ172" s="29"/>
      <c r="CK172" s="31" t="str">
        <f t="shared" si="111"/>
        <v/>
      </c>
      <c r="CL172" s="27"/>
      <c r="CM172" s="27"/>
      <c r="CN172" s="28" t="str">
        <f>IFERROR(VLOOKUP(CL172,Horarios!$H:$I,2,0),"")</f>
        <v/>
      </c>
      <c r="CO172" s="28" t="str">
        <f>IFERROR(VLOOKUP(CM172,Horarios!$H:$I,2,0),"")</f>
        <v/>
      </c>
      <c r="CP172" s="28" t="str">
        <f t="shared" si="112"/>
        <v>00:00</v>
      </c>
      <c r="CQ172" s="29"/>
      <c r="CR172" s="27"/>
      <c r="CS172" s="27"/>
      <c r="CT172" s="28" t="str">
        <f>IFERROR(VLOOKUP(CR172,Horarios!$H:$I,2,0),"")</f>
        <v/>
      </c>
      <c r="CU172" s="28" t="str">
        <f>IFERROR(VLOOKUP(CS172,Horarios!$H:$I,2,0),"")</f>
        <v/>
      </c>
      <c r="CV172" s="28" t="str">
        <f t="shared" si="113"/>
        <v>00:00</v>
      </c>
      <c r="CW172" s="29"/>
      <c r="CX172" s="27"/>
      <c r="CY172" s="27"/>
      <c r="CZ172" s="28" t="str">
        <f>IFERROR(VLOOKUP(CX172,Horarios!$H:$I,2,0),"")</f>
        <v/>
      </c>
      <c r="DA172" s="28" t="str">
        <f>IFERROR(VLOOKUP(CY172,Horarios!$H:$I,2,0),"")</f>
        <v/>
      </c>
      <c r="DB172" s="28" t="str">
        <f t="shared" si="114"/>
        <v>00:00</v>
      </c>
      <c r="DC172" s="29"/>
      <c r="DD172" s="27"/>
      <c r="DE172" s="27"/>
      <c r="DF172" s="28" t="str">
        <f>IFERROR(VLOOKUP(DD172,Horarios!$H:$I,2,0),"")</f>
        <v/>
      </c>
      <c r="DG172" s="28" t="str">
        <f>IFERROR(VLOOKUP(DE172,Horarios!$H:$I,2,0),"")</f>
        <v/>
      </c>
      <c r="DH172" s="28" t="str">
        <f t="shared" si="115"/>
        <v>00:00</v>
      </c>
      <c r="DI172" s="29"/>
      <c r="DJ172" s="27"/>
      <c r="DK172" s="27"/>
      <c r="DL172" s="28" t="str">
        <f>IFERROR(VLOOKUP(DJ172,Horarios!$H:$I,2,0),"")</f>
        <v/>
      </c>
      <c r="DM172" s="28" t="str">
        <f>IFERROR(VLOOKUP(DK172,Horarios!$H:$I,2,0),"")</f>
        <v/>
      </c>
      <c r="DN172" s="28" t="str">
        <f t="shared" si="116"/>
        <v>00:00</v>
      </c>
      <c r="DO172" s="29"/>
      <c r="DP172" s="27"/>
      <c r="DQ172" s="27"/>
      <c r="DR172" s="28" t="str">
        <f>IFERROR(VLOOKUP(DP172,Horarios!$H:$I,2,0),"")</f>
        <v/>
      </c>
      <c r="DS172" s="28" t="str">
        <f>IFERROR(VLOOKUP(DQ172,Horarios!$H:$I,2,0),"")</f>
        <v/>
      </c>
      <c r="DT172" s="28" t="str">
        <f t="shared" si="117"/>
        <v>00:00</v>
      </c>
      <c r="DU172" s="29"/>
      <c r="DV172" s="27"/>
      <c r="DW172" s="27"/>
      <c r="DX172" s="28" t="str">
        <f>IFERROR(VLOOKUP(DV172,Horarios!$H:$I,2,0),"")</f>
        <v/>
      </c>
      <c r="DY172" s="28" t="str">
        <f>IFERROR(VLOOKUP(DW172,Horarios!$H:$I,2,0),"")</f>
        <v/>
      </c>
      <c r="DZ172" s="28" t="str">
        <f t="shared" si="118"/>
        <v>00:00</v>
      </c>
      <c r="EA172" s="29"/>
      <c r="EB172" s="31" t="str">
        <f t="shared" si="119"/>
        <v/>
      </c>
      <c r="EC172" s="27"/>
      <c r="ED172" s="27"/>
      <c r="EE172" s="28" t="str">
        <f>IFERROR(VLOOKUP(EC172,Horarios!$H:$I,2,0),"")</f>
        <v/>
      </c>
      <c r="EF172" s="28" t="str">
        <f>IFERROR(VLOOKUP(ED172,Horarios!$H:$I,2,0),"")</f>
        <v/>
      </c>
      <c r="EG172" s="28" t="str">
        <f t="shared" si="120"/>
        <v>00:00</v>
      </c>
      <c r="EH172" s="29"/>
      <c r="EI172" s="27"/>
      <c r="EJ172" s="27"/>
      <c r="EK172" s="28" t="str">
        <f>IFERROR(VLOOKUP(EI172,Horarios!$H:$I,2,0),"")</f>
        <v/>
      </c>
      <c r="EL172" s="28" t="str">
        <f>IFERROR(VLOOKUP(EJ172,Horarios!$H:$I,2,0),"")</f>
        <v/>
      </c>
      <c r="EM172" s="28" t="str">
        <f t="shared" si="121"/>
        <v>00:00</v>
      </c>
      <c r="EN172" s="29"/>
      <c r="EO172" s="27"/>
      <c r="EP172" s="27"/>
      <c r="EQ172" s="28" t="str">
        <f>IFERROR(VLOOKUP(EO172,Horarios!$H:$I,2,0),"")</f>
        <v/>
      </c>
      <c r="ER172" s="28" t="str">
        <f>IFERROR(VLOOKUP(EP172,Horarios!$H:$I,2,0),"")</f>
        <v/>
      </c>
      <c r="ES172" s="28" t="str">
        <f t="shared" si="122"/>
        <v>00:00</v>
      </c>
      <c r="ET172" s="29"/>
      <c r="EU172" s="27"/>
      <c r="EV172" s="27"/>
      <c r="EW172" s="28" t="str">
        <f>IFERROR(VLOOKUP(EU172,Horarios!$H:$I,2,0),"")</f>
        <v/>
      </c>
      <c r="EX172" s="28" t="str">
        <f>IFERROR(VLOOKUP(EV172,Horarios!$H:$I,2,0),"")</f>
        <v/>
      </c>
      <c r="EY172" s="28" t="str">
        <f t="shared" si="123"/>
        <v>00:00</v>
      </c>
      <c r="EZ172" s="29"/>
      <c r="FA172" s="27"/>
      <c r="FB172" s="27"/>
      <c r="FC172" s="28" t="str">
        <f>IFERROR(VLOOKUP(FA172,Horarios!$H:$I,2,0),"")</f>
        <v/>
      </c>
      <c r="FD172" s="28" t="str">
        <f>IFERROR(VLOOKUP(FB172,Horarios!$H:$I,2,0),"")</f>
        <v/>
      </c>
      <c r="FE172" s="28" t="str">
        <f t="shared" si="124"/>
        <v>00:00</v>
      </c>
      <c r="FF172" s="29"/>
      <c r="FG172" s="27"/>
      <c r="FH172" s="27"/>
      <c r="FI172" s="28" t="str">
        <f>IFERROR(VLOOKUP(FG172,Horarios!$H:$I,2,0),"")</f>
        <v/>
      </c>
      <c r="FJ172" s="28" t="str">
        <f>IFERROR(VLOOKUP(FH172,Horarios!$H:$I,2,0),"")</f>
        <v/>
      </c>
      <c r="FK172" s="28" t="str">
        <f t="shared" si="125"/>
        <v>00:00</v>
      </c>
      <c r="FL172" s="29"/>
      <c r="FM172" s="27"/>
      <c r="FN172" s="27"/>
      <c r="FO172" s="28" t="str">
        <f>IFERROR(VLOOKUP(FM172,Horarios!$H:$I,2,0),"")</f>
        <v/>
      </c>
      <c r="FP172" s="28" t="str">
        <f>IFERROR(VLOOKUP(FN172,Horarios!$H:$I,2,0),"")</f>
        <v/>
      </c>
      <c r="FQ172" s="28" t="str">
        <f t="shared" si="126"/>
        <v>00:00</v>
      </c>
      <c r="FR172" s="29"/>
      <c r="FS172" s="31" t="str">
        <f t="shared" si="127"/>
        <v/>
      </c>
      <c r="FT172" s="27"/>
      <c r="FU172" s="27"/>
      <c r="FV172" s="28" t="str">
        <f>IFERROR(VLOOKUP(FT172,Horarios!$H:$I,2,0),"")</f>
        <v/>
      </c>
      <c r="FW172" s="28" t="str">
        <f>IFERROR(VLOOKUP(FU172,Horarios!$H:$I,2,0),"")</f>
        <v/>
      </c>
      <c r="FX172" s="28" t="str">
        <f t="shared" si="128"/>
        <v>00:00</v>
      </c>
      <c r="FY172" s="29"/>
      <c r="FZ172" s="27"/>
      <c r="GA172" s="27"/>
      <c r="GB172" s="28" t="str">
        <f>IFERROR(VLOOKUP(FZ172,Horarios!$H:$I,2,0),"")</f>
        <v/>
      </c>
      <c r="GC172" s="28" t="str">
        <f>IFERROR(VLOOKUP(GA172,Horarios!$H:$I,2,0),"")</f>
        <v/>
      </c>
      <c r="GD172" s="28" t="str">
        <f t="shared" si="129"/>
        <v>00:00</v>
      </c>
      <c r="GE172" s="29"/>
      <c r="GF172" s="27"/>
      <c r="GG172" s="27"/>
      <c r="GH172" s="28" t="str">
        <f>IFERROR(VLOOKUP(GF172,Horarios!$H:$I,2,0),"")</f>
        <v/>
      </c>
      <c r="GI172" s="28" t="str">
        <f>IFERROR(VLOOKUP(GG172,Horarios!$H:$I,2,0),"")</f>
        <v/>
      </c>
      <c r="GJ172" s="28" t="str">
        <f t="shared" si="130"/>
        <v>00:00</v>
      </c>
      <c r="GK172" s="29"/>
      <c r="GL172" s="27"/>
      <c r="GM172" s="27"/>
      <c r="GN172" s="28" t="str">
        <f>IFERROR(VLOOKUP(GL172,Horarios!$H:$I,2,0),"")</f>
        <v/>
      </c>
      <c r="GO172" s="28" t="str">
        <f>IFERROR(VLOOKUP(GM172,Horarios!$H:$I,2,0),"")</f>
        <v/>
      </c>
      <c r="GP172" s="28" t="str">
        <f t="shared" si="131"/>
        <v>00:00</v>
      </c>
      <c r="GQ172" s="29"/>
      <c r="GR172" s="27"/>
      <c r="GS172" s="27"/>
      <c r="GT172" s="28" t="str">
        <f>IFERROR(VLOOKUP(GR172,Horarios!$H:$I,2,0),"")</f>
        <v/>
      </c>
      <c r="GU172" s="28" t="str">
        <f>IFERROR(VLOOKUP(GS172,Horarios!$H:$I,2,0),"")</f>
        <v/>
      </c>
      <c r="GV172" s="28" t="str">
        <f t="shared" si="132"/>
        <v>00:00</v>
      </c>
      <c r="GW172" s="29"/>
      <c r="GX172" s="27"/>
      <c r="GY172" s="27"/>
      <c r="GZ172" s="28" t="str">
        <f>IFERROR(VLOOKUP(GX172,Horarios!$H:$I,2,0),"")</f>
        <v/>
      </c>
      <c r="HA172" s="28" t="str">
        <f>IFERROR(VLOOKUP(GY172,Horarios!$H:$I,2,0),"")</f>
        <v/>
      </c>
      <c r="HB172" s="28" t="str">
        <f t="shared" si="133"/>
        <v>00:00</v>
      </c>
      <c r="HC172" s="29"/>
      <c r="HD172" s="27"/>
      <c r="HE172" s="27"/>
      <c r="HF172" s="28" t="str">
        <f>IFERROR(VLOOKUP(HD172,Horarios!$H:$I,2,0),"")</f>
        <v/>
      </c>
      <c r="HG172" s="28" t="str">
        <f>IFERROR(VLOOKUP(HE172,Horarios!$H:$I,2,0),"")</f>
        <v/>
      </c>
      <c r="HH172" s="28" t="str">
        <f t="shared" si="134"/>
        <v>00:00</v>
      </c>
      <c r="HI172" s="29"/>
      <c r="HJ172" s="31" t="str">
        <f t="shared" si="135"/>
        <v/>
      </c>
      <c r="HK172" s="27"/>
      <c r="HL172" s="27"/>
      <c r="HM172" s="28" t="str">
        <f>IFERROR(VLOOKUP(HK172,Horarios!$H:$I,2,0),"")</f>
        <v/>
      </c>
      <c r="HN172" s="28" t="str">
        <f>IFERROR(VLOOKUP(HL172,Horarios!$H:$I,2,0),"")</f>
        <v/>
      </c>
      <c r="HO172" s="28" t="str">
        <f t="shared" si="136"/>
        <v>00:00</v>
      </c>
      <c r="HP172" s="29"/>
      <c r="HQ172" s="27"/>
      <c r="HR172" s="27"/>
      <c r="HS172" s="28" t="str">
        <f>IFERROR(VLOOKUP(HQ172,Horarios!$H:$I,2,0),"")</f>
        <v/>
      </c>
      <c r="HT172" s="28" t="str">
        <f>IFERROR(VLOOKUP(HR172,Horarios!$H:$I,2,0),"")</f>
        <v/>
      </c>
      <c r="HU172" s="28" t="str">
        <f t="shared" si="137"/>
        <v>00:00</v>
      </c>
      <c r="HV172" s="29"/>
      <c r="HW172" s="27"/>
      <c r="HX172" s="27"/>
      <c r="HY172" s="28" t="str">
        <f>IFERROR(VLOOKUP(HW172,Horarios!$H:$I,2,0),"")</f>
        <v/>
      </c>
      <c r="HZ172" s="28" t="str">
        <f>IFERROR(VLOOKUP(HX172,Horarios!$H:$I,2,0),"")</f>
        <v/>
      </c>
      <c r="IA172" s="28" t="str">
        <f t="shared" si="138"/>
        <v>00:00</v>
      </c>
      <c r="IB172" s="29"/>
      <c r="IC172" s="27"/>
      <c r="ID172" s="27"/>
      <c r="IE172" s="28" t="str">
        <f>IFERROR(VLOOKUP(IC172,Horarios!$H:$I,2,0),"")</f>
        <v/>
      </c>
      <c r="IF172" s="28" t="str">
        <f>IFERROR(VLOOKUP(ID172,Horarios!$H:$I,2,0),"")</f>
        <v/>
      </c>
      <c r="IG172" s="28" t="str">
        <f t="shared" si="139"/>
        <v>00:00</v>
      </c>
      <c r="IH172" s="29"/>
      <c r="II172" s="27"/>
      <c r="IJ172" s="27"/>
      <c r="IK172" s="28" t="str">
        <f>IFERROR(VLOOKUP(II172,Horarios!$H:$I,2,0),"")</f>
        <v/>
      </c>
      <c r="IL172" s="28" t="str">
        <f>IFERROR(VLOOKUP(IJ172,Horarios!$H:$I,2,0),"")</f>
        <v/>
      </c>
      <c r="IM172" s="28" t="str">
        <f t="shared" si="140"/>
        <v>00:00</v>
      </c>
      <c r="IN172" s="29"/>
      <c r="IO172" s="27"/>
      <c r="IP172" s="27"/>
      <c r="IQ172" s="28" t="str">
        <f>IFERROR(VLOOKUP(IO172,Horarios!$H:$I,2,0),"")</f>
        <v/>
      </c>
      <c r="IR172" s="28" t="str">
        <f>IFERROR(VLOOKUP(IP172,Horarios!$H:$I,2,0),"")</f>
        <v/>
      </c>
      <c r="IS172" s="28" t="str">
        <f t="shared" si="141"/>
        <v>00:00</v>
      </c>
      <c r="IT172" s="29"/>
      <c r="IU172" s="27"/>
      <c r="IV172" s="27"/>
      <c r="IW172" s="28" t="str">
        <f>IFERROR(VLOOKUP(IU172,Horarios!$H:$I,2,0),"")</f>
        <v/>
      </c>
      <c r="IX172" s="28" t="str">
        <f>IFERROR(VLOOKUP(IV172,Horarios!$H:$I,2,0),"")</f>
        <v/>
      </c>
      <c r="IY172" s="28" t="str">
        <f t="shared" si="142"/>
        <v>00:00</v>
      </c>
      <c r="IZ172" s="29"/>
      <c r="JA172" s="31" t="str">
        <f t="shared" si="143"/>
        <v/>
      </c>
    </row>
    <row r="173" spans="1:261" s="24" customFormat="1" ht="17.399999999999999" x14ac:dyDescent="0.25">
      <c r="A173" s="25"/>
      <c r="B173" s="26" t="str">
        <f>IFERROR(VLOOKUP(A173,BaseNombres!A:B,2,0),"")</f>
        <v/>
      </c>
      <c r="C173" s="26" t="str">
        <f>IFERROR(VLOOKUP(A173,BaseNombres!A:C,3,0),"")</f>
        <v/>
      </c>
      <c r="D173" s="27"/>
      <c r="E173" s="27"/>
      <c r="F173" s="28" t="str">
        <f>IFERROR(VLOOKUP(D173,Horarios!$H:$I,2,0),"")</f>
        <v/>
      </c>
      <c r="G173" s="28" t="str">
        <f>IFERROR(VLOOKUP(E173,Horarios!$H:$I,2,0),"")</f>
        <v/>
      </c>
      <c r="H173" s="28" t="str">
        <f t="shared" si="96"/>
        <v>00:00</v>
      </c>
      <c r="I173" s="29"/>
      <c r="J173" s="27"/>
      <c r="K173" s="27"/>
      <c r="L173" s="28" t="str">
        <f>IFERROR(VLOOKUP(J173,Horarios!$H:$I,2,0),"")</f>
        <v/>
      </c>
      <c r="M173" s="28" t="str">
        <f>IFERROR(VLOOKUP(K173,Horarios!$H:$I,2,0),"")</f>
        <v/>
      </c>
      <c r="N173" s="28" t="str">
        <f t="shared" si="97"/>
        <v>00:00</v>
      </c>
      <c r="O173" s="29"/>
      <c r="P173" s="27"/>
      <c r="Q173" s="27"/>
      <c r="R173" s="28" t="str">
        <f>IFERROR(VLOOKUP(P173,Horarios!$H:$I,2,0),"")</f>
        <v/>
      </c>
      <c r="S173" s="28" t="str">
        <f>IFERROR(VLOOKUP(Q173,Horarios!$H:$I,2,0),"")</f>
        <v/>
      </c>
      <c r="T173" s="28" t="str">
        <f t="shared" si="98"/>
        <v>00:00</v>
      </c>
      <c r="U173" s="29"/>
      <c r="V173" s="27"/>
      <c r="W173" s="27"/>
      <c r="X173" s="28" t="str">
        <f>IFERROR(VLOOKUP(V173,Horarios!$H:$I,2,0),"")</f>
        <v/>
      </c>
      <c r="Y173" s="28" t="str">
        <f>IFERROR(VLOOKUP(W173,Horarios!$H:$I,2,0),"")</f>
        <v/>
      </c>
      <c r="Z173" s="28" t="str">
        <f t="shared" si="99"/>
        <v>00:00</v>
      </c>
      <c r="AA173" s="29"/>
      <c r="AB173" s="27"/>
      <c r="AC173" s="27"/>
      <c r="AD173" s="28" t="str">
        <f>IFERROR(VLOOKUP(AB173,Horarios!$H:$I,2,0),"")</f>
        <v/>
      </c>
      <c r="AE173" s="28" t="str">
        <f>IFERROR(VLOOKUP(AC173,Horarios!$H:$I,2,0),"")</f>
        <v/>
      </c>
      <c r="AF173" s="28" t="str">
        <f t="shared" si="100"/>
        <v>00:00</v>
      </c>
      <c r="AG173" s="29"/>
      <c r="AH173" s="27"/>
      <c r="AI173" s="27"/>
      <c r="AJ173" s="28" t="str">
        <f>IFERROR(VLOOKUP(AH173,Horarios!$H:$I,2,0),"")</f>
        <v/>
      </c>
      <c r="AK173" s="28" t="str">
        <f>IFERROR(VLOOKUP(AI173,Horarios!$H:$I,2,0),"")</f>
        <v/>
      </c>
      <c r="AL173" s="28" t="str">
        <f t="shared" si="101"/>
        <v>00:00</v>
      </c>
      <c r="AM173" s="29"/>
      <c r="AN173" s="27"/>
      <c r="AO173" s="27"/>
      <c r="AP173" s="28" t="str">
        <f>IFERROR(VLOOKUP(AN173,Horarios!$H:$I,2,0),"")</f>
        <v/>
      </c>
      <c r="AQ173" s="28" t="str">
        <f>IFERROR(VLOOKUP(AO173,Horarios!$H:$I,2,0),"")</f>
        <v/>
      </c>
      <c r="AR173" s="28" t="str">
        <f t="shared" si="102"/>
        <v>00:00</v>
      </c>
      <c r="AS173" s="29"/>
      <c r="AT173" s="31" t="str">
        <f t="shared" si="103"/>
        <v/>
      </c>
      <c r="AU173" s="27"/>
      <c r="AV173" s="27"/>
      <c r="AW173" s="28" t="str">
        <f>IFERROR(VLOOKUP(AU173,Horarios!$H:$I,2,0),"")</f>
        <v/>
      </c>
      <c r="AX173" s="28" t="str">
        <f>IFERROR(VLOOKUP(AV173,Horarios!$H:$I,2,0),"")</f>
        <v/>
      </c>
      <c r="AY173" s="28" t="str">
        <f t="shared" si="104"/>
        <v>00:00</v>
      </c>
      <c r="AZ173" s="29"/>
      <c r="BA173" s="27"/>
      <c r="BB173" s="27"/>
      <c r="BC173" s="28" t="str">
        <f>IFERROR(VLOOKUP(BA173,Horarios!$H:$I,2,0),"")</f>
        <v/>
      </c>
      <c r="BD173" s="28" t="str">
        <f>IFERROR(VLOOKUP(BB173,Horarios!$H:$I,2,0),"")</f>
        <v/>
      </c>
      <c r="BE173" s="28" t="str">
        <f t="shared" si="105"/>
        <v>00:00</v>
      </c>
      <c r="BF173" s="29"/>
      <c r="BG173" s="27"/>
      <c r="BH173" s="27"/>
      <c r="BI173" s="28" t="str">
        <f>IFERROR(VLOOKUP(BG173,Horarios!$H:$I,2,0),"")</f>
        <v/>
      </c>
      <c r="BJ173" s="28" t="str">
        <f>IFERROR(VLOOKUP(BH173,Horarios!$H:$I,2,0),"")</f>
        <v/>
      </c>
      <c r="BK173" s="28" t="str">
        <f t="shared" si="106"/>
        <v>00:00</v>
      </c>
      <c r="BL173" s="29"/>
      <c r="BM173" s="27"/>
      <c r="BN173" s="27"/>
      <c r="BO173" s="28" t="str">
        <f>IFERROR(VLOOKUP(BM173,Horarios!$H:$I,2,0),"")</f>
        <v/>
      </c>
      <c r="BP173" s="28" t="str">
        <f>IFERROR(VLOOKUP(BN173,Horarios!$H:$I,2,0),"")</f>
        <v/>
      </c>
      <c r="BQ173" s="28" t="str">
        <f t="shared" si="107"/>
        <v>00:00</v>
      </c>
      <c r="BR173" s="29"/>
      <c r="BS173" s="27"/>
      <c r="BT173" s="27"/>
      <c r="BU173" s="28" t="str">
        <f>IFERROR(VLOOKUP(BS173,Horarios!$H:$I,2,0),"")</f>
        <v/>
      </c>
      <c r="BV173" s="28" t="str">
        <f>IFERROR(VLOOKUP(BT173,Horarios!$H:$I,2,0),"")</f>
        <v/>
      </c>
      <c r="BW173" s="28" t="str">
        <f t="shared" si="108"/>
        <v>00:00</v>
      </c>
      <c r="BX173" s="29"/>
      <c r="BY173" s="27"/>
      <c r="BZ173" s="27"/>
      <c r="CA173" s="28" t="str">
        <f>IFERROR(VLOOKUP(BY173,Horarios!$H:$I,2,0),"")</f>
        <v/>
      </c>
      <c r="CB173" s="28" t="str">
        <f>IFERROR(VLOOKUP(BZ173,Horarios!$H:$I,2,0),"")</f>
        <v/>
      </c>
      <c r="CC173" s="28" t="str">
        <f t="shared" si="109"/>
        <v>00:00</v>
      </c>
      <c r="CD173" s="29"/>
      <c r="CE173" s="27"/>
      <c r="CF173" s="27"/>
      <c r="CG173" s="28" t="str">
        <f>IFERROR(VLOOKUP(CE173,Horarios!$H:$I,2,0),"")</f>
        <v/>
      </c>
      <c r="CH173" s="28" t="str">
        <f>IFERROR(VLOOKUP(CF173,Horarios!$H:$I,2,0),"")</f>
        <v/>
      </c>
      <c r="CI173" s="28" t="str">
        <f t="shared" si="110"/>
        <v>00:00</v>
      </c>
      <c r="CJ173" s="29"/>
      <c r="CK173" s="31" t="str">
        <f t="shared" si="111"/>
        <v/>
      </c>
      <c r="CL173" s="27"/>
      <c r="CM173" s="27"/>
      <c r="CN173" s="28" t="str">
        <f>IFERROR(VLOOKUP(CL173,Horarios!$H:$I,2,0),"")</f>
        <v/>
      </c>
      <c r="CO173" s="28" t="str">
        <f>IFERROR(VLOOKUP(CM173,Horarios!$H:$I,2,0),"")</f>
        <v/>
      </c>
      <c r="CP173" s="28" t="str">
        <f t="shared" si="112"/>
        <v>00:00</v>
      </c>
      <c r="CQ173" s="29"/>
      <c r="CR173" s="27"/>
      <c r="CS173" s="27"/>
      <c r="CT173" s="28" t="str">
        <f>IFERROR(VLOOKUP(CR173,Horarios!$H:$I,2,0),"")</f>
        <v/>
      </c>
      <c r="CU173" s="28" t="str">
        <f>IFERROR(VLOOKUP(CS173,Horarios!$H:$I,2,0),"")</f>
        <v/>
      </c>
      <c r="CV173" s="28" t="str">
        <f t="shared" si="113"/>
        <v>00:00</v>
      </c>
      <c r="CW173" s="29"/>
      <c r="CX173" s="27"/>
      <c r="CY173" s="27"/>
      <c r="CZ173" s="28" t="str">
        <f>IFERROR(VLOOKUP(CX173,Horarios!$H:$I,2,0),"")</f>
        <v/>
      </c>
      <c r="DA173" s="28" t="str">
        <f>IFERROR(VLOOKUP(CY173,Horarios!$H:$I,2,0),"")</f>
        <v/>
      </c>
      <c r="DB173" s="28" t="str">
        <f t="shared" si="114"/>
        <v>00:00</v>
      </c>
      <c r="DC173" s="29"/>
      <c r="DD173" s="27"/>
      <c r="DE173" s="27"/>
      <c r="DF173" s="28" t="str">
        <f>IFERROR(VLOOKUP(DD173,Horarios!$H:$I,2,0),"")</f>
        <v/>
      </c>
      <c r="DG173" s="28" t="str">
        <f>IFERROR(VLOOKUP(DE173,Horarios!$H:$I,2,0),"")</f>
        <v/>
      </c>
      <c r="DH173" s="28" t="str">
        <f t="shared" si="115"/>
        <v>00:00</v>
      </c>
      <c r="DI173" s="29"/>
      <c r="DJ173" s="27"/>
      <c r="DK173" s="27"/>
      <c r="DL173" s="28" t="str">
        <f>IFERROR(VLOOKUP(DJ173,Horarios!$H:$I,2,0),"")</f>
        <v/>
      </c>
      <c r="DM173" s="28" t="str">
        <f>IFERROR(VLOOKUP(DK173,Horarios!$H:$I,2,0),"")</f>
        <v/>
      </c>
      <c r="DN173" s="28" t="str">
        <f t="shared" si="116"/>
        <v>00:00</v>
      </c>
      <c r="DO173" s="29"/>
      <c r="DP173" s="27"/>
      <c r="DQ173" s="27"/>
      <c r="DR173" s="28" t="str">
        <f>IFERROR(VLOOKUP(DP173,Horarios!$H:$I,2,0),"")</f>
        <v/>
      </c>
      <c r="DS173" s="28" t="str">
        <f>IFERROR(VLOOKUP(DQ173,Horarios!$H:$I,2,0),"")</f>
        <v/>
      </c>
      <c r="DT173" s="28" t="str">
        <f t="shared" si="117"/>
        <v>00:00</v>
      </c>
      <c r="DU173" s="29"/>
      <c r="DV173" s="27"/>
      <c r="DW173" s="27"/>
      <c r="DX173" s="28" t="str">
        <f>IFERROR(VLOOKUP(DV173,Horarios!$H:$I,2,0),"")</f>
        <v/>
      </c>
      <c r="DY173" s="28" t="str">
        <f>IFERROR(VLOOKUP(DW173,Horarios!$H:$I,2,0),"")</f>
        <v/>
      </c>
      <c r="DZ173" s="28" t="str">
        <f t="shared" si="118"/>
        <v>00:00</v>
      </c>
      <c r="EA173" s="29"/>
      <c r="EB173" s="31" t="str">
        <f t="shared" si="119"/>
        <v/>
      </c>
      <c r="EC173" s="27"/>
      <c r="ED173" s="27"/>
      <c r="EE173" s="28" t="str">
        <f>IFERROR(VLOOKUP(EC173,Horarios!$H:$I,2,0),"")</f>
        <v/>
      </c>
      <c r="EF173" s="28" t="str">
        <f>IFERROR(VLOOKUP(ED173,Horarios!$H:$I,2,0),"")</f>
        <v/>
      </c>
      <c r="EG173" s="28" t="str">
        <f t="shared" si="120"/>
        <v>00:00</v>
      </c>
      <c r="EH173" s="29"/>
      <c r="EI173" s="27"/>
      <c r="EJ173" s="27"/>
      <c r="EK173" s="28" t="str">
        <f>IFERROR(VLOOKUP(EI173,Horarios!$H:$I,2,0),"")</f>
        <v/>
      </c>
      <c r="EL173" s="28" t="str">
        <f>IFERROR(VLOOKUP(EJ173,Horarios!$H:$I,2,0),"")</f>
        <v/>
      </c>
      <c r="EM173" s="28" t="str">
        <f t="shared" si="121"/>
        <v>00:00</v>
      </c>
      <c r="EN173" s="29"/>
      <c r="EO173" s="27"/>
      <c r="EP173" s="27"/>
      <c r="EQ173" s="28" t="str">
        <f>IFERROR(VLOOKUP(EO173,Horarios!$H:$I,2,0),"")</f>
        <v/>
      </c>
      <c r="ER173" s="28" t="str">
        <f>IFERROR(VLOOKUP(EP173,Horarios!$H:$I,2,0),"")</f>
        <v/>
      </c>
      <c r="ES173" s="28" t="str">
        <f t="shared" si="122"/>
        <v>00:00</v>
      </c>
      <c r="ET173" s="29"/>
      <c r="EU173" s="27"/>
      <c r="EV173" s="27"/>
      <c r="EW173" s="28" t="str">
        <f>IFERROR(VLOOKUP(EU173,Horarios!$H:$I,2,0),"")</f>
        <v/>
      </c>
      <c r="EX173" s="28" t="str">
        <f>IFERROR(VLOOKUP(EV173,Horarios!$H:$I,2,0),"")</f>
        <v/>
      </c>
      <c r="EY173" s="28" t="str">
        <f t="shared" si="123"/>
        <v>00:00</v>
      </c>
      <c r="EZ173" s="29"/>
      <c r="FA173" s="27"/>
      <c r="FB173" s="27"/>
      <c r="FC173" s="28" t="str">
        <f>IFERROR(VLOOKUP(FA173,Horarios!$H:$I,2,0),"")</f>
        <v/>
      </c>
      <c r="FD173" s="28" t="str">
        <f>IFERROR(VLOOKUP(FB173,Horarios!$H:$I,2,0),"")</f>
        <v/>
      </c>
      <c r="FE173" s="28" t="str">
        <f t="shared" si="124"/>
        <v>00:00</v>
      </c>
      <c r="FF173" s="29"/>
      <c r="FG173" s="27"/>
      <c r="FH173" s="27"/>
      <c r="FI173" s="28" t="str">
        <f>IFERROR(VLOOKUP(FG173,Horarios!$H:$I,2,0),"")</f>
        <v/>
      </c>
      <c r="FJ173" s="28" t="str">
        <f>IFERROR(VLOOKUP(FH173,Horarios!$H:$I,2,0),"")</f>
        <v/>
      </c>
      <c r="FK173" s="28" t="str">
        <f t="shared" si="125"/>
        <v>00:00</v>
      </c>
      <c r="FL173" s="29"/>
      <c r="FM173" s="27"/>
      <c r="FN173" s="27"/>
      <c r="FO173" s="28" t="str">
        <f>IFERROR(VLOOKUP(FM173,Horarios!$H:$I,2,0),"")</f>
        <v/>
      </c>
      <c r="FP173" s="28" t="str">
        <f>IFERROR(VLOOKUP(FN173,Horarios!$H:$I,2,0),"")</f>
        <v/>
      </c>
      <c r="FQ173" s="28" t="str">
        <f t="shared" si="126"/>
        <v>00:00</v>
      </c>
      <c r="FR173" s="29"/>
      <c r="FS173" s="31" t="str">
        <f t="shared" si="127"/>
        <v/>
      </c>
      <c r="FT173" s="27"/>
      <c r="FU173" s="27"/>
      <c r="FV173" s="28" t="str">
        <f>IFERROR(VLOOKUP(FT173,Horarios!$H:$I,2,0),"")</f>
        <v/>
      </c>
      <c r="FW173" s="28" t="str">
        <f>IFERROR(VLOOKUP(FU173,Horarios!$H:$I,2,0),"")</f>
        <v/>
      </c>
      <c r="FX173" s="28" t="str">
        <f t="shared" si="128"/>
        <v>00:00</v>
      </c>
      <c r="FY173" s="29"/>
      <c r="FZ173" s="27"/>
      <c r="GA173" s="27"/>
      <c r="GB173" s="28" t="str">
        <f>IFERROR(VLOOKUP(FZ173,Horarios!$H:$I,2,0),"")</f>
        <v/>
      </c>
      <c r="GC173" s="28" t="str">
        <f>IFERROR(VLOOKUP(GA173,Horarios!$H:$I,2,0),"")</f>
        <v/>
      </c>
      <c r="GD173" s="28" t="str">
        <f t="shared" si="129"/>
        <v>00:00</v>
      </c>
      <c r="GE173" s="29"/>
      <c r="GF173" s="27"/>
      <c r="GG173" s="27"/>
      <c r="GH173" s="28" t="str">
        <f>IFERROR(VLOOKUP(GF173,Horarios!$H:$I,2,0),"")</f>
        <v/>
      </c>
      <c r="GI173" s="28" t="str">
        <f>IFERROR(VLOOKUP(GG173,Horarios!$H:$I,2,0),"")</f>
        <v/>
      </c>
      <c r="GJ173" s="28" t="str">
        <f t="shared" si="130"/>
        <v>00:00</v>
      </c>
      <c r="GK173" s="29"/>
      <c r="GL173" s="27"/>
      <c r="GM173" s="27"/>
      <c r="GN173" s="28" t="str">
        <f>IFERROR(VLOOKUP(GL173,Horarios!$H:$I,2,0),"")</f>
        <v/>
      </c>
      <c r="GO173" s="28" t="str">
        <f>IFERROR(VLOOKUP(GM173,Horarios!$H:$I,2,0),"")</f>
        <v/>
      </c>
      <c r="GP173" s="28" t="str">
        <f t="shared" si="131"/>
        <v>00:00</v>
      </c>
      <c r="GQ173" s="29"/>
      <c r="GR173" s="27"/>
      <c r="GS173" s="27"/>
      <c r="GT173" s="28" t="str">
        <f>IFERROR(VLOOKUP(GR173,Horarios!$H:$I,2,0),"")</f>
        <v/>
      </c>
      <c r="GU173" s="28" t="str">
        <f>IFERROR(VLOOKUP(GS173,Horarios!$H:$I,2,0),"")</f>
        <v/>
      </c>
      <c r="GV173" s="28" t="str">
        <f t="shared" si="132"/>
        <v>00:00</v>
      </c>
      <c r="GW173" s="29"/>
      <c r="GX173" s="27"/>
      <c r="GY173" s="27"/>
      <c r="GZ173" s="28" t="str">
        <f>IFERROR(VLOOKUP(GX173,Horarios!$H:$I,2,0),"")</f>
        <v/>
      </c>
      <c r="HA173" s="28" t="str">
        <f>IFERROR(VLOOKUP(GY173,Horarios!$H:$I,2,0),"")</f>
        <v/>
      </c>
      <c r="HB173" s="28" t="str">
        <f t="shared" si="133"/>
        <v>00:00</v>
      </c>
      <c r="HC173" s="29"/>
      <c r="HD173" s="27"/>
      <c r="HE173" s="27"/>
      <c r="HF173" s="28" t="str">
        <f>IFERROR(VLOOKUP(HD173,Horarios!$H:$I,2,0),"")</f>
        <v/>
      </c>
      <c r="HG173" s="28" t="str">
        <f>IFERROR(VLOOKUP(HE173,Horarios!$H:$I,2,0),"")</f>
        <v/>
      </c>
      <c r="HH173" s="28" t="str">
        <f t="shared" si="134"/>
        <v>00:00</v>
      </c>
      <c r="HI173" s="29"/>
      <c r="HJ173" s="31" t="str">
        <f t="shared" si="135"/>
        <v/>
      </c>
      <c r="HK173" s="27"/>
      <c r="HL173" s="27"/>
      <c r="HM173" s="28" t="str">
        <f>IFERROR(VLOOKUP(HK173,Horarios!$H:$I,2,0),"")</f>
        <v/>
      </c>
      <c r="HN173" s="28" t="str">
        <f>IFERROR(VLOOKUP(HL173,Horarios!$H:$I,2,0),"")</f>
        <v/>
      </c>
      <c r="HO173" s="28" t="str">
        <f t="shared" si="136"/>
        <v>00:00</v>
      </c>
      <c r="HP173" s="29"/>
      <c r="HQ173" s="27"/>
      <c r="HR173" s="27"/>
      <c r="HS173" s="28" t="str">
        <f>IFERROR(VLOOKUP(HQ173,Horarios!$H:$I,2,0),"")</f>
        <v/>
      </c>
      <c r="HT173" s="28" t="str">
        <f>IFERROR(VLOOKUP(HR173,Horarios!$H:$I,2,0),"")</f>
        <v/>
      </c>
      <c r="HU173" s="28" t="str">
        <f t="shared" si="137"/>
        <v>00:00</v>
      </c>
      <c r="HV173" s="29"/>
      <c r="HW173" s="27"/>
      <c r="HX173" s="27"/>
      <c r="HY173" s="28" t="str">
        <f>IFERROR(VLOOKUP(HW173,Horarios!$H:$I,2,0),"")</f>
        <v/>
      </c>
      <c r="HZ173" s="28" t="str">
        <f>IFERROR(VLOOKUP(HX173,Horarios!$H:$I,2,0),"")</f>
        <v/>
      </c>
      <c r="IA173" s="28" t="str">
        <f t="shared" si="138"/>
        <v>00:00</v>
      </c>
      <c r="IB173" s="29"/>
      <c r="IC173" s="27"/>
      <c r="ID173" s="27"/>
      <c r="IE173" s="28" t="str">
        <f>IFERROR(VLOOKUP(IC173,Horarios!$H:$I,2,0),"")</f>
        <v/>
      </c>
      <c r="IF173" s="28" t="str">
        <f>IFERROR(VLOOKUP(ID173,Horarios!$H:$I,2,0),"")</f>
        <v/>
      </c>
      <c r="IG173" s="28" t="str">
        <f t="shared" si="139"/>
        <v>00:00</v>
      </c>
      <c r="IH173" s="29"/>
      <c r="II173" s="27"/>
      <c r="IJ173" s="27"/>
      <c r="IK173" s="28" t="str">
        <f>IFERROR(VLOOKUP(II173,Horarios!$H:$I,2,0),"")</f>
        <v/>
      </c>
      <c r="IL173" s="28" t="str">
        <f>IFERROR(VLOOKUP(IJ173,Horarios!$H:$I,2,0),"")</f>
        <v/>
      </c>
      <c r="IM173" s="28" t="str">
        <f t="shared" si="140"/>
        <v>00:00</v>
      </c>
      <c r="IN173" s="29"/>
      <c r="IO173" s="27"/>
      <c r="IP173" s="27"/>
      <c r="IQ173" s="28" t="str">
        <f>IFERROR(VLOOKUP(IO173,Horarios!$H:$I,2,0),"")</f>
        <v/>
      </c>
      <c r="IR173" s="28" t="str">
        <f>IFERROR(VLOOKUP(IP173,Horarios!$H:$I,2,0),"")</f>
        <v/>
      </c>
      <c r="IS173" s="28" t="str">
        <f t="shared" si="141"/>
        <v>00:00</v>
      </c>
      <c r="IT173" s="29"/>
      <c r="IU173" s="27"/>
      <c r="IV173" s="27"/>
      <c r="IW173" s="28" t="str">
        <f>IFERROR(VLOOKUP(IU173,Horarios!$H:$I,2,0),"")</f>
        <v/>
      </c>
      <c r="IX173" s="28" t="str">
        <f>IFERROR(VLOOKUP(IV173,Horarios!$H:$I,2,0),"")</f>
        <v/>
      </c>
      <c r="IY173" s="28" t="str">
        <f t="shared" si="142"/>
        <v>00:00</v>
      </c>
      <c r="IZ173" s="29"/>
      <c r="JA173" s="31" t="str">
        <f t="shared" si="143"/>
        <v/>
      </c>
    </row>
    <row r="174" spans="1:261" s="24" customFormat="1" ht="17.399999999999999" x14ac:dyDescent="0.25">
      <c r="A174" s="25"/>
      <c r="B174" s="26" t="str">
        <f>IFERROR(VLOOKUP(A174,BaseNombres!A:B,2,0),"")</f>
        <v/>
      </c>
      <c r="C174" s="26" t="str">
        <f>IFERROR(VLOOKUP(A174,BaseNombres!A:C,3,0),"")</f>
        <v/>
      </c>
      <c r="D174" s="27"/>
      <c r="E174" s="27"/>
      <c r="F174" s="28" t="str">
        <f>IFERROR(VLOOKUP(D174,Horarios!$H:$I,2,0),"")</f>
        <v/>
      </c>
      <c r="G174" s="28" t="str">
        <f>IFERROR(VLOOKUP(E174,Horarios!$H:$I,2,0),"")</f>
        <v/>
      </c>
      <c r="H174" s="28" t="str">
        <f t="shared" si="96"/>
        <v>00:00</v>
      </c>
      <c r="I174" s="29"/>
      <c r="J174" s="27"/>
      <c r="K174" s="27"/>
      <c r="L174" s="28" t="str">
        <f>IFERROR(VLOOKUP(J174,Horarios!$H:$I,2,0),"")</f>
        <v/>
      </c>
      <c r="M174" s="28" t="str">
        <f>IFERROR(VLOOKUP(K174,Horarios!$H:$I,2,0),"")</f>
        <v/>
      </c>
      <c r="N174" s="28" t="str">
        <f t="shared" si="97"/>
        <v>00:00</v>
      </c>
      <c r="O174" s="29"/>
      <c r="P174" s="27"/>
      <c r="Q174" s="27"/>
      <c r="R174" s="28" t="str">
        <f>IFERROR(VLOOKUP(P174,Horarios!$H:$I,2,0),"")</f>
        <v/>
      </c>
      <c r="S174" s="28" t="str">
        <f>IFERROR(VLOOKUP(Q174,Horarios!$H:$I,2,0),"")</f>
        <v/>
      </c>
      <c r="T174" s="28" t="str">
        <f t="shared" si="98"/>
        <v>00:00</v>
      </c>
      <c r="U174" s="29"/>
      <c r="V174" s="27"/>
      <c r="W174" s="27"/>
      <c r="X174" s="28" t="str">
        <f>IFERROR(VLOOKUP(V174,Horarios!$H:$I,2,0),"")</f>
        <v/>
      </c>
      <c r="Y174" s="28" t="str">
        <f>IFERROR(VLOOKUP(W174,Horarios!$H:$I,2,0),"")</f>
        <v/>
      </c>
      <c r="Z174" s="28" t="str">
        <f t="shared" si="99"/>
        <v>00:00</v>
      </c>
      <c r="AA174" s="29"/>
      <c r="AB174" s="27"/>
      <c r="AC174" s="27"/>
      <c r="AD174" s="28" t="str">
        <f>IFERROR(VLOOKUP(AB174,Horarios!$H:$I,2,0),"")</f>
        <v/>
      </c>
      <c r="AE174" s="28" t="str">
        <f>IFERROR(VLOOKUP(AC174,Horarios!$H:$I,2,0),"")</f>
        <v/>
      </c>
      <c r="AF174" s="28" t="str">
        <f t="shared" si="100"/>
        <v>00:00</v>
      </c>
      <c r="AG174" s="29"/>
      <c r="AH174" s="27"/>
      <c r="AI174" s="27"/>
      <c r="AJ174" s="28" t="str">
        <f>IFERROR(VLOOKUP(AH174,Horarios!$H:$I,2,0),"")</f>
        <v/>
      </c>
      <c r="AK174" s="28" t="str">
        <f>IFERROR(VLOOKUP(AI174,Horarios!$H:$I,2,0),"")</f>
        <v/>
      </c>
      <c r="AL174" s="28" t="str">
        <f t="shared" si="101"/>
        <v>00:00</v>
      </c>
      <c r="AM174" s="29"/>
      <c r="AN174" s="27"/>
      <c r="AO174" s="27"/>
      <c r="AP174" s="28" t="str">
        <f>IFERROR(VLOOKUP(AN174,Horarios!$H:$I,2,0),"")</f>
        <v/>
      </c>
      <c r="AQ174" s="28" t="str">
        <f>IFERROR(VLOOKUP(AO174,Horarios!$H:$I,2,0),"")</f>
        <v/>
      </c>
      <c r="AR174" s="28" t="str">
        <f t="shared" si="102"/>
        <v>00:00</v>
      </c>
      <c r="AS174" s="29"/>
      <c r="AT174" s="31" t="str">
        <f t="shared" si="103"/>
        <v/>
      </c>
      <c r="AU174" s="27"/>
      <c r="AV174" s="27"/>
      <c r="AW174" s="28" t="str">
        <f>IFERROR(VLOOKUP(AU174,Horarios!$H:$I,2,0),"")</f>
        <v/>
      </c>
      <c r="AX174" s="28" t="str">
        <f>IFERROR(VLOOKUP(AV174,Horarios!$H:$I,2,0),"")</f>
        <v/>
      </c>
      <c r="AY174" s="28" t="str">
        <f t="shared" si="104"/>
        <v>00:00</v>
      </c>
      <c r="AZ174" s="29"/>
      <c r="BA174" s="27"/>
      <c r="BB174" s="27"/>
      <c r="BC174" s="28" t="str">
        <f>IFERROR(VLOOKUP(BA174,Horarios!$H:$I,2,0),"")</f>
        <v/>
      </c>
      <c r="BD174" s="28" t="str">
        <f>IFERROR(VLOOKUP(BB174,Horarios!$H:$I,2,0),"")</f>
        <v/>
      </c>
      <c r="BE174" s="28" t="str">
        <f t="shared" si="105"/>
        <v>00:00</v>
      </c>
      <c r="BF174" s="29"/>
      <c r="BG174" s="27"/>
      <c r="BH174" s="27"/>
      <c r="BI174" s="28" t="str">
        <f>IFERROR(VLOOKUP(BG174,Horarios!$H:$I,2,0),"")</f>
        <v/>
      </c>
      <c r="BJ174" s="28" t="str">
        <f>IFERROR(VLOOKUP(BH174,Horarios!$H:$I,2,0),"")</f>
        <v/>
      </c>
      <c r="BK174" s="28" t="str">
        <f t="shared" si="106"/>
        <v>00:00</v>
      </c>
      <c r="BL174" s="29"/>
      <c r="BM174" s="27"/>
      <c r="BN174" s="27"/>
      <c r="BO174" s="28" t="str">
        <f>IFERROR(VLOOKUP(BM174,Horarios!$H:$I,2,0),"")</f>
        <v/>
      </c>
      <c r="BP174" s="28" t="str">
        <f>IFERROR(VLOOKUP(BN174,Horarios!$H:$I,2,0),"")</f>
        <v/>
      </c>
      <c r="BQ174" s="28" t="str">
        <f t="shared" si="107"/>
        <v>00:00</v>
      </c>
      <c r="BR174" s="29"/>
      <c r="BS174" s="27"/>
      <c r="BT174" s="27"/>
      <c r="BU174" s="28" t="str">
        <f>IFERROR(VLOOKUP(BS174,Horarios!$H:$I,2,0),"")</f>
        <v/>
      </c>
      <c r="BV174" s="28" t="str">
        <f>IFERROR(VLOOKUP(BT174,Horarios!$H:$I,2,0),"")</f>
        <v/>
      </c>
      <c r="BW174" s="28" t="str">
        <f t="shared" si="108"/>
        <v>00:00</v>
      </c>
      <c r="BX174" s="29"/>
      <c r="BY174" s="27"/>
      <c r="BZ174" s="27"/>
      <c r="CA174" s="28" t="str">
        <f>IFERROR(VLOOKUP(BY174,Horarios!$H:$I,2,0),"")</f>
        <v/>
      </c>
      <c r="CB174" s="28" t="str">
        <f>IFERROR(VLOOKUP(BZ174,Horarios!$H:$I,2,0),"")</f>
        <v/>
      </c>
      <c r="CC174" s="28" t="str">
        <f t="shared" si="109"/>
        <v>00:00</v>
      </c>
      <c r="CD174" s="29"/>
      <c r="CE174" s="27"/>
      <c r="CF174" s="27"/>
      <c r="CG174" s="28" t="str">
        <f>IFERROR(VLOOKUP(CE174,Horarios!$H:$I,2,0),"")</f>
        <v/>
      </c>
      <c r="CH174" s="28" t="str">
        <f>IFERROR(VLOOKUP(CF174,Horarios!$H:$I,2,0),"")</f>
        <v/>
      </c>
      <c r="CI174" s="28" t="str">
        <f t="shared" si="110"/>
        <v>00:00</v>
      </c>
      <c r="CJ174" s="29"/>
      <c r="CK174" s="31" t="str">
        <f t="shared" si="111"/>
        <v/>
      </c>
      <c r="CL174" s="27"/>
      <c r="CM174" s="27"/>
      <c r="CN174" s="28" t="str">
        <f>IFERROR(VLOOKUP(CL174,Horarios!$H:$I,2,0),"")</f>
        <v/>
      </c>
      <c r="CO174" s="28" t="str">
        <f>IFERROR(VLOOKUP(CM174,Horarios!$H:$I,2,0),"")</f>
        <v/>
      </c>
      <c r="CP174" s="28" t="str">
        <f t="shared" si="112"/>
        <v>00:00</v>
      </c>
      <c r="CQ174" s="29"/>
      <c r="CR174" s="27"/>
      <c r="CS174" s="27"/>
      <c r="CT174" s="28" t="str">
        <f>IFERROR(VLOOKUP(CR174,Horarios!$H:$I,2,0),"")</f>
        <v/>
      </c>
      <c r="CU174" s="28" t="str">
        <f>IFERROR(VLOOKUP(CS174,Horarios!$H:$I,2,0),"")</f>
        <v/>
      </c>
      <c r="CV174" s="28" t="str">
        <f t="shared" si="113"/>
        <v>00:00</v>
      </c>
      <c r="CW174" s="29"/>
      <c r="CX174" s="27"/>
      <c r="CY174" s="27"/>
      <c r="CZ174" s="28" t="str">
        <f>IFERROR(VLOOKUP(CX174,Horarios!$H:$I,2,0),"")</f>
        <v/>
      </c>
      <c r="DA174" s="28" t="str">
        <f>IFERROR(VLOOKUP(CY174,Horarios!$H:$I,2,0),"")</f>
        <v/>
      </c>
      <c r="DB174" s="28" t="str">
        <f t="shared" si="114"/>
        <v>00:00</v>
      </c>
      <c r="DC174" s="29"/>
      <c r="DD174" s="27"/>
      <c r="DE174" s="27"/>
      <c r="DF174" s="28" t="str">
        <f>IFERROR(VLOOKUP(DD174,Horarios!$H:$I,2,0),"")</f>
        <v/>
      </c>
      <c r="DG174" s="28" t="str">
        <f>IFERROR(VLOOKUP(DE174,Horarios!$H:$I,2,0),"")</f>
        <v/>
      </c>
      <c r="DH174" s="28" t="str">
        <f t="shared" si="115"/>
        <v>00:00</v>
      </c>
      <c r="DI174" s="29"/>
      <c r="DJ174" s="27"/>
      <c r="DK174" s="27"/>
      <c r="DL174" s="28" t="str">
        <f>IFERROR(VLOOKUP(DJ174,Horarios!$H:$I,2,0),"")</f>
        <v/>
      </c>
      <c r="DM174" s="28" t="str">
        <f>IFERROR(VLOOKUP(DK174,Horarios!$H:$I,2,0),"")</f>
        <v/>
      </c>
      <c r="DN174" s="28" t="str">
        <f t="shared" si="116"/>
        <v>00:00</v>
      </c>
      <c r="DO174" s="29"/>
      <c r="DP174" s="27"/>
      <c r="DQ174" s="27"/>
      <c r="DR174" s="28" t="str">
        <f>IFERROR(VLOOKUP(DP174,Horarios!$H:$I,2,0),"")</f>
        <v/>
      </c>
      <c r="DS174" s="28" t="str">
        <f>IFERROR(VLOOKUP(DQ174,Horarios!$H:$I,2,0),"")</f>
        <v/>
      </c>
      <c r="DT174" s="28" t="str">
        <f t="shared" si="117"/>
        <v>00:00</v>
      </c>
      <c r="DU174" s="29"/>
      <c r="DV174" s="27"/>
      <c r="DW174" s="27"/>
      <c r="DX174" s="28" t="str">
        <f>IFERROR(VLOOKUP(DV174,Horarios!$H:$I,2,0),"")</f>
        <v/>
      </c>
      <c r="DY174" s="28" t="str">
        <f>IFERROR(VLOOKUP(DW174,Horarios!$H:$I,2,0),"")</f>
        <v/>
      </c>
      <c r="DZ174" s="28" t="str">
        <f t="shared" si="118"/>
        <v>00:00</v>
      </c>
      <c r="EA174" s="29"/>
      <c r="EB174" s="31" t="str">
        <f t="shared" si="119"/>
        <v/>
      </c>
      <c r="EC174" s="27"/>
      <c r="ED174" s="27"/>
      <c r="EE174" s="28" t="str">
        <f>IFERROR(VLOOKUP(EC174,Horarios!$H:$I,2,0),"")</f>
        <v/>
      </c>
      <c r="EF174" s="28" t="str">
        <f>IFERROR(VLOOKUP(ED174,Horarios!$H:$I,2,0),"")</f>
        <v/>
      </c>
      <c r="EG174" s="28" t="str">
        <f t="shared" si="120"/>
        <v>00:00</v>
      </c>
      <c r="EH174" s="29"/>
      <c r="EI174" s="27"/>
      <c r="EJ174" s="27"/>
      <c r="EK174" s="28" t="str">
        <f>IFERROR(VLOOKUP(EI174,Horarios!$H:$I,2,0),"")</f>
        <v/>
      </c>
      <c r="EL174" s="28" t="str">
        <f>IFERROR(VLOOKUP(EJ174,Horarios!$H:$I,2,0),"")</f>
        <v/>
      </c>
      <c r="EM174" s="28" t="str">
        <f t="shared" si="121"/>
        <v>00:00</v>
      </c>
      <c r="EN174" s="29"/>
      <c r="EO174" s="27"/>
      <c r="EP174" s="27"/>
      <c r="EQ174" s="28" t="str">
        <f>IFERROR(VLOOKUP(EO174,Horarios!$H:$I,2,0),"")</f>
        <v/>
      </c>
      <c r="ER174" s="28" t="str">
        <f>IFERROR(VLOOKUP(EP174,Horarios!$H:$I,2,0),"")</f>
        <v/>
      </c>
      <c r="ES174" s="28" t="str">
        <f t="shared" si="122"/>
        <v>00:00</v>
      </c>
      <c r="ET174" s="29"/>
      <c r="EU174" s="27"/>
      <c r="EV174" s="27"/>
      <c r="EW174" s="28" t="str">
        <f>IFERROR(VLOOKUP(EU174,Horarios!$H:$I,2,0),"")</f>
        <v/>
      </c>
      <c r="EX174" s="28" t="str">
        <f>IFERROR(VLOOKUP(EV174,Horarios!$H:$I,2,0),"")</f>
        <v/>
      </c>
      <c r="EY174" s="28" t="str">
        <f t="shared" si="123"/>
        <v>00:00</v>
      </c>
      <c r="EZ174" s="29"/>
      <c r="FA174" s="27"/>
      <c r="FB174" s="27"/>
      <c r="FC174" s="28" t="str">
        <f>IFERROR(VLOOKUP(FA174,Horarios!$H:$I,2,0),"")</f>
        <v/>
      </c>
      <c r="FD174" s="28" t="str">
        <f>IFERROR(VLOOKUP(FB174,Horarios!$H:$I,2,0),"")</f>
        <v/>
      </c>
      <c r="FE174" s="28" t="str">
        <f t="shared" si="124"/>
        <v>00:00</v>
      </c>
      <c r="FF174" s="29"/>
      <c r="FG174" s="27"/>
      <c r="FH174" s="27"/>
      <c r="FI174" s="28" t="str">
        <f>IFERROR(VLOOKUP(FG174,Horarios!$H:$I,2,0),"")</f>
        <v/>
      </c>
      <c r="FJ174" s="28" t="str">
        <f>IFERROR(VLOOKUP(FH174,Horarios!$H:$I,2,0),"")</f>
        <v/>
      </c>
      <c r="FK174" s="28" t="str">
        <f t="shared" si="125"/>
        <v>00:00</v>
      </c>
      <c r="FL174" s="29"/>
      <c r="FM174" s="27"/>
      <c r="FN174" s="27"/>
      <c r="FO174" s="28" t="str">
        <f>IFERROR(VLOOKUP(FM174,Horarios!$H:$I,2,0),"")</f>
        <v/>
      </c>
      <c r="FP174" s="28" t="str">
        <f>IFERROR(VLOOKUP(FN174,Horarios!$H:$I,2,0),"")</f>
        <v/>
      </c>
      <c r="FQ174" s="28" t="str">
        <f t="shared" si="126"/>
        <v>00:00</v>
      </c>
      <c r="FR174" s="29"/>
      <c r="FS174" s="31" t="str">
        <f t="shared" si="127"/>
        <v/>
      </c>
      <c r="FT174" s="27"/>
      <c r="FU174" s="27"/>
      <c r="FV174" s="28" t="str">
        <f>IFERROR(VLOOKUP(FT174,Horarios!$H:$I,2,0),"")</f>
        <v/>
      </c>
      <c r="FW174" s="28" t="str">
        <f>IFERROR(VLOOKUP(FU174,Horarios!$H:$I,2,0),"")</f>
        <v/>
      </c>
      <c r="FX174" s="28" t="str">
        <f t="shared" si="128"/>
        <v>00:00</v>
      </c>
      <c r="FY174" s="29"/>
      <c r="FZ174" s="27"/>
      <c r="GA174" s="27"/>
      <c r="GB174" s="28" t="str">
        <f>IFERROR(VLOOKUP(FZ174,Horarios!$H:$I,2,0),"")</f>
        <v/>
      </c>
      <c r="GC174" s="28" t="str">
        <f>IFERROR(VLOOKUP(GA174,Horarios!$H:$I,2,0),"")</f>
        <v/>
      </c>
      <c r="GD174" s="28" t="str">
        <f t="shared" si="129"/>
        <v>00:00</v>
      </c>
      <c r="GE174" s="29"/>
      <c r="GF174" s="27"/>
      <c r="GG174" s="27"/>
      <c r="GH174" s="28" t="str">
        <f>IFERROR(VLOOKUP(GF174,Horarios!$H:$I,2,0),"")</f>
        <v/>
      </c>
      <c r="GI174" s="28" t="str">
        <f>IFERROR(VLOOKUP(GG174,Horarios!$H:$I,2,0),"")</f>
        <v/>
      </c>
      <c r="GJ174" s="28" t="str">
        <f t="shared" si="130"/>
        <v>00:00</v>
      </c>
      <c r="GK174" s="29"/>
      <c r="GL174" s="27"/>
      <c r="GM174" s="27"/>
      <c r="GN174" s="28" t="str">
        <f>IFERROR(VLOOKUP(GL174,Horarios!$H:$I,2,0),"")</f>
        <v/>
      </c>
      <c r="GO174" s="28" t="str">
        <f>IFERROR(VLOOKUP(GM174,Horarios!$H:$I,2,0),"")</f>
        <v/>
      </c>
      <c r="GP174" s="28" t="str">
        <f t="shared" si="131"/>
        <v>00:00</v>
      </c>
      <c r="GQ174" s="29"/>
      <c r="GR174" s="27"/>
      <c r="GS174" s="27"/>
      <c r="GT174" s="28" t="str">
        <f>IFERROR(VLOOKUP(GR174,Horarios!$H:$I,2,0),"")</f>
        <v/>
      </c>
      <c r="GU174" s="28" t="str">
        <f>IFERROR(VLOOKUP(GS174,Horarios!$H:$I,2,0),"")</f>
        <v/>
      </c>
      <c r="GV174" s="28" t="str">
        <f t="shared" si="132"/>
        <v>00:00</v>
      </c>
      <c r="GW174" s="29"/>
      <c r="GX174" s="27"/>
      <c r="GY174" s="27"/>
      <c r="GZ174" s="28" t="str">
        <f>IFERROR(VLOOKUP(GX174,Horarios!$H:$I,2,0),"")</f>
        <v/>
      </c>
      <c r="HA174" s="28" t="str">
        <f>IFERROR(VLOOKUP(GY174,Horarios!$H:$I,2,0),"")</f>
        <v/>
      </c>
      <c r="HB174" s="28" t="str">
        <f t="shared" si="133"/>
        <v>00:00</v>
      </c>
      <c r="HC174" s="29"/>
      <c r="HD174" s="27"/>
      <c r="HE174" s="27"/>
      <c r="HF174" s="28" t="str">
        <f>IFERROR(VLOOKUP(HD174,Horarios!$H:$I,2,0),"")</f>
        <v/>
      </c>
      <c r="HG174" s="28" t="str">
        <f>IFERROR(VLOOKUP(HE174,Horarios!$H:$I,2,0),"")</f>
        <v/>
      </c>
      <c r="HH174" s="28" t="str">
        <f t="shared" si="134"/>
        <v>00:00</v>
      </c>
      <c r="HI174" s="29"/>
      <c r="HJ174" s="31" t="str">
        <f t="shared" si="135"/>
        <v/>
      </c>
      <c r="HK174" s="27"/>
      <c r="HL174" s="27"/>
      <c r="HM174" s="28" t="str">
        <f>IFERROR(VLOOKUP(HK174,Horarios!$H:$I,2,0),"")</f>
        <v/>
      </c>
      <c r="HN174" s="28" t="str">
        <f>IFERROR(VLOOKUP(HL174,Horarios!$H:$I,2,0),"")</f>
        <v/>
      </c>
      <c r="HO174" s="28" t="str">
        <f t="shared" si="136"/>
        <v>00:00</v>
      </c>
      <c r="HP174" s="29"/>
      <c r="HQ174" s="27"/>
      <c r="HR174" s="27"/>
      <c r="HS174" s="28" t="str">
        <f>IFERROR(VLOOKUP(HQ174,Horarios!$H:$I,2,0),"")</f>
        <v/>
      </c>
      <c r="HT174" s="28" t="str">
        <f>IFERROR(VLOOKUP(HR174,Horarios!$H:$I,2,0),"")</f>
        <v/>
      </c>
      <c r="HU174" s="28" t="str">
        <f t="shared" si="137"/>
        <v>00:00</v>
      </c>
      <c r="HV174" s="29"/>
      <c r="HW174" s="27"/>
      <c r="HX174" s="27"/>
      <c r="HY174" s="28" t="str">
        <f>IFERROR(VLOOKUP(HW174,Horarios!$H:$I,2,0),"")</f>
        <v/>
      </c>
      <c r="HZ174" s="28" t="str">
        <f>IFERROR(VLOOKUP(HX174,Horarios!$H:$I,2,0),"")</f>
        <v/>
      </c>
      <c r="IA174" s="28" t="str">
        <f t="shared" si="138"/>
        <v>00:00</v>
      </c>
      <c r="IB174" s="29"/>
      <c r="IC174" s="27"/>
      <c r="ID174" s="27"/>
      <c r="IE174" s="28" t="str">
        <f>IFERROR(VLOOKUP(IC174,Horarios!$H:$I,2,0),"")</f>
        <v/>
      </c>
      <c r="IF174" s="28" t="str">
        <f>IFERROR(VLOOKUP(ID174,Horarios!$H:$I,2,0),"")</f>
        <v/>
      </c>
      <c r="IG174" s="28" t="str">
        <f t="shared" si="139"/>
        <v>00:00</v>
      </c>
      <c r="IH174" s="29"/>
      <c r="II174" s="27"/>
      <c r="IJ174" s="27"/>
      <c r="IK174" s="28" t="str">
        <f>IFERROR(VLOOKUP(II174,Horarios!$H:$I,2,0),"")</f>
        <v/>
      </c>
      <c r="IL174" s="28" t="str">
        <f>IFERROR(VLOOKUP(IJ174,Horarios!$H:$I,2,0),"")</f>
        <v/>
      </c>
      <c r="IM174" s="28" t="str">
        <f t="shared" si="140"/>
        <v>00:00</v>
      </c>
      <c r="IN174" s="29"/>
      <c r="IO174" s="27"/>
      <c r="IP174" s="27"/>
      <c r="IQ174" s="28" t="str">
        <f>IFERROR(VLOOKUP(IO174,Horarios!$H:$I,2,0),"")</f>
        <v/>
      </c>
      <c r="IR174" s="28" t="str">
        <f>IFERROR(VLOOKUP(IP174,Horarios!$H:$I,2,0),"")</f>
        <v/>
      </c>
      <c r="IS174" s="28" t="str">
        <f t="shared" si="141"/>
        <v>00:00</v>
      </c>
      <c r="IT174" s="29"/>
      <c r="IU174" s="27"/>
      <c r="IV174" s="27"/>
      <c r="IW174" s="28" t="str">
        <f>IFERROR(VLOOKUP(IU174,Horarios!$H:$I,2,0),"")</f>
        <v/>
      </c>
      <c r="IX174" s="28" t="str">
        <f>IFERROR(VLOOKUP(IV174,Horarios!$H:$I,2,0),"")</f>
        <v/>
      </c>
      <c r="IY174" s="28" t="str">
        <f t="shared" si="142"/>
        <v>00:00</v>
      </c>
      <c r="IZ174" s="29"/>
      <c r="JA174" s="31" t="str">
        <f t="shared" si="143"/>
        <v/>
      </c>
    </row>
    <row r="175" spans="1:261" s="24" customFormat="1" ht="17.399999999999999" x14ac:dyDescent="0.25">
      <c r="A175" s="25"/>
      <c r="B175" s="26" t="str">
        <f>IFERROR(VLOOKUP(A175,BaseNombres!A:B,2,0),"")</f>
        <v/>
      </c>
      <c r="C175" s="26" t="str">
        <f>IFERROR(VLOOKUP(A175,BaseNombres!A:C,3,0),"")</f>
        <v/>
      </c>
      <c r="D175" s="27"/>
      <c r="E175" s="27"/>
      <c r="F175" s="28" t="str">
        <f>IFERROR(VLOOKUP(D175,Horarios!$H:$I,2,0),"")</f>
        <v/>
      </c>
      <c r="G175" s="28" t="str">
        <f>IFERROR(VLOOKUP(E175,Horarios!$H:$I,2,0),"")</f>
        <v/>
      </c>
      <c r="H175" s="28" t="str">
        <f t="shared" si="96"/>
        <v>00:00</v>
      </c>
      <c r="I175" s="29"/>
      <c r="J175" s="27"/>
      <c r="K175" s="27"/>
      <c r="L175" s="28" t="str">
        <f>IFERROR(VLOOKUP(J175,Horarios!$H:$I,2,0),"")</f>
        <v/>
      </c>
      <c r="M175" s="28" t="str">
        <f>IFERROR(VLOOKUP(K175,Horarios!$H:$I,2,0),"")</f>
        <v/>
      </c>
      <c r="N175" s="28" t="str">
        <f t="shared" si="97"/>
        <v>00:00</v>
      </c>
      <c r="O175" s="29"/>
      <c r="P175" s="27"/>
      <c r="Q175" s="27"/>
      <c r="R175" s="28" t="str">
        <f>IFERROR(VLOOKUP(P175,Horarios!$H:$I,2,0),"")</f>
        <v/>
      </c>
      <c r="S175" s="28" t="str">
        <f>IFERROR(VLOOKUP(Q175,Horarios!$H:$I,2,0),"")</f>
        <v/>
      </c>
      <c r="T175" s="28" t="str">
        <f t="shared" si="98"/>
        <v>00:00</v>
      </c>
      <c r="U175" s="29"/>
      <c r="V175" s="27"/>
      <c r="W175" s="27"/>
      <c r="X175" s="28" t="str">
        <f>IFERROR(VLOOKUP(V175,Horarios!$H:$I,2,0),"")</f>
        <v/>
      </c>
      <c r="Y175" s="28" t="str">
        <f>IFERROR(VLOOKUP(W175,Horarios!$H:$I,2,0),"")</f>
        <v/>
      </c>
      <c r="Z175" s="28" t="str">
        <f t="shared" si="99"/>
        <v>00:00</v>
      </c>
      <c r="AA175" s="29"/>
      <c r="AB175" s="27"/>
      <c r="AC175" s="27"/>
      <c r="AD175" s="28" t="str">
        <f>IFERROR(VLOOKUP(AB175,Horarios!$H:$I,2,0),"")</f>
        <v/>
      </c>
      <c r="AE175" s="28" t="str">
        <f>IFERROR(VLOOKUP(AC175,Horarios!$H:$I,2,0),"")</f>
        <v/>
      </c>
      <c r="AF175" s="28" t="str">
        <f t="shared" si="100"/>
        <v>00:00</v>
      </c>
      <c r="AG175" s="29"/>
      <c r="AH175" s="27"/>
      <c r="AI175" s="27"/>
      <c r="AJ175" s="28" t="str">
        <f>IFERROR(VLOOKUP(AH175,Horarios!$H:$I,2,0),"")</f>
        <v/>
      </c>
      <c r="AK175" s="28" t="str">
        <f>IFERROR(VLOOKUP(AI175,Horarios!$H:$I,2,0),"")</f>
        <v/>
      </c>
      <c r="AL175" s="28" t="str">
        <f t="shared" si="101"/>
        <v>00:00</v>
      </c>
      <c r="AM175" s="29"/>
      <c r="AN175" s="27"/>
      <c r="AO175" s="27"/>
      <c r="AP175" s="28" t="str">
        <f>IFERROR(VLOOKUP(AN175,Horarios!$H:$I,2,0),"")</f>
        <v/>
      </c>
      <c r="AQ175" s="28" t="str">
        <f>IFERROR(VLOOKUP(AO175,Horarios!$H:$I,2,0),"")</f>
        <v/>
      </c>
      <c r="AR175" s="28" t="str">
        <f t="shared" si="102"/>
        <v>00:00</v>
      </c>
      <c r="AS175" s="29"/>
      <c r="AT175" s="31" t="str">
        <f t="shared" si="103"/>
        <v/>
      </c>
      <c r="AU175" s="27"/>
      <c r="AV175" s="27"/>
      <c r="AW175" s="28" t="str">
        <f>IFERROR(VLOOKUP(AU175,Horarios!$H:$I,2,0),"")</f>
        <v/>
      </c>
      <c r="AX175" s="28" t="str">
        <f>IFERROR(VLOOKUP(AV175,Horarios!$H:$I,2,0),"")</f>
        <v/>
      </c>
      <c r="AY175" s="28" t="str">
        <f t="shared" si="104"/>
        <v>00:00</v>
      </c>
      <c r="AZ175" s="29"/>
      <c r="BA175" s="27"/>
      <c r="BB175" s="27"/>
      <c r="BC175" s="28" t="str">
        <f>IFERROR(VLOOKUP(BA175,Horarios!$H:$I,2,0),"")</f>
        <v/>
      </c>
      <c r="BD175" s="28" t="str">
        <f>IFERROR(VLOOKUP(BB175,Horarios!$H:$I,2,0),"")</f>
        <v/>
      </c>
      <c r="BE175" s="28" t="str">
        <f t="shared" si="105"/>
        <v>00:00</v>
      </c>
      <c r="BF175" s="29"/>
      <c r="BG175" s="27"/>
      <c r="BH175" s="27"/>
      <c r="BI175" s="28" t="str">
        <f>IFERROR(VLOOKUP(BG175,Horarios!$H:$I,2,0),"")</f>
        <v/>
      </c>
      <c r="BJ175" s="28" t="str">
        <f>IFERROR(VLOOKUP(BH175,Horarios!$H:$I,2,0),"")</f>
        <v/>
      </c>
      <c r="BK175" s="28" t="str">
        <f t="shared" si="106"/>
        <v>00:00</v>
      </c>
      <c r="BL175" s="29"/>
      <c r="BM175" s="27"/>
      <c r="BN175" s="27"/>
      <c r="BO175" s="28" t="str">
        <f>IFERROR(VLOOKUP(BM175,Horarios!$H:$I,2,0),"")</f>
        <v/>
      </c>
      <c r="BP175" s="28" t="str">
        <f>IFERROR(VLOOKUP(BN175,Horarios!$H:$I,2,0),"")</f>
        <v/>
      </c>
      <c r="BQ175" s="28" t="str">
        <f t="shared" si="107"/>
        <v>00:00</v>
      </c>
      <c r="BR175" s="29"/>
      <c r="BS175" s="27"/>
      <c r="BT175" s="27"/>
      <c r="BU175" s="28" t="str">
        <f>IFERROR(VLOOKUP(BS175,Horarios!$H:$I,2,0),"")</f>
        <v/>
      </c>
      <c r="BV175" s="28" t="str">
        <f>IFERROR(VLOOKUP(BT175,Horarios!$H:$I,2,0),"")</f>
        <v/>
      </c>
      <c r="BW175" s="28" t="str">
        <f t="shared" si="108"/>
        <v>00:00</v>
      </c>
      <c r="BX175" s="29"/>
      <c r="BY175" s="27"/>
      <c r="BZ175" s="27"/>
      <c r="CA175" s="28" t="str">
        <f>IFERROR(VLOOKUP(BY175,Horarios!$H:$I,2,0),"")</f>
        <v/>
      </c>
      <c r="CB175" s="28" t="str">
        <f>IFERROR(VLOOKUP(BZ175,Horarios!$H:$I,2,0),"")</f>
        <v/>
      </c>
      <c r="CC175" s="28" t="str">
        <f t="shared" si="109"/>
        <v>00:00</v>
      </c>
      <c r="CD175" s="29"/>
      <c r="CE175" s="27"/>
      <c r="CF175" s="27"/>
      <c r="CG175" s="28" t="str">
        <f>IFERROR(VLOOKUP(CE175,Horarios!$H:$I,2,0),"")</f>
        <v/>
      </c>
      <c r="CH175" s="28" t="str">
        <f>IFERROR(VLOOKUP(CF175,Horarios!$H:$I,2,0),"")</f>
        <v/>
      </c>
      <c r="CI175" s="28" t="str">
        <f t="shared" si="110"/>
        <v>00:00</v>
      </c>
      <c r="CJ175" s="29"/>
      <c r="CK175" s="31" t="str">
        <f t="shared" si="111"/>
        <v/>
      </c>
      <c r="CL175" s="27"/>
      <c r="CM175" s="27"/>
      <c r="CN175" s="28" t="str">
        <f>IFERROR(VLOOKUP(CL175,Horarios!$H:$I,2,0),"")</f>
        <v/>
      </c>
      <c r="CO175" s="28" t="str">
        <f>IFERROR(VLOOKUP(CM175,Horarios!$H:$I,2,0),"")</f>
        <v/>
      </c>
      <c r="CP175" s="28" t="str">
        <f t="shared" si="112"/>
        <v>00:00</v>
      </c>
      <c r="CQ175" s="29"/>
      <c r="CR175" s="27"/>
      <c r="CS175" s="27"/>
      <c r="CT175" s="28" t="str">
        <f>IFERROR(VLOOKUP(CR175,Horarios!$H:$I,2,0),"")</f>
        <v/>
      </c>
      <c r="CU175" s="28" t="str">
        <f>IFERROR(VLOOKUP(CS175,Horarios!$H:$I,2,0),"")</f>
        <v/>
      </c>
      <c r="CV175" s="28" t="str">
        <f t="shared" si="113"/>
        <v>00:00</v>
      </c>
      <c r="CW175" s="29"/>
      <c r="CX175" s="27"/>
      <c r="CY175" s="27"/>
      <c r="CZ175" s="28" t="str">
        <f>IFERROR(VLOOKUP(CX175,Horarios!$H:$I,2,0),"")</f>
        <v/>
      </c>
      <c r="DA175" s="28" t="str">
        <f>IFERROR(VLOOKUP(CY175,Horarios!$H:$I,2,0),"")</f>
        <v/>
      </c>
      <c r="DB175" s="28" t="str">
        <f t="shared" si="114"/>
        <v>00:00</v>
      </c>
      <c r="DC175" s="29"/>
      <c r="DD175" s="27"/>
      <c r="DE175" s="27"/>
      <c r="DF175" s="28" t="str">
        <f>IFERROR(VLOOKUP(DD175,Horarios!$H:$I,2,0),"")</f>
        <v/>
      </c>
      <c r="DG175" s="28" t="str">
        <f>IFERROR(VLOOKUP(DE175,Horarios!$H:$I,2,0),"")</f>
        <v/>
      </c>
      <c r="DH175" s="28" t="str">
        <f t="shared" si="115"/>
        <v>00:00</v>
      </c>
      <c r="DI175" s="29"/>
      <c r="DJ175" s="27"/>
      <c r="DK175" s="27"/>
      <c r="DL175" s="28" t="str">
        <f>IFERROR(VLOOKUP(DJ175,Horarios!$H:$I,2,0),"")</f>
        <v/>
      </c>
      <c r="DM175" s="28" t="str">
        <f>IFERROR(VLOOKUP(DK175,Horarios!$H:$I,2,0),"")</f>
        <v/>
      </c>
      <c r="DN175" s="28" t="str">
        <f t="shared" si="116"/>
        <v>00:00</v>
      </c>
      <c r="DO175" s="29"/>
      <c r="DP175" s="27"/>
      <c r="DQ175" s="27"/>
      <c r="DR175" s="28" t="str">
        <f>IFERROR(VLOOKUP(DP175,Horarios!$H:$I,2,0),"")</f>
        <v/>
      </c>
      <c r="DS175" s="28" t="str">
        <f>IFERROR(VLOOKUP(DQ175,Horarios!$H:$I,2,0),"")</f>
        <v/>
      </c>
      <c r="DT175" s="28" t="str">
        <f t="shared" si="117"/>
        <v>00:00</v>
      </c>
      <c r="DU175" s="29"/>
      <c r="DV175" s="27"/>
      <c r="DW175" s="27"/>
      <c r="DX175" s="28" t="str">
        <f>IFERROR(VLOOKUP(DV175,Horarios!$H:$I,2,0),"")</f>
        <v/>
      </c>
      <c r="DY175" s="28" t="str">
        <f>IFERROR(VLOOKUP(DW175,Horarios!$H:$I,2,0),"")</f>
        <v/>
      </c>
      <c r="DZ175" s="28" t="str">
        <f t="shared" si="118"/>
        <v>00:00</v>
      </c>
      <c r="EA175" s="29"/>
      <c r="EB175" s="31" t="str">
        <f t="shared" si="119"/>
        <v/>
      </c>
      <c r="EC175" s="27"/>
      <c r="ED175" s="27"/>
      <c r="EE175" s="28" t="str">
        <f>IFERROR(VLOOKUP(EC175,Horarios!$H:$I,2,0),"")</f>
        <v/>
      </c>
      <c r="EF175" s="28" t="str">
        <f>IFERROR(VLOOKUP(ED175,Horarios!$H:$I,2,0),"")</f>
        <v/>
      </c>
      <c r="EG175" s="28" t="str">
        <f t="shared" si="120"/>
        <v>00:00</v>
      </c>
      <c r="EH175" s="29"/>
      <c r="EI175" s="27"/>
      <c r="EJ175" s="27"/>
      <c r="EK175" s="28" t="str">
        <f>IFERROR(VLOOKUP(EI175,Horarios!$H:$I,2,0),"")</f>
        <v/>
      </c>
      <c r="EL175" s="28" t="str">
        <f>IFERROR(VLOOKUP(EJ175,Horarios!$H:$I,2,0),"")</f>
        <v/>
      </c>
      <c r="EM175" s="28" t="str">
        <f t="shared" si="121"/>
        <v>00:00</v>
      </c>
      <c r="EN175" s="29"/>
      <c r="EO175" s="27"/>
      <c r="EP175" s="27"/>
      <c r="EQ175" s="28" t="str">
        <f>IFERROR(VLOOKUP(EO175,Horarios!$H:$I,2,0),"")</f>
        <v/>
      </c>
      <c r="ER175" s="28" t="str">
        <f>IFERROR(VLOOKUP(EP175,Horarios!$H:$I,2,0),"")</f>
        <v/>
      </c>
      <c r="ES175" s="28" t="str">
        <f t="shared" si="122"/>
        <v>00:00</v>
      </c>
      <c r="ET175" s="29"/>
      <c r="EU175" s="27"/>
      <c r="EV175" s="27"/>
      <c r="EW175" s="28" t="str">
        <f>IFERROR(VLOOKUP(EU175,Horarios!$H:$I,2,0),"")</f>
        <v/>
      </c>
      <c r="EX175" s="28" t="str">
        <f>IFERROR(VLOOKUP(EV175,Horarios!$H:$I,2,0),"")</f>
        <v/>
      </c>
      <c r="EY175" s="28" t="str">
        <f t="shared" si="123"/>
        <v>00:00</v>
      </c>
      <c r="EZ175" s="29"/>
      <c r="FA175" s="27"/>
      <c r="FB175" s="27"/>
      <c r="FC175" s="28" t="str">
        <f>IFERROR(VLOOKUP(FA175,Horarios!$H:$I,2,0),"")</f>
        <v/>
      </c>
      <c r="FD175" s="28" t="str">
        <f>IFERROR(VLOOKUP(FB175,Horarios!$H:$I,2,0),"")</f>
        <v/>
      </c>
      <c r="FE175" s="28" t="str">
        <f t="shared" si="124"/>
        <v>00:00</v>
      </c>
      <c r="FF175" s="29"/>
      <c r="FG175" s="27"/>
      <c r="FH175" s="27"/>
      <c r="FI175" s="28" t="str">
        <f>IFERROR(VLOOKUP(FG175,Horarios!$H:$I,2,0),"")</f>
        <v/>
      </c>
      <c r="FJ175" s="28" t="str">
        <f>IFERROR(VLOOKUP(FH175,Horarios!$H:$I,2,0),"")</f>
        <v/>
      </c>
      <c r="FK175" s="28" t="str">
        <f t="shared" si="125"/>
        <v>00:00</v>
      </c>
      <c r="FL175" s="29"/>
      <c r="FM175" s="27"/>
      <c r="FN175" s="27"/>
      <c r="FO175" s="28" t="str">
        <f>IFERROR(VLOOKUP(FM175,Horarios!$H:$I,2,0),"")</f>
        <v/>
      </c>
      <c r="FP175" s="28" t="str">
        <f>IFERROR(VLOOKUP(FN175,Horarios!$H:$I,2,0),"")</f>
        <v/>
      </c>
      <c r="FQ175" s="28" t="str">
        <f t="shared" si="126"/>
        <v>00:00</v>
      </c>
      <c r="FR175" s="29"/>
      <c r="FS175" s="31" t="str">
        <f t="shared" si="127"/>
        <v/>
      </c>
      <c r="FT175" s="27"/>
      <c r="FU175" s="27"/>
      <c r="FV175" s="28" t="str">
        <f>IFERROR(VLOOKUP(FT175,Horarios!$H:$I,2,0),"")</f>
        <v/>
      </c>
      <c r="FW175" s="28" t="str">
        <f>IFERROR(VLOOKUP(FU175,Horarios!$H:$I,2,0),"")</f>
        <v/>
      </c>
      <c r="FX175" s="28" t="str">
        <f t="shared" si="128"/>
        <v>00:00</v>
      </c>
      <c r="FY175" s="29"/>
      <c r="FZ175" s="27"/>
      <c r="GA175" s="27"/>
      <c r="GB175" s="28" t="str">
        <f>IFERROR(VLOOKUP(FZ175,Horarios!$H:$I,2,0),"")</f>
        <v/>
      </c>
      <c r="GC175" s="28" t="str">
        <f>IFERROR(VLOOKUP(GA175,Horarios!$H:$I,2,0),"")</f>
        <v/>
      </c>
      <c r="GD175" s="28" t="str">
        <f t="shared" si="129"/>
        <v>00:00</v>
      </c>
      <c r="GE175" s="29"/>
      <c r="GF175" s="27"/>
      <c r="GG175" s="27"/>
      <c r="GH175" s="28" t="str">
        <f>IFERROR(VLOOKUP(GF175,Horarios!$H:$I,2,0),"")</f>
        <v/>
      </c>
      <c r="GI175" s="28" t="str">
        <f>IFERROR(VLOOKUP(GG175,Horarios!$H:$I,2,0),"")</f>
        <v/>
      </c>
      <c r="GJ175" s="28" t="str">
        <f t="shared" si="130"/>
        <v>00:00</v>
      </c>
      <c r="GK175" s="29"/>
      <c r="GL175" s="27"/>
      <c r="GM175" s="27"/>
      <c r="GN175" s="28" t="str">
        <f>IFERROR(VLOOKUP(GL175,Horarios!$H:$I,2,0),"")</f>
        <v/>
      </c>
      <c r="GO175" s="28" t="str">
        <f>IFERROR(VLOOKUP(GM175,Horarios!$H:$I,2,0),"")</f>
        <v/>
      </c>
      <c r="GP175" s="28" t="str">
        <f t="shared" si="131"/>
        <v>00:00</v>
      </c>
      <c r="GQ175" s="29"/>
      <c r="GR175" s="27"/>
      <c r="GS175" s="27"/>
      <c r="GT175" s="28" t="str">
        <f>IFERROR(VLOOKUP(GR175,Horarios!$H:$I,2,0),"")</f>
        <v/>
      </c>
      <c r="GU175" s="28" t="str">
        <f>IFERROR(VLOOKUP(GS175,Horarios!$H:$I,2,0),"")</f>
        <v/>
      </c>
      <c r="GV175" s="28" t="str">
        <f t="shared" si="132"/>
        <v>00:00</v>
      </c>
      <c r="GW175" s="29"/>
      <c r="GX175" s="27"/>
      <c r="GY175" s="27"/>
      <c r="GZ175" s="28" t="str">
        <f>IFERROR(VLOOKUP(GX175,Horarios!$H:$I,2,0),"")</f>
        <v/>
      </c>
      <c r="HA175" s="28" t="str">
        <f>IFERROR(VLOOKUP(GY175,Horarios!$H:$I,2,0),"")</f>
        <v/>
      </c>
      <c r="HB175" s="28" t="str">
        <f t="shared" si="133"/>
        <v>00:00</v>
      </c>
      <c r="HC175" s="29"/>
      <c r="HD175" s="27"/>
      <c r="HE175" s="27"/>
      <c r="HF175" s="28" t="str">
        <f>IFERROR(VLOOKUP(HD175,Horarios!$H:$I,2,0),"")</f>
        <v/>
      </c>
      <c r="HG175" s="28" t="str">
        <f>IFERROR(VLOOKUP(HE175,Horarios!$H:$I,2,0),"")</f>
        <v/>
      </c>
      <c r="HH175" s="28" t="str">
        <f t="shared" si="134"/>
        <v>00:00</v>
      </c>
      <c r="HI175" s="29"/>
      <c r="HJ175" s="31" t="str">
        <f t="shared" si="135"/>
        <v/>
      </c>
      <c r="HK175" s="27"/>
      <c r="HL175" s="27"/>
      <c r="HM175" s="28" t="str">
        <f>IFERROR(VLOOKUP(HK175,Horarios!$H:$I,2,0),"")</f>
        <v/>
      </c>
      <c r="HN175" s="28" t="str">
        <f>IFERROR(VLOOKUP(HL175,Horarios!$H:$I,2,0),"")</f>
        <v/>
      </c>
      <c r="HO175" s="28" t="str">
        <f t="shared" si="136"/>
        <v>00:00</v>
      </c>
      <c r="HP175" s="29"/>
      <c r="HQ175" s="27"/>
      <c r="HR175" s="27"/>
      <c r="HS175" s="28" t="str">
        <f>IFERROR(VLOOKUP(HQ175,Horarios!$H:$I,2,0),"")</f>
        <v/>
      </c>
      <c r="HT175" s="28" t="str">
        <f>IFERROR(VLOOKUP(HR175,Horarios!$H:$I,2,0),"")</f>
        <v/>
      </c>
      <c r="HU175" s="28" t="str">
        <f t="shared" si="137"/>
        <v>00:00</v>
      </c>
      <c r="HV175" s="29"/>
      <c r="HW175" s="27"/>
      <c r="HX175" s="27"/>
      <c r="HY175" s="28" t="str">
        <f>IFERROR(VLOOKUP(HW175,Horarios!$H:$I,2,0),"")</f>
        <v/>
      </c>
      <c r="HZ175" s="28" t="str">
        <f>IFERROR(VLOOKUP(HX175,Horarios!$H:$I,2,0),"")</f>
        <v/>
      </c>
      <c r="IA175" s="28" t="str">
        <f t="shared" si="138"/>
        <v>00:00</v>
      </c>
      <c r="IB175" s="29"/>
      <c r="IC175" s="27"/>
      <c r="ID175" s="27"/>
      <c r="IE175" s="28" t="str">
        <f>IFERROR(VLOOKUP(IC175,Horarios!$H:$I,2,0),"")</f>
        <v/>
      </c>
      <c r="IF175" s="28" t="str">
        <f>IFERROR(VLOOKUP(ID175,Horarios!$H:$I,2,0),"")</f>
        <v/>
      </c>
      <c r="IG175" s="28" t="str">
        <f t="shared" si="139"/>
        <v>00:00</v>
      </c>
      <c r="IH175" s="29"/>
      <c r="II175" s="27"/>
      <c r="IJ175" s="27"/>
      <c r="IK175" s="28" t="str">
        <f>IFERROR(VLOOKUP(II175,Horarios!$H:$I,2,0),"")</f>
        <v/>
      </c>
      <c r="IL175" s="28" t="str">
        <f>IFERROR(VLOOKUP(IJ175,Horarios!$H:$I,2,0),"")</f>
        <v/>
      </c>
      <c r="IM175" s="28" t="str">
        <f t="shared" si="140"/>
        <v>00:00</v>
      </c>
      <c r="IN175" s="29"/>
      <c r="IO175" s="27"/>
      <c r="IP175" s="27"/>
      <c r="IQ175" s="28" t="str">
        <f>IFERROR(VLOOKUP(IO175,Horarios!$H:$I,2,0),"")</f>
        <v/>
      </c>
      <c r="IR175" s="28" t="str">
        <f>IFERROR(VLOOKUP(IP175,Horarios!$H:$I,2,0),"")</f>
        <v/>
      </c>
      <c r="IS175" s="28" t="str">
        <f t="shared" si="141"/>
        <v>00:00</v>
      </c>
      <c r="IT175" s="29"/>
      <c r="IU175" s="27"/>
      <c r="IV175" s="27"/>
      <c r="IW175" s="28" t="str">
        <f>IFERROR(VLOOKUP(IU175,Horarios!$H:$I,2,0),"")</f>
        <v/>
      </c>
      <c r="IX175" s="28" t="str">
        <f>IFERROR(VLOOKUP(IV175,Horarios!$H:$I,2,0),"")</f>
        <v/>
      </c>
      <c r="IY175" s="28" t="str">
        <f t="shared" si="142"/>
        <v>00:00</v>
      </c>
      <c r="IZ175" s="29"/>
      <c r="JA175" s="31" t="str">
        <f t="shared" si="143"/>
        <v/>
      </c>
    </row>
    <row r="176" spans="1:261" s="24" customFormat="1" ht="17.399999999999999" x14ac:dyDescent="0.25">
      <c r="A176" s="25"/>
      <c r="B176" s="26" t="str">
        <f>IFERROR(VLOOKUP(A176,BaseNombres!A:B,2,0),"")</f>
        <v/>
      </c>
      <c r="C176" s="26" t="str">
        <f>IFERROR(VLOOKUP(A176,BaseNombres!A:C,3,0),"")</f>
        <v/>
      </c>
      <c r="D176" s="27"/>
      <c r="E176" s="27"/>
      <c r="F176" s="28" t="str">
        <f>IFERROR(VLOOKUP(D176,Horarios!$H:$I,2,0),"")</f>
        <v/>
      </c>
      <c r="G176" s="28" t="str">
        <f>IFERROR(VLOOKUP(E176,Horarios!$H:$I,2,0),"")</f>
        <v/>
      </c>
      <c r="H176" s="28" t="str">
        <f t="shared" si="96"/>
        <v>00:00</v>
      </c>
      <c r="I176" s="29"/>
      <c r="J176" s="27"/>
      <c r="K176" s="27"/>
      <c r="L176" s="28" t="str">
        <f>IFERROR(VLOOKUP(J176,Horarios!$H:$I,2,0),"")</f>
        <v/>
      </c>
      <c r="M176" s="28" t="str">
        <f>IFERROR(VLOOKUP(K176,Horarios!$H:$I,2,0),"")</f>
        <v/>
      </c>
      <c r="N176" s="28" t="str">
        <f t="shared" si="97"/>
        <v>00:00</v>
      </c>
      <c r="O176" s="29"/>
      <c r="P176" s="27"/>
      <c r="Q176" s="27"/>
      <c r="R176" s="28" t="str">
        <f>IFERROR(VLOOKUP(P176,Horarios!$H:$I,2,0),"")</f>
        <v/>
      </c>
      <c r="S176" s="28" t="str">
        <f>IFERROR(VLOOKUP(Q176,Horarios!$H:$I,2,0),"")</f>
        <v/>
      </c>
      <c r="T176" s="28" t="str">
        <f t="shared" si="98"/>
        <v>00:00</v>
      </c>
      <c r="U176" s="29"/>
      <c r="V176" s="27"/>
      <c r="W176" s="27"/>
      <c r="X176" s="28" t="str">
        <f>IFERROR(VLOOKUP(V176,Horarios!$H:$I,2,0),"")</f>
        <v/>
      </c>
      <c r="Y176" s="28" t="str">
        <f>IFERROR(VLOOKUP(W176,Horarios!$H:$I,2,0),"")</f>
        <v/>
      </c>
      <c r="Z176" s="28" t="str">
        <f t="shared" si="99"/>
        <v>00:00</v>
      </c>
      <c r="AA176" s="29"/>
      <c r="AB176" s="27"/>
      <c r="AC176" s="27"/>
      <c r="AD176" s="28" t="str">
        <f>IFERROR(VLOOKUP(AB176,Horarios!$H:$I,2,0),"")</f>
        <v/>
      </c>
      <c r="AE176" s="28" t="str">
        <f>IFERROR(VLOOKUP(AC176,Horarios!$H:$I,2,0),"")</f>
        <v/>
      </c>
      <c r="AF176" s="28" t="str">
        <f t="shared" si="100"/>
        <v>00:00</v>
      </c>
      <c r="AG176" s="29"/>
      <c r="AH176" s="27"/>
      <c r="AI176" s="27"/>
      <c r="AJ176" s="28" t="str">
        <f>IFERROR(VLOOKUP(AH176,Horarios!$H:$I,2,0),"")</f>
        <v/>
      </c>
      <c r="AK176" s="28" t="str">
        <f>IFERROR(VLOOKUP(AI176,Horarios!$H:$I,2,0),"")</f>
        <v/>
      </c>
      <c r="AL176" s="28" t="str">
        <f t="shared" si="101"/>
        <v>00:00</v>
      </c>
      <c r="AM176" s="29"/>
      <c r="AN176" s="27"/>
      <c r="AO176" s="27"/>
      <c r="AP176" s="28" t="str">
        <f>IFERROR(VLOOKUP(AN176,Horarios!$H:$I,2,0),"")</f>
        <v/>
      </c>
      <c r="AQ176" s="28" t="str">
        <f>IFERROR(VLOOKUP(AO176,Horarios!$H:$I,2,0),"")</f>
        <v/>
      </c>
      <c r="AR176" s="28" t="str">
        <f t="shared" si="102"/>
        <v>00:00</v>
      </c>
      <c r="AS176" s="29"/>
      <c r="AT176" s="31" t="str">
        <f t="shared" si="103"/>
        <v/>
      </c>
      <c r="AU176" s="27"/>
      <c r="AV176" s="27"/>
      <c r="AW176" s="28" t="str">
        <f>IFERROR(VLOOKUP(AU176,Horarios!$H:$I,2,0),"")</f>
        <v/>
      </c>
      <c r="AX176" s="28" t="str">
        <f>IFERROR(VLOOKUP(AV176,Horarios!$H:$I,2,0),"")</f>
        <v/>
      </c>
      <c r="AY176" s="28" t="str">
        <f t="shared" si="104"/>
        <v>00:00</v>
      </c>
      <c r="AZ176" s="29"/>
      <c r="BA176" s="27"/>
      <c r="BB176" s="27"/>
      <c r="BC176" s="28" t="str">
        <f>IFERROR(VLOOKUP(BA176,Horarios!$H:$I,2,0),"")</f>
        <v/>
      </c>
      <c r="BD176" s="28" t="str">
        <f>IFERROR(VLOOKUP(BB176,Horarios!$H:$I,2,0),"")</f>
        <v/>
      </c>
      <c r="BE176" s="28" t="str">
        <f t="shared" si="105"/>
        <v>00:00</v>
      </c>
      <c r="BF176" s="29"/>
      <c r="BG176" s="27"/>
      <c r="BH176" s="27"/>
      <c r="BI176" s="28" t="str">
        <f>IFERROR(VLOOKUP(BG176,Horarios!$H:$I,2,0),"")</f>
        <v/>
      </c>
      <c r="BJ176" s="28" t="str">
        <f>IFERROR(VLOOKUP(BH176,Horarios!$H:$I,2,0),"")</f>
        <v/>
      </c>
      <c r="BK176" s="28" t="str">
        <f t="shared" si="106"/>
        <v>00:00</v>
      </c>
      <c r="BL176" s="29"/>
      <c r="BM176" s="27"/>
      <c r="BN176" s="27"/>
      <c r="BO176" s="28" t="str">
        <f>IFERROR(VLOOKUP(BM176,Horarios!$H:$I,2,0),"")</f>
        <v/>
      </c>
      <c r="BP176" s="28" t="str">
        <f>IFERROR(VLOOKUP(BN176,Horarios!$H:$I,2,0),"")</f>
        <v/>
      </c>
      <c r="BQ176" s="28" t="str">
        <f t="shared" si="107"/>
        <v>00:00</v>
      </c>
      <c r="BR176" s="29"/>
      <c r="BS176" s="27"/>
      <c r="BT176" s="27"/>
      <c r="BU176" s="28" t="str">
        <f>IFERROR(VLOOKUP(BS176,Horarios!$H:$I,2,0),"")</f>
        <v/>
      </c>
      <c r="BV176" s="28" t="str">
        <f>IFERROR(VLOOKUP(BT176,Horarios!$H:$I,2,0),"")</f>
        <v/>
      </c>
      <c r="BW176" s="28" t="str">
        <f t="shared" si="108"/>
        <v>00:00</v>
      </c>
      <c r="BX176" s="29"/>
      <c r="BY176" s="27"/>
      <c r="BZ176" s="27"/>
      <c r="CA176" s="28" t="str">
        <f>IFERROR(VLOOKUP(BY176,Horarios!$H:$I,2,0),"")</f>
        <v/>
      </c>
      <c r="CB176" s="28" t="str">
        <f>IFERROR(VLOOKUP(BZ176,Horarios!$H:$I,2,0),"")</f>
        <v/>
      </c>
      <c r="CC176" s="28" t="str">
        <f t="shared" si="109"/>
        <v>00:00</v>
      </c>
      <c r="CD176" s="29"/>
      <c r="CE176" s="27"/>
      <c r="CF176" s="27"/>
      <c r="CG176" s="28" t="str">
        <f>IFERROR(VLOOKUP(CE176,Horarios!$H:$I,2,0),"")</f>
        <v/>
      </c>
      <c r="CH176" s="28" t="str">
        <f>IFERROR(VLOOKUP(CF176,Horarios!$H:$I,2,0),"")</f>
        <v/>
      </c>
      <c r="CI176" s="28" t="str">
        <f t="shared" si="110"/>
        <v>00:00</v>
      </c>
      <c r="CJ176" s="29"/>
      <c r="CK176" s="31" t="str">
        <f t="shared" si="111"/>
        <v/>
      </c>
      <c r="CL176" s="27"/>
      <c r="CM176" s="27"/>
      <c r="CN176" s="28" t="str">
        <f>IFERROR(VLOOKUP(CL176,Horarios!$H:$I,2,0),"")</f>
        <v/>
      </c>
      <c r="CO176" s="28" t="str">
        <f>IFERROR(VLOOKUP(CM176,Horarios!$H:$I,2,0),"")</f>
        <v/>
      </c>
      <c r="CP176" s="28" t="str">
        <f t="shared" si="112"/>
        <v>00:00</v>
      </c>
      <c r="CQ176" s="29"/>
      <c r="CR176" s="27"/>
      <c r="CS176" s="27"/>
      <c r="CT176" s="28" t="str">
        <f>IFERROR(VLOOKUP(CR176,Horarios!$H:$I,2,0),"")</f>
        <v/>
      </c>
      <c r="CU176" s="28" t="str">
        <f>IFERROR(VLOOKUP(CS176,Horarios!$H:$I,2,0),"")</f>
        <v/>
      </c>
      <c r="CV176" s="28" t="str">
        <f t="shared" si="113"/>
        <v>00:00</v>
      </c>
      <c r="CW176" s="29"/>
      <c r="CX176" s="27"/>
      <c r="CY176" s="27"/>
      <c r="CZ176" s="28" t="str">
        <f>IFERROR(VLOOKUP(CX176,Horarios!$H:$I,2,0),"")</f>
        <v/>
      </c>
      <c r="DA176" s="28" t="str">
        <f>IFERROR(VLOOKUP(CY176,Horarios!$H:$I,2,0),"")</f>
        <v/>
      </c>
      <c r="DB176" s="28" t="str">
        <f t="shared" si="114"/>
        <v>00:00</v>
      </c>
      <c r="DC176" s="29"/>
      <c r="DD176" s="27"/>
      <c r="DE176" s="27"/>
      <c r="DF176" s="28" t="str">
        <f>IFERROR(VLOOKUP(DD176,Horarios!$H:$I,2,0),"")</f>
        <v/>
      </c>
      <c r="DG176" s="28" t="str">
        <f>IFERROR(VLOOKUP(DE176,Horarios!$H:$I,2,0),"")</f>
        <v/>
      </c>
      <c r="DH176" s="28" t="str">
        <f t="shared" si="115"/>
        <v>00:00</v>
      </c>
      <c r="DI176" s="29"/>
      <c r="DJ176" s="27"/>
      <c r="DK176" s="27"/>
      <c r="DL176" s="28" t="str">
        <f>IFERROR(VLOOKUP(DJ176,Horarios!$H:$I,2,0),"")</f>
        <v/>
      </c>
      <c r="DM176" s="28" t="str">
        <f>IFERROR(VLOOKUP(DK176,Horarios!$H:$I,2,0),"")</f>
        <v/>
      </c>
      <c r="DN176" s="28" t="str">
        <f t="shared" si="116"/>
        <v>00:00</v>
      </c>
      <c r="DO176" s="29"/>
      <c r="DP176" s="27"/>
      <c r="DQ176" s="27"/>
      <c r="DR176" s="28" t="str">
        <f>IFERROR(VLOOKUP(DP176,Horarios!$H:$I,2,0),"")</f>
        <v/>
      </c>
      <c r="DS176" s="28" t="str">
        <f>IFERROR(VLOOKUP(DQ176,Horarios!$H:$I,2,0),"")</f>
        <v/>
      </c>
      <c r="DT176" s="28" t="str">
        <f t="shared" si="117"/>
        <v>00:00</v>
      </c>
      <c r="DU176" s="29"/>
      <c r="DV176" s="27"/>
      <c r="DW176" s="27"/>
      <c r="DX176" s="28" t="str">
        <f>IFERROR(VLOOKUP(DV176,Horarios!$H:$I,2,0),"")</f>
        <v/>
      </c>
      <c r="DY176" s="28" t="str">
        <f>IFERROR(VLOOKUP(DW176,Horarios!$H:$I,2,0),"")</f>
        <v/>
      </c>
      <c r="DZ176" s="28" t="str">
        <f t="shared" si="118"/>
        <v>00:00</v>
      </c>
      <c r="EA176" s="29"/>
      <c r="EB176" s="31" t="str">
        <f t="shared" si="119"/>
        <v/>
      </c>
      <c r="EC176" s="27"/>
      <c r="ED176" s="27"/>
      <c r="EE176" s="28" t="str">
        <f>IFERROR(VLOOKUP(EC176,Horarios!$H:$I,2,0),"")</f>
        <v/>
      </c>
      <c r="EF176" s="28" t="str">
        <f>IFERROR(VLOOKUP(ED176,Horarios!$H:$I,2,0),"")</f>
        <v/>
      </c>
      <c r="EG176" s="28" t="str">
        <f t="shared" si="120"/>
        <v>00:00</v>
      </c>
      <c r="EH176" s="29"/>
      <c r="EI176" s="27"/>
      <c r="EJ176" s="27"/>
      <c r="EK176" s="28" t="str">
        <f>IFERROR(VLOOKUP(EI176,Horarios!$H:$I,2,0),"")</f>
        <v/>
      </c>
      <c r="EL176" s="28" t="str">
        <f>IFERROR(VLOOKUP(EJ176,Horarios!$H:$I,2,0),"")</f>
        <v/>
      </c>
      <c r="EM176" s="28" t="str">
        <f t="shared" si="121"/>
        <v>00:00</v>
      </c>
      <c r="EN176" s="29"/>
      <c r="EO176" s="27"/>
      <c r="EP176" s="27"/>
      <c r="EQ176" s="28" t="str">
        <f>IFERROR(VLOOKUP(EO176,Horarios!$H:$I,2,0),"")</f>
        <v/>
      </c>
      <c r="ER176" s="28" t="str">
        <f>IFERROR(VLOOKUP(EP176,Horarios!$H:$I,2,0),"")</f>
        <v/>
      </c>
      <c r="ES176" s="28" t="str">
        <f t="shared" si="122"/>
        <v>00:00</v>
      </c>
      <c r="ET176" s="29"/>
      <c r="EU176" s="27"/>
      <c r="EV176" s="27"/>
      <c r="EW176" s="28" t="str">
        <f>IFERROR(VLOOKUP(EU176,Horarios!$H:$I,2,0),"")</f>
        <v/>
      </c>
      <c r="EX176" s="28" t="str">
        <f>IFERROR(VLOOKUP(EV176,Horarios!$H:$I,2,0),"")</f>
        <v/>
      </c>
      <c r="EY176" s="28" t="str">
        <f t="shared" si="123"/>
        <v>00:00</v>
      </c>
      <c r="EZ176" s="29"/>
      <c r="FA176" s="27"/>
      <c r="FB176" s="27"/>
      <c r="FC176" s="28" t="str">
        <f>IFERROR(VLOOKUP(FA176,Horarios!$H:$I,2,0),"")</f>
        <v/>
      </c>
      <c r="FD176" s="28" t="str">
        <f>IFERROR(VLOOKUP(FB176,Horarios!$H:$I,2,0),"")</f>
        <v/>
      </c>
      <c r="FE176" s="28" t="str">
        <f t="shared" si="124"/>
        <v>00:00</v>
      </c>
      <c r="FF176" s="29"/>
      <c r="FG176" s="27"/>
      <c r="FH176" s="27"/>
      <c r="FI176" s="28" t="str">
        <f>IFERROR(VLOOKUP(FG176,Horarios!$H:$I,2,0),"")</f>
        <v/>
      </c>
      <c r="FJ176" s="28" t="str">
        <f>IFERROR(VLOOKUP(FH176,Horarios!$H:$I,2,0),"")</f>
        <v/>
      </c>
      <c r="FK176" s="28" t="str">
        <f t="shared" si="125"/>
        <v>00:00</v>
      </c>
      <c r="FL176" s="29"/>
      <c r="FM176" s="27"/>
      <c r="FN176" s="27"/>
      <c r="FO176" s="28" t="str">
        <f>IFERROR(VLOOKUP(FM176,Horarios!$H:$I,2,0),"")</f>
        <v/>
      </c>
      <c r="FP176" s="28" t="str">
        <f>IFERROR(VLOOKUP(FN176,Horarios!$H:$I,2,0),"")</f>
        <v/>
      </c>
      <c r="FQ176" s="28" t="str">
        <f t="shared" si="126"/>
        <v>00:00</v>
      </c>
      <c r="FR176" s="29"/>
      <c r="FS176" s="31" t="str">
        <f t="shared" si="127"/>
        <v/>
      </c>
      <c r="FT176" s="27"/>
      <c r="FU176" s="27"/>
      <c r="FV176" s="28" t="str">
        <f>IFERROR(VLOOKUP(FT176,Horarios!$H:$I,2,0),"")</f>
        <v/>
      </c>
      <c r="FW176" s="28" t="str">
        <f>IFERROR(VLOOKUP(FU176,Horarios!$H:$I,2,0),"")</f>
        <v/>
      </c>
      <c r="FX176" s="28" t="str">
        <f t="shared" si="128"/>
        <v>00:00</v>
      </c>
      <c r="FY176" s="29"/>
      <c r="FZ176" s="27"/>
      <c r="GA176" s="27"/>
      <c r="GB176" s="28" t="str">
        <f>IFERROR(VLOOKUP(FZ176,Horarios!$H:$I,2,0),"")</f>
        <v/>
      </c>
      <c r="GC176" s="28" t="str">
        <f>IFERROR(VLOOKUP(GA176,Horarios!$H:$I,2,0),"")</f>
        <v/>
      </c>
      <c r="GD176" s="28" t="str">
        <f t="shared" si="129"/>
        <v>00:00</v>
      </c>
      <c r="GE176" s="29"/>
      <c r="GF176" s="27"/>
      <c r="GG176" s="27"/>
      <c r="GH176" s="28" t="str">
        <f>IFERROR(VLOOKUP(GF176,Horarios!$H:$I,2,0),"")</f>
        <v/>
      </c>
      <c r="GI176" s="28" t="str">
        <f>IFERROR(VLOOKUP(GG176,Horarios!$H:$I,2,0),"")</f>
        <v/>
      </c>
      <c r="GJ176" s="28" t="str">
        <f t="shared" si="130"/>
        <v>00:00</v>
      </c>
      <c r="GK176" s="29"/>
      <c r="GL176" s="27"/>
      <c r="GM176" s="27"/>
      <c r="GN176" s="28" t="str">
        <f>IFERROR(VLOOKUP(GL176,Horarios!$H:$I,2,0),"")</f>
        <v/>
      </c>
      <c r="GO176" s="28" t="str">
        <f>IFERROR(VLOOKUP(GM176,Horarios!$H:$I,2,0),"")</f>
        <v/>
      </c>
      <c r="GP176" s="28" t="str">
        <f t="shared" si="131"/>
        <v>00:00</v>
      </c>
      <c r="GQ176" s="29"/>
      <c r="GR176" s="27"/>
      <c r="GS176" s="27"/>
      <c r="GT176" s="28" t="str">
        <f>IFERROR(VLOOKUP(GR176,Horarios!$H:$I,2,0),"")</f>
        <v/>
      </c>
      <c r="GU176" s="28" t="str">
        <f>IFERROR(VLOOKUP(GS176,Horarios!$H:$I,2,0),"")</f>
        <v/>
      </c>
      <c r="GV176" s="28" t="str">
        <f t="shared" si="132"/>
        <v>00:00</v>
      </c>
      <c r="GW176" s="29"/>
      <c r="GX176" s="27"/>
      <c r="GY176" s="27"/>
      <c r="GZ176" s="28" t="str">
        <f>IFERROR(VLOOKUP(GX176,Horarios!$H:$I,2,0),"")</f>
        <v/>
      </c>
      <c r="HA176" s="28" t="str">
        <f>IFERROR(VLOOKUP(GY176,Horarios!$H:$I,2,0),"")</f>
        <v/>
      </c>
      <c r="HB176" s="28" t="str">
        <f t="shared" si="133"/>
        <v>00:00</v>
      </c>
      <c r="HC176" s="29"/>
      <c r="HD176" s="27"/>
      <c r="HE176" s="27"/>
      <c r="HF176" s="28" t="str">
        <f>IFERROR(VLOOKUP(HD176,Horarios!$H:$I,2,0),"")</f>
        <v/>
      </c>
      <c r="HG176" s="28" t="str">
        <f>IFERROR(VLOOKUP(HE176,Horarios!$H:$I,2,0),"")</f>
        <v/>
      </c>
      <c r="HH176" s="28" t="str">
        <f t="shared" si="134"/>
        <v>00:00</v>
      </c>
      <c r="HI176" s="29"/>
      <c r="HJ176" s="31" t="str">
        <f t="shared" si="135"/>
        <v/>
      </c>
      <c r="HK176" s="27"/>
      <c r="HL176" s="27"/>
      <c r="HM176" s="28" t="str">
        <f>IFERROR(VLOOKUP(HK176,Horarios!$H:$I,2,0),"")</f>
        <v/>
      </c>
      <c r="HN176" s="28" t="str">
        <f>IFERROR(VLOOKUP(HL176,Horarios!$H:$I,2,0),"")</f>
        <v/>
      </c>
      <c r="HO176" s="28" t="str">
        <f t="shared" si="136"/>
        <v>00:00</v>
      </c>
      <c r="HP176" s="29"/>
      <c r="HQ176" s="27"/>
      <c r="HR176" s="27"/>
      <c r="HS176" s="28" t="str">
        <f>IFERROR(VLOOKUP(HQ176,Horarios!$H:$I,2,0),"")</f>
        <v/>
      </c>
      <c r="HT176" s="28" t="str">
        <f>IFERROR(VLOOKUP(HR176,Horarios!$H:$I,2,0),"")</f>
        <v/>
      </c>
      <c r="HU176" s="28" t="str">
        <f t="shared" si="137"/>
        <v>00:00</v>
      </c>
      <c r="HV176" s="29"/>
      <c r="HW176" s="27"/>
      <c r="HX176" s="27"/>
      <c r="HY176" s="28" t="str">
        <f>IFERROR(VLOOKUP(HW176,Horarios!$H:$I,2,0),"")</f>
        <v/>
      </c>
      <c r="HZ176" s="28" t="str">
        <f>IFERROR(VLOOKUP(HX176,Horarios!$H:$I,2,0),"")</f>
        <v/>
      </c>
      <c r="IA176" s="28" t="str">
        <f t="shared" si="138"/>
        <v>00:00</v>
      </c>
      <c r="IB176" s="29"/>
      <c r="IC176" s="27"/>
      <c r="ID176" s="27"/>
      <c r="IE176" s="28" t="str">
        <f>IFERROR(VLOOKUP(IC176,Horarios!$H:$I,2,0),"")</f>
        <v/>
      </c>
      <c r="IF176" s="28" t="str">
        <f>IFERROR(VLOOKUP(ID176,Horarios!$H:$I,2,0),"")</f>
        <v/>
      </c>
      <c r="IG176" s="28" t="str">
        <f t="shared" si="139"/>
        <v>00:00</v>
      </c>
      <c r="IH176" s="29"/>
      <c r="II176" s="27"/>
      <c r="IJ176" s="27"/>
      <c r="IK176" s="28" t="str">
        <f>IFERROR(VLOOKUP(II176,Horarios!$H:$I,2,0),"")</f>
        <v/>
      </c>
      <c r="IL176" s="28" t="str">
        <f>IFERROR(VLOOKUP(IJ176,Horarios!$H:$I,2,0),"")</f>
        <v/>
      </c>
      <c r="IM176" s="28" t="str">
        <f t="shared" si="140"/>
        <v>00:00</v>
      </c>
      <c r="IN176" s="29"/>
      <c r="IO176" s="27"/>
      <c r="IP176" s="27"/>
      <c r="IQ176" s="28" t="str">
        <f>IFERROR(VLOOKUP(IO176,Horarios!$H:$I,2,0),"")</f>
        <v/>
      </c>
      <c r="IR176" s="28" t="str">
        <f>IFERROR(VLOOKUP(IP176,Horarios!$H:$I,2,0),"")</f>
        <v/>
      </c>
      <c r="IS176" s="28" t="str">
        <f t="shared" si="141"/>
        <v>00:00</v>
      </c>
      <c r="IT176" s="29"/>
      <c r="IU176" s="27"/>
      <c r="IV176" s="27"/>
      <c r="IW176" s="28" t="str">
        <f>IFERROR(VLOOKUP(IU176,Horarios!$H:$I,2,0),"")</f>
        <v/>
      </c>
      <c r="IX176" s="28" t="str">
        <f>IFERROR(VLOOKUP(IV176,Horarios!$H:$I,2,0),"")</f>
        <v/>
      </c>
      <c r="IY176" s="28" t="str">
        <f t="shared" si="142"/>
        <v>00:00</v>
      </c>
      <c r="IZ176" s="29"/>
      <c r="JA176" s="31" t="str">
        <f t="shared" si="143"/>
        <v/>
      </c>
    </row>
    <row r="177" spans="1:261" s="24" customFormat="1" ht="17.399999999999999" x14ac:dyDescent="0.25">
      <c r="A177" s="25"/>
      <c r="B177" s="26" t="str">
        <f>IFERROR(VLOOKUP(A177,BaseNombres!A:B,2,0),"")</f>
        <v/>
      </c>
      <c r="C177" s="26" t="str">
        <f>IFERROR(VLOOKUP(A177,BaseNombres!A:C,3,0),"")</f>
        <v/>
      </c>
      <c r="D177" s="27"/>
      <c r="E177" s="27"/>
      <c r="F177" s="28" t="str">
        <f>IFERROR(VLOOKUP(D177,Horarios!$H:$I,2,0),"")</f>
        <v/>
      </c>
      <c r="G177" s="28" t="str">
        <f>IFERROR(VLOOKUP(E177,Horarios!$H:$I,2,0),"")</f>
        <v/>
      </c>
      <c r="H177" s="28" t="str">
        <f t="shared" si="96"/>
        <v>00:00</v>
      </c>
      <c r="I177" s="29"/>
      <c r="J177" s="27"/>
      <c r="K177" s="27"/>
      <c r="L177" s="28" t="str">
        <f>IFERROR(VLOOKUP(J177,Horarios!$H:$I,2,0),"")</f>
        <v/>
      </c>
      <c r="M177" s="28" t="str">
        <f>IFERROR(VLOOKUP(K177,Horarios!$H:$I,2,0),"")</f>
        <v/>
      </c>
      <c r="N177" s="28" t="str">
        <f t="shared" si="97"/>
        <v>00:00</v>
      </c>
      <c r="O177" s="29"/>
      <c r="P177" s="27"/>
      <c r="Q177" s="27"/>
      <c r="R177" s="28" t="str">
        <f>IFERROR(VLOOKUP(P177,Horarios!$H:$I,2,0),"")</f>
        <v/>
      </c>
      <c r="S177" s="28" t="str">
        <f>IFERROR(VLOOKUP(Q177,Horarios!$H:$I,2,0),"")</f>
        <v/>
      </c>
      <c r="T177" s="28" t="str">
        <f t="shared" si="98"/>
        <v>00:00</v>
      </c>
      <c r="U177" s="29"/>
      <c r="V177" s="27"/>
      <c r="W177" s="27"/>
      <c r="X177" s="28" t="str">
        <f>IFERROR(VLOOKUP(V177,Horarios!$H:$I,2,0),"")</f>
        <v/>
      </c>
      <c r="Y177" s="28" t="str">
        <f>IFERROR(VLOOKUP(W177,Horarios!$H:$I,2,0),"")</f>
        <v/>
      </c>
      <c r="Z177" s="28" t="str">
        <f t="shared" si="99"/>
        <v>00:00</v>
      </c>
      <c r="AA177" s="29"/>
      <c r="AB177" s="27"/>
      <c r="AC177" s="27"/>
      <c r="AD177" s="28" t="str">
        <f>IFERROR(VLOOKUP(AB177,Horarios!$H:$I,2,0),"")</f>
        <v/>
      </c>
      <c r="AE177" s="28" t="str">
        <f>IFERROR(VLOOKUP(AC177,Horarios!$H:$I,2,0),"")</f>
        <v/>
      </c>
      <c r="AF177" s="28" t="str">
        <f t="shared" si="100"/>
        <v>00:00</v>
      </c>
      <c r="AG177" s="29"/>
      <c r="AH177" s="27"/>
      <c r="AI177" s="27"/>
      <c r="AJ177" s="28" t="str">
        <f>IFERROR(VLOOKUP(AH177,Horarios!$H:$I,2,0),"")</f>
        <v/>
      </c>
      <c r="AK177" s="28" t="str">
        <f>IFERROR(VLOOKUP(AI177,Horarios!$H:$I,2,0),"")</f>
        <v/>
      </c>
      <c r="AL177" s="28" t="str">
        <f t="shared" si="101"/>
        <v>00:00</v>
      </c>
      <c r="AM177" s="29"/>
      <c r="AN177" s="27"/>
      <c r="AO177" s="27"/>
      <c r="AP177" s="28" t="str">
        <f>IFERROR(VLOOKUP(AN177,Horarios!$H:$I,2,0),"")</f>
        <v/>
      </c>
      <c r="AQ177" s="28" t="str">
        <f>IFERROR(VLOOKUP(AO177,Horarios!$H:$I,2,0),"")</f>
        <v/>
      </c>
      <c r="AR177" s="28" t="str">
        <f t="shared" si="102"/>
        <v>00:00</v>
      </c>
      <c r="AS177" s="29"/>
      <c r="AT177" s="31" t="str">
        <f t="shared" si="103"/>
        <v/>
      </c>
      <c r="AU177" s="27"/>
      <c r="AV177" s="27"/>
      <c r="AW177" s="28" t="str">
        <f>IFERROR(VLOOKUP(AU177,Horarios!$H:$I,2,0),"")</f>
        <v/>
      </c>
      <c r="AX177" s="28" t="str">
        <f>IFERROR(VLOOKUP(AV177,Horarios!$H:$I,2,0),"")</f>
        <v/>
      </c>
      <c r="AY177" s="28" t="str">
        <f t="shared" si="104"/>
        <v>00:00</v>
      </c>
      <c r="AZ177" s="29"/>
      <c r="BA177" s="27"/>
      <c r="BB177" s="27"/>
      <c r="BC177" s="28" t="str">
        <f>IFERROR(VLOOKUP(BA177,Horarios!$H:$I,2,0),"")</f>
        <v/>
      </c>
      <c r="BD177" s="28" t="str">
        <f>IFERROR(VLOOKUP(BB177,Horarios!$H:$I,2,0),"")</f>
        <v/>
      </c>
      <c r="BE177" s="28" t="str">
        <f t="shared" si="105"/>
        <v>00:00</v>
      </c>
      <c r="BF177" s="29"/>
      <c r="BG177" s="27"/>
      <c r="BH177" s="27"/>
      <c r="BI177" s="28" t="str">
        <f>IFERROR(VLOOKUP(BG177,Horarios!$H:$I,2,0),"")</f>
        <v/>
      </c>
      <c r="BJ177" s="28" t="str">
        <f>IFERROR(VLOOKUP(BH177,Horarios!$H:$I,2,0),"")</f>
        <v/>
      </c>
      <c r="BK177" s="28" t="str">
        <f t="shared" si="106"/>
        <v>00:00</v>
      </c>
      <c r="BL177" s="29"/>
      <c r="BM177" s="27"/>
      <c r="BN177" s="27"/>
      <c r="BO177" s="28" t="str">
        <f>IFERROR(VLOOKUP(BM177,Horarios!$H:$I,2,0),"")</f>
        <v/>
      </c>
      <c r="BP177" s="28" t="str">
        <f>IFERROR(VLOOKUP(BN177,Horarios!$H:$I,2,0),"")</f>
        <v/>
      </c>
      <c r="BQ177" s="28" t="str">
        <f t="shared" si="107"/>
        <v>00:00</v>
      </c>
      <c r="BR177" s="29"/>
      <c r="BS177" s="27"/>
      <c r="BT177" s="27"/>
      <c r="BU177" s="28" t="str">
        <f>IFERROR(VLOOKUP(BS177,Horarios!$H:$I,2,0),"")</f>
        <v/>
      </c>
      <c r="BV177" s="28" t="str">
        <f>IFERROR(VLOOKUP(BT177,Horarios!$H:$I,2,0),"")</f>
        <v/>
      </c>
      <c r="BW177" s="28" t="str">
        <f t="shared" si="108"/>
        <v>00:00</v>
      </c>
      <c r="BX177" s="29"/>
      <c r="BY177" s="27"/>
      <c r="BZ177" s="27"/>
      <c r="CA177" s="28" t="str">
        <f>IFERROR(VLOOKUP(BY177,Horarios!$H:$I,2,0),"")</f>
        <v/>
      </c>
      <c r="CB177" s="28" t="str">
        <f>IFERROR(VLOOKUP(BZ177,Horarios!$H:$I,2,0),"")</f>
        <v/>
      </c>
      <c r="CC177" s="28" t="str">
        <f t="shared" si="109"/>
        <v>00:00</v>
      </c>
      <c r="CD177" s="29"/>
      <c r="CE177" s="27"/>
      <c r="CF177" s="27"/>
      <c r="CG177" s="28" t="str">
        <f>IFERROR(VLOOKUP(CE177,Horarios!$H:$I,2,0),"")</f>
        <v/>
      </c>
      <c r="CH177" s="28" t="str">
        <f>IFERROR(VLOOKUP(CF177,Horarios!$H:$I,2,0),"")</f>
        <v/>
      </c>
      <c r="CI177" s="28" t="str">
        <f t="shared" si="110"/>
        <v>00:00</v>
      </c>
      <c r="CJ177" s="29"/>
      <c r="CK177" s="31" t="str">
        <f t="shared" si="111"/>
        <v/>
      </c>
      <c r="CL177" s="27"/>
      <c r="CM177" s="27"/>
      <c r="CN177" s="28" t="str">
        <f>IFERROR(VLOOKUP(CL177,Horarios!$H:$I,2,0),"")</f>
        <v/>
      </c>
      <c r="CO177" s="28" t="str">
        <f>IFERROR(VLOOKUP(CM177,Horarios!$H:$I,2,0),"")</f>
        <v/>
      </c>
      <c r="CP177" s="28" t="str">
        <f t="shared" si="112"/>
        <v>00:00</v>
      </c>
      <c r="CQ177" s="29"/>
      <c r="CR177" s="27"/>
      <c r="CS177" s="27"/>
      <c r="CT177" s="28" t="str">
        <f>IFERROR(VLOOKUP(CR177,Horarios!$H:$I,2,0),"")</f>
        <v/>
      </c>
      <c r="CU177" s="28" t="str">
        <f>IFERROR(VLOOKUP(CS177,Horarios!$H:$I,2,0),"")</f>
        <v/>
      </c>
      <c r="CV177" s="28" t="str">
        <f t="shared" si="113"/>
        <v>00:00</v>
      </c>
      <c r="CW177" s="29"/>
      <c r="CX177" s="27"/>
      <c r="CY177" s="27"/>
      <c r="CZ177" s="28" t="str">
        <f>IFERROR(VLOOKUP(CX177,Horarios!$H:$I,2,0),"")</f>
        <v/>
      </c>
      <c r="DA177" s="28" t="str">
        <f>IFERROR(VLOOKUP(CY177,Horarios!$H:$I,2,0),"")</f>
        <v/>
      </c>
      <c r="DB177" s="28" t="str">
        <f t="shared" si="114"/>
        <v>00:00</v>
      </c>
      <c r="DC177" s="29"/>
      <c r="DD177" s="27"/>
      <c r="DE177" s="27"/>
      <c r="DF177" s="28" t="str">
        <f>IFERROR(VLOOKUP(DD177,Horarios!$H:$I,2,0),"")</f>
        <v/>
      </c>
      <c r="DG177" s="28" t="str">
        <f>IFERROR(VLOOKUP(DE177,Horarios!$H:$I,2,0),"")</f>
        <v/>
      </c>
      <c r="DH177" s="28" t="str">
        <f t="shared" si="115"/>
        <v>00:00</v>
      </c>
      <c r="DI177" s="29"/>
      <c r="DJ177" s="27"/>
      <c r="DK177" s="27"/>
      <c r="DL177" s="28" t="str">
        <f>IFERROR(VLOOKUP(DJ177,Horarios!$H:$I,2,0),"")</f>
        <v/>
      </c>
      <c r="DM177" s="28" t="str">
        <f>IFERROR(VLOOKUP(DK177,Horarios!$H:$I,2,0),"")</f>
        <v/>
      </c>
      <c r="DN177" s="28" t="str">
        <f t="shared" si="116"/>
        <v>00:00</v>
      </c>
      <c r="DO177" s="29"/>
      <c r="DP177" s="27"/>
      <c r="DQ177" s="27"/>
      <c r="DR177" s="28" t="str">
        <f>IFERROR(VLOOKUP(DP177,Horarios!$H:$I,2,0),"")</f>
        <v/>
      </c>
      <c r="DS177" s="28" t="str">
        <f>IFERROR(VLOOKUP(DQ177,Horarios!$H:$I,2,0),"")</f>
        <v/>
      </c>
      <c r="DT177" s="28" t="str">
        <f t="shared" si="117"/>
        <v>00:00</v>
      </c>
      <c r="DU177" s="29"/>
      <c r="DV177" s="27"/>
      <c r="DW177" s="27"/>
      <c r="DX177" s="28" t="str">
        <f>IFERROR(VLOOKUP(DV177,Horarios!$H:$I,2,0),"")</f>
        <v/>
      </c>
      <c r="DY177" s="28" t="str">
        <f>IFERROR(VLOOKUP(DW177,Horarios!$H:$I,2,0),"")</f>
        <v/>
      </c>
      <c r="DZ177" s="28" t="str">
        <f t="shared" si="118"/>
        <v>00:00</v>
      </c>
      <c r="EA177" s="29"/>
      <c r="EB177" s="31" t="str">
        <f t="shared" si="119"/>
        <v/>
      </c>
      <c r="EC177" s="27"/>
      <c r="ED177" s="27"/>
      <c r="EE177" s="28" t="str">
        <f>IFERROR(VLOOKUP(EC177,Horarios!$H:$I,2,0),"")</f>
        <v/>
      </c>
      <c r="EF177" s="28" t="str">
        <f>IFERROR(VLOOKUP(ED177,Horarios!$H:$I,2,0),"")</f>
        <v/>
      </c>
      <c r="EG177" s="28" t="str">
        <f t="shared" si="120"/>
        <v>00:00</v>
      </c>
      <c r="EH177" s="29"/>
      <c r="EI177" s="27"/>
      <c r="EJ177" s="27"/>
      <c r="EK177" s="28" t="str">
        <f>IFERROR(VLOOKUP(EI177,Horarios!$H:$I,2,0),"")</f>
        <v/>
      </c>
      <c r="EL177" s="28" t="str">
        <f>IFERROR(VLOOKUP(EJ177,Horarios!$H:$I,2,0),"")</f>
        <v/>
      </c>
      <c r="EM177" s="28" t="str">
        <f t="shared" si="121"/>
        <v>00:00</v>
      </c>
      <c r="EN177" s="29"/>
      <c r="EO177" s="27"/>
      <c r="EP177" s="27"/>
      <c r="EQ177" s="28" t="str">
        <f>IFERROR(VLOOKUP(EO177,Horarios!$H:$I,2,0),"")</f>
        <v/>
      </c>
      <c r="ER177" s="28" t="str">
        <f>IFERROR(VLOOKUP(EP177,Horarios!$H:$I,2,0),"")</f>
        <v/>
      </c>
      <c r="ES177" s="28" t="str">
        <f t="shared" si="122"/>
        <v>00:00</v>
      </c>
      <c r="ET177" s="29"/>
      <c r="EU177" s="27"/>
      <c r="EV177" s="27"/>
      <c r="EW177" s="28" t="str">
        <f>IFERROR(VLOOKUP(EU177,Horarios!$H:$I,2,0),"")</f>
        <v/>
      </c>
      <c r="EX177" s="28" t="str">
        <f>IFERROR(VLOOKUP(EV177,Horarios!$H:$I,2,0),"")</f>
        <v/>
      </c>
      <c r="EY177" s="28" t="str">
        <f t="shared" si="123"/>
        <v>00:00</v>
      </c>
      <c r="EZ177" s="29"/>
      <c r="FA177" s="27"/>
      <c r="FB177" s="27"/>
      <c r="FC177" s="28" t="str">
        <f>IFERROR(VLOOKUP(FA177,Horarios!$H:$I,2,0),"")</f>
        <v/>
      </c>
      <c r="FD177" s="28" t="str">
        <f>IFERROR(VLOOKUP(FB177,Horarios!$H:$I,2,0),"")</f>
        <v/>
      </c>
      <c r="FE177" s="28" t="str">
        <f t="shared" si="124"/>
        <v>00:00</v>
      </c>
      <c r="FF177" s="29"/>
      <c r="FG177" s="27"/>
      <c r="FH177" s="27"/>
      <c r="FI177" s="28" t="str">
        <f>IFERROR(VLOOKUP(FG177,Horarios!$H:$I,2,0),"")</f>
        <v/>
      </c>
      <c r="FJ177" s="28" t="str">
        <f>IFERROR(VLOOKUP(FH177,Horarios!$H:$I,2,0),"")</f>
        <v/>
      </c>
      <c r="FK177" s="28" t="str">
        <f t="shared" si="125"/>
        <v>00:00</v>
      </c>
      <c r="FL177" s="29"/>
      <c r="FM177" s="27"/>
      <c r="FN177" s="27"/>
      <c r="FO177" s="28" t="str">
        <f>IFERROR(VLOOKUP(FM177,Horarios!$H:$I,2,0),"")</f>
        <v/>
      </c>
      <c r="FP177" s="28" t="str">
        <f>IFERROR(VLOOKUP(FN177,Horarios!$H:$I,2,0),"")</f>
        <v/>
      </c>
      <c r="FQ177" s="28" t="str">
        <f t="shared" si="126"/>
        <v>00:00</v>
      </c>
      <c r="FR177" s="29"/>
      <c r="FS177" s="31" t="str">
        <f t="shared" si="127"/>
        <v/>
      </c>
      <c r="FT177" s="27"/>
      <c r="FU177" s="27"/>
      <c r="FV177" s="28" t="str">
        <f>IFERROR(VLOOKUP(FT177,Horarios!$H:$I,2,0),"")</f>
        <v/>
      </c>
      <c r="FW177" s="28" t="str">
        <f>IFERROR(VLOOKUP(FU177,Horarios!$H:$I,2,0),"")</f>
        <v/>
      </c>
      <c r="FX177" s="28" t="str">
        <f t="shared" si="128"/>
        <v>00:00</v>
      </c>
      <c r="FY177" s="29"/>
      <c r="FZ177" s="27"/>
      <c r="GA177" s="27"/>
      <c r="GB177" s="28" t="str">
        <f>IFERROR(VLOOKUP(FZ177,Horarios!$H:$I,2,0),"")</f>
        <v/>
      </c>
      <c r="GC177" s="28" t="str">
        <f>IFERROR(VLOOKUP(GA177,Horarios!$H:$I,2,0),"")</f>
        <v/>
      </c>
      <c r="GD177" s="28" t="str">
        <f t="shared" si="129"/>
        <v>00:00</v>
      </c>
      <c r="GE177" s="29"/>
      <c r="GF177" s="27"/>
      <c r="GG177" s="27"/>
      <c r="GH177" s="28" t="str">
        <f>IFERROR(VLOOKUP(GF177,Horarios!$H:$I,2,0),"")</f>
        <v/>
      </c>
      <c r="GI177" s="28" t="str">
        <f>IFERROR(VLOOKUP(GG177,Horarios!$H:$I,2,0),"")</f>
        <v/>
      </c>
      <c r="GJ177" s="28" t="str">
        <f t="shared" si="130"/>
        <v>00:00</v>
      </c>
      <c r="GK177" s="29"/>
      <c r="GL177" s="27"/>
      <c r="GM177" s="27"/>
      <c r="GN177" s="28" t="str">
        <f>IFERROR(VLOOKUP(GL177,Horarios!$H:$I,2,0),"")</f>
        <v/>
      </c>
      <c r="GO177" s="28" t="str">
        <f>IFERROR(VLOOKUP(GM177,Horarios!$H:$I,2,0),"")</f>
        <v/>
      </c>
      <c r="GP177" s="28" t="str">
        <f t="shared" si="131"/>
        <v>00:00</v>
      </c>
      <c r="GQ177" s="29"/>
      <c r="GR177" s="27"/>
      <c r="GS177" s="27"/>
      <c r="GT177" s="28" t="str">
        <f>IFERROR(VLOOKUP(GR177,Horarios!$H:$I,2,0),"")</f>
        <v/>
      </c>
      <c r="GU177" s="28" t="str">
        <f>IFERROR(VLOOKUP(GS177,Horarios!$H:$I,2,0),"")</f>
        <v/>
      </c>
      <c r="GV177" s="28" t="str">
        <f t="shared" si="132"/>
        <v>00:00</v>
      </c>
      <c r="GW177" s="29"/>
      <c r="GX177" s="27"/>
      <c r="GY177" s="27"/>
      <c r="GZ177" s="28" t="str">
        <f>IFERROR(VLOOKUP(GX177,Horarios!$H:$I,2,0),"")</f>
        <v/>
      </c>
      <c r="HA177" s="28" t="str">
        <f>IFERROR(VLOOKUP(GY177,Horarios!$H:$I,2,0),"")</f>
        <v/>
      </c>
      <c r="HB177" s="28" t="str">
        <f t="shared" si="133"/>
        <v>00:00</v>
      </c>
      <c r="HC177" s="29"/>
      <c r="HD177" s="27"/>
      <c r="HE177" s="27"/>
      <c r="HF177" s="28" t="str">
        <f>IFERROR(VLOOKUP(HD177,Horarios!$H:$I,2,0),"")</f>
        <v/>
      </c>
      <c r="HG177" s="28" t="str">
        <f>IFERROR(VLOOKUP(HE177,Horarios!$H:$I,2,0),"")</f>
        <v/>
      </c>
      <c r="HH177" s="28" t="str">
        <f t="shared" si="134"/>
        <v>00:00</v>
      </c>
      <c r="HI177" s="29"/>
      <c r="HJ177" s="31" t="str">
        <f t="shared" si="135"/>
        <v/>
      </c>
      <c r="HK177" s="27"/>
      <c r="HL177" s="27"/>
      <c r="HM177" s="28" t="str">
        <f>IFERROR(VLOOKUP(HK177,Horarios!$H:$I,2,0),"")</f>
        <v/>
      </c>
      <c r="HN177" s="28" t="str">
        <f>IFERROR(VLOOKUP(HL177,Horarios!$H:$I,2,0),"")</f>
        <v/>
      </c>
      <c r="HO177" s="28" t="str">
        <f t="shared" si="136"/>
        <v>00:00</v>
      </c>
      <c r="HP177" s="29"/>
      <c r="HQ177" s="27"/>
      <c r="HR177" s="27"/>
      <c r="HS177" s="28" t="str">
        <f>IFERROR(VLOOKUP(HQ177,Horarios!$H:$I,2,0),"")</f>
        <v/>
      </c>
      <c r="HT177" s="28" t="str">
        <f>IFERROR(VLOOKUP(HR177,Horarios!$H:$I,2,0),"")</f>
        <v/>
      </c>
      <c r="HU177" s="28" t="str">
        <f t="shared" si="137"/>
        <v>00:00</v>
      </c>
      <c r="HV177" s="29"/>
      <c r="HW177" s="27"/>
      <c r="HX177" s="27"/>
      <c r="HY177" s="28" t="str">
        <f>IFERROR(VLOOKUP(HW177,Horarios!$H:$I,2,0),"")</f>
        <v/>
      </c>
      <c r="HZ177" s="28" t="str">
        <f>IFERROR(VLOOKUP(HX177,Horarios!$H:$I,2,0),"")</f>
        <v/>
      </c>
      <c r="IA177" s="28" t="str">
        <f t="shared" si="138"/>
        <v>00:00</v>
      </c>
      <c r="IB177" s="29"/>
      <c r="IC177" s="27"/>
      <c r="ID177" s="27"/>
      <c r="IE177" s="28" t="str">
        <f>IFERROR(VLOOKUP(IC177,Horarios!$H:$I,2,0),"")</f>
        <v/>
      </c>
      <c r="IF177" s="28" t="str">
        <f>IFERROR(VLOOKUP(ID177,Horarios!$H:$I,2,0),"")</f>
        <v/>
      </c>
      <c r="IG177" s="28" t="str">
        <f t="shared" si="139"/>
        <v>00:00</v>
      </c>
      <c r="IH177" s="29"/>
      <c r="II177" s="27"/>
      <c r="IJ177" s="27"/>
      <c r="IK177" s="28" t="str">
        <f>IFERROR(VLOOKUP(II177,Horarios!$H:$I,2,0),"")</f>
        <v/>
      </c>
      <c r="IL177" s="28" t="str">
        <f>IFERROR(VLOOKUP(IJ177,Horarios!$H:$I,2,0),"")</f>
        <v/>
      </c>
      <c r="IM177" s="28" t="str">
        <f t="shared" si="140"/>
        <v>00:00</v>
      </c>
      <c r="IN177" s="29"/>
      <c r="IO177" s="27"/>
      <c r="IP177" s="27"/>
      <c r="IQ177" s="28" t="str">
        <f>IFERROR(VLOOKUP(IO177,Horarios!$H:$I,2,0),"")</f>
        <v/>
      </c>
      <c r="IR177" s="28" t="str">
        <f>IFERROR(VLOOKUP(IP177,Horarios!$H:$I,2,0),"")</f>
        <v/>
      </c>
      <c r="IS177" s="28" t="str">
        <f t="shared" si="141"/>
        <v>00:00</v>
      </c>
      <c r="IT177" s="29"/>
      <c r="IU177" s="27"/>
      <c r="IV177" s="27"/>
      <c r="IW177" s="28" t="str">
        <f>IFERROR(VLOOKUP(IU177,Horarios!$H:$I,2,0),"")</f>
        <v/>
      </c>
      <c r="IX177" s="28" t="str">
        <f>IFERROR(VLOOKUP(IV177,Horarios!$H:$I,2,0),"")</f>
        <v/>
      </c>
      <c r="IY177" s="28" t="str">
        <f t="shared" si="142"/>
        <v>00:00</v>
      </c>
      <c r="IZ177" s="29"/>
      <c r="JA177" s="31" t="str">
        <f t="shared" si="143"/>
        <v/>
      </c>
    </row>
    <row r="178" spans="1:261" s="24" customFormat="1" ht="17.399999999999999" x14ac:dyDescent="0.25">
      <c r="A178" s="25"/>
      <c r="B178" s="26" t="str">
        <f>IFERROR(VLOOKUP(A178,BaseNombres!A:B,2,0),"")</f>
        <v/>
      </c>
      <c r="C178" s="26" t="str">
        <f>IFERROR(VLOOKUP(A178,BaseNombres!A:C,3,0),"")</f>
        <v/>
      </c>
      <c r="D178" s="27"/>
      <c r="E178" s="27"/>
      <c r="F178" s="28" t="str">
        <f>IFERROR(VLOOKUP(D178,Horarios!$H:$I,2,0),"")</f>
        <v/>
      </c>
      <c r="G178" s="28" t="str">
        <f>IFERROR(VLOOKUP(E178,Horarios!$H:$I,2,0),"")</f>
        <v/>
      </c>
      <c r="H178" s="28" t="str">
        <f t="shared" si="96"/>
        <v>00:00</v>
      </c>
      <c r="I178" s="29"/>
      <c r="J178" s="27"/>
      <c r="K178" s="27"/>
      <c r="L178" s="28" t="str">
        <f>IFERROR(VLOOKUP(J178,Horarios!$H:$I,2,0),"")</f>
        <v/>
      </c>
      <c r="M178" s="28" t="str">
        <f>IFERROR(VLOOKUP(K178,Horarios!$H:$I,2,0),"")</f>
        <v/>
      </c>
      <c r="N178" s="28" t="str">
        <f t="shared" si="97"/>
        <v>00:00</v>
      </c>
      <c r="O178" s="29"/>
      <c r="P178" s="27"/>
      <c r="Q178" s="27"/>
      <c r="R178" s="28" t="str">
        <f>IFERROR(VLOOKUP(P178,Horarios!$H:$I,2,0),"")</f>
        <v/>
      </c>
      <c r="S178" s="28" t="str">
        <f>IFERROR(VLOOKUP(Q178,Horarios!$H:$I,2,0),"")</f>
        <v/>
      </c>
      <c r="T178" s="28" t="str">
        <f t="shared" si="98"/>
        <v>00:00</v>
      </c>
      <c r="U178" s="29"/>
      <c r="V178" s="27"/>
      <c r="W178" s="27"/>
      <c r="X178" s="28" t="str">
        <f>IFERROR(VLOOKUP(V178,Horarios!$H:$I,2,0),"")</f>
        <v/>
      </c>
      <c r="Y178" s="28" t="str">
        <f>IFERROR(VLOOKUP(W178,Horarios!$H:$I,2,0),"")</f>
        <v/>
      </c>
      <c r="Z178" s="28" t="str">
        <f t="shared" si="99"/>
        <v>00:00</v>
      </c>
      <c r="AA178" s="29"/>
      <c r="AB178" s="27"/>
      <c r="AC178" s="27"/>
      <c r="AD178" s="28" t="str">
        <f>IFERROR(VLOOKUP(AB178,Horarios!$H:$I,2,0),"")</f>
        <v/>
      </c>
      <c r="AE178" s="28" t="str">
        <f>IFERROR(VLOOKUP(AC178,Horarios!$H:$I,2,0),"")</f>
        <v/>
      </c>
      <c r="AF178" s="28" t="str">
        <f t="shared" si="100"/>
        <v>00:00</v>
      </c>
      <c r="AG178" s="29"/>
      <c r="AH178" s="27"/>
      <c r="AI178" s="27"/>
      <c r="AJ178" s="28" t="str">
        <f>IFERROR(VLOOKUP(AH178,Horarios!$H:$I,2,0),"")</f>
        <v/>
      </c>
      <c r="AK178" s="28" t="str">
        <f>IFERROR(VLOOKUP(AI178,Horarios!$H:$I,2,0),"")</f>
        <v/>
      </c>
      <c r="AL178" s="28" t="str">
        <f t="shared" si="101"/>
        <v>00:00</v>
      </c>
      <c r="AM178" s="29"/>
      <c r="AN178" s="27"/>
      <c r="AO178" s="27"/>
      <c r="AP178" s="28" t="str">
        <f>IFERROR(VLOOKUP(AN178,Horarios!$H:$I,2,0),"")</f>
        <v/>
      </c>
      <c r="AQ178" s="28" t="str">
        <f>IFERROR(VLOOKUP(AO178,Horarios!$H:$I,2,0),"")</f>
        <v/>
      </c>
      <c r="AR178" s="28" t="str">
        <f t="shared" si="102"/>
        <v>00:00</v>
      </c>
      <c r="AS178" s="29"/>
      <c r="AT178" s="31" t="str">
        <f t="shared" si="103"/>
        <v/>
      </c>
      <c r="AU178" s="27"/>
      <c r="AV178" s="27"/>
      <c r="AW178" s="28" t="str">
        <f>IFERROR(VLOOKUP(AU178,Horarios!$H:$I,2,0),"")</f>
        <v/>
      </c>
      <c r="AX178" s="28" t="str">
        <f>IFERROR(VLOOKUP(AV178,Horarios!$H:$I,2,0),"")</f>
        <v/>
      </c>
      <c r="AY178" s="28" t="str">
        <f t="shared" si="104"/>
        <v>00:00</v>
      </c>
      <c r="AZ178" s="29"/>
      <c r="BA178" s="27"/>
      <c r="BB178" s="27"/>
      <c r="BC178" s="28" t="str">
        <f>IFERROR(VLOOKUP(BA178,Horarios!$H:$I,2,0),"")</f>
        <v/>
      </c>
      <c r="BD178" s="28" t="str">
        <f>IFERROR(VLOOKUP(BB178,Horarios!$H:$I,2,0),"")</f>
        <v/>
      </c>
      <c r="BE178" s="28" t="str">
        <f t="shared" si="105"/>
        <v>00:00</v>
      </c>
      <c r="BF178" s="29"/>
      <c r="BG178" s="27"/>
      <c r="BH178" s="27"/>
      <c r="BI178" s="28" t="str">
        <f>IFERROR(VLOOKUP(BG178,Horarios!$H:$I,2,0),"")</f>
        <v/>
      </c>
      <c r="BJ178" s="28" t="str">
        <f>IFERROR(VLOOKUP(BH178,Horarios!$H:$I,2,0),"")</f>
        <v/>
      </c>
      <c r="BK178" s="28" t="str">
        <f t="shared" si="106"/>
        <v>00:00</v>
      </c>
      <c r="BL178" s="29"/>
      <c r="BM178" s="27"/>
      <c r="BN178" s="27"/>
      <c r="BO178" s="28" t="str">
        <f>IFERROR(VLOOKUP(BM178,Horarios!$H:$I,2,0),"")</f>
        <v/>
      </c>
      <c r="BP178" s="28" t="str">
        <f>IFERROR(VLOOKUP(BN178,Horarios!$H:$I,2,0),"")</f>
        <v/>
      </c>
      <c r="BQ178" s="28" t="str">
        <f t="shared" si="107"/>
        <v>00:00</v>
      </c>
      <c r="BR178" s="29"/>
      <c r="BS178" s="27"/>
      <c r="BT178" s="27"/>
      <c r="BU178" s="28" t="str">
        <f>IFERROR(VLOOKUP(BS178,Horarios!$H:$I,2,0),"")</f>
        <v/>
      </c>
      <c r="BV178" s="28" t="str">
        <f>IFERROR(VLOOKUP(BT178,Horarios!$H:$I,2,0),"")</f>
        <v/>
      </c>
      <c r="BW178" s="28" t="str">
        <f t="shared" si="108"/>
        <v>00:00</v>
      </c>
      <c r="BX178" s="29"/>
      <c r="BY178" s="27"/>
      <c r="BZ178" s="27"/>
      <c r="CA178" s="28" t="str">
        <f>IFERROR(VLOOKUP(BY178,Horarios!$H:$I,2,0),"")</f>
        <v/>
      </c>
      <c r="CB178" s="28" t="str">
        <f>IFERROR(VLOOKUP(BZ178,Horarios!$H:$I,2,0),"")</f>
        <v/>
      </c>
      <c r="CC178" s="28" t="str">
        <f t="shared" si="109"/>
        <v>00:00</v>
      </c>
      <c r="CD178" s="29"/>
      <c r="CE178" s="27"/>
      <c r="CF178" s="27"/>
      <c r="CG178" s="28" t="str">
        <f>IFERROR(VLOOKUP(CE178,Horarios!$H:$I,2,0),"")</f>
        <v/>
      </c>
      <c r="CH178" s="28" t="str">
        <f>IFERROR(VLOOKUP(CF178,Horarios!$H:$I,2,0),"")</f>
        <v/>
      </c>
      <c r="CI178" s="28" t="str">
        <f t="shared" si="110"/>
        <v>00:00</v>
      </c>
      <c r="CJ178" s="29"/>
      <c r="CK178" s="31" t="str">
        <f t="shared" si="111"/>
        <v/>
      </c>
      <c r="CL178" s="27"/>
      <c r="CM178" s="27"/>
      <c r="CN178" s="28" t="str">
        <f>IFERROR(VLOOKUP(CL178,Horarios!$H:$I,2,0),"")</f>
        <v/>
      </c>
      <c r="CO178" s="28" t="str">
        <f>IFERROR(VLOOKUP(CM178,Horarios!$H:$I,2,0),"")</f>
        <v/>
      </c>
      <c r="CP178" s="28" t="str">
        <f t="shared" si="112"/>
        <v>00:00</v>
      </c>
      <c r="CQ178" s="29"/>
      <c r="CR178" s="27"/>
      <c r="CS178" s="27"/>
      <c r="CT178" s="28" t="str">
        <f>IFERROR(VLOOKUP(CR178,Horarios!$H:$I,2,0),"")</f>
        <v/>
      </c>
      <c r="CU178" s="28" t="str">
        <f>IFERROR(VLOOKUP(CS178,Horarios!$H:$I,2,0),"")</f>
        <v/>
      </c>
      <c r="CV178" s="28" t="str">
        <f t="shared" si="113"/>
        <v>00:00</v>
      </c>
      <c r="CW178" s="29"/>
      <c r="CX178" s="27"/>
      <c r="CY178" s="27"/>
      <c r="CZ178" s="28" t="str">
        <f>IFERROR(VLOOKUP(CX178,Horarios!$H:$I,2,0),"")</f>
        <v/>
      </c>
      <c r="DA178" s="28" t="str">
        <f>IFERROR(VLOOKUP(CY178,Horarios!$H:$I,2,0),"")</f>
        <v/>
      </c>
      <c r="DB178" s="28" t="str">
        <f t="shared" si="114"/>
        <v>00:00</v>
      </c>
      <c r="DC178" s="29"/>
      <c r="DD178" s="27"/>
      <c r="DE178" s="27"/>
      <c r="DF178" s="28" t="str">
        <f>IFERROR(VLOOKUP(DD178,Horarios!$H:$I,2,0),"")</f>
        <v/>
      </c>
      <c r="DG178" s="28" t="str">
        <f>IFERROR(VLOOKUP(DE178,Horarios!$H:$I,2,0),"")</f>
        <v/>
      </c>
      <c r="DH178" s="28" t="str">
        <f t="shared" si="115"/>
        <v>00:00</v>
      </c>
      <c r="DI178" s="29"/>
      <c r="DJ178" s="27"/>
      <c r="DK178" s="27"/>
      <c r="DL178" s="28" t="str">
        <f>IFERROR(VLOOKUP(DJ178,Horarios!$H:$I,2,0),"")</f>
        <v/>
      </c>
      <c r="DM178" s="28" t="str">
        <f>IFERROR(VLOOKUP(DK178,Horarios!$H:$I,2,0),"")</f>
        <v/>
      </c>
      <c r="DN178" s="28" t="str">
        <f t="shared" si="116"/>
        <v>00:00</v>
      </c>
      <c r="DO178" s="29"/>
      <c r="DP178" s="27"/>
      <c r="DQ178" s="27"/>
      <c r="DR178" s="28" t="str">
        <f>IFERROR(VLOOKUP(DP178,Horarios!$H:$I,2,0),"")</f>
        <v/>
      </c>
      <c r="DS178" s="28" t="str">
        <f>IFERROR(VLOOKUP(DQ178,Horarios!$H:$I,2,0),"")</f>
        <v/>
      </c>
      <c r="DT178" s="28" t="str">
        <f t="shared" si="117"/>
        <v>00:00</v>
      </c>
      <c r="DU178" s="29"/>
      <c r="DV178" s="27"/>
      <c r="DW178" s="27"/>
      <c r="DX178" s="28" t="str">
        <f>IFERROR(VLOOKUP(DV178,Horarios!$H:$I,2,0),"")</f>
        <v/>
      </c>
      <c r="DY178" s="28" t="str">
        <f>IFERROR(VLOOKUP(DW178,Horarios!$H:$I,2,0),"")</f>
        <v/>
      </c>
      <c r="DZ178" s="28" t="str">
        <f t="shared" si="118"/>
        <v>00:00</v>
      </c>
      <c r="EA178" s="29"/>
      <c r="EB178" s="31" t="str">
        <f t="shared" si="119"/>
        <v/>
      </c>
      <c r="EC178" s="27"/>
      <c r="ED178" s="27"/>
      <c r="EE178" s="28" t="str">
        <f>IFERROR(VLOOKUP(EC178,Horarios!$H:$I,2,0),"")</f>
        <v/>
      </c>
      <c r="EF178" s="28" t="str">
        <f>IFERROR(VLOOKUP(ED178,Horarios!$H:$I,2,0),"")</f>
        <v/>
      </c>
      <c r="EG178" s="28" t="str">
        <f t="shared" si="120"/>
        <v>00:00</v>
      </c>
      <c r="EH178" s="29"/>
      <c r="EI178" s="27"/>
      <c r="EJ178" s="27"/>
      <c r="EK178" s="28" t="str">
        <f>IFERROR(VLOOKUP(EI178,Horarios!$H:$I,2,0),"")</f>
        <v/>
      </c>
      <c r="EL178" s="28" t="str">
        <f>IFERROR(VLOOKUP(EJ178,Horarios!$H:$I,2,0),"")</f>
        <v/>
      </c>
      <c r="EM178" s="28" t="str">
        <f t="shared" si="121"/>
        <v>00:00</v>
      </c>
      <c r="EN178" s="29"/>
      <c r="EO178" s="27"/>
      <c r="EP178" s="27"/>
      <c r="EQ178" s="28" t="str">
        <f>IFERROR(VLOOKUP(EO178,Horarios!$H:$I,2,0),"")</f>
        <v/>
      </c>
      <c r="ER178" s="28" t="str">
        <f>IFERROR(VLOOKUP(EP178,Horarios!$H:$I,2,0),"")</f>
        <v/>
      </c>
      <c r="ES178" s="28" t="str">
        <f t="shared" si="122"/>
        <v>00:00</v>
      </c>
      <c r="ET178" s="29"/>
      <c r="EU178" s="27"/>
      <c r="EV178" s="27"/>
      <c r="EW178" s="28" t="str">
        <f>IFERROR(VLOOKUP(EU178,Horarios!$H:$I,2,0),"")</f>
        <v/>
      </c>
      <c r="EX178" s="28" t="str">
        <f>IFERROR(VLOOKUP(EV178,Horarios!$H:$I,2,0),"")</f>
        <v/>
      </c>
      <c r="EY178" s="28" t="str">
        <f t="shared" si="123"/>
        <v>00:00</v>
      </c>
      <c r="EZ178" s="29"/>
      <c r="FA178" s="27"/>
      <c r="FB178" s="27"/>
      <c r="FC178" s="28" t="str">
        <f>IFERROR(VLOOKUP(FA178,Horarios!$H:$I,2,0),"")</f>
        <v/>
      </c>
      <c r="FD178" s="28" t="str">
        <f>IFERROR(VLOOKUP(FB178,Horarios!$H:$I,2,0),"")</f>
        <v/>
      </c>
      <c r="FE178" s="28" t="str">
        <f t="shared" si="124"/>
        <v>00:00</v>
      </c>
      <c r="FF178" s="29"/>
      <c r="FG178" s="27"/>
      <c r="FH178" s="27"/>
      <c r="FI178" s="28" t="str">
        <f>IFERROR(VLOOKUP(FG178,Horarios!$H:$I,2,0),"")</f>
        <v/>
      </c>
      <c r="FJ178" s="28" t="str">
        <f>IFERROR(VLOOKUP(FH178,Horarios!$H:$I,2,0),"")</f>
        <v/>
      </c>
      <c r="FK178" s="28" t="str">
        <f t="shared" si="125"/>
        <v>00:00</v>
      </c>
      <c r="FL178" s="29"/>
      <c r="FM178" s="27"/>
      <c r="FN178" s="27"/>
      <c r="FO178" s="28" t="str">
        <f>IFERROR(VLOOKUP(FM178,Horarios!$H:$I,2,0),"")</f>
        <v/>
      </c>
      <c r="FP178" s="28" t="str">
        <f>IFERROR(VLOOKUP(FN178,Horarios!$H:$I,2,0),"")</f>
        <v/>
      </c>
      <c r="FQ178" s="28" t="str">
        <f t="shared" si="126"/>
        <v>00:00</v>
      </c>
      <c r="FR178" s="29"/>
      <c r="FS178" s="31" t="str">
        <f t="shared" si="127"/>
        <v/>
      </c>
      <c r="FT178" s="27"/>
      <c r="FU178" s="27"/>
      <c r="FV178" s="28" t="str">
        <f>IFERROR(VLOOKUP(FT178,Horarios!$H:$I,2,0),"")</f>
        <v/>
      </c>
      <c r="FW178" s="28" t="str">
        <f>IFERROR(VLOOKUP(FU178,Horarios!$H:$I,2,0),"")</f>
        <v/>
      </c>
      <c r="FX178" s="28" t="str">
        <f t="shared" si="128"/>
        <v>00:00</v>
      </c>
      <c r="FY178" s="29"/>
      <c r="FZ178" s="27"/>
      <c r="GA178" s="27"/>
      <c r="GB178" s="28" t="str">
        <f>IFERROR(VLOOKUP(FZ178,Horarios!$H:$I,2,0),"")</f>
        <v/>
      </c>
      <c r="GC178" s="28" t="str">
        <f>IFERROR(VLOOKUP(GA178,Horarios!$H:$I,2,0),"")</f>
        <v/>
      </c>
      <c r="GD178" s="28" t="str">
        <f t="shared" si="129"/>
        <v>00:00</v>
      </c>
      <c r="GE178" s="29"/>
      <c r="GF178" s="27"/>
      <c r="GG178" s="27"/>
      <c r="GH178" s="28" t="str">
        <f>IFERROR(VLOOKUP(GF178,Horarios!$H:$I,2,0),"")</f>
        <v/>
      </c>
      <c r="GI178" s="28" t="str">
        <f>IFERROR(VLOOKUP(GG178,Horarios!$H:$I,2,0),"")</f>
        <v/>
      </c>
      <c r="GJ178" s="28" t="str">
        <f t="shared" si="130"/>
        <v>00:00</v>
      </c>
      <c r="GK178" s="29"/>
      <c r="GL178" s="27"/>
      <c r="GM178" s="27"/>
      <c r="GN178" s="28" t="str">
        <f>IFERROR(VLOOKUP(GL178,Horarios!$H:$I,2,0),"")</f>
        <v/>
      </c>
      <c r="GO178" s="28" t="str">
        <f>IFERROR(VLOOKUP(GM178,Horarios!$H:$I,2,0),"")</f>
        <v/>
      </c>
      <c r="GP178" s="28" t="str">
        <f t="shared" si="131"/>
        <v>00:00</v>
      </c>
      <c r="GQ178" s="29"/>
      <c r="GR178" s="27"/>
      <c r="GS178" s="27"/>
      <c r="GT178" s="28" t="str">
        <f>IFERROR(VLOOKUP(GR178,Horarios!$H:$I,2,0),"")</f>
        <v/>
      </c>
      <c r="GU178" s="28" t="str">
        <f>IFERROR(VLOOKUP(GS178,Horarios!$H:$I,2,0),"")</f>
        <v/>
      </c>
      <c r="GV178" s="28" t="str">
        <f t="shared" si="132"/>
        <v>00:00</v>
      </c>
      <c r="GW178" s="29"/>
      <c r="GX178" s="27"/>
      <c r="GY178" s="27"/>
      <c r="GZ178" s="28" t="str">
        <f>IFERROR(VLOOKUP(GX178,Horarios!$H:$I,2,0),"")</f>
        <v/>
      </c>
      <c r="HA178" s="28" t="str">
        <f>IFERROR(VLOOKUP(GY178,Horarios!$H:$I,2,0),"")</f>
        <v/>
      </c>
      <c r="HB178" s="28" t="str">
        <f t="shared" si="133"/>
        <v>00:00</v>
      </c>
      <c r="HC178" s="29"/>
      <c r="HD178" s="27"/>
      <c r="HE178" s="27"/>
      <c r="HF178" s="28" t="str">
        <f>IFERROR(VLOOKUP(HD178,Horarios!$H:$I,2,0),"")</f>
        <v/>
      </c>
      <c r="HG178" s="28" t="str">
        <f>IFERROR(VLOOKUP(HE178,Horarios!$H:$I,2,0),"")</f>
        <v/>
      </c>
      <c r="HH178" s="28" t="str">
        <f t="shared" si="134"/>
        <v>00:00</v>
      </c>
      <c r="HI178" s="29"/>
      <c r="HJ178" s="31" t="str">
        <f t="shared" si="135"/>
        <v/>
      </c>
      <c r="HK178" s="27"/>
      <c r="HL178" s="27"/>
      <c r="HM178" s="28" t="str">
        <f>IFERROR(VLOOKUP(HK178,Horarios!$H:$I,2,0),"")</f>
        <v/>
      </c>
      <c r="HN178" s="28" t="str">
        <f>IFERROR(VLOOKUP(HL178,Horarios!$H:$I,2,0),"")</f>
        <v/>
      </c>
      <c r="HO178" s="28" t="str">
        <f t="shared" si="136"/>
        <v>00:00</v>
      </c>
      <c r="HP178" s="29"/>
      <c r="HQ178" s="27"/>
      <c r="HR178" s="27"/>
      <c r="HS178" s="28" t="str">
        <f>IFERROR(VLOOKUP(HQ178,Horarios!$H:$I,2,0),"")</f>
        <v/>
      </c>
      <c r="HT178" s="28" t="str">
        <f>IFERROR(VLOOKUP(HR178,Horarios!$H:$I,2,0),"")</f>
        <v/>
      </c>
      <c r="HU178" s="28" t="str">
        <f t="shared" si="137"/>
        <v>00:00</v>
      </c>
      <c r="HV178" s="29"/>
      <c r="HW178" s="27"/>
      <c r="HX178" s="27"/>
      <c r="HY178" s="28" t="str">
        <f>IFERROR(VLOOKUP(HW178,Horarios!$H:$I,2,0),"")</f>
        <v/>
      </c>
      <c r="HZ178" s="28" t="str">
        <f>IFERROR(VLOOKUP(HX178,Horarios!$H:$I,2,0),"")</f>
        <v/>
      </c>
      <c r="IA178" s="28" t="str">
        <f t="shared" si="138"/>
        <v>00:00</v>
      </c>
      <c r="IB178" s="29"/>
      <c r="IC178" s="27"/>
      <c r="ID178" s="27"/>
      <c r="IE178" s="28" t="str">
        <f>IFERROR(VLOOKUP(IC178,Horarios!$H:$I,2,0),"")</f>
        <v/>
      </c>
      <c r="IF178" s="28" t="str">
        <f>IFERROR(VLOOKUP(ID178,Horarios!$H:$I,2,0),"")</f>
        <v/>
      </c>
      <c r="IG178" s="28" t="str">
        <f t="shared" si="139"/>
        <v>00:00</v>
      </c>
      <c r="IH178" s="29"/>
      <c r="II178" s="27"/>
      <c r="IJ178" s="27"/>
      <c r="IK178" s="28" t="str">
        <f>IFERROR(VLOOKUP(II178,Horarios!$H:$I,2,0),"")</f>
        <v/>
      </c>
      <c r="IL178" s="28" t="str">
        <f>IFERROR(VLOOKUP(IJ178,Horarios!$H:$I,2,0),"")</f>
        <v/>
      </c>
      <c r="IM178" s="28" t="str">
        <f t="shared" si="140"/>
        <v>00:00</v>
      </c>
      <c r="IN178" s="29"/>
      <c r="IO178" s="27"/>
      <c r="IP178" s="27"/>
      <c r="IQ178" s="28" t="str">
        <f>IFERROR(VLOOKUP(IO178,Horarios!$H:$I,2,0),"")</f>
        <v/>
      </c>
      <c r="IR178" s="28" t="str">
        <f>IFERROR(VLOOKUP(IP178,Horarios!$H:$I,2,0),"")</f>
        <v/>
      </c>
      <c r="IS178" s="28" t="str">
        <f t="shared" si="141"/>
        <v>00:00</v>
      </c>
      <c r="IT178" s="29"/>
      <c r="IU178" s="27"/>
      <c r="IV178" s="27"/>
      <c r="IW178" s="28" t="str">
        <f>IFERROR(VLOOKUP(IU178,Horarios!$H:$I,2,0),"")</f>
        <v/>
      </c>
      <c r="IX178" s="28" t="str">
        <f>IFERROR(VLOOKUP(IV178,Horarios!$H:$I,2,0),"")</f>
        <v/>
      </c>
      <c r="IY178" s="28" t="str">
        <f t="shared" si="142"/>
        <v>00:00</v>
      </c>
      <c r="IZ178" s="29"/>
      <c r="JA178" s="31" t="str">
        <f t="shared" si="143"/>
        <v/>
      </c>
    </row>
    <row r="179" spans="1:261" s="24" customFormat="1" ht="17.399999999999999" x14ac:dyDescent="0.25">
      <c r="A179" s="25"/>
      <c r="B179" s="26" t="str">
        <f>IFERROR(VLOOKUP(A179,BaseNombres!A:B,2,0),"")</f>
        <v/>
      </c>
      <c r="C179" s="26" t="str">
        <f>IFERROR(VLOOKUP(A179,BaseNombres!A:C,3,0),"")</f>
        <v/>
      </c>
      <c r="D179" s="27"/>
      <c r="E179" s="27"/>
      <c r="F179" s="28" t="str">
        <f>IFERROR(VLOOKUP(D179,Horarios!$H:$I,2,0),"")</f>
        <v/>
      </c>
      <c r="G179" s="28" t="str">
        <f>IFERROR(VLOOKUP(E179,Horarios!$H:$I,2,0),"")</f>
        <v/>
      </c>
      <c r="H179" s="28" t="str">
        <f t="shared" si="96"/>
        <v>00:00</v>
      </c>
      <c r="I179" s="29"/>
      <c r="J179" s="27"/>
      <c r="K179" s="27"/>
      <c r="L179" s="28" t="str">
        <f>IFERROR(VLOOKUP(J179,Horarios!$H:$I,2,0),"")</f>
        <v/>
      </c>
      <c r="M179" s="28" t="str">
        <f>IFERROR(VLOOKUP(K179,Horarios!$H:$I,2,0),"")</f>
        <v/>
      </c>
      <c r="N179" s="28" t="str">
        <f t="shared" si="97"/>
        <v>00:00</v>
      </c>
      <c r="O179" s="29"/>
      <c r="P179" s="27"/>
      <c r="Q179" s="27"/>
      <c r="R179" s="28" t="str">
        <f>IFERROR(VLOOKUP(P179,Horarios!$H:$I,2,0),"")</f>
        <v/>
      </c>
      <c r="S179" s="28" t="str">
        <f>IFERROR(VLOOKUP(Q179,Horarios!$H:$I,2,0),"")</f>
        <v/>
      </c>
      <c r="T179" s="28" t="str">
        <f t="shared" si="98"/>
        <v>00:00</v>
      </c>
      <c r="U179" s="29"/>
      <c r="V179" s="27"/>
      <c r="W179" s="27"/>
      <c r="X179" s="28" t="str">
        <f>IFERROR(VLOOKUP(V179,Horarios!$H:$I,2,0),"")</f>
        <v/>
      </c>
      <c r="Y179" s="28" t="str">
        <f>IFERROR(VLOOKUP(W179,Horarios!$H:$I,2,0),"")</f>
        <v/>
      </c>
      <c r="Z179" s="28" t="str">
        <f t="shared" si="99"/>
        <v>00:00</v>
      </c>
      <c r="AA179" s="29"/>
      <c r="AB179" s="27"/>
      <c r="AC179" s="27"/>
      <c r="AD179" s="28" t="str">
        <f>IFERROR(VLOOKUP(AB179,Horarios!$H:$I,2,0),"")</f>
        <v/>
      </c>
      <c r="AE179" s="28" t="str">
        <f>IFERROR(VLOOKUP(AC179,Horarios!$H:$I,2,0),"")</f>
        <v/>
      </c>
      <c r="AF179" s="28" t="str">
        <f t="shared" si="100"/>
        <v>00:00</v>
      </c>
      <c r="AG179" s="29"/>
      <c r="AH179" s="27"/>
      <c r="AI179" s="27"/>
      <c r="AJ179" s="28" t="str">
        <f>IFERROR(VLOOKUP(AH179,Horarios!$H:$I,2,0),"")</f>
        <v/>
      </c>
      <c r="AK179" s="28" t="str">
        <f>IFERROR(VLOOKUP(AI179,Horarios!$H:$I,2,0),"")</f>
        <v/>
      </c>
      <c r="AL179" s="28" t="str">
        <f t="shared" si="101"/>
        <v>00:00</v>
      </c>
      <c r="AM179" s="29"/>
      <c r="AN179" s="27"/>
      <c r="AO179" s="27"/>
      <c r="AP179" s="28" t="str">
        <f>IFERROR(VLOOKUP(AN179,Horarios!$H:$I,2,0),"")</f>
        <v/>
      </c>
      <c r="AQ179" s="28" t="str">
        <f>IFERROR(VLOOKUP(AO179,Horarios!$H:$I,2,0),"")</f>
        <v/>
      </c>
      <c r="AR179" s="28" t="str">
        <f t="shared" si="102"/>
        <v>00:00</v>
      </c>
      <c r="AS179" s="29"/>
      <c r="AT179" s="31" t="str">
        <f t="shared" si="103"/>
        <v/>
      </c>
      <c r="AU179" s="27"/>
      <c r="AV179" s="27"/>
      <c r="AW179" s="28" t="str">
        <f>IFERROR(VLOOKUP(AU179,Horarios!$H:$I,2,0),"")</f>
        <v/>
      </c>
      <c r="AX179" s="28" t="str">
        <f>IFERROR(VLOOKUP(AV179,Horarios!$H:$I,2,0),"")</f>
        <v/>
      </c>
      <c r="AY179" s="28" t="str">
        <f t="shared" si="104"/>
        <v>00:00</v>
      </c>
      <c r="AZ179" s="29"/>
      <c r="BA179" s="27"/>
      <c r="BB179" s="27"/>
      <c r="BC179" s="28" t="str">
        <f>IFERROR(VLOOKUP(BA179,Horarios!$H:$I,2,0),"")</f>
        <v/>
      </c>
      <c r="BD179" s="28" t="str">
        <f>IFERROR(VLOOKUP(BB179,Horarios!$H:$I,2,0),"")</f>
        <v/>
      </c>
      <c r="BE179" s="28" t="str">
        <f t="shared" si="105"/>
        <v>00:00</v>
      </c>
      <c r="BF179" s="29"/>
      <c r="BG179" s="27"/>
      <c r="BH179" s="27"/>
      <c r="BI179" s="28" t="str">
        <f>IFERROR(VLOOKUP(BG179,Horarios!$H:$I,2,0),"")</f>
        <v/>
      </c>
      <c r="BJ179" s="28" t="str">
        <f>IFERROR(VLOOKUP(BH179,Horarios!$H:$I,2,0),"")</f>
        <v/>
      </c>
      <c r="BK179" s="28" t="str">
        <f t="shared" si="106"/>
        <v>00:00</v>
      </c>
      <c r="BL179" s="29"/>
      <c r="BM179" s="27"/>
      <c r="BN179" s="27"/>
      <c r="BO179" s="28" t="str">
        <f>IFERROR(VLOOKUP(BM179,Horarios!$H:$I,2,0),"")</f>
        <v/>
      </c>
      <c r="BP179" s="28" t="str">
        <f>IFERROR(VLOOKUP(BN179,Horarios!$H:$I,2,0),"")</f>
        <v/>
      </c>
      <c r="BQ179" s="28" t="str">
        <f t="shared" si="107"/>
        <v>00:00</v>
      </c>
      <c r="BR179" s="29"/>
      <c r="BS179" s="27"/>
      <c r="BT179" s="27"/>
      <c r="BU179" s="28" t="str">
        <f>IFERROR(VLOOKUP(BS179,Horarios!$H:$I,2,0),"")</f>
        <v/>
      </c>
      <c r="BV179" s="28" t="str">
        <f>IFERROR(VLOOKUP(BT179,Horarios!$H:$I,2,0),"")</f>
        <v/>
      </c>
      <c r="BW179" s="28" t="str">
        <f t="shared" si="108"/>
        <v>00:00</v>
      </c>
      <c r="BX179" s="29"/>
      <c r="BY179" s="27"/>
      <c r="BZ179" s="27"/>
      <c r="CA179" s="28" t="str">
        <f>IFERROR(VLOOKUP(BY179,Horarios!$H:$I,2,0),"")</f>
        <v/>
      </c>
      <c r="CB179" s="28" t="str">
        <f>IFERROR(VLOOKUP(BZ179,Horarios!$H:$I,2,0),"")</f>
        <v/>
      </c>
      <c r="CC179" s="28" t="str">
        <f t="shared" si="109"/>
        <v>00:00</v>
      </c>
      <c r="CD179" s="29"/>
      <c r="CE179" s="27"/>
      <c r="CF179" s="27"/>
      <c r="CG179" s="28" t="str">
        <f>IFERROR(VLOOKUP(CE179,Horarios!$H:$I,2,0),"")</f>
        <v/>
      </c>
      <c r="CH179" s="28" t="str">
        <f>IFERROR(VLOOKUP(CF179,Horarios!$H:$I,2,0),"")</f>
        <v/>
      </c>
      <c r="CI179" s="28" t="str">
        <f t="shared" si="110"/>
        <v>00:00</v>
      </c>
      <c r="CJ179" s="29"/>
      <c r="CK179" s="31" t="str">
        <f t="shared" si="111"/>
        <v/>
      </c>
      <c r="CL179" s="27"/>
      <c r="CM179" s="27"/>
      <c r="CN179" s="28" t="str">
        <f>IFERROR(VLOOKUP(CL179,Horarios!$H:$I,2,0),"")</f>
        <v/>
      </c>
      <c r="CO179" s="28" t="str">
        <f>IFERROR(VLOOKUP(CM179,Horarios!$H:$I,2,0),"")</f>
        <v/>
      </c>
      <c r="CP179" s="28" t="str">
        <f t="shared" si="112"/>
        <v>00:00</v>
      </c>
      <c r="CQ179" s="29"/>
      <c r="CR179" s="27"/>
      <c r="CS179" s="27"/>
      <c r="CT179" s="28" t="str">
        <f>IFERROR(VLOOKUP(CR179,Horarios!$H:$I,2,0),"")</f>
        <v/>
      </c>
      <c r="CU179" s="28" t="str">
        <f>IFERROR(VLOOKUP(CS179,Horarios!$H:$I,2,0),"")</f>
        <v/>
      </c>
      <c r="CV179" s="28" t="str">
        <f t="shared" si="113"/>
        <v>00:00</v>
      </c>
      <c r="CW179" s="29"/>
      <c r="CX179" s="27"/>
      <c r="CY179" s="27"/>
      <c r="CZ179" s="28" t="str">
        <f>IFERROR(VLOOKUP(CX179,Horarios!$H:$I,2,0),"")</f>
        <v/>
      </c>
      <c r="DA179" s="28" t="str">
        <f>IFERROR(VLOOKUP(CY179,Horarios!$H:$I,2,0),"")</f>
        <v/>
      </c>
      <c r="DB179" s="28" t="str">
        <f t="shared" si="114"/>
        <v>00:00</v>
      </c>
      <c r="DC179" s="29"/>
      <c r="DD179" s="27"/>
      <c r="DE179" s="27"/>
      <c r="DF179" s="28" t="str">
        <f>IFERROR(VLOOKUP(DD179,Horarios!$H:$I,2,0),"")</f>
        <v/>
      </c>
      <c r="DG179" s="28" t="str">
        <f>IFERROR(VLOOKUP(DE179,Horarios!$H:$I,2,0),"")</f>
        <v/>
      </c>
      <c r="DH179" s="28" t="str">
        <f t="shared" si="115"/>
        <v>00:00</v>
      </c>
      <c r="DI179" s="29"/>
      <c r="DJ179" s="27"/>
      <c r="DK179" s="27"/>
      <c r="DL179" s="28" t="str">
        <f>IFERROR(VLOOKUP(DJ179,Horarios!$H:$I,2,0),"")</f>
        <v/>
      </c>
      <c r="DM179" s="28" t="str">
        <f>IFERROR(VLOOKUP(DK179,Horarios!$H:$I,2,0),"")</f>
        <v/>
      </c>
      <c r="DN179" s="28" t="str">
        <f t="shared" si="116"/>
        <v>00:00</v>
      </c>
      <c r="DO179" s="29"/>
      <c r="DP179" s="27"/>
      <c r="DQ179" s="27"/>
      <c r="DR179" s="28" t="str">
        <f>IFERROR(VLOOKUP(DP179,Horarios!$H:$I,2,0),"")</f>
        <v/>
      </c>
      <c r="DS179" s="28" t="str">
        <f>IFERROR(VLOOKUP(DQ179,Horarios!$H:$I,2,0),"")</f>
        <v/>
      </c>
      <c r="DT179" s="28" t="str">
        <f t="shared" si="117"/>
        <v>00:00</v>
      </c>
      <c r="DU179" s="29"/>
      <c r="DV179" s="27"/>
      <c r="DW179" s="27"/>
      <c r="DX179" s="28" t="str">
        <f>IFERROR(VLOOKUP(DV179,Horarios!$H:$I,2,0),"")</f>
        <v/>
      </c>
      <c r="DY179" s="28" t="str">
        <f>IFERROR(VLOOKUP(DW179,Horarios!$H:$I,2,0),"")</f>
        <v/>
      </c>
      <c r="DZ179" s="28" t="str">
        <f t="shared" si="118"/>
        <v>00:00</v>
      </c>
      <c r="EA179" s="29"/>
      <c r="EB179" s="31" t="str">
        <f t="shared" si="119"/>
        <v/>
      </c>
      <c r="EC179" s="27"/>
      <c r="ED179" s="27"/>
      <c r="EE179" s="28" t="str">
        <f>IFERROR(VLOOKUP(EC179,Horarios!$H:$I,2,0),"")</f>
        <v/>
      </c>
      <c r="EF179" s="28" t="str">
        <f>IFERROR(VLOOKUP(ED179,Horarios!$H:$I,2,0),"")</f>
        <v/>
      </c>
      <c r="EG179" s="28" t="str">
        <f t="shared" si="120"/>
        <v>00:00</v>
      </c>
      <c r="EH179" s="29"/>
      <c r="EI179" s="27"/>
      <c r="EJ179" s="27"/>
      <c r="EK179" s="28" t="str">
        <f>IFERROR(VLOOKUP(EI179,Horarios!$H:$I,2,0),"")</f>
        <v/>
      </c>
      <c r="EL179" s="28" t="str">
        <f>IFERROR(VLOOKUP(EJ179,Horarios!$H:$I,2,0),"")</f>
        <v/>
      </c>
      <c r="EM179" s="28" t="str">
        <f t="shared" si="121"/>
        <v>00:00</v>
      </c>
      <c r="EN179" s="29"/>
      <c r="EO179" s="27"/>
      <c r="EP179" s="27"/>
      <c r="EQ179" s="28" t="str">
        <f>IFERROR(VLOOKUP(EO179,Horarios!$H:$I,2,0),"")</f>
        <v/>
      </c>
      <c r="ER179" s="28" t="str">
        <f>IFERROR(VLOOKUP(EP179,Horarios!$H:$I,2,0),"")</f>
        <v/>
      </c>
      <c r="ES179" s="28" t="str">
        <f t="shared" si="122"/>
        <v>00:00</v>
      </c>
      <c r="ET179" s="29"/>
      <c r="EU179" s="27"/>
      <c r="EV179" s="27"/>
      <c r="EW179" s="28" t="str">
        <f>IFERROR(VLOOKUP(EU179,Horarios!$H:$I,2,0),"")</f>
        <v/>
      </c>
      <c r="EX179" s="28" t="str">
        <f>IFERROR(VLOOKUP(EV179,Horarios!$H:$I,2,0),"")</f>
        <v/>
      </c>
      <c r="EY179" s="28" t="str">
        <f t="shared" si="123"/>
        <v>00:00</v>
      </c>
      <c r="EZ179" s="29"/>
      <c r="FA179" s="27"/>
      <c r="FB179" s="27"/>
      <c r="FC179" s="28" t="str">
        <f>IFERROR(VLOOKUP(FA179,Horarios!$H:$I,2,0),"")</f>
        <v/>
      </c>
      <c r="FD179" s="28" t="str">
        <f>IFERROR(VLOOKUP(FB179,Horarios!$H:$I,2,0),"")</f>
        <v/>
      </c>
      <c r="FE179" s="28" t="str">
        <f t="shared" si="124"/>
        <v>00:00</v>
      </c>
      <c r="FF179" s="29"/>
      <c r="FG179" s="27"/>
      <c r="FH179" s="27"/>
      <c r="FI179" s="28" t="str">
        <f>IFERROR(VLOOKUP(FG179,Horarios!$H:$I,2,0),"")</f>
        <v/>
      </c>
      <c r="FJ179" s="28" t="str">
        <f>IFERROR(VLOOKUP(FH179,Horarios!$H:$I,2,0),"")</f>
        <v/>
      </c>
      <c r="FK179" s="28" t="str">
        <f t="shared" si="125"/>
        <v>00:00</v>
      </c>
      <c r="FL179" s="29"/>
      <c r="FM179" s="27"/>
      <c r="FN179" s="27"/>
      <c r="FO179" s="28" t="str">
        <f>IFERROR(VLOOKUP(FM179,Horarios!$H:$I,2,0),"")</f>
        <v/>
      </c>
      <c r="FP179" s="28" t="str">
        <f>IFERROR(VLOOKUP(FN179,Horarios!$H:$I,2,0),"")</f>
        <v/>
      </c>
      <c r="FQ179" s="28" t="str">
        <f t="shared" si="126"/>
        <v>00:00</v>
      </c>
      <c r="FR179" s="29"/>
      <c r="FS179" s="31" t="str">
        <f t="shared" si="127"/>
        <v/>
      </c>
      <c r="FT179" s="27"/>
      <c r="FU179" s="27"/>
      <c r="FV179" s="28" t="str">
        <f>IFERROR(VLOOKUP(FT179,Horarios!$H:$I,2,0),"")</f>
        <v/>
      </c>
      <c r="FW179" s="28" t="str">
        <f>IFERROR(VLOOKUP(FU179,Horarios!$H:$I,2,0),"")</f>
        <v/>
      </c>
      <c r="FX179" s="28" t="str">
        <f t="shared" si="128"/>
        <v>00:00</v>
      </c>
      <c r="FY179" s="29"/>
      <c r="FZ179" s="27"/>
      <c r="GA179" s="27"/>
      <c r="GB179" s="28" t="str">
        <f>IFERROR(VLOOKUP(FZ179,Horarios!$H:$I,2,0),"")</f>
        <v/>
      </c>
      <c r="GC179" s="28" t="str">
        <f>IFERROR(VLOOKUP(GA179,Horarios!$H:$I,2,0),"")</f>
        <v/>
      </c>
      <c r="GD179" s="28" t="str">
        <f t="shared" si="129"/>
        <v>00:00</v>
      </c>
      <c r="GE179" s="29"/>
      <c r="GF179" s="27"/>
      <c r="GG179" s="27"/>
      <c r="GH179" s="28" t="str">
        <f>IFERROR(VLOOKUP(GF179,Horarios!$H:$I,2,0),"")</f>
        <v/>
      </c>
      <c r="GI179" s="28" t="str">
        <f>IFERROR(VLOOKUP(GG179,Horarios!$H:$I,2,0),"")</f>
        <v/>
      </c>
      <c r="GJ179" s="28" t="str">
        <f t="shared" si="130"/>
        <v>00:00</v>
      </c>
      <c r="GK179" s="29"/>
      <c r="GL179" s="27"/>
      <c r="GM179" s="27"/>
      <c r="GN179" s="28" t="str">
        <f>IFERROR(VLOOKUP(GL179,Horarios!$H:$I,2,0),"")</f>
        <v/>
      </c>
      <c r="GO179" s="28" t="str">
        <f>IFERROR(VLOOKUP(GM179,Horarios!$H:$I,2,0),"")</f>
        <v/>
      </c>
      <c r="GP179" s="28" t="str">
        <f t="shared" si="131"/>
        <v>00:00</v>
      </c>
      <c r="GQ179" s="29"/>
      <c r="GR179" s="27"/>
      <c r="GS179" s="27"/>
      <c r="GT179" s="28" t="str">
        <f>IFERROR(VLOOKUP(GR179,Horarios!$H:$I,2,0),"")</f>
        <v/>
      </c>
      <c r="GU179" s="28" t="str">
        <f>IFERROR(VLOOKUP(GS179,Horarios!$H:$I,2,0),"")</f>
        <v/>
      </c>
      <c r="GV179" s="28" t="str">
        <f t="shared" si="132"/>
        <v>00:00</v>
      </c>
      <c r="GW179" s="29"/>
      <c r="GX179" s="27"/>
      <c r="GY179" s="27"/>
      <c r="GZ179" s="28" t="str">
        <f>IFERROR(VLOOKUP(GX179,Horarios!$H:$I,2,0),"")</f>
        <v/>
      </c>
      <c r="HA179" s="28" t="str">
        <f>IFERROR(VLOOKUP(GY179,Horarios!$H:$I,2,0),"")</f>
        <v/>
      </c>
      <c r="HB179" s="28" t="str">
        <f t="shared" si="133"/>
        <v>00:00</v>
      </c>
      <c r="HC179" s="29"/>
      <c r="HD179" s="27"/>
      <c r="HE179" s="27"/>
      <c r="HF179" s="28" t="str">
        <f>IFERROR(VLOOKUP(HD179,Horarios!$H:$I,2,0),"")</f>
        <v/>
      </c>
      <c r="HG179" s="28" t="str">
        <f>IFERROR(VLOOKUP(HE179,Horarios!$H:$I,2,0),"")</f>
        <v/>
      </c>
      <c r="HH179" s="28" t="str">
        <f t="shared" si="134"/>
        <v>00:00</v>
      </c>
      <c r="HI179" s="29"/>
      <c r="HJ179" s="31" t="str">
        <f t="shared" si="135"/>
        <v/>
      </c>
      <c r="HK179" s="27"/>
      <c r="HL179" s="27"/>
      <c r="HM179" s="28" t="str">
        <f>IFERROR(VLOOKUP(HK179,Horarios!$H:$I,2,0),"")</f>
        <v/>
      </c>
      <c r="HN179" s="28" t="str">
        <f>IFERROR(VLOOKUP(HL179,Horarios!$H:$I,2,0),"")</f>
        <v/>
      </c>
      <c r="HO179" s="28" t="str">
        <f t="shared" si="136"/>
        <v>00:00</v>
      </c>
      <c r="HP179" s="29"/>
      <c r="HQ179" s="27"/>
      <c r="HR179" s="27"/>
      <c r="HS179" s="28" t="str">
        <f>IFERROR(VLOOKUP(HQ179,Horarios!$H:$I,2,0),"")</f>
        <v/>
      </c>
      <c r="HT179" s="28" t="str">
        <f>IFERROR(VLOOKUP(HR179,Horarios!$H:$I,2,0),"")</f>
        <v/>
      </c>
      <c r="HU179" s="28" t="str">
        <f t="shared" si="137"/>
        <v>00:00</v>
      </c>
      <c r="HV179" s="29"/>
      <c r="HW179" s="27"/>
      <c r="HX179" s="27"/>
      <c r="HY179" s="28" t="str">
        <f>IFERROR(VLOOKUP(HW179,Horarios!$H:$I,2,0),"")</f>
        <v/>
      </c>
      <c r="HZ179" s="28" t="str">
        <f>IFERROR(VLOOKUP(HX179,Horarios!$H:$I,2,0),"")</f>
        <v/>
      </c>
      <c r="IA179" s="28" t="str">
        <f t="shared" si="138"/>
        <v>00:00</v>
      </c>
      <c r="IB179" s="29"/>
      <c r="IC179" s="27"/>
      <c r="ID179" s="27"/>
      <c r="IE179" s="28" t="str">
        <f>IFERROR(VLOOKUP(IC179,Horarios!$H:$I,2,0),"")</f>
        <v/>
      </c>
      <c r="IF179" s="28" t="str">
        <f>IFERROR(VLOOKUP(ID179,Horarios!$H:$I,2,0),"")</f>
        <v/>
      </c>
      <c r="IG179" s="28" t="str">
        <f t="shared" si="139"/>
        <v>00:00</v>
      </c>
      <c r="IH179" s="29"/>
      <c r="II179" s="27"/>
      <c r="IJ179" s="27"/>
      <c r="IK179" s="28" t="str">
        <f>IFERROR(VLOOKUP(II179,Horarios!$H:$I,2,0),"")</f>
        <v/>
      </c>
      <c r="IL179" s="28" t="str">
        <f>IFERROR(VLOOKUP(IJ179,Horarios!$H:$I,2,0),"")</f>
        <v/>
      </c>
      <c r="IM179" s="28" t="str">
        <f t="shared" si="140"/>
        <v>00:00</v>
      </c>
      <c r="IN179" s="29"/>
      <c r="IO179" s="27"/>
      <c r="IP179" s="27"/>
      <c r="IQ179" s="28" t="str">
        <f>IFERROR(VLOOKUP(IO179,Horarios!$H:$I,2,0),"")</f>
        <v/>
      </c>
      <c r="IR179" s="28" t="str">
        <f>IFERROR(VLOOKUP(IP179,Horarios!$H:$I,2,0),"")</f>
        <v/>
      </c>
      <c r="IS179" s="28" t="str">
        <f t="shared" si="141"/>
        <v>00:00</v>
      </c>
      <c r="IT179" s="29"/>
      <c r="IU179" s="27"/>
      <c r="IV179" s="27"/>
      <c r="IW179" s="28" t="str">
        <f>IFERROR(VLOOKUP(IU179,Horarios!$H:$I,2,0),"")</f>
        <v/>
      </c>
      <c r="IX179" s="28" t="str">
        <f>IFERROR(VLOOKUP(IV179,Horarios!$H:$I,2,0),"")</f>
        <v/>
      </c>
      <c r="IY179" s="28" t="str">
        <f t="shared" si="142"/>
        <v>00:00</v>
      </c>
      <c r="IZ179" s="29"/>
      <c r="JA179" s="31" t="str">
        <f t="shared" si="143"/>
        <v/>
      </c>
    </row>
    <row r="180" spans="1:261" s="24" customFormat="1" ht="17.399999999999999" x14ac:dyDescent="0.25">
      <c r="A180" s="25"/>
      <c r="B180" s="26" t="str">
        <f>IFERROR(VLOOKUP(A180,BaseNombres!A:B,2,0),"")</f>
        <v/>
      </c>
      <c r="C180" s="26" t="str">
        <f>IFERROR(VLOOKUP(A180,BaseNombres!A:C,3,0),"")</f>
        <v/>
      </c>
      <c r="D180" s="27"/>
      <c r="E180" s="27"/>
      <c r="F180" s="28" t="str">
        <f>IFERROR(VLOOKUP(D180,Horarios!$H:$I,2,0),"")</f>
        <v/>
      </c>
      <c r="G180" s="28" t="str">
        <f>IFERROR(VLOOKUP(E180,Horarios!$H:$I,2,0),"")</f>
        <v/>
      </c>
      <c r="H180" s="28" t="str">
        <f t="shared" si="96"/>
        <v>00:00</v>
      </c>
      <c r="I180" s="29"/>
      <c r="J180" s="27"/>
      <c r="K180" s="27"/>
      <c r="L180" s="28" t="str">
        <f>IFERROR(VLOOKUP(J180,Horarios!$H:$I,2,0),"")</f>
        <v/>
      </c>
      <c r="M180" s="28" t="str">
        <f>IFERROR(VLOOKUP(K180,Horarios!$H:$I,2,0),"")</f>
        <v/>
      </c>
      <c r="N180" s="28" t="str">
        <f t="shared" si="97"/>
        <v>00:00</v>
      </c>
      <c r="O180" s="29"/>
      <c r="P180" s="27"/>
      <c r="Q180" s="27"/>
      <c r="R180" s="28" t="str">
        <f>IFERROR(VLOOKUP(P180,Horarios!$H:$I,2,0),"")</f>
        <v/>
      </c>
      <c r="S180" s="28" t="str">
        <f>IFERROR(VLOOKUP(Q180,Horarios!$H:$I,2,0),"")</f>
        <v/>
      </c>
      <c r="T180" s="28" t="str">
        <f t="shared" si="98"/>
        <v>00:00</v>
      </c>
      <c r="U180" s="29"/>
      <c r="V180" s="27"/>
      <c r="W180" s="27"/>
      <c r="X180" s="28" t="str">
        <f>IFERROR(VLOOKUP(V180,Horarios!$H:$I,2,0),"")</f>
        <v/>
      </c>
      <c r="Y180" s="28" t="str">
        <f>IFERROR(VLOOKUP(W180,Horarios!$H:$I,2,0),"")</f>
        <v/>
      </c>
      <c r="Z180" s="28" t="str">
        <f t="shared" si="99"/>
        <v>00:00</v>
      </c>
      <c r="AA180" s="29"/>
      <c r="AB180" s="27"/>
      <c r="AC180" s="27"/>
      <c r="AD180" s="28" t="str">
        <f>IFERROR(VLOOKUP(AB180,Horarios!$H:$I,2,0),"")</f>
        <v/>
      </c>
      <c r="AE180" s="28" t="str">
        <f>IFERROR(VLOOKUP(AC180,Horarios!$H:$I,2,0),"")</f>
        <v/>
      </c>
      <c r="AF180" s="28" t="str">
        <f t="shared" si="100"/>
        <v>00:00</v>
      </c>
      <c r="AG180" s="29"/>
      <c r="AH180" s="27"/>
      <c r="AI180" s="27"/>
      <c r="AJ180" s="28" t="str">
        <f>IFERROR(VLOOKUP(AH180,Horarios!$H:$I,2,0),"")</f>
        <v/>
      </c>
      <c r="AK180" s="28" t="str">
        <f>IFERROR(VLOOKUP(AI180,Horarios!$H:$I,2,0),"")</f>
        <v/>
      </c>
      <c r="AL180" s="28" t="str">
        <f t="shared" si="101"/>
        <v>00:00</v>
      </c>
      <c r="AM180" s="29"/>
      <c r="AN180" s="27"/>
      <c r="AO180" s="27"/>
      <c r="AP180" s="28" t="str">
        <f>IFERROR(VLOOKUP(AN180,Horarios!$H:$I,2,0),"")</f>
        <v/>
      </c>
      <c r="AQ180" s="28" t="str">
        <f>IFERROR(VLOOKUP(AO180,Horarios!$H:$I,2,0),"")</f>
        <v/>
      </c>
      <c r="AR180" s="28" t="str">
        <f t="shared" si="102"/>
        <v>00:00</v>
      </c>
      <c r="AS180" s="29"/>
      <c r="AT180" s="31" t="str">
        <f t="shared" si="103"/>
        <v/>
      </c>
      <c r="AU180" s="27"/>
      <c r="AV180" s="27"/>
      <c r="AW180" s="28" t="str">
        <f>IFERROR(VLOOKUP(AU180,Horarios!$H:$I,2,0),"")</f>
        <v/>
      </c>
      <c r="AX180" s="28" t="str">
        <f>IFERROR(VLOOKUP(AV180,Horarios!$H:$I,2,0),"")</f>
        <v/>
      </c>
      <c r="AY180" s="28" t="str">
        <f t="shared" si="104"/>
        <v>00:00</v>
      </c>
      <c r="AZ180" s="29"/>
      <c r="BA180" s="27"/>
      <c r="BB180" s="27"/>
      <c r="BC180" s="28" t="str">
        <f>IFERROR(VLOOKUP(BA180,Horarios!$H:$I,2,0),"")</f>
        <v/>
      </c>
      <c r="BD180" s="28" t="str">
        <f>IFERROR(VLOOKUP(BB180,Horarios!$H:$I,2,0),"")</f>
        <v/>
      </c>
      <c r="BE180" s="28" t="str">
        <f t="shared" si="105"/>
        <v>00:00</v>
      </c>
      <c r="BF180" s="29"/>
      <c r="BG180" s="27"/>
      <c r="BH180" s="27"/>
      <c r="BI180" s="28" t="str">
        <f>IFERROR(VLOOKUP(BG180,Horarios!$H:$I,2,0),"")</f>
        <v/>
      </c>
      <c r="BJ180" s="28" t="str">
        <f>IFERROR(VLOOKUP(BH180,Horarios!$H:$I,2,0),"")</f>
        <v/>
      </c>
      <c r="BK180" s="28" t="str">
        <f t="shared" si="106"/>
        <v>00:00</v>
      </c>
      <c r="BL180" s="29"/>
      <c r="BM180" s="27"/>
      <c r="BN180" s="27"/>
      <c r="BO180" s="28" t="str">
        <f>IFERROR(VLOOKUP(BM180,Horarios!$H:$I,2,0),"")</f>
        <v/>
      </c>
      <c r="BP180" s="28" t="str">
        <f>IFERROR(VLOOKUP(BN180,Horarios!$H:$I,2,0),"")</f>
        <v/>
      </c>
      <c r="BQ180" s="28" t="str">
        <f t="shared" si="107"/>
        <v>00:00</v>
      </c>
      <c r="BR180" s="29"/>
      <c r="BS180" s="27"/>
      <c r="BT180" s="27"/>
      <c r="BU180" s="28" t="str">
        <f>IFERROR(VLOOKUP(BS180,Horarios!$H:$I,2,0),"")</f>
        <v/>
      </c>
      <c r="BV180" s="28" t="str">
        <f>IFERROR(VLOOKUP(BT180,Horarios!$H:$I,2,0),"")</f>
        <v/>
      </c>
      <c r="BW180" s="28" t="str">
        <f t="shared" si="108"/>
        <v>00:00</v>
      </c>
      <c r="BX180" s="29"/>
      <c r="BY180" s="27"/>
      <c r="BZ180" s="27"/>
      <c r="CA180" s="28" t="str">
        <f>IFERROR(VLOOKUP(BY180,Horarios!$H:$I,2,0),"")</f>
        <v/>
      </c>
      <c r="CB180" s="28" t="str">
        <f>IFERROR(VLOOKUP(BZ180,Horarios!$H:$I,2,0),"")</f>
        <v/>
      </c>
      <c r="CC180" s="28" t="str">
        <f t="shared" si="109"/>
        <v>00:00</v>
      </c>
      <c r="CD180" s="29"/>
      <c r="CE180" s="27"/>
      <c r="CF180" s="27"/>
      <c r="CG180" s="28" t="str">
        <f>IFERROR(VLOOKUP(CE180,Horarios!$H:$I,2,0),"")</f>
        <v/>
      </c>
      <c r="CH180" s="28" t="str">
        <f>IFERROR(VLOOKUP(CF180,Horarios!$H:$I,2,0),"")</f>
        <v/>
      </c>
      <c r="CI180" s="28" t="str">
        <f t="shared" si="110"/>
        <v>00:00</v>
      </c>
      <c r="CJ180" s="29"/>
      <c r="CK180" s="31" t="str">
        <f t="shared" si="111"/>
        <v/>
      </c>
      <c r="CL180" s="27"/>
      <c r="CM180" s="27"/>
      <c r="CN180" s="28" t="str">
        <f>IFERROR(VLOOKUP(CL180,Horarios!$H:$I,2,0),"")</f>
        <v/>
      </c>
      <c r="CO180" s="28" t="str">
        <f>IFERROR(VLOOKUP(CM180,Horarios!$H:$I,2,0),"")</f>
        <v/>
      </c>
      <c r="CP180" s="28" t="str">
        <f t="shared" si="112"/>
        <v>00:00</v>
      </c>
      <c r="CQ180" s="29"/>
      <c r="CR180" s="27"/>
      <c r="CS180" s="27"/>
      <c r="CT180" s="28" t="str">
        <f>IFERROR(VLOOKUP(CR180,Horarios!$H:$I,2,0),"")</f>
        <v/>
      </c>
      <c r="CU180" s="28" t="str">
        <f>IFERROR(VLOOKUP(CS180,Horarios!$H:$I,2,0),"")</f>
        <v/>
      </c>
      <c r="CV180" s="28" t="str">
        <f t="shared" si="113"/>
        <v>00:00</v>
      </c>
      <c r="CW180" s="29"/>
      <c r="CX180" s="27"/>
      <c r="CY180" s="27"/>
      <c r="CZ180" s="28" t="str">
        <f>IFERROR(VLOOKUP(CX180,Horarios!$H:$I,2,0),"")</f>
        <v/>
      </c>
      <c r="DA180" s="28" t="str">
        <f>IFERROR(VLOOKUP(CY180,Horarios!$H:$I,2,0),"")</f>
        <v/>
      </c>
      <c r="DB180" s="28" t="str">
        <f t="shared" si="114"/>
        <v>00:00</v>
      </c>
      <c r="DC180" s="29"/>
      <c r="DD180" s="27"/>
      <c r="DE180" s="27"/>
      <c r="DF180" s="28" t="str">
        <f>IFERROR(VLOOKUP(DD180,Horarios!$H:$I,2,0),"")</f>
        <v/>
      </c>
      <c r="DG180" s="28" t="str">
        <f>IFERROR(VLOOKUP(DE180,Horarios!$H:$I,2,0),"")</f>
        <v/>
      </c>
      <c r="DH180" s="28" t="str">
        <f t="shared" si="115"/>
        <v>00:00</v>
      </c>
      <c r="DI180" s="29"/>
      <c r="DJ180" s="27"/>
      <c r="DK180" s="27"/>
      <c r="DL180" s="28" t="str">
        <f>IFERROR(VLOOKUP(DJ180,Horarios!$H:$I,2,0),"")</f>
        <v/>
      </c>
      <c r="DM180" s="28" t="str">
        <f>IFERROR(VLOOKUP(DK180,Horarios!$H:$I,2,0),"")</f>
        <v/>
      </c>
      <c r="DN180" s="28" t="str">
        <f t="shared" si="116"/>
        <v>00:00</v>
      </c>
      <c r="DO180" s="29"/>
      <c r="DP180" s="27"/>
      <c r="DQ180" s="27"/>
      <c r="DR180" s="28" t="str">
        <f>IFERROR(VLOOKUP(DP180,Horarios!$H:$I,2,0),"")</f>
        <v/>
      </c>
      <c r="DS180" s="28" t="str">
        <f>IFERROR(VLOOKUP(DQ180,Horarios!$H:$I,2,0),"")</f>
        <v/>
      </c>
      <c r="DT180" s="28" t="str">
        <f t="shared" si="117"/>
        <v>00:00</v>
      </c>
      <c r="DU180" s="29"/>
      <c r="DV180" s="27"/>
      <c r="DW180" s="27"/>
      <c r="DX180" s="28" t="str">
        <f>IFERROR(VLOOKUP(DV180,Horarios!$H:$I,2,0),"")</f>
        <v/>
      </c>
      <c r="DY180" s="28" t="str">
        <f>IFERROR(VLOOKUP(DW180,Horarios!$H:$I,2,0),"")</f>
        <v/>
      </c>
      <c r="DZ180" s="28" t="str">
        <f t="shared" si="118"/>
        <v>00:00</v>
      </c>
      <c r="EA180" s="29"/>
      <c r="EB180" s="31" t="str">
        <f t="shared" si="119"/>
        <v/>
      </c>
      <c r="EC180" s="27"/>
      <c r="ED180" s="27"/>
      <c r="EE180" s="28" t="str">
        <f>IFERROR(VLOOKUP(EC180,Horarios!$H:$I,2,0),"")</f>
        <v/>
      </c>
      <c r="EF180" s="28" t="str">
        <f>IFERROR(VLOOKUP(ED180,Horarios!$H:$I,2,0),"")</f>
        <v/>
      </c>
      <c r="EG180" s="28" t="str">
        <f t="shared" si="120"/>
        <v>00:00</v>
      </c>
      <c r="EH180" s="29"/>
      <c r="EI180" s="27"/>
      <c r="EJ180" s="27"/>
      <c r="EK180" s="28" t="str">
        <f>IFERROR(VLOOKUP(EI180,Horarios!$H:$I,2,0),"")</f>
        <v/>
      </c>
      <c r="EL180" s="28" t="str">
        <f>IFERROR(VLOOKUP(EJ180,Horarios!$H:$I,2,0),"")</f>
        <v/>
      </c>
      <c r="EM180" s="28" t="str">
        <f t="shared" si="121"/>
        <v>00:00</v>
      </c>
      <c r="EN180" s="29"/>
      <c r="EO180" s="27"/>
      <c r="EP180" s="27"/>
      <c r="EQ180" s="28" t="str">
        <f>IFERROR(VLOOKUP(EO180,Horarios!$H:$I,2,0),"")</f>
        <v/>
      </c>
      <c r="ER180" s="28" t="str">
        <f>IFERROR(VLOOKUP(EP180,Horarios!$H:$I,2,0),"")</f>
        <v/>
      </c>
      <c r="ES180" s="28" t="str">
        <f t="shared" si="122"/>
        <v>00:00</v>
      </c>
      <c r="ET180" s="29"/>
      <c r="EU180" s="27"/>
      <c r="EV180" s="27"/>
      <c r="EW180" s="28" t="str">
        <f>IFERROR(VLOOKUP(EU180,Horarios!$H:$I,2,0),"")</f>
        <v/>
      </c>
      <c r="EX180" s="28" t="str">
        <f>IFERROR(VLOOKUP(EV180,Horarios!$H:$I,2,0),"")</f>
        <v/>
      </c>
      <c r="EY180" s="28" t="str">
        <f t="shared" si="123"/>
        <v>00:00</v>
      </c>
      <c r="EZ180" s="29"/>
      <c r="FA180" s="27"/>
      <c r="FB180" s="27"/>
      <c r="FC180" s="28" t="str">
        <f>IFERROR(VLOOKUP(FA180,Horarios!$H:$I,2,0),"")</f>
        <v/>
      </c>
      <c r="FD180" s="28" t="str">
        <f>IFERROR(VLOOKUP(FB180,Horarios!$H:$I,2,0),"")</f>
        <v/>
      </c>
      <c r="FE180" s="28" t="str">
        <f t="shared" si="124"/>
        <v>00:00</v>
      </c>
      <c r="FF180" s="29"/>
      <c r="FG180" s="27"/>
      <c r="FH180" s="27"/>
      <c r="FI180" s="28" t="str">
        <f>IFERROR(VLOOKUP(FG180,Horarios!$H:$I,2,0),"")</f>
        <v/>
      </c>
      <c r="FJ180" s="28" t="str">
        <f>IFERROR(VLOOKUP(FH180,Horarios!$H:$I,2,0),"")</f>
        <v/>
      </c>
      <c r="FK180" s="28" t="str">
        <f t="shared" si="125"/>
        <v>00:00</v>
      </c>
      <c r="FL180" s="29"/>
      <c r="FM180" s="27"/>
      <c r="FN180" s="27"/>
      <c r="FO180" s="28" t="str">
        <f>IFERROR(VLOOKUP(FM180,Horarios!$H:$I,2,0),"")</f>
        <v/>
      </c>
      <c r="FP180" s="28" t="str">
        <f>IFERROR(VLOOKUP(FN180,Horarios!$H:$I,2,0),"")</f>
        <v/>
      </c>
      <c r="FQ180" s="28" t="str">
        <f t="shared" si="126"/>
        <v>00:00</v>
      </c>
      <c r="FR180" s="29"/>
      <c r="FS180" s="31" t="str">
        <f t="shared" si="127"/>
        <v/>
      </c>
      <c r="FT180" s="27"/>
      <c r="FU180" s="27"/>
      <c r="FV180" s="28" t="str">
        <f>IFERROR(VLOOKUP(FT180,Horarios!$H:$I,2,0),"")</f>
        <v/>
      </c>
      <c r="FW180" s="28" t="str">
        <f>IFERROR(VLOOKUP(FU180,Horarios!$H:$I,2,0),"")</f>
        <v/>
      </c>
      <c r="FX180" s="28" t="str">
        <f t="shared" si="128"/>
        <v>00:00</v>
      </c>
      <c r="FY180" s="29"/>
      <c r="FZ180" s="27"/>
      <c r="GA180" s="27"/>
      <c r="GB180" s="28" t="str">
        <f>IFERROR(VLOOKUP(FZ180,Horarios!$H:$I,2,0),"")</f>
        <v/>
      </c>
      <c r="GC180" s="28" t="str">
        <f>IFERROR(VLOOKUP(GA180,Horarios!$H:$I,2,0),"")</f>
        <v/>
      </c>
      <c r="GD180" s="28" t="str">
        <f t="shared" si="129"/>
        <v>00:00</v>
      </c>
      <c r="GE180" s="29"/>
      <c r="GF180" s="27"/>
      <c r="GG180" s="27"/>
      <c r="GH180" s="28" t="str">
        <f>IFERROR(VLOOKUP(GF180,Horarios!$H:$I,2,0),"")</f>
        <v/>
      </c>
      <c r="GI180" s="28" t="str">
        <f>IFERROR(VLOOKUP(GG180,Horarios!$H:$I,2,0),"")</f>
        <v/>
      </c>
      <c r="GJ180" s="28" t="str">
        <f t="shared" si="130"/>
        <v>00:00</v>
      </c>
      <c r="GK180" s="29"/>
      <c r="GL180" s="27"/>
      <c r="GM180" s="27"/>
      <c r="GN180" s="28" t="str">
        <f>IFERROR(VLOOKUP(GL180,Horarios!$H:$I,2,0),"")</f>
        <v/>
      </c>
      <c r="GO180" s="28" t="str">
        <f>IFERROR(VLOOKUP(GM180,Horarios!$H:$I,2,0),"")</f>
        <v/>
      </c>
      <c r="GP180" s="28" t="str">
        <f t="shared" si="131"/>
        <v>00:00</v>
      </c>
      <c r="GQ180" s="29"/>
      <c r="GR180" s="27"/>
      <c r="GS180" s="27"/>
      <c r="GT180" s="28" t="str">
        <f>IFERROR(VLOOKUP(GR180,Horarios!$H:$I,2,0),"")</f>
        <v/>
      </c>
      <c r="GU180" s="28" t="str">
        <f>IFERROR(VLOOKUP(GS180,Horarios!$H:$I,2,0),"")</f>
        <v/>
      </c>
      <c r="GV180" s="28" t="str">
        <f t="shared" si="132"/>
        <v>00:00</v>
      </c>
      <c r="GW180" s="29"/>
      <c r="GX180" s="27"/>
      <c r="GY180" s="27"/>
      <c r="GZ180" s="28" t="str">
        <f>IFERROR(VLOOKUP(GX180,Horarios!$H:$I,2,0),"")</f>
        <v/>
      </c>
      <c r="HA180" s="28" t="str">
        <f>IFERROR(VLOOKUP(GY180,Horarios!$H:$I,2,0),"")</f>
        <v/>
      </c>
      <c r="HB180" s="28" t="str">
        <f t="shared" si="133"/>
        <v>00:00</v>
      </c>
      <c r="HC180" s="29"/>
      <c r="HD180" s="27"/>
      <c r="HE180" s="27"/>
      <c r="HF180" s="28" t="str">
        <f>IFERROR(VLOOKUP(HD180,Horarios!$H:$I,2,0),"")</f>
        <v/>
      </c>
      <c r="HG180" s="28" t="str">
        <f>IFERROR(VLOOKUP(HE180,Horarios!$H:$I,2,0),"")</f>
        <v/>
      </c>
      <c r="HH180" s="28" t="str">
        <f t="shared" si="134"/>
        <v>00:00</v>
      </c>
      <c r="HI180" s="29"/>
      <c r="HJ180" s="31" t="str">
        <f t="shared" si="135"/>
        <v/>
      </c>
      <c r="HK180" s="27"/>
      <c r="HL180" s="27"/>
      <c r="HM180" s="28" t="str">
        <f>IFERROR(VLOOKUP(HK180,Horarios!$H:$I,2,0),"")</f>
        <v/>
      </c>
      <c r="HN180" s="28" t="str">
        <f>IFERROR(VLOOKUP(HL180,Horarios!$H:$I,2,0),"")</f>
        <v/>
      </c>
      <c r="HO180" s="28" t="str">
        <f t="shared" si="136"/>
        <v>00:00</v>
      </c>
      <c r="HP180" s="29"/>
      <c r="HQ180" s="27"/>
      <c r="HR180" s="27"/>
      <c r="HS180" s="28" t="str">
        <f>IFERROR(VLOOKUP(HQ180,Horarios!$H:$I,2,0),"")</f>
        <v/>
      </c>
      <c r="HT180" s="28" t="str">
        <f>IFERROR(VLOOKUP(HR180,Horarios!$H:$I,2,0),"")</f>
        <v/>
      </c>
      <c r="HU180" s="28" t="str">
        <f t="shared" si="137"/>
        <v>00:00</v>
      </c>
      <c r="HV180" s="29"/>
      <c r="HW180" s="27"/>
      <c r="HX180" s="27"/>
      <c r="HY180" s="28" t="str">
        <f>IFERROR(VLOOKUP(HW180,Horarios!$H:$I,2,0),"")</f>
        <v/>
      </c>
      <c r="HZ180" s="28" t="str">
        <f>IFERROR(VLOOKUP(HX180,Horarios!$H:$I,2,0),"")</f>
        <v/>
      </c>
      <c r="IA180" s="28" t="str">
        <f t="shared" si="138"/>
        <v>00:00</v>
      </c>
      <c r="IB180" s="29"/>
      <c r="IC180" s="27"/>
      <c r="ID180" s="27"/>
      <c r="IE180" s="28" t="str">
        <f>IFERROR(VLOOKUP(IC180,Horarios!$H:$I,2,0),"")</f>
        <v/>
      </c>
      <c r="IF180" s="28" t="str">
        <f>IFERROR(VLOOKUP(ID180,Horarios!$H:$I,2,0),"")</f>
        <v/>
      </c>
      <c r="IG180" s="28" t="str">
        <f t="shared" si="139"/>
        <v>00:00</v>
      </c>
      <c r="IH180" s="29"/>
      <c r="II180" s="27"/>
      <c r="IJ180" s="27"/>
      <c r="IK180" s="28" t="str">
        <f>IFERROR(VLOOKUP(II180,Horarios!$H:$I,2,0),"")</f>
        <v/>
      </c>
      <c r="IL180" s="28" t="str">
        <f>IFERROR(VLOOKUP(IJ180,Horarios!$H:$I,2,0),"")</f>
        <v/>
      </c>
      <c r="IM180" s="28" t="str">
        <f t="shared" si="140"/>
        <v>00:00</v>
      </c>
      <c r="IN180" s="29"/>
      <c r="IO180" s="27"/>
      <c r="IP180" s="27"/>
      <c r="IQ180" s="28" t="str">
        <f>IFERROR(VLOOKUP(IO180,Horarios!$H:$I,2,0),"")</f>
        <v/>
      </c>
      <c r="IR180" s="28" t="str">
        <f>IFERROR(VLOOKUP(IP180,Horarios!$H:$I,2,0),"")</f>
        <v/>
      </c>
      <c r="IS180" s="28" t="str">
        <f t="shared" si="141"/>
        <v>00:00</v>
      </c>
      <c r="IT180" s="29"/>
      <c r="IU180" s="27"/>
      <c r="IV180" s="27"/>
      <c r="IW180" s="28" t="str">
        <f>IFERROR(VLOOKUP(IU180,Horarios!$H:$I,2,0),"")</f>
        <v/>
      </c>
      <c r="IX180" s="28" t="str">
        <f>IFERROR(VLOOKUP(IV180,Horarios!$H:$I,2,0),"")</f>
        <v/>
      </c>
      <c r="IY180" s="28" t="str">
        <f t="shared" si="142"/>
        <v>00:00</v>
      </c>
      <c r="IZ180" s="29"/>
      <c r="JA180" s="31" t="str">
        <f t="shared" si="143"/>
        <v/>
      </c>
    </row>
    <row r="181" spans="1:261" s="24" customFormat="1" ht="17.399999999999999" x14ac:dyDescent="0.25">
      <c r="A181" s="25"/>
      <c r="B181" s="26" t="str">
        <f>IFERROR(VLOOKUP(A181,BaseNombres!A:B,2,0),"")</f>
        <v/>
      </c>
      <c r="C181" s="26" t="str">
        <f>IFERROR(VLOOKUP(A181,BaseNombres!A:C,3,0),"")</f>
        <v/>
      </c>
      <c r="D181" s="27"/>
      <c r="E181" s="27"/>
      <c r="F181" s="28" t="str">
        <f>IFERROR(VLOOKUP(D181,Horarios!$H:$I,2,0),"")</f>
        <v/>
      </c>
      <c r="G181" s="28" t="str">
        <f>IFERROR(VLOOKUP(E181,Horarios!$H:$I,2,0),"")</f>
        <v/>
      </c>
      <c r="H181" s="28" t="str">
        <f t="shared" si="96"/>
        <v>00:00</v>
      </c>
      <c r="I181" s="29"/>
      <c r="J181" s="27"/>
      <c r="K181" s="27"/>
      <c r="L181" s="28" t="str">
        <f>IFERROR(VLOOKUP(J181,Horarios!$H:$I,2,0),"")</f>
        <v/>
      </c>
      <c r="M181" s="28" t="str">
        <f>IFERROR(VLOOKUP(K181,Horarios!$H:$I,2,0),"")</f>
        <v/>
      </c>
      <c r="N181" s="28" t="str">
        <f t="shared" si="97"/>
        <v>00:00</v>
      </c>
      <c r="O181" s="29"/>
      <c r="P181" s="27"/>
      <c r="Q181" s="27"/>
      <c r="R181" s="28" t="str">
        <f>IFERROR(VLOOKUP(P181,Horarios!$H:$I,2,0),"")</f>
        <v/>
      </c>
      <c r="S181" s="28" t="str">
        <f>IFERROR(VLOOKUP(Q181,Horarios!$H:$I,2,0),"")</f>
        <v/>
      </c>
      <c r="T181" s="28" t="str">
        <f t="shared" si="98"/>
        <v>00:00</v>
      </c>
      <c r="U181" s="29"/>
      <c r="V181" s="27"/>
      <c r="W181" s="27"/>
      <c r="X181" s="28" t="str">
        <f>IFERROR(VLOOKUP(V181,Horarios!$H:$I,2,0),"")</f>
        <v/>
      </c>
      <c r="Y181" s="28" t="str">
        <f>IFERROR(VLOOKUP(W181,Horarios!$H:$I,2,0),"")</f>
        <v/>
      </c>
      <c r="Z181" s="28" t="str">
        <f t="shared" si="99"/>
        <v>00:00</v>
      </c>
      <c r="AA181" s="29"/>
      <c r="AB181" s="27"/>
      <c r="AC181" s="27"/>
      <c r="AD181" s="28" t="str">
        <f>IFERROR(VLOOKUP(AB181,Horarios!$H:$I,2,0),"")</f>
        <v/>
      </c>
      <c r="AE181" s="28" t="str">
        <f>IFERROR(VLOOKUP(AC181,Horarios!$H:$I,2,0),"")</f>
        <v/>
      </c>
      <c r="AF181" s="28" t="str">
        <f t="shared" si="100"/>
        <v>00:00</v>
      </c>
      <c r="AG181" s="29"/>
      <c r="AH181" s="27"/>
      <c r="AI181" s="27"/>
      <c r="AJ181" s="28" t="str">
        <f>IFERROR(VLOOKUP(AH181,Horarios!$H:$I,2,0),"")</f>
        <v/>
      </c>
      <c r="AK181" s="28" t="str">
        <f>IFERROR(VLOOKUP(AI181,Horarios!$H:$I,2,0),"")</f>
        <v/>
      </c>
      <c r="AL181" s="28" t="str">
        <f t="shared" si="101"/>
        <v>00:00</v>
      </c>
      <c r="AM181" s="29"/>
      <c r="AN181" s="27"/>
      <c r="AO181" s="27"/>
      <c r="AP181" s="28" t="str">
        <f>IFERROR(VLOOKUP(AN181,Horarios!$H:$I,2,0),"")</f>
        <v/>
      </c>
      <c r="AQ181" s="28" t="str">
        <f>IFERROR(VLOOKUP(AO181,Horarios!$H:$I,2,0),"")</f>
        <v/>
      </c>
      <c r="AR181" s="28" t="str">
        <f t="shared" si="102"/>
        <v>00:00</v>
      </c>
      <c r="AS181" s="29"/>
      <c r="AT181" s="31" t="str">
        <f t="shared" si="103"/>
        <v/>
      </c>
      <c r="AU181" s="27"/>
      <c r="AV181" s="27"/>
      <c r="AW181" s="28" t="str">
        <f>IFERROR(VLOOKUP(AU181,Horarios!$H:$I,2,0),"")</f>
        <v/>
      </c>
      <c r="AX181" s="28" t="str">
        <f>IFERROR(VLOOKUP(AV181,Horarios!$H:$I,2,0),"")</f>
        <v/>
      </c>
      <c r="AY181" s="28" t="str">
        <f t="shared" si="104"/>
        <v>00:00</v>
      </c>
      <c r="AZ181" s="29"/>
      <c r="BA181" s="27"/>
      <c r="BB181" s="27"/>
      <c r="BC181" s="28" t="str">
        <f>IFERROR(VLOOKUP(BA181,Horarios!$H:$I,2,0),"")</f>
        <v/>
      </c>
      <c r="BD181" s="28" t="str">
        <f>IFERROR(VLOOKUP(BB181,Horarios!$H:$I,2,0),"")</f>
        <v/>
      </c>
      <c r="BE181" s="28" t="str">
        <f t="shared" si="105"/>
        <v>00:00</v>
      </c>
      <c r="BF181" s="29"/>
      <c r="BG181" s="27"/>
      <c r="BH181" s="27"/>
      <c r="BI181" s="28" t="str">
        <f>IFERROR(VLOOKUP(BG181,Horarios!$H:$I,2,0),"")</f>
        <v/>
      </c>
      <c r="BJ181" s="28" t="str">
        <f>IFERROR(VLOOKUP(BH181,Horarios!$H:$I,2,0),"")</f>
        <v/>
      </c>
      <c r="BK181" s="28" t="str">
        <f t="shared" si="106"/>
        <v>00:00</v>
      </c>
      <c r="BL181" s="29"/>
      <c r="BM181" s="27"/>
      <c r="BN181" s="27"/>
      <c r="BO181" s="28" t="str">
        <f>IFERROR(VLOOKUP(BM181,Horarios!$H:$I,2,0),"")</f>
        <v/>
      </c>
      <c r="BP181" s="28" t="str">
        <f>IFERROR(VLOOKUP(BN181,Horarios!$H:$I,2,0),"")</f>
        <v/>
      </c>
      <c r="BQ181" s="28" t="str">
        <f t="shared" si="107"/>
        <v>00:00</v>
      </c>
      <c r="BR181" s="29"/>
      <c r="BS181" s="27"/>
      <c r="BT181" s="27"/>
      <c r="BU181" s="28" t="str">
        <f>IFERROR(VLOOKUP(BS181,Horarios!$H:$I,2,0),"")</f>
        <v/>
      </c>
      <c r="BV181" s="28" t="str">
        <f>IFERROR(VLOOKUP(BT181,Horarios!$H:$I,2,0),"")</f>
        <v/>
      </c>
      <c r="BW181" s="28" t="str">
        <f t="shared" si="108"/>
        <v>00:00</v>
      </c>
      <c r="BX181" s="29"/>
      <c r="BY181" s="27"/>
      <c r="BZ181" s="27"/>
      <c r="CA181" s="28" t="str">
        <f>IFERROR(VLOOKUP(BY181,Horarios!$H:$I,2,0),"")</f>
        <v/>
      </c>
      <c r="CB181" s="28" t="str">
        <f>IFERROR(VLOOKUP(BZ181,Horarios!$H:$I,2,0),"")</f>
        <v/>
      </c>
      <c r="CC181" s="28" t="str">
        <f t="shared" si="109"/>
        <v>00:00</v>
      </c>
      <c r="CD181" s="29"/>
      <c r="CE181" s="27"/>
      <c r="CF181" s="27"/>
      <c r="CG181" s="28" t="str">
        <f>IFERROR(VLOOKUP(CE181,Horarios!$H:$I,2,0),"")</f>
        <v/>
      </c>
      <c r="CH181" s="28" t="str">
        <f>IFERROR(VLOOKUP(CF181,Horarios!$H:$I,2,0),"")</f>
        <v/>
      </c>
      <c r="CI181" s="28" t="str">
        <f t="shared" si="110"/>
        <v>00:00</v>
      </c>
      <c r="CJ181" s="29"/>
      <c r="CK181" s="31" t="str">
        <f t="shared" si="111"/>
        <v/>
      </c>
      <c r="CL181" s="27"/>
      <c r="CM181" s="27"/>
      <c r="CN181" s="28" t="str">
        <f>IFERROR(VLOOKUP(CL181,Horarios!$H:$I,2,0),"")</f>
        <v/>
      </c>
      <c r="CO181" s="28" t="str">
        <f>IFERROR(VLOOKUP(CM181,Horarios!$H:$I,2,0),"")</f>
        <v/>
      </c>
      <c r="CP181" s="28" t="str">
        <f t="shared" si="112"/>
        <v>00:00</v>
      </c>
      <c r="CQ181" s="29"/>
      <c r="CR181" s="27"/>
      <c r="CS181" s="27"/>
      <c r="CT181" s="28" t="str">
        <f>IFERROR(VLOOKUP(CR181,Horarios!$H:$I,2,0),"")</f>
        <v/>
      </c>
      <c r="CU181" s="28" t="str">
        <f>IFERROR(VLOOKUP(CS181,Horarios!$H:$I,2,0),"")</f>
        <v/>
      </c>
      <c r="CV181" s="28" t="str">
        <f t="shared" si="113"/>
        <v>00:00</v>
      </c>
      <c r="CW181" s="29"/>
      <c r="CX181" s="27"/>
      <c r="CY181" s="27"/>
      <c r="CZ181" s="28" t="str">
        <f>IFERROR(VLOOKUP(CX181,Horarios!$H:$I,2,0),"")</f>
        <v/>
      </c>
      <c r="DA181" s="28" t="str">
        <f>IFERROR(VLOOKUP(CY181,Horarios!$H:$I,2,0),"")</f>
        <v/>
      </c>
      <c r="DB181" s="28" t="str">
        <f t="shared" si="114"/>
        <v>00:00</v>
      </c>
      <c r="DC181" s="29"/>
      <c r="DD181" s="27"/>
      <c r="DE181" s="27"/>
      <c r="DF181" s="28" t="str">
        <f>IFERROR(VLOOKUP(DD181,Horarios!$H:$I,2,0),"")</f>
        <v/>
      </c>
      <c r="DG181" s="28" t="str">
        <f>IFERROR(VLOOKUP(DE181,Horarios!$H:$I,2,0),"")</f>
        <v/>
      </c>
      <c r="DH181" s="28" t="str">
        <f t="shared" si="115"/>
        <v>00:00</v>
      </c>
      <c r="DI181" s="29"/>
      <c r="DJ181" s="27"/>
      <c r="DK181" s="27"/>
      <c r="DL181" s="28" t="str">
        <f>IFERROR(VLOOKUP(DJ181,Horarios!$H:$I,2,0),"")</f>
        <v/>
      </c>
      <c r="DM181" s="28" t="str">
        <f>IFERROR(VLOOKUP(DK181,Horarios!$H:$I,2,0),"")</f>
        <v/>
      </c>
      <c r="DN181" s="28" t="str">
        <f t="shared" si="116"/>
        <v>00:00</v>
      </c>
      <c r="DO181" s="29"/>
      <c r="DP181" s="27"/>
      <c r="DQ181" s="27"/>
      <c r="DR181" s="28" t="str">
        <f>IFERROR(VLOOKUP(DP181,Horarios!$H:$I,2,0),"")</f>
        <v/>
      </c>
      <c r="DS181" s="28" t="str">
        <f>IFERROR(VLOOKUP(DQ181,Horarios!$H:$I,2,0),"")</f>
        <v/>
      </c>
      <c r="DT181" s="28" t="str">
        <f t="shared" si="117"/>
        <v>00:00</v>
      </c>
      <c r="DU181" s="29"/>
      <c r="DV181" s="27"/>
      <c r="DW181" s="27"/>
      <c r="DX181" s="28" t="str">
        <f>IFERROR(VLOOKUP(DV181,Horarios!$H:$I,2,0),"")</f>
        <v/>
      </c>
      <c r="DY181" s="28" t="str">
        <f>IFERROR(VLOOKUP(DW181,Horarios!$H:$I,2,0),"")</f>
        <v/>
      </c>
      <c r="DZ181" s="28" t="str">
        <f t="shared" si="118"/>
        <v>00:00</v>
      </c>
      <c r="EA181" s="29"/>
      <c r="EB181" s="31" t="str">
        <f t="shared" si="119"/>
        <v/>
      </c>
      <c r="EC181" s="27"/>
      <c r="ED181" s="27"/>
      <c r="EE181" s="28" t="str">
        <f>IFERROR(VLOOKUP(EC181,Horarios!$H:$I,2,0),"")</f>
        <v/>
      </c>
      <c r="EF181" s="28" t="str">
        <f>IFERROR(VLOOKUP(ED181,Horarios!$H:$I,2,0),"")</f>
        <v/>
      </c>
      <c r="EG181" s="28" t="str">
        <f t="shared" si="120"/>
        <v>00:00</v>
      </c>
      <c r="EH181" s="29"/>
      <c r="EI181" s="27"/>
      <c r="EJ181" s="27"/>
      <c r="EK181" s="28" t="str">
        <f>IFERROR(VLOOKUP(EI181,Horarios!$H:$I,2,0),"")</f>
        <v/>
      </c>
      <c r="EL181" s="28" t="str">
        <f>IFERROR(VLOOKUP(EJ181,Horarios!$H:$I,2,0),"")</f>
        <v/>
      </c>
      <c r="EM181" s="28" t="str">
        <f t="shared" si="121"/>
        <v>00:00</v>
      </c>
      <c r="EN181" s="29"/>
      <c r="EO181" s="27"/>
      <c r="EP181" s="27"/>
      <c r="EQ181" s="28" t="str">
        <f>IFERROR(VLOOKUP(EO181,Horarios!$H:$I,2,0),"")</f>
        <v/>
      </c>
      <c r="ER181" s="28" t="str">
        <f>IFERROR(VLOOKUP(EP181,Horarios!$H:$I,2,0),"")</f>
        <v/>
      </c>
      <c r="ES181" s="28" t="str">
        <f t="shared" si="122"/>
        <v>00:00</v>
      </c>
      <c r="ET181" s="29"/>
      <c r="EU181" s="27"/>
      <c r="EV181" s="27"/>
      <c r="EW181" s="28" t="str">
        <f>IFERROR(VLOOKUP(EU181,Horarios!$H:$I,2,0),"")</f>
        <v/>
      </c>
      <c r="EX181" s="28" t="str">
        <f>IFERROR(VLOOKUP(EV181,Horarios!$H:$I,2,0),"")</f>
        <v/>
      </c>
      <c r="EY181" s="28" t="str">
        <f t="shared" si="123"/>
        <v>00:00</v>
      </c>
      <c r="EZ181" s="29"/>
      <c r="FA181" s="27"/>
      <c r="FB181" s="27"/>
      <c r="FC181" s="28" t="str">
        <f>IFERROR(VLOOKUP(FA181,Horarios!$H:$I,2,0),"")</f>
        <v/>
      </c>
      <c r="FD181" s="28" t="str">
        <f>IFERROR(VLOOKUP(FB181,Horarios!$H:$I,2,0),"")</f>
        <v/>
      </c>
      <c r="FE181" s="28" t="str">
        <f t="shared" si="124"/>
        <v>00:00</v>
      </c>
      <c r="FF181" s="29"/>
      <c r="FG181" s="27"/>
      <c r="FH181" s="27"/>
      <c r="FI181" s="28" t="str">
        <f>IFERROR(VLOOKUP(FG181,Horarios!$H:$I,2,0),"")</f>
        <v/>
      </c>
      <c r="FJ181" s="28" t="str">
        <f>IFERROR(VLOOKUP(FH181,Horarios!$H:$I,2,0),"")</f>
        <v/>
      </c>
      <c r="FK181" s="28" t="str">
        <f t="shared" si="125"/>
        <v>00:00</v>
      </c>
      <c r="FL181" s="29"/>
      <c r="FM181" s="27"/>
      <c r="FN181" s="27"/>
      <c r="FO181" s="28" t="str">
        <f>IFERROR(VLOOKUP(FM181,Horarios!$H:$I,2,0),"")</f>
        <v/>
      </c>
      <c r="FP181" s="28" t="str">
        <f>IFERROR(VLOOKUP(FN181,Horarios!$H:$I,2,0),"")</f>
        <v/>
      </c>
      <c r="FQ181" s="28" t="str">
        <f t="shared" si="126"/>
        <v>00:00</v>
      </c>
      <c r="FR181" s="29"/>
      <c r="FS181" s="31" t="str">
        <f t="shared" si="127"/>
        <v/>
      </c>
      <c r="FT181" s="27"/>
      <c r="FU181" s="27"/>
      <c r="FV181" s="28" t="str">
        <f>IFERROR(VLOOKUP(FT181,Horarios!$H:$I,2,0),"")</f>
        <v/>
      </c>
      <c r="FW181" s="28" t="str">
        <f>IFERROR(VLOOKUP(FU181,Horarios!$H:$I,2,0),"")</f>
        <v/>
      </c>
      <c r="FX181" s="28" t="str">
        <f t="shared" si="128"/>
        <v>00:00</v>
      </c>
      <c r="FY181" s="29"/>
      <c r="FZ181" s="27"/>
      <c r="GA181" s="27"/>
      <c r="GB181" s="28" t="str">
        <f>IFERROR(VLOOKUP(FZ181,Horarios!$H:$I,2,0),"")</f>
        <v/>
      </c>
      <c r="GC181" s="28" t="str">
        <f>IFERROR(VLOOKUP(GA181,Horarios!$H:$I,2,0),"")</f>
        <v/>
      </c>
      <c r="GD181" s="28" t="str">
        <f t="shared" si="129"/>
        <v>00:00</v>
      </c>
      <c r="GE181" s="29"/>
      <c r="GF181" s="27"/>
      <c r="GG181" s="27"/>
      <c r="GH181" s="28" t="str">
        <f>IFERROR(VLOOKUP(GF181,Horarios!$H:$I,2,0),"")</f>
        <v/>
      </c>
      <c r="GI181" s="28" t="str">
        <f>IFERROR(VLOOKUP(GG181,Horarios!$H:$I,2,0),"")</f>
        <v/>
      </c>
      <c r="GJ181" s="28" t="str">
        <f t="shared" si="130"/>
        <v>00:00</v>
      </c>
      <c r="GK181" s="29"/>
      <c r="GL181" s="27"/>
      <c r="GM181" s="27"/>
      <c r="GN181" s="28" t="str">
        <f>IFERROR(VLOOKUP(GL181,Horarios!$H:$I,2,0),"")</f>
        <v/>
      </c>
      <c r="GO181" s="28" t="str">
        <f>IFERROR(VLOOKUP(GM181,Horarios!$H:$I,2,0),"")</f>
        <v/>
      </c>
      <c r="GP181" s="28" t="str">
        <f t="shared" si="131"/>
        <v>00:00</v>
      </c>
      <c r="GQ181" s="29"/>
      <c r="GR181" s="27"/>
      <c r="GS181" s="27"/>
      <c r="GT181" s="28" t="str">
        <f>IFERROR(VLOOKUP(GR181,Horarios!$H:$I,2,0),"")</f>
        <v/>
      </c>
      <c r="GU181" s="28" t="str">
        <f>IFERROR(VLOOKUP(GS181,Horarios!$H:$I,2,0),"")</f>
        <v/>
      </c>
      <c r="GV181" s="28" t="str">
        <f t="shared" si="132"/>
        <v>00:00</v>
      </c>
      <c r="GW181" s="29"/>
      <c r="GX181" s="27"/>
      <c r="GY181" s="27"/>
      <c r="GZ181" s="28" t="str">
        <f>IFERROR(VLOOKUP(GX181,Horarios!$H:$I,2,0),"")</f>
        <v/>
      </c>
      <c r="HA181" s="28" t="str">
        <f>IFERROR(VLOOKUP(GY181,Horarios!$H:$I,2,0),"")</f>
        <v/>
      </c>
      <c r="HB181" s="28" t="str">
        <f t="shared" si="133"/>
        <v>00:00</v>
      </c>
      <c r="HC181" s="29"/>
      <c r="HD181" s="27"/>
      <c r="HE181" s="27"/>
      <c r="HF181" s="28" t="str">
        <f>IFERROR(VLOOKUP(HD181,Horarios!$H:$I,2,0),"")</f>
        <v/>
      </c>
      <c r="HG181" s="28" t="str">
        <f>IFERROR(VLOOKUP(HE181,Horarios!$H:$I,2,0),"")</f>
        <v/>
      </c>
      <c r="HH181" s="28" t="str">
        <f t="shared" si="134"/>
        <v>00:00</v>
      </c>
      <c r="HI181" s="29"/>
      <c r="HJ181" s="31" t="str">
        <f t="shared" si="135"/>
        <v/>
      </c>
      <c r="HK181" s="27"/>
      <c r="HL181" s="27"/>
      <c r="HM181" s="28" t="str">
        <f>IFERROR(VLOOKUP(HK181,Horarios!$H:$I,2,0),"")</f>
        <v/>
      </c>
      <c r="HN181" s="28" t="str">
        <f>IFERROR(VLOOKUP(HL181,Horarios!$H:$I,2,0),"")</f>
        <v/>
      </c>
      <c r="HO181" s="28" t="str">
        <f t="shared" si="136"/>
        <v>00:00</v>
      </c>
      <c r="HP181" s="29"/>
      <c r="HQ181" s="27"/>
      <c r="HR181" s="27"/>
      <c r="HS181" s="28" t="str">
        <f>IFERROR(VLOOKUP(HQ181,Horarios!$H:$I,2,0),"")</f>
        <v/>
      </c>
      <c r="HT181" s="28" t="str">
        <f>IFERROR(VLOOKUP(HR181,Horarios!$H:$I,2,0),"")</f>
        <v/>
      </c>
      <c r="HU181" s="28" t="str">
        <f t="shared" si="137"/>
        <v>00:00</v>
      </c>
      <c r="HV181" s="29"/>
      <c r="HW181" s="27"/>
      <c r="HX181" s="27"/>
      <c r="HY181" s="28" t="str">
        <f>IFERROR(VLOOKUP(HW181,Horarios!$H:$I,2,0),"")</f>
        <v/>
      </c>
      <c r="HZ181" s="28" t="str">
        <f>IFERROR(VLOOKUP(HX181,Horarios!$H:$I,2,0),"")</f>
        <v/>
      </c>
      <c r="IA181" s="28" t="str">
        <f t="shared" si="138"/>
        <v>00:00</v>
      </c>
      <c r="IB181" s="29"/>
      <c r="IC181" s="27"/>
      <c r="ID181" s="27"/>
      <c r="IE181" s="28" t="str">
        <f>IFERROR(VLOOKUP(IC181,Horarios!$H:$I,2,0),"")</f>
        <v/>
      </c>
      <c r="IF181" s="28" t="str">
        <f>IFERROR(VLOOKUP(ID181,Horarios!$H:$I,2,0),"")</f>
        <v/>
      </c>
      <c r="IG181" s="28" t="str">
        <f t="shared" si="139"/>
        <v>00:00</v>
      </c>
      <c r="IH181" s="29"/>
      <c r="II181" s="27"/>
      <c r="IJ181" s="27"/>
      <c r="IK181" s="28" t="str">
        <f>IFERROR(VLOOKUP(II181,Horarios!$H:$I,2,0),"")</f>
        <v/>
      </c>
      <c r="IL181" s="28" t="str">
        <f>IFERROR(VLOOKUP(IJ181,Horarios!$H:$I,2,0),"")</f>
        <v/>
      </c>
      <c r="IM181" s="28" t="str">
        <f t="shared" si="140"/>
        <v>00:00</v>
      </c>
      <c r="IN181" s="29"/>
      <c r="IO181" s="27"/>
      <c r="IP181" s="27"/>
      <c r="IQ181" s="28" t="str">
        <f>IFERROR(VLOOKUP(IO181,Horarios!$H:$I,2,0),"")</f>
        <v/>
      </c>
      <c r="IR181" s="28" t="str">
        <f>IFERROR(VLOOKUP(IP181,Horarios!$H:$I,2,0),"")</f>
        <v/>
      </c>
      <c r="IS181" s="28" t="str">
        <f t="shared" si="141"/>
        <v>00:00</v>
      </c>
      <c r="IT181" s="29"/>
      <c r="IU181" s="27"/>
      <c r="IV181" s="27"/>
      <c r="IW181" s="28" t="str">
        <f>IFERROR(VLOOKUP(IU181,Horarios!$H:$I,2,0),"")</f>
        <v/>
      </c>
      <c r="IX181" s="28" t="str">
        <f>IFERROR(VLOOKUP(IV181,Horarios!$H:$I,2,0),"")</f>
        <v/>
      </c>
      <c r="IY181" s="28" t="str">
        <f t="shared" si="142"/>
        <v>00:00</v>
      </c>
      <c r="IZ181" s="29"/>
      <c r="JA181" s="31" t="str">
        <f t="shared" si="143"/>
        <v/>
      </c>
    </row>
    <row r="182" spans="1:261" s="24" customFormat="1" ht="17.399999999999999" x14ac:dyDescent="0.25">
      <c r="A182" s="25"/>
      <c r="B182" s="26" t="str">
        <f>IFERROR(VLOOKUP(A182,BaseNombres!A:B,2,0),"")</f>
        <v/>
      </c>
      <c r="C182" s="26" t="str">
        <f>IFERROR(VLOOKUP(A182,BaseNombres!A:C,3,0),"")</f>
        <v/>
      </c>
      <c r="D182" s="27"/>
      <c r="E182" s="27"/>
      <c r="F182" s="28" t="str">
        <f>IFERROR(VLOOKUP(D182,Horarios!$H:$I,2,0),"")</f>
        <v/>
      </c>
      <c r="G182" s="28" t="str">
        <f>IFERROR(VLOOKUP(E182,Horarios!$H:$I,2,0),"")</f>
        <v/>
      </c>
      <c r="H182" s="28" t="str">
        <f t="shared" si="96"/>
        <v>00:00</v>
      </c>
      <c r="I182" s="29"/>
      <c r="J182" s="27"/>
      <c r="K182" s="27"/>
      <c r="L182" s="28" t="str">
        <f>IFERROR(VLOOKUP(J182,Horarios!$H:$I,2,0),"")</f>
        <v/>
      </c>
      <c r="M182" s="28" t="str">
        <f>IFERROR(VLOOKUP(K182,Horarios!$H:$I,2,0),"")</f>
        <v/>
      </c>
      <c r="N182" s="28" t="str">
        <f t="shared" si="97"/>
        <v>00:00</v>
      </c>
      <c r="O182" s="29"/>
      <c r="P182" s="27"/>
      <c r="Q182" s="27"/>
      <c r="R182" s="28" t="str">
        <f>IFERROR(VLOOKUP(P182,Horarios!$H:$I,2,0),"")</f>
        <v/>
      </c>
      <c r="S182" s="28" t="str">
        <f>IFERROR(VLOOKUP(Q182,Horarios!$H:$I,2,0),"")</f>
        <v/>
      </c>
      <c r="T182" s="28" t="str">
        <f t="shared" si="98"/>
        <v>00:00</v>
      </c>
      <c r="U182" s="29"/>
      <c r="V182" s="27"/>
      <c r="W182" s="27"/>
      <c r="X182" s="28" t="str">
        <f>IFERROR(VLOOKUP(V182,Horarios!$H:$I,2,0),"")</f>
        <v/>
      </c>
      <c r="Y182" s="28" t="str">
        <f>IFERROR(VLOOKUP(W182,Horarios!$H:$I,2,0),"")</f>
        <v/>
      </c>
      <c r="Z182" s="28" t="str">
        <f t="shared" si="99"/>
        <v>00:00</v>
      </c>
      <c r="AA182" s="29"/>
      <c r="AB182" s="27"/>
      <c r="AC182" s="27"/>
      <c r="AD182" s="28" t="str">
        <f>IFERROR(VLOOKUP(AB182,Horarios!$H:$I,2,0),"")</f>
        <v/>
      </c>
      <c r="AE182" s="28" t="str">
        <f>IFERROR(VLOOKUP(AC182,Horarios!$H:$I,2,0),"")</f>
        <v/>
      </c>
      <c r="AF182" s="28" t="str">
        <f t="shared" si="100"/>
        <v>00:00</v>
      </c>
      <c r="AG182" s="29"/>
      <c r="AH182" s="27"/>
      <c r="AI182" s="27"/>
      <c r="AJ182" s="28" t="str">
        <f>IFERROR(VLOOKUP(AH182,Horarios!$H:$I,2,0),"")</f>
        <v/>
      </c>
      <c r="AK182" s="28" t="str">
        <f>IFERROR(VLOOKUP(AI182,Horarios!$H:$I,2,0),"")</f>
        <v/>
      </c>
      <c r="AL182" s="28" t="str">
        <f t="shared" si="101"/>
        <v>00:00</v>
      </c>
      <c r="AM182" s="29"/>
      <c r="AN182" s="27"/>
      <c r="AO182" s="27"/>
      <c r="AP182" s="28" t="str">
        <f>IFERROR(VLOOKUP(AN182,Horarios!$H:$I,2,0),"")</f>
        <v/>
      </c>
      <c r="AQ182" s="28" t="str">
        <f>IFERROR(VLOOKUP(AO182,Horarios!$H:$I,2,0),"")</f>
        <v/>
      </c>
      <c r="AR182" s="28" t="str">
        <f t="shared" si="102"/>
        <v>00:00</v>
      </c>
      <c r="AS182" s="29"/>
      <c r="AT182" s="31" t="str">
        <f t="shared" si="103"/>
        <v/>
      </c>
      <c r="AU182" s="27"/>
      <c r="AV182" s="27"/>
      <c r="AW182" s="28" t="str">
        <f>IFERROR(VLOOKUP(AU182,Horarios!$H:$I,2,0),"")</f>
        <v/>
      </c>
      <c r="AX182" s="28" t="str">
        <f>IFERROR(VLOOKUP(AV182,Horarios!$H:$I,2,0),"")</f>
        <v/>
      </c>
      <c r="AY182" s="28" t="str">
        <f t="shared" si="104"/>
        <v>00:00</v>
      </c>
      <c r="AZ182" s="29"/>
      <c r="BA182" s="27"/>
      <c r="BB182" s="27"/>
      <c r="BC182" s="28" t="str">
        <f>IFERROR(VLOOKUP(BA182,Horarios!$H:$I,2,0),"")</f>
        <v/>
      </c>
      <c r="BD182" s="28" t="str">
        <f>IFERROR(VLOOKUP(BB182,Horarios!$H:$I,2,0),"")</f>
        <v/>
      </c>
      <c r="BE182" s="28" t="str">
        <f t="shared" si="105"/>
        <v>00:00</v>
      </c>
      <c r="BF182" s="29"/>
      <c r="BG182" s="27"/>
      <c r="BH182" s="27"/>
      <c r="BI182" s="28" t="str">
        <f>IFERROR(VLOOKUP(BG182,Horarios!$H:$I,2,0),"")</f>
        <v/>
      </c>
      <c r="BJ182" s="28" t="str">
        <f>IFERROR(VLOOKUP(BH182,Horarios!$H:$I,2,0),"")</f>
        <v/>
      </c>
      <c r="BK182" s="28" t="str">
        <f t="shared" si="106"/>
        <v>00:00</v>
      </c>
      <c r="BL182" s="29"/>
      <c r="BM182" s="27"/>
      <c r="BN182" s="27"/>
      <c r="BO182" s="28" t="str">
        <f>IFERROR(VLOOKUP(BM182,Horarios!$H:$I,2,0),"")</f>
        <v/>
      </c>
      <c r="BP182" s="28" t="str">
        <f>IFERROR(VLOOKUP(BN182,Horarios!$H:$I,2,0),"")</f>
        <v/>
      </c>
      <c r="BQ182" s="28" t="str">
        <f t="shared" si="107"/>
        <v>00:00</v>
      </c>
      <c r="BR182" s="29"/>
      <c r="BS182" s="27"/>
      <c r="BT182" s="27"/>
      <c r="BU182" s="28" t="str">
        <f>IFERROR(VLOOKUP(BS182,Horarios!$H:$I,2,0),"")</f>
        <v/>
      </c>
      <c r="BV182" s="28" t="str">
        <f>IFERROR(VLOOKUP(BT182,Horarios!$H:$I,2,0),"")</f>
        <v/>
      </c>
      <c r="BW182" s="28" t="str">
        <f t="shared" si="108"/>
        <v>00:00</v>
      </c>
      <c r="BX182" s="29"/>
      <c r="BY182" s="27"/>
      <c r="BZ182" s="27"/>
      <c r="CA182" s="28" t="str">
        <f>IFERROR(VLOOKUP(BY182,Horarios!$H:$I,2,0),"")</f>
        <v/>
      </c>
      <c r="CB182" s="28" t="str">
        <f>IFERROR(VLOOKUP(BZ182,Horarios!$H:$I,2,0),"")</f>
        <v/>
      </c>
      <c r="CC182" s="28" t="str">
        <f t="shared" si="109"/>
        <v>00:00</v>
      </c>
      <c r="CD182" s="29"/>
      <c r="CE182" s="27"/>
      <c r="CF182" s="27"/>
      <c r="CG182" s="28" t="str">
        <f>IFERROR(VLOOKUP(CE182,Horarios!$H:$I,2,0),"")</f>
        <v/>
      </c>
      <c r="CH182" s="28" t="str">
        <f>IFERROR(VLOOKUP(CF182,Horarios!$H:$I,2,0),"")</f>
        <v/>
      </c>
      <c r="CI182" s="28" t="str">
        <f t="shared" si="110"/>
        <v>00:00</v>
      </c>
      <c r="CJ182" s="29"/>
      <c r="CK182" s="31" t="str">
        <f t="shared" si="111"/>
        <v/>
      </c>
      <c r="CL182" s="27"/>
      <c r="CM182" s="27"/>
      <c r="CN182" s="28" t="str">
        <f>IFERROR(VLOOKUP(CL182,Horarios!$H:$I,2,0),"")</f>
        <v/>
      </c>
      <c r="CO182" s="28" t="str">
        <f>IFERROR(VLOOKUP(CM182,Horarios!$H:$I,2,0),"")</f>
        <v/>
      </c>
      <c r="CP182" s="28" t="str">
        <f t="shared" si="112"/>
        <v>00:00</v>
      </c>
      <c r="CQ182" s="29"/>
      <c r="CR182" s="27"/>
      <c r="CS182" s="27"/>
      <c r="CT182" s="28" t="str">
        <f>IFERROR(VLOOKUP(CR182,Horarios!$H:$I,2,0),"")</f>
        <v/>
      </c>
      <c r="CU182" s="28" t="str">
        <f>IFERROR(VLOOKUP(CS182,Horarios!$H:$I,2,0),"")</f>
        <v/>
      </c>
      <c r="CV182" s="28" t="str">
        <f t="shared" si="113"/>
        <v>00:00</v>
      </c>
      <c r="CW182" s="29"/>
      <c r="CX182" s="27"/>
      <c r="CY182" s="27"/>
      <c r="CZ182" s="28" t="str">
        <f>IFERROR(VLOOKUP(CX182,Horarios!$H:$I,2,0),"")</f>
        <v/>
      </c>
      <c r="DA182" s="28" t="str">
        <f>IFERROR(VLOOKUP(CY182,Horarios!$H:$I,2,0),"")</f>
        <v/>
      </c>
      <c r="DB182" s="28" t="str">
        <f t="shared" si="114"/>
        <v>00:00</v>
      </c>
      <c r="DC182" s="29"/>
      <c r="DD182" s="27"/>
      <c r="DE182" s="27"/>
      <c r="DF182" s="28" t="str">
        <f>IFERROR(VLOOKUP(DD182,Horarios!$H:$I,2,0),"")</f>
        <v/>
      </c>
      <c r="DG182" s="28" t="str">
        <f>IFERROR(VLOOKUP(DE182,Horarios!$H:$I,2,0),"")</f>
        <v/>
      </c>
      <c r="DH182" s="28" t="str">
        <f t="shared" si="115"/>
        <v>00:00</v>
      </c>
      <c r="DI182" s="29"/>
      <c r="DJ182" s="27"/>
      <c r="DK182" s="27"/>
      <c r="DL182" s="28" t="str">
        <f>IFERROR(VLOOKUP(DJ182,Horarios!$H:$I,2,0),"")</f>
        <v/>
      </c>
      <c r="DM182" s="28" t="str">
        <f>IFERROR(VLOOKUP(DK182,Horarios!$H:$I,2,0),"")</f>
        <v/>
      </c>
      <c r="DN182" s="28" t="str">
        <f t="shared" si="116"/>
        <v>00:00</v>
      </c>
      <c r="DO182" s="29"/>
      <c r="DP182" s="27"/>
      <c r="DQ182" s="27"/>
      <c r="DR182" s="28" t="str">
        <f>IFERROR(VLOOKUP(DP182,Horarios!$H:$I,2,0),"")</f>
        <v/>
      </c>
      <c r="DS182" s="28" t="str">
        <f>IFERROR(VLOOKUP(DQ182,Horarios!$H:$I,2,0),"")</f>
        <v/>
      </c>
      <c r="DT182" s="28" t="str">
        <f t="shared" si="117"/>
        <v>00:00</v>
      </c>
      <c r="DU182" s="29"/>
      <c r="DV182" s="27"/>
      <c r="DW182" s="27"/>
      <c r="DX182" s="28" t="str">
        <f>IFERROR(VLOOKUP(DV182,Horarios!$H:$I,2,0),"")</f>
        <v/>
      </c>
      <c r="DY182" s="28" t="str">
        <f>IFERROR(VLOOKUP(DW182,Horarios!$H:$I,2,0),"")</f>
        <v/>
      </c>
      <c r="DZ182" s="28" t="str">
        <f t="shared" si="118"/>
        <v>00:00</v>
      </c>
      <c r="EA182" s="29"/>
      <c r="EB182" s="31" t="str">
        <f t="shared" si="119"/>
        <v/>
      </c>
      <c r="EC182" s="27"/>
      <c r="ED182" s="27"/>
      <c r="EE182" s="28" t="str">
        <f>IFERROR(VLOOKUP(EC182,Horarios!$H:$I,2,0),"")</f>
        <v/>
      </c>
      <c r="EF182" s="28" t="str">
        <f>IFERROR(VLOOKUP(ED182,Horarios!$H:$I,2,0),"")</f>
        <v/>
      </c>
      <c r="EG182" s="28" t="str">
        <f t="shared" si="120"/>
        <v>00:00</v>
      </c>
      <c r="EH182" s="29"/>
      <c r="EI182" s="27"/>
      <c r="EJ182" s="27"/>
      <c r="EK182" s="28" t="str">
        <f>IFERROR(VLOOKUP(EI182,Horarios!$H:$I,2,0),"")</f>
        <v/>
      </c>
      <c r="EL182" s="28" t="str">
        <f>IFERROR(VLOOKUP(EJ182,Horarios!$H:$I,2,0),"")</f>
        <v/>
      </c>
      <c r="EM182" s="28" t="str">
        <f t="shared" si="121"/>
        <v>00:00</v>
      </c>
      <c r="EN182" s="29"/>
      <c r="EO182" s="27"/>
      <c r="EP182" s="27"/>
      <c r="EQ182" s="28" t="str">
        <f>IFERROR(VLOOKUP(EO182,Horarios!$H:$I,2,0),"")</f>
        <v/>
      </c>
      <c r="ER182" s="28" t="str">
        <f>IFERROR(VLOOKUP(EP182,Horarios!$H:$I,2,0),"")</f>
        <v/>
      </c>
      <c r="ES182" s="28" t="str">
        <f t="shared" si="122"/>
        <v>00:00</v>
      </c>
      <c r="ET182" s="29"/>
      <c r="EU182" s="27"/>
      <c r="EV182" s="27"/>
      <c r="EW182" s="28" t="str">
        <f>IFERROR(VLOOKUP(EU182,Horarios!$H:$I,2,0),"")</f>
        <v/>
      </c>
      <c r="EX182" s="28" t="str">
        <f>IFERROR(VLOOKUP(EV182,Horarios!$H:$I,2,0),"")</f>
        <v/>
      </c>
      <c r="EY182" s="28" t="str">
        <f t="shared" si="123"/>
        <v>00:00</v>
      </c>
      <c r="EZ182" s="29"/>
      <c r="FA182" s="27"/>
      <c r="FB182" s="27"/>
      <c r="FC182" s="28" t="str">
        <f>IFERROR(VLOOKUP(FA182,Horarios!$H:$I,2,0),"")</f>
        <v/>
      </c>
      <c r="FD182" s="28" t="str">
        <f>IFERROR(VLOOKUP(FB182,Horarios!$H:$I,2,0),"")</f>
        <v/>
      </c>
      <c r="FE182" s="28" t="str">
        <f t="shared" si="124"/>
        <v>00:00</v>
      </c>
      <c r="FF182" s="29"/>
      <c r="FG182" s="27"/>
      <c r="FH182" s="27"/>
      <c r="FI182" s="28" t="str">
        <f>IFERROR(VLOOKUP(FG182,Horarios!$H:$I,2,0),"")</f>
        <v/>
      </c>
      <c r="FJ182" s="28" t="str">
        <f>IFERROR(VLOOKUP(FH182,Horarios!$H:$I,2,0),"")</f>
        <v/>
      </c>
      <c r="FK182" s="28" t="str">
        <f t="shared" si="125"/>
        <v>00:00</v>
      </c>
      <c r="FL182" s="29"/>
      <c r="FM182" s="27"/>
      <c r="FN182" s="27"/>
      <c r="FO182" s="28" t="str">
        <f>IFERROR(VLOOKUP(FM182,Horarios!$H:$I,2,0),"")</f>
        <v/>
      </c>
      <c r="FP182" s="28" t="str">
        <f>IFERROR(VLOOKUP(FN182,Horarios!$H:$I,2,0),"")</f>
        <v/>
      </c>
      <c r="FQ182" s="28" t="str">
        <f t="shared" si="126"/>
        <v>00:00</v>
      </c>
      <c r="FR182" s="29"/>
      <c r="FS182" s="31" t="str">
        <f t="shared" si="127"/>
        <v/>
      </c>
      <c r="FT182" s="27"/>
      <c r="FU182" s="27"/>
      <c r="FV182" s="28" t="str">
        <f>IFERROR(VLOOKUP(FT182,Horarios!$H:$I,2,0),"")</f>
        <v/>
      </c>
      <c r="FW182" s="28" t="str">
        <f>IFERROR(VLOOKUP(FU182,Horarios!$H:$I,2,0),"")</f>
        <v/>
      </c>
      <c r="FX182" s="28" t="str">
        <f t="shared" si="128"/>
        <v>00:00</v>
      </c>
      <c r="FY182" s="29"/>
      <c r="FZ182" s="27"/>
      <c r="GA182" s="27"/>
      <c r="GB182" s="28" t="str">
        <f>IFERROR(VLOOKUP(FZ182,Horarios!$H:$I,2,0),"")</f>
        <v/>
      </c>
      <c r="GC182" s="28" t="str">
        <f>IFERROR(VLOOKUP(GA182,Horarios!$H:$I,2,0),"")</f>
        <v/>
      </c>
      <c r="GD182" s="28" t="str">
        <f t="shared" si="129"/>
        <v>00:00</v>
      </c>
      <c r="GE182" s="29"/>
      <c r="GF182" s="27"/>
      <c r="GG182" s="27"/>
      <c r="GH182" s="28" t="str">
        <f>IFERROR(VLOOKUP(GF182,Horarios!$H:$I,2,0),"")</f>
        <v/>
      </c>
      <c r="GI182" s="28" t="str">
        <f>IFERROR(VLOOKUP(GG182,Horarios!$H:$I,2,0),"")</f>
        <v/>
      </c>
      <c r="GJ182" s="28" t="str">
        <f t="shared" si="130"/>
        <v>00:00</v>
      </c>
      <c r="GK182" s="29"/>
      <c r="GL182" s="27"/>
      <c r="GM182" s="27"/>
      <c r="GN182" s="28" t="str">
        <f>IFERROR(VLOOKUP(GL182,Horarios!$H:$I,2,0),"")</f>
        <v/>
      </c>
      <c r="GO182" s="28" t="str">
        <f>IFERROR(VLOOKUP(GM182,Horarios!$H:$I,2,0),"")</f>
        <v/>
      </c>
      <c r="GP182" s="28" t="str">
        <f t="shared" si="131"/>
        <v>00:00</v>
      </c>
      <c r="GQ182" s="29"/>
      <c r="GR182" s="27"/>
      <c r="GS182" s="27"/>
      <c r="GT182" s="28" t="str">
        <f>IFERROR(VLOOKUP(GR182,Horarios!$H:$I,2,0),"")</f>
        <v/>
      </c>
      <c r="GU182" s="28" t="str">
        <f>IFERROR(VLOOKUP(GS182,Horarios!$H:$I,2,0),"")</f>
        <v/>
      </c>
      <c r="GV182" s="28" t="str">
        <f t="shared" si="132"/>
        <v>00:00</v>
      </c>
      <c r="GW182" s="29"/>
      <c r="GX182" s="27"/>
      <c r="GY182" s="27"/>
      <c r="GZ182" s="28" t="str">
        <f>IFERROR(VLOOKUP(GX182,Horarios!$H:$I,2,0),"")</f>
        <v/>
      </c>
      <c r="HA182" s="28" t="str">
        <f>IFERROR(VLOOKUP(GY182,Horarios!$H:$I,2,0),"")</f>
        <v/>
      </c>
      <c r="HB182" s="28" t="str">
        <f t="shared" si="133"/>
        <v>00:00</v>
      </c>
      <c r="HC182" s="29"/>
      <c r="HD182" s="27"/>
      <c r="HE182" s="27"/>
      <c r="HF182" s="28" t="str">
        <f>IFERROR(VLOOKUP(HD182,Horarios!$H:$I,2,0),"")</f>
        <v/>
      </c>
      <c r="HG182" s="28" t="str">
        <f>IFERROR(VLOOKUP(HE182,Horarios!$H:$I,2,0),"")</f>
        <v/>
      </c>
      <c r="HH182" s="28" t="str">
        <f t="shared" si="134"/>
        <v>00:00</v>
      </c>
      <c r="HI182" s="29"/>
      <c r="HJ182" s="31" t="str">
        <f t="shared" si="135"/>
        <v/>
      </c>
      <c r="HK182" s="27"/>
      <c r="HL182" s="27"/>
      <c r="HM182" s="28" t="str">
        <f>IFERROR(VLOOKUP(HK182,Horarios!$H:$I,2,0),"")</f>
        <v/>
      </c>
      <c r="HN182" s="28" t="str">
        <f>IFERROR(VLOOKUP(HL182,Horarios!$H:$I,2,0),"")</f>
        <v/>
      </c>
      <c r="HO182" s="28" t="str">
        <f t="shared" si="136"/>
        <v>00:00</v>
      </c>
      <c r="HP182" s="29"/>
      <c r="HQ182" s="27"/>
      <c r="HR182" s="27"/>
      <c r="HS182" s="28" t="str">
        <f>IFERROR(VLOOKUP(HQ182,Horarios!$H:$I,2,0),"")</f>
        <v/>
      </c>
      <c r="HT182" s="28" t="str">
        <f>IFERROR(VLOOKUP(HR182,Horarios!$H:$I,2,0),"")</f>
        <v/>
      </c>
      <c r="HU182" s="28" t="str">
        <f t="shared" si="137"/>
        <v>00:00</v>
      </c>
      <c r="HV182" s="29"/>
      <c r="HW182" s="27"/>
      <c r="HX182" s="27"/>
      <c r="HY182" s="28" t="str">
        <f>IFERROR(VLOOKUP(HW182,Horarios!$H:$I,2,0),"")</f>
        <v/>
      </c>
      <c r="HZ182" s="28" t="str">
        <f>IFERROR(VLOOKUP(HX182,Horarios!$H:$I,2,0),"")</f>
        <v/>
      </c>
      <c r="IA182" s="28" t="str">
        <f t="shared" si="138"/>
        <v>00:00</v>
      </c>
      <c r="IB182" s="29"/>
      <c r="IC182" s="27"/>
      <c r="ID182" s="27"/>
      <c r="IE182" s="28" t="str">
        <f>IFERROR(VLOOKUP(IC182,Horarios!$H:$I,2,0),"")</f>
        <v/>
      </c>
      <c r="IF182" s="28" t="str">
        <f>IFERROR(VLOOKUP(ID182,Horarios!$H:$I,2,0),"")</f>
        <v/>
      </c>
      <c r="IG182" s="28" t="str">
        <f t="shared" si="139"/>
        <v>00:00</v>
      </c>
      <c r="IH182" s="29"/>
      <c r="II182" s="27"/>
      <c r="IJ182" s="27"/>
      <c r="IK182" s="28" t="str">
        <f>IFERROR(VLOOKUP(II182,Horarios!$H:$I,2,0),"")</f>
        <v/>
      </c>
      <c r="IL182" s="28" t="str">
        <f>IFERROR(VLOOKUP(IJ182,Horarios!$H:$I,2,0),"")</f>
        <v/>
      </c>
      <c r="IM182" s="28" t="str">
        <f t="shared" si="140"/>
        <v>00:00</v>
      </c>
      <c r="IN182" s="29"/>
      <c r="IO182" s="27"/>
      <c r="IP182" s="27"/>
      <c r="IQ182" s="28" t="str">
        <f>IFERROR(VLOOKUP(IO182,Horarios!$H:$I,2,0),"")</f>
        <v/>
      </c>
      <c r="IR182" s="28" t="str">
        <f>IFERROR(VLOOKUP(IP182,Horarios!$H:$I,2,0),"")</f>
        <v/>
      </c>
      <c r="IS182" s="28" t="str">
        <f t="shared" si="141"/>
        <v>00:00</v>
      </c>
      <c r="IT182" s="29"/>
      <c r="IU182" s="27"/>
      <c r="IV182" s="27"/>
      <c r="IW182" s="28" t="str">
        <f>IFERROR(VLOOKUP(IU182,Horarios!$H:$I,2,0),"")</f>
        <v/>
      </c>
      <c r="IX182" s="28" t="str">
        <f>IFERROR(VLOOKUP(IV182,Horarios!$H:$I,2,0),"")</f>
        <v/>
      </c>
      <c r="IY182" s="28" t="str">
        <f t="shared" si="142"/>
        <v>00:00</v>
      </c>
      <c r="IZ182" s="29"/>
      <c r="JA182" s="31" t="str">
        <f t="shared" si="143"/>
        <v/>
      </c>
    </row>
    <row r="183" spans="1:261" s="24" customFormat="1" ht="17.399999999999999" x14ac:dyDescent="0.25">
      <c r="A183" s="25"/>
      <c r="B183" s="26" t="str">
        <f>IFERROR(VLOOKUP(A183,BaseNombres!A:B,2,0),"")</f>
        <v/>
      </c>
      <c r="C183" s="26" t="str">
        <f>IFERROR(VLOOKUP(A183,BaseNombres!A:C,3,0),"")</f>
        <v/>
      </c>
      <c r="D183" s="27"/>
      <c r="E183" s="27"/>
      <c r="F183" s="28" t="str">
        <f>IFERROR(VLOOKUP(D183,Horarios!$H:$I,2,0),"")</f>
        <v/>
      </c>
      <c r="G183" s="28" t="str">
        <f>IFERROR(VLOOKUP(E183,Horarios!$H:$I,2,0),"")</f>
        <v/>
      </c>
      <c r="H183" s="28" t="str">
        <f t="shared" si="96"/>
        <v>00:00</v>
      </c>
      <c r="I183" s="29"/>
      <c r="J183" s="27"/>
      <c r="K183" s="27"/>
      <c r="L183" s="28" t="str">
        <f>IFERROR(VLOOKUP(J183,Horarios!$H:$I,2,0),"")</f>
        <v/>
      </c>
      <c r="M183" s="28" t="str">
        <f>IFERROR(VLOOKUP(K183,Horarios!$H:$I,2,0),"")</f>
        <v/>
      </c>
      <c r="N183" s="28" t="str">
        <f t="shared" si="97"/>
        <v>00:00</v>
      </c>
      <c r="O183" s="29"/>
      <c r="P183" s="27"/>
      <c r="Q183" s="27"/>
      <c r="R183" s="28" t="str">
        <f>IFERROR(VLOOKUP(P183,Horarios!$H:$I,2,0),"")</f>
        <v/>
      </c>
      <c r="S183" s="28" t="str">
        <f>IFERROR(VLOOKUP(Q183,Horarios!$H:$I,2,0),"")</f>
        <v/>
      </c>
      <c r="T183" s="28" t="str">
        <f t="shared" si="98"/>
        <v>00:00</v>
      </c>
      <c r="U183" s="29"/>
      <c r="V183" s="27"/>
      <c r="W183" s="27"/>
      <c r="X183" s="28" t="str">
        <f>IFERROR(VLOOKUP(V183,Horarios!$H:$I,2,0),"")</f>
        <v/>
      </c>
      <c r="Y183" s="28" t="str">
        <f>IFERROR(VLOOKUP(W183,Horarios!$H:$I,2,0),"")</f>
        <v/>
      </c>
      <c r="Z183" s="28" t="str">
        <f t="shared" si="99"/>
        <v>00:00</v>
      </c>
      <c r="AA183" s="29"/>
      <c r="AB183" s="27"/>
      <c r="AC183" s="27"/>
      <c r="AD183" s="28" t="str">
        <f>IFERROR(VLOOKUP(AB183,Horarios!$H:$I,2,0),"")</f>
        <v/>
      </c>
      <c r="AE183" s="28" t="str">
        <f>IFERROR(VLOOKUP(AC183,Horarios!$H:$I,2,0),"")</f>
        <v/>
      </c>
      <c r="AF183" s="28" t="str">
        <f t="shared" si="100"/>
        <v>00:00</v>
      </c>
      <c r="AG183" s="29"/>
      <c r="AH183" s="27"/>
      <c r="AI183" s="27"/>
      <c r="AJ183" s="28" t="str">
        <f>IFERROR(VLOOKUP(AH183,Horarios!$H:$I,2,0),"")</f>
        <v/>
      </c>
      <c r="AK183" s="28" t="str">
        <f>IFERROR(VLOOKUP(AI183,Horarios!$H:$I,2,0),"")</f>
        <v/>
      </c>
      <c r="AL183" s="28" t="str">
        <f t="shared" si="101"/>
        <v>00:00</v>
      </c>
      <c r="AM183" s="29"/>
      <c r="AN183" s="27"/>
      <c r="AO183" s="27"/>
      <c r="AP183" s="28" t="str">
        <f>IFERROR(VLOOKUP(AN183,Horarios!$H:$I,2,0),"")</f>
        <v/>
      </c>
      <c r="AQ183" s="28" t="str">
        <f>IFERROR(VLOOKUP(AO183,Horarios!$H:$I,2,0),"")</f>
        <v/>
      </c>
      <c r="AR183" s="28" t="str">
        <f t="shared" si="102"/>
        <v>00:00</v>
      </c>
      <c r="AS183" s="29"/>
      <c r="AT183" s="31" t="str">
        <f t="shared" si="103"/>
        <v/>
      </c>
      <c r="AU183" s="27"/>
      <c r="AV183" s="27"/>
      <c r="AW183" s="28" t="str">
        <f>IFERROR(VLOOKUP(AU183,Horarios!$H:$I,2,0),"")</f>
        <v/>
      </c>
      <c r="AX183" s="28" t="str">
        <f>IFERROR(VLOOKUP(AV183,Horarios!$H:$I,2,0),"")</f>
        <v/>
      </c>
      <c r="AY183" s="28" t="str">
        <f t="shared" si="104"/>
        <v>00:00</v>
      </c>
      <c r="AZ183" s="29"/>
      <c r="BA183" s="27"/>
      <c r="BB183" s="27"/>
      <c r="BC183" s="28" t="str">
        <f>IFERROR(VLOOKUP(BA183,Horarios!$H:$I,2,0),"")</f>
        <v/>
      </c>
      <c r="BD183" s="28" t="str">
        <f>IFERROR(VLOOKUP(BB183,Horarios!$H:$I,2,0),"")</f>
        <v/>
      </c>
      <c r="BE183" s="28" t="str">
        <f t="shared" si="105"/>
        <v>00:00</v>
      </c>
      <c r="BF183" s="29"/>
      <c r="BG183" s="27"/>
      <c r="BH183" s="27"/>
      <c r="BI183" s="28" t="str">
        <f>IFERROR(VLOOKUP(BG183,Horarios!$H:$I,2,0),"")</f>
        <v/>
      </c>
      <c r="BJ183" s="28" t="str">
        <f>IFERROR(VLOOKUP(BH183,Horarios!$H:$I,2,0),"")</f>
        <v/>
      </c>
      <c r="BK183" s="28" t="str">
        <f t="shared" si="106"/>
        <v>00:00</v>
      </c>
      <c r="BL183" s="29"/>
      <c r="BM183" s="27"/>
      <c r="BN183" s="27"/>
      <c r="BO183" s="28" t="str">
        <f>IFERROR(VLOOKUP(BM183,Horarios!$H:$I,2,0),"")</f>
        <v/>
      </c>
      <c r="BP183" s="28" t="str">
        <f>IFERROR(VLOOKUP(BN183,Horarios!$H:$I,2,0),"")</f>
        <v/>
      </c>
      <c r="BQ183" s="28" t="str">
        <f t="shared" si="107"/>
        <v>00:00</v>
      </c>
      <c r="BR183" s="29"/>
      <c r="BS183" s="27"/>
      <c r="BT183" s="27"/>
      <c r="BU183" s="28" t="str">
        <f>IFERROR(VLOOKUP(BS183,Horarios!$H:$I,2,0),"")</f>
        <v/>
      </c>
      <c r="BV183" s="28" t="str">
        <f>IFERROR(VLOOKUP(BT183,Horarios!$H:$I,2,0),"")</f>
        <v/>
      </c>
      <c r="BW183" s="28" t="str">
        <f t="shared" si="108"/>
        <v>00:00</v>
      </c>
      <c r="BX183" s="29"/>
      <c r="BY183" s="27"/>
      <c r="BZ183" s="27"/>
      <c r="CA183" s="28" t="str">
        <f>IFERROR(VLOOKUP(BY183,Horarios!$H:$I,2,0),"")</f>
        <v/>
      </c>
      <c r="CB183" s="28" t="str">
        <f>IFERROR(VLOOKUP(BZ183,Horarios!$H:$I,2,0),"")</f>
        <v/>
      </c>
      <c r="CC183" s="28" t="str">
        <f t="shared" si="109"/>
        <v>00:00</v>
      </c>
      <c r="CD183" s="29"/>
      <c r="CE183" s="27"/>
      <c r="CF183" s="27"/>
      <c r="CG183" s="28" t="str">
        <f>IFERROR(VLOOKUP(CE183,Horarios!$H:$I,2,0),"")</f>
        <v/>
      </c>
      <c r="CH183" s="28" t="str">
        <f>IFERROR(VLOOKUP(CF183,Horarios!$H:$I,2,0),"")</f>
        <v/>
      </c>
      <c r="CI183" s="28" t="str">
        <f t="shared" si="110"/>
        <v>00:00</v>
      </c>
      <c r="CJ183" s="29"/>
      <c r="CK183" s="31" t="str">
        <f t="shared" si="111"/>
        <v/>
      </c>
      <c r="CL183" s="27"/>
      <c r="CM183" s="27"/>
      <c r="CN183" s="28" t="str">
        <f>IFERROR(VLOOKUP(CL183,Horarios!$H:$I,2,0),"")</f>
        <v/>
      </c>
      <c r="CO183" s="28" t="str">
        <f>IFERROR(VLOOKUP(CM183,Horarios!$H:$I,2,0),"")</f>
        <v/>
      </c>
      <c r="CP183" s="28" t="str">
        <f t="shared" si="112"/>
        <v>00:00</v>
      </c>
      <c r="CQ183" s="29"/>
      <c r="CR183" s="27"/>
      <c r="CS183" s="27"/>
      <c r="CT183" s="28" t="str">
        <f>IFERROR(VLOOKUP(CR183,Horarios!$H:$I,2,0),"")</f>
        <v/>
      </c>
      <c r="CU183" s="28" t="str">
        <f>IFERROR(VLOOKUP(CS183,Horarios!$H:$I,2,0),"")</f>
        <v/>
      </c>
      <c r="CV183" s="28" t="str">
        <f t="shared" si="113"/>
        <v>00:00</v>
      </c>
      <c r="CW183" s="29"/>
      <c r="CX183" s="27"/>
      <c r="CY183" s="27"/>
      <c r="CZ183" s="28" t="str">
        <f>IFERROR(VLOOKUP(CX183,Horarios!$H:$I,2,0),"")</f>
        <v/>
      </c>
      <c r="DA183" s="28" t="str">
        <f>IFERROR(VLOOKUP(CY183,Horarios!$H:$I,2,0),"")</f>
        <v/>
      </c>
      <c r="DB183" s="28" t="str">
        <f t="shared" si="114"/>
        <v>00:00</v>
      </c>
      <c r="DC183" s="29"/>
      <c r="DD183" s="27"/>
      <c r="DE183" s="27"/>
      <c r="DF183" s="28" t="str">
        <f>IFERROR(VLOOKUP(DD183,Horarios!$H:$I,2,0),"")</f>
        <v/>
      </c>
      <c r="DG183" s="28" t="str">
        <f>IFERROR(VLOOKUP(DE183,Horarios!$H:$I,2,0),"")</f>
        <v/>
      </c>
      <c r="DH183" s="28" t="str">
        <f t="shared" si="115"/>
        <v>00:00</v>
      </c>
      <c r="DI183" s="29"/>
      <c r="DJ183" s="27"/>
      <c r="DK183" s="27"/>
      <c r="DL183" s="28" t="str">
        <f>IFERROR(VLOOKUP(DJ183,Horarios!$H:$I,2,0),"")</f>
        <v/>
      </c>
      <c r="DM183" s="28" t="str">
        <f>IFERROR(VLOOKUP(DK183,Horarios!$H:$I,2,0),"")</f>
        <v/>
      </c>
      <c r="DN183" s="28" t="str">
        <f t="shared" si="116"/>
        <v>00:00</v>
      </c>
      <c r="DO183" s="29"/>
      <c r="DP183" s="27"/>
      <c r="DQ183" s="27"/>
      <c r="DR183" s="28" t="str">
        <f>IFERROR(VLOOKUP(DP183,Horarios!$H:$I,2,0),"")</f>
        <v/>
      </c>
      <c r="DS183" s="28" t="str">
        <f>IFERROR(VLOOKUP(DQ183,Horarios!$H:$I,2,0),"")</f>
        <v/>
      </c>
      <c r="DT183" s="28" t="str">
        <f t="shared" si="117"/>
        <v>00:00</v>
      </c>
      <c r="DU183" s="29"/>
      <c r="DV183" s="27"/>
      <c r="DW183" s="27"/>
      <c r="DX183" s="28" t="str">
        <f>IFERROR(VLOOKUP(DV183,Horarios!$H:$I,2,0),"")</f>
        <v/>
      </c>
      <c r="DY183" s="28" t="str">
        <f>IFERROR(VLOOKUP(DW183,Horarios!$H:$I,2,0),"")</f>
        <v/>
      </c>
      <c r="DZ183" s="28" t="str">
        <f t="shared" si="118"/>
        <v>00:00</v>
      </c>
      <c r="EA183" s="29"/>
      <c r="EB183" s="31" t="str">
        <f t="shared" si="119"/>
        <v/>
      </c>
      <c r="EC183" s="27"/>
      <c r="ED183" s="27"/>
      <c r="EE183" s="28" t="str">
        <f>IFERROR(VLOOKUP(EC183,Horarios!$H:$I,2,0),"")</f>
        <v/>
      </c>
      <c r="EF183" s="28" t="str">
        <f>IFERROR(VLOOKUP(ED183,Horarios!$H:$I,2,0),"")</f>
        <v/>
      </c>
      <c r="EG183" s="28" t="str">
        <f t="shared" si="120"/>
        <v>00:00</v>
      </c>
      <c r="EH183" s="29"/>
      <c r="EI183" s="27"/>
      <c r="EJ183" s="27"/>
      <c r="EK183" s="28" t="str">
        <f>IFERROR(VLOOKUP(EI183,Horarios!$H:$I,2,0),"")</f>
        <v/>
      </c>
      <c r="EL183" s="28" t="str">
        <f>IFERROR(VLOOKUP(EJ183,Horarios!$H:$I,2,0),"")</f>
        <v/>
      </c>
      <c r="EM183" s="28" t="str">
        <f t="shared" si="121"/>
        <v>00:00</v>
      </c>
      <c r="EN183" s="29"/>
      <c r="EO183" s="27"/>
      <c r="EP183" s="27"/>
      <c r="EQ183" s="28" t="str">
        <f>IFERROR(VLOOKUP(EO183,Horarios!$H:$I,2,0),"")</f>
        <v/>
      </c>
      <c r="ER183" s="28" t="str">
        <f>IFERROR(VLOOKUP(EP183,Horarios!$H:$I,2,0),"")</f>
        <v/>
      </c>
      <c r="ES183" s="28" t="str">
        <f t="shared" si="122"/>
        <v>00:00</v>
      </c>
      <c r="ET183" s="29"/>
      <c r="EU183" s="27"/>
      <c r="EV183" s="27"/>
      <c r="EW183" s="28" t="str">
        <f>IFERROR(VLOOKUP(EU183,Horarios!$H:$I,2,0),"")</f>
        <v/>
      </c>
      <c r="EX183" s="28" t="str">
        <f>IFERROR(VLOOKUP(EV183,Horarios!$H:$I,2,0),"")</f>
        <v/>
      </c>
      <c r="EY183" s="28" t="str">
        <f t="shared" si="123"/>
        <v>00:00</v>
      </c>
      <c r="EZ183" s="29"/>
      <c r="FA183" s="27"/>
      <c r="FB183" s="27"/>
      <c r="FC183" s="28" t="str">
        <f>IFERROR(VLOOKUP(FA183,Horarios!$H:$I,2,0),"")</f>
        <v/>
      </c>
      <c r="FD183" s="28" t="str">
        <f>IFERROR(VLOOKUP(FB183,Horarios!$H:$I,2,0),"")</f>
        <v/>
      </c>
      <c r="FE183" s="28" t="str">
        <f t="shared" si="124"/>
        <v>00:00</v>
      </c>
      <c r="FF183" s="29"/>
      <c r="FG183" s="27"/>
      <c r="FH183" s="27"/>
      <c r="FI183" s="28" t="str">
        <f>IFERROR(VLOOKUP(FG183,Horarios!$H:$I,2,0),"")</f>
        <v/>
      </c>
      <c r="FJ183" s="28" t="str">
        <f>IFERROR(VLOOKUP(FH183,Horarios!$H:$I,2,0),"")</f>
        <v/>
      </c>
      <c r="FK183" s="28" t="str">
        <f t="shared" si="125"/>
        <v>00:00</v>
      </c>
      <c r="FL183" s="29"/>
      <c r="FM183" s="27"/>
      <c r="FN183" s="27"/>
      <c r="FO183" s="28" t="str">
        <f>IFERROR(VLOOKUP(FM183,Horarios!$H:$I,2,0),"")</f>
        <v/>
      </c>
      <c r="FP183" s="28" t="str">
        <f>IFERROR(VLOOKUP(FN183,Horarios!$H:$I,2,0),"")</f>
        <v/>
      </c>
      <c r="FQ183" s="28" t="str">
        <f t="shared" si="126"/>
        <v>00:00</v>
      </c>
      <c r="FR183" s="29"/>
      <c r="FS183" s="31" t="str">
        <f t="shared" si="127"/>
        <v/>
      </c>
      <c r="FT183" s="27"/>
      <c r="FU183" s="27"/>
      <c r="FV183" s="28" t="str">
        <f>IFERROR(VLOOKUP(FT183,Horarios!$H:$I,2,0),"")</f>
        <v/>
      </c>
      <c r="FW183" s="28" t="str">
        <f>IFERROR(VLOOKUP(FU183,Horarios!$H:$I,2,0),"")</f>
        <v/>
      </c>
      <c r="FX183" s="28" t="str">
        <f t="shared" si="128"/>
        <v>00:00</v>
      </c>
      <c r="FY183" s="29"/>
      <c r="FZ183" s="27"/>
      <c r="GA183" s="27"/>
      <c r="GB183" s="28" t="str">
        <f>IFERROR(VLOOKUP(FZ183,Horarios!$H:$I,2,0),"")</f>
        <v/>
      </c>
      <c r="GC183" s="28" t="str">
        <f>IFERROR(VLOOKUP(GA183,Horarios!$H:$I,2,0),"")</f>
        <v/>
      </c>
      <c r="GD183" s="28" t="str">
        <f t="shared" si="129"/>
        <v>00:00</v>
      </c>
      <c r="GE183" s="29"/>
      <c r="GF183" s="27"/>
      <c r="GG183" s="27"/>
      <c r="GH183" s="28" t="str">
        <f>IFERROR(VLOOKUP(GF183,Horarios!$H:$I,2,0),"")</f>
        <v/>
      </c>
      <c r="GI183" s="28" t="str">
        <f>IFERROR(VLOOKUP(GG183,Horarios!$H:$I,2,0),"")</f>
        <v/>
      </c>
      <c r="GJ183" s="28" t="str">
        <f t="shared" si="130"/>
        <v>00:00</v>
      </c>
      <c r="GK183" s="29"/>
      <c r="GL183" s="27"/>
      <c r="GM183" s="27"/>
      <c r="GN183" s="28" t="str">
        <f>IFERROR(VLOOKUP(GL183,Horarios!$H:$I,2,0),"")</f>
        <v/>
      </c>
      <c r="GO183" s="28" t="str">
        <f>IFERROR(VLOOKUP(GM183,Horarios!$H:$I,2,0),"")</f>
        <v/>
      </c>
      <c r="GP183" s="28" t="str">
        <f t="shared" si="131"/>
        <v>00:00</v>
      </c>
      <c r="GQ183" s="29"/>
      <c r="GR183" s="27"/>
      <c r="GS183" s="27"/>
      <c r="GT183" s="28" t="str">
        <f>IFERROR(VLOOKUP(GR183,Horarios!$H:$I,2,0),"")</f>
        <v/>
      </c>
      <c r="GU183" s="28" t="str">
        <f>IFERROR(VLOOKUP(GS183,Horarios!$H:$I,2,0),"")</f>
        <v/>
      </c>
      <c r="GV183" s="28" t="str">
        <f t="shared" si="132"/>
        <v>00:00</v>
      </c>
      <c r="GW183" s="29"/>
      <c r="GX183" s="27"/>
      <c r="GY183" s="27"/>
      <c r="GZ183" s="28" t="str">
        <f>IFERROR(VLOOKUP(GX183,Horarios!$H:$I,2,0),"")</f>
        <v/>
      </c>
      <c r="HA183" s="28" t="str">
        <f>IFERROR(VLOOKUP(GY183,Horarios!$H:$I,2,0),"")</f>
        <v/>
      </c>
      <c r="HB183" s="28" t="str">
        <f t="shared" si="133"/>
        <v>00:00</v>
      </c>
      <c r="HC183" s="29"/>
      <c r="HD183" s="27"/>
      <c r="HE183" s="27"/>
      <c r="HF183" s="28" t="str">
        <f>IFERROR(VLOOKUP(HD183,Horarios!$H:$I,2,0),"")</f>
        <v/>
      </c>
      <c r="HG183" s="28" t="str">
        <f>IFERROR(VLOOKUP(HE183,Horarios!$H:$I,2,0),"")</f>
        <v/>
      </c>
      <c r="HH183" s="28" t="str">
        <f t="shared" si="134"/>
        <v>00:00</v>
      </c>
      <c r="HI183" s="29"/>
      <c r="HJ183" s="31" t="str">
        <f t="shared" si="135"/>
        <v/>
      </c>
      <c r="HK183" s="27"/>
      <c r="HL183" s="27"/>
      <c r="HM183" s="28" t="str">
        <f>IFERROR(VLOOKUP(HK183,Horarios!$H:$I,2,0),"")</f>
        <v/>
      </c>
      <c r="HN183" s="28" t="str">
        <f>IFERROR(VLOOKUP(HL183,Horarios!$H:$I,2,0),"")</f>
        <v/>
      </c>
      <c r="HO183" s="28" t="str">
        <f t="shared" si="136"/>
        <v>00:00</v>
      </c>
      <c r="HP183" s="29"/>
      <c r="HQ183" s="27"/>
      <c r="HR183" s="27"/>
      <c r="HS183" s="28" t="str">
        <f>IFERROR(VLOOKUP(HQ183,Horarios!$H:$I,2,0),"")</f>
        <v/>
      </c>
      <c r="HT183" s="28" t="str">
        <f>IFERROR(VLOOKUP(HR183,Horarios!$H:$I,2,0),"")</f>
        <v/>
      </c>
      <c r="HU183" s="28" t="str">
        <f t="shared" si="137"/>
        <v>00:00</v>
      </c>
      <c r="HV183" s="29"/>
      <c r="HW183" s="27"/>
      <c r="HX183" s="27"/>
      <c r="HY183" s="28" t="str">
        <f>IFERROR(VLOOKUP(HW183,Horarios!$H:$I,2,0),"")</f>
        <v/>
      </c>
      <c r="HZ183" s="28" t="str">
        <f>IFERROR(VLOOKUP(HX183,Horarios!$H:$I,2,0),"")</f>
        <v/>
      </c>
      <c r="IA183" s="28" t="str">
        <f t="shared" si="138"/>
        <v>00:00</v>
      </c>
      <c r="IB183" s="29"/>
      <c r="IC183" s="27"/>
      <c r="ID183" s="27"/>
      <c r="IE183" s="28" t="str">
        <f>IFERROR(VLOOKUP(IC183,Horarios!$H:$I,2,0),"")</f>
        <v/>
      </c>
      <c r="IF183" s="28" t="str">
        <f>IFERROR(VLOOKUP(ID183,Horarios!$H:$I,2,0),"")</f>
        <v/>
      </c>
      <c r="IG183" s="28" t="str">
        <f t="shared" si="139"/>
        <v>00:00</v>
      </c>
      <c r="IH183" s="29"/>
      <c r="II183" s="27"/>
      <c r="IJ183" s="27"/>
      <c r="IK183" s="28" t="str">
        <f>IFERROR(VLOOKUP(II183,Horarios!$H:$I,2,0),"")</f>
        <v/>
      </c>
      <c r="IL183" s="28" t="str">
        <f>IFERROR(VLOOKUP(IJ183,Horarios!$H:$I,2,0),"")</f>
        <v/>
      </c>
      <c r="IM183" s="28" t="str">
        <f t="shared" si="140"/>
        <v>00:00</v>
      </c>
      <c r="IN183" s="29"/>
      <c r="IO183" s="27"/>
      <c r="IP183" s="27"/>
      <c r="IQ183" s="28" t="str">
        <f>IFERROR(VLOOKUP(IO183,Horarios!$H:$I,2,0),"")</f>
        <v/>
      </c>
      <c r="IR183" s="28" t="str">
        <f>IFERROR(VLOOKUP(IP183,Horarios!$H:$I,2,0),"")</f>
        <v/>
      </c>
      <c r="IS183" s="28" t="str">
        <f t="shared" si="141"/>
        <v>00:00</v>
      </c>
      <c r="IT183" s="29"/>
      <c r="IU183" s="27"/>
      <c r="IV183" s="27"/>
      <c r="IW183" s="28" t="str">
        <f>IFERROR(VLOOKUP(IU183,Horarios!$H:$I,2,0),"")</f>
        <v/>
      </c>
      <c r="IX183" s="28" t="str">
        <f>IFERROR(VLOOKUP(IV183,Horarios!$H:$I,2,0),"")</f>
        <v/>
      </c>
      <c r="IY183" s="28" t="str">
        <f t="shared" si="142"/>
        <v>00:00</v>
      </c>
      <c r="IZ183" s="29"/>
      <c r="JA183" s="31" t="str">
        <f t="shared" si="143"/>
        <v/>
      </c>
    </row>
    <row r="184" spans="1:261" s="24" customFormat="1" ht="17.399999999999999" x14ac:dyDescent="0.25">
      <c r="A184" s="25"/>
      <c r="B184" s="26" t="str">
        <f>IFERROR(VLOOKUP(A184,BaseNombres!A:B,2,0),"")</f>
        <v/>
      </c>
      <c r="C184" s="26" t="str">
        <f>IFERROR(VLOOKUP(A184,BaseNombres!A:C,3,0),"")</f>
        <v/>
      </c>
      <c r="D184" s="27"/>
      <c r="E184" s="27"/>
      <c r="F184" s="28" t="str">
        <f>IFERROR(VLOOKUP(D184,Horarios!$H:$I,2,0),"")</f>
        <v/>
      </c>
      <c r="G184" s="28" t="str">
        <f>IFERROR(VLOOKUP(E184,Horarios!$H:$I,2,0),"")</f>
        <v/>
      </c>
      <c r="H184" s="28" t="str">
        <f t="shared" si="96"/>
        <v>00:00</v>
      </c>
      <c r="I184" s="29"/>
      <c r="J184" s="27"/>
      <c r="K184" s="27"/>
      <c r="L184" s="28" t="str">
        <f>IFERROR(VLOOKUP(J184,Horarios!$H:$I,2,0),"")</f>
        <v/>
      </c>
      <c r="M184" s="28" t="str">
        <f>IFERROR(VLOOKUP(K184,Horarios!$H:$I,2,0),"")</f>
        <v/>
      </c>
      <c r="N184" s="28" t="str">
        <f t="shared" si="97"/>
        <v>00:00</v>
      </c>
      <c r="O184" s="29"/>
      <c r="P184" s="27"/>
      <c r="Q184" s="27"/>
      <c r="R184" s="28" t="str">
        <f>IFERROR(VLOOKUP(P184,Horarios!$H:$I,2,0),"")</f>
        <v/>
      </c>
      <c r="S184" s="28" t="str">
        <f>IFERROR(VLOOKUP(Q184,Horarios!$H:$I,2,0),"")</f>
        <v/>
      </c>
      <c r="T184" s="28" t="str">
        <f t="shared" si="98"/>
        <v>00:00</v>
      </c>
      <c r="U184" s="29"/>
      <c r="V184" s="27"/>
      <c r="W184" s="27"/>
      <c r="X184" s="28" t="str">
        <f>IFERROR(VLOOKUP(V184,Horarios!$H:$I,2,0),"")</f>
        <v/>
      </c>
      <c r="Y184" s="28" t="str">
        <f>IFERROR(VLOOKUP(W184,Horarios!$H:$I,2,0),"")</f>
        <v/>
      </c>
      <c r="Z184" s="28" t="str">
        <f t="shared" si="99"/>
        <v>00:00</v>
      </c>
      <c r="AA184" s="29"/>
      <c r="AB184" s="27"/>
      <c r="AC184" s="27"/>
      <c r="AD184" s="28" t="str">
        <f>IFERROR(VLOOKUP(AB184,Horarios!$H:$I,2,0),"")</f>
        <v/>
      </c>
      <c r="AE184" s="28" t="str">
        <f>IFERROR(VLOOKUP(AC184,Horarios!$H:$I,2,0),"")</f>
        <v/>
      </c>
      <c r="AF184" s="28" t="str">
        <f t="shared" si="100"/>
        <v>00:00</v>
      </c>
      <c r="AG184" s="29"/>
      <c r="AH184" s="27"/>
      <c r="AI184" s="27"/>
      <c r="AJ184" s="28" t="str">
        <f>IFERROR(VLOOKUP(AH184,Horarios!$H:$I,2,0),"")</f>
        <v/>
      </c>
      <c r="AK184" s="28" t="str">
        <f>IFERROR(VLOOKUP(AI184,Horarios!$H:$I,2,0),"")</f>
        <v/>
      </c>
      <c r="AL184" s="28" t="str">
        <f t="shared" si="101"/>
        <v>00:00</v>
      </c>
      <c r="AM184" s="29"/>
      <c r="AN184" s="27"/>
      <c r="AO184" s="27"/>
      <c r="AP184" s="28" t="str">
        <f>IFERROR(VLOOKUP(AN184,Horarios!$H:$I,2,0),"")</f>
        <v/>
      </c>
      <c r="AQ184" s="28" t="str">
        <f>IFERROR(VLOOKUP(AO184,Horarios!$H:$I,2,0),"")</f>
        <v/>
      </c>
      <c r="AR184" s="28" t="str">
        <f t="shared" si="102"/>
        <v>00:00</v>
      </c>
      <c r="AS184" s="29"/>
      <c r="AT184" s="31" t="str">
        <f t="shared" si="103"/>
        <v/>
      </c>
      <c r="AU184" s="27"/>
      <c r="AV184" s="27"/>
      <c r="AW184" s="28" t="str">
        <f>IFERROR(VLOOKUP(AU184,Horarios!$H:$I,2,0),"")</f>
        <v/>
      </c>
      <c r="AX184" s="28" t="str">
        <f>IFERROR(VLOOKUP(AV184,Horarios!$H:$I,2,0),"")</f>
        <v/>
      </c>
      <c r="AY184" s="28" t="str">
        <f t="shared" si="104"/>
        <v>00:00</v>
      </c>
      <c r="AZ184" s="29"/>
      <c r="BA184" s="27"/>
      <c r="BB184" s="27"/>
      <c r="BC184" s="28" t="str">
        <f>IFERROR(VLOOKUP(BA184,Horarios!$H:$I,2,0),"")</f>
        <v/>
      </c>
      <c r="BD184" s="28" t="str">
        <f>IFERROR(VLOOKUP(BB184,Horarios!$H:$I,2,0),"")</f>
        <v/>
      </c>
      <c r="BE184" s="28" t="str">
        <f t="shared" si="105"/>
        <v>00:00</v>
      </c>
      <c r="BF184" s="29"/>
      <c r="BG184" s="27"/>
      <c r="BH184" s="27"/>
      <c r="BI184" s="28" t="str">
        <f>IFERROR(VLOOKUP(BG184,Horarios!$H:$I,2,0),"")</f>
        <v/>
      </c>
      <c r="BJ184" s="28" t="str">
        <f>IFERROR(VLOOKUP(BH184,Horarios!$H:$I,2,0),"")</f>
        <v/>
      </c>
      <c r="BK184" s="28" t="str">
        <f t="shared" si="106"/>
        <v>00:00</v>
      </c>
      <c r="BL184" s="29"/>
      <c r="BM184" s="27"/>
      <c r="BN184" s="27"/>
      <c r="BO184" s="28" t="str">
        <f>IFERROR(VLOOKUP(BM184,Horarios!$H:$I,2,0),"")</f>
        <v/>
      </c>
      <c r="BP184" s="28" t="str">
        <f>IFERROR(VLOOKUP(BN184,Horarios!$H:$I,2,0),"")</f>
        <v/>
      </c>
      <c r="BQ184" s="28" t="str">
        <f t="shared" si="107"/>
        <v>00:00</v>
      </c>
      <c r="BR184" s="29"/>
      <c r="BS184" s="27"/>
      <c r="BT184" s="27"/>
      <c r="BU184" s="28" t="str">
        <f>IFERROR(VLOOKUP(BS184,Horarios!$H:$I,2,0),"")</f>
        <v/>
      </c>
      <c r="BV184" s="28" t="str">
        <f>IFERROR(VLOOKUP(BT184,Horarios!$H:$I,2,0),"")</f>
        <v/>
      </c>
      <c r="BW184" s="28" t="str">
        <f t="shared" si="108"/>
        <v>00:00</v>
      </c>
      <c r="BX184" s="29"/>
      <c r="BY184" s="27"/>
      <c r="BZ184" s="27"/>
      <c r="CA184" s="28" t="str">
        <f>IFERROR(VLOOKUP(BY184,Horarios!$H:$I,2,0),"")</f>
        <v/>
      </c>
      <c r="CB184" s="28" t="str">
        <f>IFERROR(VLOOKUP(BZ184,Horarios!$H:$I,2,0),"")</f>
        <v/>
      </c>
      <c r="CC184" s="28" t="str">
        <f t="shared" si="109"/>
        <v>00:00</v>
      </c>
      <c r="CD184" s="29"/>
      <c r="CE184" s="27"/>
      <c r="CF184" s="27"/>
      <c r="CG184" s="28" t="str">
        <f>IFERROR(VLOOKUP(CE184,Horarios!$H:$I,2,0),"")</f>
        <v/>
      </c>
      <c r="CH184" s="28" t="str">
        <f>IFERROR(VLOOKUP(CF184,Horarios!$H:$I,2,0),"")</f>
        <v/>
      </c>
      <c r="CI184" s="28" t="str">
        <f t="shared" si="110"/>
        <v>00:00</v>
      </c>
      <c r="CJ184" s="29"/>
      <c r="CK184" s="31" t="str">
        <f t="shared" si="111"/>
        <v/>
      </c>
      <c r="CL184" s="27"/>
      <c r="CM184" s="27"/>
      <c r="CN184" s="28" t="str">
        <f>IFERROR(VLOOKUP(CL184,Horarios!$H:$I,2,0),"")</f>
        <v/>
      </c>
      <c r="CO184" s="28" t="str">
        <f>IFERROR(VLOOKUP(CM184,Horarios!$H:$I,2,0),"")</f>
        <v/>
      </c>
      <c r="CP184" s="28" t="str">
        <f t="shared" si="112"/>
        <v>00:00</v>
      </c>
      <c r="CQ184" s="29"/>
      <c r="CR184" s="27"/>
      <c r="CS184" s="27"/>
      <c r="CT184" s="28" t="str">
        <f>IFERROR(VLOOKUP(CR184,Horarios!$H:$I,2,0),"")</f>
        <v/>
      </c>
      <c r="CU184" s="28" t="str">
        <f>IFERROR(VLOOKUP(CS184,Horarios!$H:$I,2,0),"")</f>
        <v/>
      </c>
      <c r="CV184" s="28" t="str">
        <f t="shared" si="113"/>
        <v>00:00</v>
      </c>
      <c r="CW184" s="29"/>
      <c r="CX184" s="27"/>
      <c r="CY184" s="27"/>
      <c r="CZ184" s="28" t="str">
        <f>IFERROR(VLOOKUP(CX184,Horarios!$H:$I,2,0),"")</f>
        <v/>
      </c>
      <c r="DA184" s="28" t="str">
        <f>IFERROR(VLOOKUP(CY184,Horarios!$H:$I,2,0),"")</f>
        <v/>
      </c>
      <c r="DB184" s="28" t="str">
        <f t="shared" si="114"/>
        <v>00:00</v>
      </c>
      <c r="DC184" s="29"/>
      <c r="DD184" s="27"/>
      <c r="DE184" s="27"/>
      <c r="DF184" s="28" t="str">
        <f>IFERROR(VLOOKUP(DD184,Horarios!$H:$I,2,0),"")</f>
        <v/>
      </c>
      <c r="DG184" s="28" t="str">
        <f>IFERROR(VLOOKUP(DE184,Horarios!$H:$I,2,0),"")</f>
        <v/>
      </c>
      <c r="DH184" s="28" t="str">
        <f t="shared" si="115"/>
        <v>00:00</v>
      </c>
      <c r="DI184" s="29"/>
      <c r="DJ184" s="27"/>
      <c r="DK184" s="27"/>
      <c r="DL184" s="28" t="str">
        <f>IFERROR(VLOOKUP(DJ184,Horarios!$H:$I,2,0),"")</f>
        <v/>
      </c>
      <c r="DM184" s="28" t="str">
        <f>IFERROR(VLOOKUP(DK184,Horarios!$H:$I,2,0),"")</f>
        <v/>
      </c>
      <c r="DN184" s="28" t="str">
        <f t="shared" si="116"/>
        <v>00:00</v>
      </c>
      <c r="DO184" s="29"/>
      <c r="DP184" s="27"/>
      <c r="DQ184" s="27"/>
      <c r="DR184" s="28" t="str">
        <f>IFERROR(VLOOKUP(DP184,Horarios!$H:$I,2,0),"")</f>
        <v/>
      </c>
      <c r="DS184" s="28" t="str">
        <f>IFERROR(VLOOKUP(DQ184,Horarios!$H:$I,2,0),"")</f>
        <v/>
      </c>
      <c r="DT184" s="28" t="str">
        <f t="shared" si="117"/>
        <v>00:00</v>
      </c>
      <c r="DU184" s="29"/>
      <c r="DV184" s="27"/>
      <c r="DW184" s="27"/>
      <c r="DX184" s="28" t="str">
        <f>IFERROR(VLOOKUP(DV184,Horarios!$H:$I,2,0),"")</f>
        <v/>
      </c>
      <c r="DY184" s="28" t="str">
        <f>IFERROR(VLOOKUP(DW184,Horarios!$H:$I,2,0),"")</f>
        <v/>
      </c>
      <c r="DZ184" s="28" t="str">
        <f t="shared" si="118"/>
        <v>00:00</v>
      </c>
      <c r="EA184" s="29"/>
      <c r="EB184" s="31" t="str">
        <f t="shared" si="119"/>
        <v/>
      </c>
      <c r="EC184" s="27"/>
      <c r="ED184" s="27"/>
      <c r="EE184" s="28" t="str">
        <f>IFERROR(VLOOKUP(EC184,Horarios!$H:$I,2,0),"")</f>
        <v/>
      </c>
      <c r="EF184" s="28" t="str">
        <f>IFERROR(VLOOKUP(ED184,Horarios!$H:$I,2,0),"")</f>
        <v/>
      </c>
      <c r="EG184" s="28" t="str">
        <f t="shared" si="120"/>
        <v>00:00</v>
      </c>
      <c r="EH184" s="29"/>
      <c r="EI184" s="27"/>
      <c r="EJ184" s="27"/>
      <c r="EK184" s="28" t="str">
        <f>IFERROR(VLOOKUP(EI184,Horarios!$H:$I,2,0),"")</f>
        <v/>
      </c>
      <c r="EL184" s="28" t="str">
        <f>IFERROR(VLOOKUP(EJ184,Horarios!$H:$I,2,0),"")</f>
        <v/>
      </c>
      <c r="EM184" s="28" t="str">
        <f t="shared" si="121"/>
        <v>00:00</v>
      </c>
      <c r="EN184" s="29"/>
      <c r="EO184" s="27"/>
      <c r="EP184" s="27"/>
      <c r="EQ184" s="28" t="str">
        <f>IFERROR(VLOOKUP(EO184,Horarios!$H:$I,2,0),"")</f>
        <v/>
      </c>
      <c r="ER184" s="28" t="str">
        <f>IFERROR(VLOOKUP(EP184,Horarios!$H:$I,2,0),"")</f>
        <v/>
      </c>
      <c r="ES184" s="28" t="str">
        <f t="shared" si="122"/>
        <v>00:00</v>
      </c>
      <c r="ET184" s="29"/>
      <c r="EU184" s="27"/>
      <c r="EV184" s="27"/>
      <c r="EW184" s="28" t="str">
        <f>IFERROR(VLOOKUP(EU184,Horarios!$H:$I,2,0),"")</f>
        <v/>
      </c>
      <c r="EX184" s="28" t="str">
        <f>IFERROR(VLOOKUP(EV184,Horarios!$H:$I,2,0),"")</f>
        <v/>
      </c>
      <c r="EY184" s="28" t="str">
        <f t="shared" si="123"/>
        <v>00:00</v>
      </c>
      <c r="EZ184" s="29"/>
      <c r="FA184" s="27"/>
      <c r="FB184" s="27"/>
      <c r="FC184" s="28" t="str">
        <f>IFERROR(VLOOKUP(FA184,Horarios!$H:$I,2,0),"")</f>
        <v/>
      </c>
      <c r="FD184" s="28" t="str">
        <f>IFERROR(VLOOKUP(FB184,Horarios!$H:$I,2,0),"")</f>
        <v/>
      </c>
      <c r="FE184" s="28" t="str">
        <f t="shared" si="124"/>
        <v>00:00</v>
      </c>
      <c r="FF184" s="29"/>
      <c r="FG184" s="27"/>
      <c r="FH184" s="27"/>
      <c r="FI184" s="28" t="str">
        <f>IFERROR(VLOOKUP(FG184,Horarios!$H:$I,2,0),"")</f>
        <v/>
      </c>
      <c r="FJ184" s="28" t="str">
        <f>IFERROR(VLOOKUP(FH184,Horarios!$H:$I,2,0),"")</f>
        <v/>
      </c>
      <c r="FK184" s="28" t="str">
        <f t="shared" si="125"/>
        <v>00:00</v>
      </c>
      <c r="FL184" s="29"/>
      <c r="FM184" s="27"/>
      <c r="FN184" s="27"/>
      <c r="FO184" s="28" t="str">
        <f>IFERROR(VLOOKUP(FM184,Horarios!$H:$I,2,0),"")</f>
        <v/>
      </c>
      <c r="FP184" s="28" t="str">
        <f>IFERROR(VLOOKUP(FN184,Horarios!$H:$I,2,0),"")</f>
        <v/>
      </c>
      <c r="FQ184" s="28" t="str">
        <f t="shared" si="126"/>
        <v>00:00</v>
      </c>
      <c r="FR184" s="29"/>
      <c r="FS184" s="31" t="str">
        <f t="shared" si="127"/>
        <v/>
      </c>
      <c r="FT184" s="27"/>
      <c r="FU184" s="27"/>
      <c r="FV184" s="28" t="str">
        <f>IFERROR(VLOOKUP(FT184,Horarios!$H:$I,2,0),"")</f>
        <v/>
      </c>
      <c r="FW184" s="28" t="str">
        <f>IFERROR(VLOOKUP(FU184,Horarios!$H:$I,2,0),"")</f>
        <v/>
      </c>
      <c r="FX184" s="28" t="str">
        <f t="shared" si="128"/>
        <v>00:00</v>
      </c>
      <c r="FY184" s="29"/>
      <c r="FZ184" s="27"/>
      <c r="GA184" s="27"/>
      <c r="GB184" s="28" t="str">
        <f>IFERROR(VLOOKUP(FZ184,Horarios!$H:$I,2,0),"")</f>
        <v/>
      </c>
      <c r="GC184" s="28" t="str">
        <f>IFERROR(VLOOKUP(GA184,Horarios!$H:$I,2,0),"")</f>
        <v/>
      </c>
      <c r="GD184" s="28" t="str">
        <f t="shared" si="129"/>
        <v>00:00</v>
      </c>
      <c r="GE184" s="29"/>
      <c r="GF184" s="27"/>
      <c r="GG184" s="27"/>
      <c r="GH184" s="28" t="str">
        <f>IFERROR(VLOOKUP(GF184,Horarios!$H:$I,2,0),"")</f>
        <v/>
      </c>
      <c r="GI184" s="28" t="str">
        <f>IFERROR(VLOOKUP(GG184,Horarios!$H:$I,2,0),"")</f>
        <v/>
      </c>
      <c r="GJ184" s="28" t="str">
        <f t="shared" si="130"/>
        <v>00:00</v>
      </c>
      <c r="GK184" s="29"/>
      <c r="GL184" s="27"/>
      <c r="GM184" s="27"/>
      <c r="GN184" s="28" t="str">
        <f>IFERROR(VLOOKUP(GL184,Horarios!$H:$I,2,0),"")</f>
        <v/>
      </c>
      <c r="GO184" s="28" t="str">
        <f>IFERROR(VLOOKUP(GM184,Horarios!$H:$I,2,0),"")</f>
        <v/>
      </c>
      <c r="GP184" s="28" t="str">
        <f t="shared" si="131"/>
        <v>00:00</v>
      </c>
      <c r="GQ184" s="29"/>
      <c r="GR184" s="27"/>
      <c r="GS184" s="27"/>
      <c r="GT184" s="28" t="str">
        <f>IFERROR(VLOOKUP(GR184,Horarios!$H:$I,2,0),"")</f>
        <v/>
      </c>
      <c r="GU184" s="28" t="str">
        <f>IFERROR(VLOOKUP(GS184,Horarios!$H:$I,2,0),"")</f>
        <v/>
      </c>
      <c r="GV184" s="28" t="str">
        <f t="shared" si="132"/>
        <v>00:00</v>
      </c>
      <c r="GW184" s="29"/>
      <c r="GX184" s="27"/>
      <c r="GY184" s="27"/>
      <c r="GZ184" s="28" t="str">
        <f>IFERROR(VLOOKUP(GX184,Horarios!$H:$I,2,0),"")</f>
        <v/>
      </c>
      <c r="HA184" s="28" t="str">
        <f>IFERROR(VLOOKUP(GY184,Horarios!$H:$I,2,0),"")</f>
        <v/>
      </c>
      <c r="HB184" s="28" t="str">
        <f t="shared" si="133"/>
        <v>00:00</v>
      </c>
      <c r="HC184" s="29"/>
      <c r="HD184" s="27"/>
      <c r="HE184" s="27"/>
      <c r="HF184" s="28" t="str">
        <f>IFERROR(VLOOKUP(HD184,Horarios!$H:$I,2,0),"")</f>
        <v/>
      </c>
      <c r="HG184" s="28" t="str">
        <f>IFERROR(VLOOKUP(HE184,Horarios!$H:$I,2,0),"")</f>
        <v/>
      </c>
      <c r="HH184" s="28" t="str">
        <f t="shared" si="134"/>
        <v>00:00</v>
      </c>
      <c r="HI184" s="29"/>
      <c r="HJ184" s="31" t="str">
        <f t="shared" si="135"/>
        <v/>
      </c>
      <c r="HK184" s="27"/>
      <c r="HL184" s="27"/>
      <c r="HM184" s="28" t="str">
        <f>IFERROR(VLOOKUP(HK184,Horarios!$H:$I,2,0),"")</f>
        <v/>
      </c>
      <c r="HN184" s="28" t="str">
        <f>IFERROR(VLOOKUP(HL184,Horarios!$H:$I,2,0),"")</f>
        <v/>
      </c>
      <c r="HO184" s="28" t="str">
        <f t="shared" si="136"/>
        <v>00:00</v>
      </c>
      <c r="HP184" s="29"/>
      <c r="HQ184" s="27"/>
      <c r="HR184" s="27"/>
      <c r="HS184" s="28" t="str">
        <f>IFERROR(VLOOKUP(HQ184,Horarios!$H:$I,2,0),"")</f>
        <v/>
      </c>
      <c r="HT184" s="28" t="str">
        <f>IFERROR(VLOOKUP(HR184,Horarios!$H:$I,2,0),"")</f>
        <v/>
      </c>
      <c r="HU184" s="28" t="str">
        <f t="shared" si="137"/>
        <v>00:00</v>
      </c>
      <c r="HV184" s="29"/>
      <c r="HW184" s="27"/>
      <c r="HX184" s="27"/>
      <c r="HY184" s="28" t="str">
        <f>IFERROR(VLOOKUP(HW184,Horarios!$H:$I,2,0),"")</f>
        <v/>
      </c>
      <c r="HZ184" s="28" t="str">
        <f>IFERROR(VLOOKUP(HX184,Horarios!$H:$I,2,0),"")</f>
        <v/>
      </c>
      <c r="IA184" s="28" t="str">
        <f t="shared" si="138"/>
        <v>00:00</v>
      </c>
      <c r="IB184" s="29"/>
      <c r="IC184" s="27"/>
      <c r="ID184" s="27"/>
      <c r="IE184" s="28" t="str">
        <f>IFERROR(VLOOKUP(IC184,Horarios!$H:$I,2,0),"")</f>
        <v/>
      </c>
      <c r="IF184" s="28" t="str">
        <f>IFERROR(VLOOKUP(ID184,Horarios!$H:$I,2,0),"")</f>
        <v/>
      </c>
      <c r="IG184" s="28" t="str">
        <f t="shared" si="139"/>
        <v>00:00</v>
      </c>
      <c r="IH184" s="29"/>
      <c r="II184" s="27"/>
      <c r="IJ184" s="27"/>
      <c r="IK184" s="28" t="str">
        <f>IFERROR(VLOOKUP(II184,Horarios!$H:$I,2,0),"")</f>
        <v/>
      </c>
      <c r="IL184" s="28" t="str">
        <f>IFERROR(VLOOKUP(IJ184,Horarios!$H:$I,2,0),"")</f>
        <v/>
      </c>
      <c r="IM184" s="28" t="str">
        <f t="shared" si="140"/>
        <v>00:00</v>
      </c>
      <c r="IN184" s="29"/>
      <c r="IO184" s="27"/>
      <c r="IP184" s="27"/>
      <c r="IQ184" s="28" t="str">
        <f>IFERROR(VLOOKUP(IO184,Horarios!$H:$I,2,0),"")</f>
        <v/>
      </c>
      <c r="IR184" s="28" t="str">
        <f>IFERROR(VLOOKUP(IP184,Horarios!$H:$I,2,0),"")</f>
        <v/>
      </c>
      <c r="IS184" s="28" t="str">
        <f t="shared" si="141"/>
        <v>00:00</v>
      </c>
      <c r="IT184" s="29"/>
      <c r="IU184" s="27"/>
      <c r="IV184" s="27"/>
      <c r="IW184" s="28" t="str">
        <f>IFERROR(VLOOKUP(IU184,Horarios!$H:$I,2,0),"")</f>
        <v/>
      </c>
      <c r="IX184" s="28" t="str">
        <f>IFERROR(VLOOKUP(IV184,Horarios!$H:$I,2,0),"")</f>
        <v/>
      </c>
      <c r="IY184" s="28" t="str">
        <f t="shared" si="142"/>
        <v>00:00</v>
      </c>
      <c r="IZ184" s="29"/>
      <c r="JA184" s="31" t="str">
        <f t="shared" si="143"/>
        <v/>
      </c>
    </row>
    <row r="185" spans="1:261" s="24" customFormat="1" ht="17.399999999999999" x14ac:dyDescent="0.25">
      <c r="A185" s="25"/>
      <c r="B185" s="26" t="str">
        <f>IFERROR(VLOOKUP(A185,BaseNombres!A:B,2,0),"")</f>
        <v/>
      </c>
      <c r="C185" s="26" t="str">
        <f>IFERROR(VLOOKUP(A185,BaseNombres!A:C,3,0),"")</f>
        <v/>
      </c>
      <c r="D185" s="27"/>
      <c r="E185" s="27"/>
      <c r="F185" s="28" t="str">
        <f>IFERROR(VLOOKUP(D185,Horarios!$H:$I,2,0),"")</f>
        <v/>
      </c>
      <c r="G185" s="28" t="str">
        <f>IFERROR(VLOOKUP(E185,Horarios!$H:$I,2,0),"")</f>
        <v/>
      </c>
      <c r="H185" s="28" t="str">
        <f t="shared" si="96"/>
        <v>00:00</v>
      </c>
      <c r="I185" s="29"/>
      <c r="J185" s="27"/>
      <c r="K185" s="27"/>
      <c r="L185" s="28" t="str">
        <f>IFERROR(VLOOKUP(J185,Horarios!$H:$I,2,0),"")</f>
        <v/>
      </c>
      <c r="M185" s="28" t="str">
        <f>IFERROR(VLOOKUP(K185,Horarios!$H:$I,2,0),"")</f>
        <v/>
      </c>
      <c r="N185" s="28" t="str">
        <f t="shared" si="97"/>
        <v>00:00</v>
      </c>
      <c r="O185" s="29"/>
      <c r="P185" s="27"/>
      <c r="Q185" s="27"/>
      <c r="R185" s="28" t="str">
        <f>IFERROR(VLOOKUP(P185,Horarios!$H:$I,2,0),"")</f>
        <v/>
      </c>
      <c r="S185" s="28" t="str">
        <f>IFERROR(VLOOKUP(Q185,Horarios!$H:$I,2,0),"")</f>
        <v/>
      </c>
      <c r="T185" s="28" t="str">
        <f t="shared" si="98"/>
        <v>00:00</v>
      </c>
      <c r="U185" s="29"/>
      <c r="V185" s="27"/>
      <c r="W185" s="27"/>
      <c r="X185" s="28" t="str">
        <f>IFERROR(VLOOKUP(V185,Horarios!$H:$I,2,0),"")</f>
        <v/>
      </c>
      <c r="Y185" s="28" t="str">
        <f>IFERROR(VLOOKUP(W185,Horarios!$H:$I,2,0),"")</f>
        <v/>
      </c>
      <c r="Z185" s="28" t="str">
        <f t="shared" si="99"/>
        <v>00:00</v>
      </c>
      <c r="AA185" s="29"/>
      <c r="AB185" s="27"/>
      <c r="AC185" s="27"/>
      <c r="AD185" s="28" t="str">
        <f>IFERROR(VLOOKUP(AB185,Horarios!$H:$I,2,0),"")</f>
        <v/>
      </c>
      <c r="AE185" s="28" t="str">
        <f>IFERROR(VLOOKUP(AC185,Horarios!$H:$I,2,0),"")</f>
        <v/>
      </c>
      <c r="AF185" s="28" t="str">
        <f t="shared" si="100"/>
        <v>00:00</v>
      </c>
      <c r="AG185" s="29"/>
      <c r="AH185" s="27"/>
      <c r="AI185" s="27"/>
      <c r="AJ185" s="28" t="str">
        <f>IFERROR(VLOOKUP(AH185,Horarios!$H:$I,2,0),"")</f>
        <v/>
      </c>
      <c r="AK185" s="28" t="str">
        <f>IFERROR(VLOOKUP(AI185,Horarios!$H:$I,2,0),"")</f>
        <v/>
      </c>
      <c r="AL185" s="28" t="str">
        <f t="shared" si="101"/>
        <v>00:00</v>
      </c>
      <c r="AM185" s="29"/>
      <c r="AN185" s="27"/>
      <c r="AO185" s="27"/>
      <c r="AP185" s="28" t="str">
        <f>IFERROR(VLOOKUP(AN185,Horarios!$H:$I,2,0),"")</f>
        <v/>
      </c>
      <c r="AQ185" s="28" t="str">
        <f>IFERROR(VLOOKUP(AO185,Horarios!$H:$I,2,0),"")</f>
        <v/>
      </c>
      <c r="AR185" s="28" t="str">
        <f t="shared" si="102"/>
        <v>00:00</v>
      </c>
      <c r="AS185" s="29"/>
      <c r="AT185" s="31" t="str">
        <f t="shared" si="103"/>
        <v/>
      </c>
      <c r="AU185" s="27"/>
      <c r="AV185" s="27"/>
      <c r="AW185" s="28" t="str">
        <f>IFERROR(VLOOKUP(AU185,Horarios!$H:$I,2,0),"")</f>
        <v/>
      </c>
      <c r="AX185" s="28" t="str">
        <f>IFERROR(VLOOKUP(AV185,Horarios!$H:$I,2,0),"")</f>
        <v/>
      </c>
      <c r="AY185" s="28" t="str">
        <f t="shared" si="104"/>
        <v>00:00</v>
      </c>
      <c r="AZ185" s="29"/>
      <c r="BA185" s="27"/>
      <c r="BB185" s="27"/>
      <c r="BC185" s="28" t="str">
        <f>IFERROR(VLOOKUP(BA185,Horarios!$H:$I,2,0),"")</f>
        <v/>
      </c>
      <c r="BD185" s="28" t="str">
        <f>IFERROR(VLOOKUP(BB185,Horarios!$H:$I,2,0),"")</f>
        <v/>
      </c>
      <c r="BE185" s="28" t="str">
        <f t="shared" si="105"/>
        <v>00:00</v>
      </c>
      <c r="BF185" s="29"/>
      <c r="BG185" s="27"/>
      <c r="BH185" s="27"/>
      <c r="BI185" s="28" t="str">
        <f>IFERROR(VLOOKUP(BG185,Horarios!$H:$I,2,0),"")</f>
        <v/>
      </c>
      <c r="BJ185" s="28" t="str">
        <f>IFERROR(VLOOKUP(BH185,Horarios!$H:$I,2,0),"")</f>
        <v/>
      </c>
      <c r="BK185" s="28" t="str">
        <f t="shared" si="106"/>
        <v>00:00</v>
      </c>
      <c r="BL185" s="29"/>
      <c r="BM185" s="27"/>
      <c r="BN185" s="27"/>
      <c r="BO185" s="28" t="str">
        <f>IFERROR(VLOOKUP(BM185,Horarios!$H:$I,2,0),"")</f>
        <v/>
      </c>
      <c r="BP185" s="28" t="str">
        <f>IFERROR(VLOOKUP(BN185,Horarios!$H:$I,2,0),"")</f>
        <v/>
      </c>
      <c r="BQ185" s="28" t="str">
        <f t="shared" si="107"/>
        <v>00:00</v>
      </c>
      <c r="BR185" s="29"/>
      <c r="BS185" s="27"/>
      <c r="BT185" s="27"/>
      <c r="BU185" s="28" t="str">
        <f>IFERROR(VLOOKUP(BS185,Horarios!$H:$I,2,0),"")</f>
        <v/>
      </c>
      <c r="BV185" s="28" t="str">
        <f>IFERROR(VLOOKUP(BT185,Horarios!$H:$I,2,0),"")</f>
        <v/>
      </c>
      <c r="BW185" s="28" t="str">
        <f t="shared" si="108"/>
        <v>00:00</v>
      </c>
      <c r="BX185" s="29"/>
      <c r="BY185" s="27"/>
      <c r="BZ185" s="27"/>
      <c r="CA185" s="28" t="str">
        <f>IFERROR(VLOOKUP(BY185,Horarios!$H:$I,2,0),"")</f>
        <v/>
      </c>
      <c r="CB185" s="28" t="str">
        <f>IFERROR(VLOOKUP(BZ185,Horarios!$H:$I,2,0),"")</f>
        <v/>
      </c>
      <c r="CC185" s="28" t="str">
        <f t="shared" si="109"/>
        <v>00:00</v>
      </c>
      <c r="CD185" s="29"/>
      <c r="CE185" s="27"/>
      <c r="CF185" s="27"/>
      <c r="CG185" s="28" t="str">
        <f>IFERROR(VLOOKUP(CE185,Horarios!$H:$I,2,0),"")</f>
        <v/>
      </c>
      <c r="CH185" s="28" t="str">
        <f>IFERROR(VLOOKUP(CF185,Horarios!$H:$I,2,0),"")</f>
        <v/>
      </c>
      <c r="CI185" s="28" t="str">
        <f t="shared" si="110"/>
        <v>00:00</v>
      </c>
      <c r="CJ185" s="29"/>
      <c r="CK185" s="31" t="str">
        <f t="shared" si="111"/>
        <v/>
      </c>
      <c r="CL185" s="27"/>
      <c r="CM185" s="27"/>
      <c r="CN185" s="28" t="str">
        <f>IFERROR(VLOOKUP(CL185,Horarios!$H:$I,2,0),"")</f>
        <v/>
      </c>
      <c r="CO185" s="28" t="str">
        <f>IFERROR(VLOOKUP(CM185,Horarios!$H:$I,2,0),"")</f>
        <v/>
      </c>
      <c r="CP185" s="28" t="str">
        <f t="shared" si="112"/>
        <v>00:00</v>
      </c>
      <c r="CQ185" s="29"/>
      <c r="CR185" s="27"/>
      <c r="CS185" s="27"/>
      <c r="CT185" s="28" t="str">
        <f>IFERROR(VLOOKUP(CR185,Horarios!$H:$I,2,0),"")</f>
        <v/>
      </c>
      <c r="CU185" s="28" t="str">
        <f>IFERROR(VLOOKUP(CS185,Horarios!$H:$I,2,0),"")</f>
        <v/>
      </c>
      <c r="CV185" s="28" t="str">
        <f t="shared" si="113"/>
        <v>00:00</v>
      </c>
      <c r="CW185" s="29"/>
      <c r="CX185" s="27"/>
      <c r="CY185" s="27"/>
      <c r="CZ185" s="28" t="str">
        <f>IFERROR(VLOOKUP(CX185,Horarios!$H:$I,2,0),"")</f>
        <v/>
      </c>
      <c r="DA185" s="28" t="str">
        <f>IFERROR(VLOOKUP(CY185,Horarios!$H:$I,2,0),"")</f>
        <v/>
      </c>
      <c r="DB185" s="28" t="str">
        <f t="shared" si="114"/>
        <v>00:00</v>
      </c>
      <c r="DC185" s="29"/>
      <c r="DD185" s="27"/>
      <c r="DE185" s="27"/>
      <c r="DF185" s="28" t="str">
        <f>IFERROR(VLOOKUP(DD185,Horarios!$H:$I,2,0),"")</f>
        <v/>
      </c>
      <c r="DG185" s="28" t="str">
        <f>IFERROR(VLOOKUP(DE185,Horarios!$H:$I,2,0),"")</f>
        <v/>
      </c>
      <c r="DH185" s="28" t="str">
        <f t="shared" si="115"/>
        <v>00:00</v>
      </c>
      <c r="DI185" s="29"/>
      <c r="DJ185" s="27"/>
      <c r="DK185" s="27"/>
      <c r="DL185" s="28" t="str">
        <f>IFERROR(VLOOKUP(DJ185,Horarios!$H:$I,2,0),"")</f>
        <v/>
      </c>
      <c r="DM185" s="28" t="str">
        <f>IFERROR(VLOOKUP(DK185,Horarios!$H:$I,2,0),"")</f>
        <v/>
      </c>
      <c r="DN185" s="28" t="str">
        <f t="shared" si="116"/>
        <v>00:00</v>
      </c>
      <c r="DO185" s="29"/>
      <c r="DP185" s="27"/>
      <c r="DQ185" s="27"/>
      <c r="DR185" s="28" t="str">
        <f>IFERROR(VLOOKUP(DP185,Horarios!$H:$I,2,0),"")</f>
        <v/>
      </c>
      <c r="DS185" s="28" t="str">
        <f>IFERROR(VLOOKUP(DQ185,Horarios!$H:$I,2,0),"")</f>
        <v/>
      </c>
      <c r="DT185" s="28" t="str">
        <f t="shared" si="117"/>
        <v>00:00</v>
      </c>
      <c r="DU185" s="29"/>
      <c r="DV185" s="27"/>
      <c r="DW185" s="27"/>
      <c r="DX185" s="28" t="str">
        <f>IFERROR(VLOOKUP(DV185,Horarios!$H:$I,2,0),"")</f>
        <v/>
      </c>
      <c r="DY185" s="28" t="str">
        <f>IFERROR(VLOOKUP(DW185,Horarios!$H:$I,2,0),"")</f>
        <v/>
      </c>
      <c r="DZ185" s="28" t="str">
        <f t="shared" si="118"/>
        <v>00:00</v>
      </c>
      <c r="EA185" s="29"/>
      <c r="EB185" s="31" t="str">
        <f t="shared" si="119"/>
        <v/>
      </c>
      <c r="EC185" s="27"/>
      <c r="ED185" s="27"/>
      <c r="EE185" s="28" t="str">
        <f>IFERROR(VLOOKUP(EC185,Horarios!$H:$I,2,0),"")</f>
        <v/>
      </c>
      <c r="EF185" s="28" t="str">
        <f>IFERROR(VLOOKUP(ED185,Horarios!$H:$I,2,0),"")</f>
        <v/>
      </c>
      <c r="EG185" s="28" t="str">
        <f t="shared" si="120"/>
        <v>00:00</v>
      </c>
      <c r="EH185" s="29"/>
      <c r="EI185" s="27"/>
      <c r="EJ185" s="27"/>
      <c r="EK185" s="28" t="str">
        <f>IFERROR(VLOOKUP(EI185,Horarios!$H:$I,2,0),"")</f>
        <v/>
      </c>
      <c r="EL185" s="28" t="str">
        <f>IFERROR(VLOOKUP(EJ185,Horarios!$H:$I,2,0),"")</f>
        <v/>
      </c>
      <c r="EM185" s="28" t="str">
        <f t="shared" si="121"/>
        <v>00:00</v>
      </c>
      <c r="EN185" s="29"/>
      <c r="EO185" s="27"/>
      <c r="EP185" s="27"/>
      <c r="EQ185" s="28" t="str">
        <f>IFERROR(VLOOKUP(EO185,Horarios!$H:$I,2,0),"")</f>
        <v/>
      </c>
      <c r="ER185" s="28" t="str">
        <f>IFERROR(VLOOKUP(EP185,Horarios!$H:$I,2,0),"")</f>
        <v/>
      </c>
      <c r="ES185" s="28" t="str">
        <f t="shared" si="122"/>
        <v>00:00</v>
      </c>
      <c r="ET185" s="29"/>
      <c r="EU185" s="27"/>
      <c r="EV185" s="27"/>
      <c r="EW185" s="28" t="str">
        <f>IFERROR(VLOOKUP(EU185,Horarios!$H:$I,2,0),"")</f>
        <v/>
      </c>
      <c r="EX185" s="28" t="str">
        <f>IFERROR(VLOOKUP(EV185,Horarios!$H:$I,2,0),"")</f>
        <v/>
      </c>
      <c r="EY185" s="28" t="str">
        <f t="shared" si="123"/>
        <v>00:00</v>
      </c>
      <c r="EZ185" s="29"/>
      <c r="FA185" s="27"/>
      <c r="FB185" s="27"/>
      <c r="FC185" s="28" t="str">
        <f>IFERROR(VLOOKUP(FA185,Horarios!$H:$I,2,0),"")</f>
        <v/>
      </c>
      <c r="FD185" s="28" t="str">
        <f>IFERROR(VLOOKUP(FB185,Horarios!$H:$I,2,0),"")</f>
        <v/>
      </c>
      <c r="FE185" s="28" t="str">
        <f t="shared" si="124"/>
        <v>00:00</v>
      </c>
      <c r="FF185" s="29"/>
      <c r="FG185" s="27"/>
      <c r="FH185" s="27"/>
      <c r="FI185" s="28" t="str">
        <f>IFERROR(VLOOKUP(FG185,Horarios!$H:$I,2,0),"")</f>
        <v/>
      </c>
      <c r="FJ185" s="28" t="str">
        <f>IFERROR(VLOOKUP(FH185,Horarios!$H:$I,2,0),"")</f>
        <v/>
      </c>
      <c r="FK185" s="28" t="str">
        <f t="shared" si="125"/>
        <v>00:00</v>
      </c>
      <c r="FL185" s="29"/>
      <c r="FM185" s="27"/>
      <c r="FN185" s="27"/>
      <c r="FO185" s="28" t="str">
        <f>IFERROR(VLOOKUP(FM185,Horarios!$H:$I,2,0),"")</f>
        <v/>
      </c>
      <c r="FP185" s="28" t="str">
        <f>IFERROR(VLOOKUP(FN185,Horarios!$H:$I,2,0),"")</f>
        <v/>
      </c>
      <c r="FQ185" s="28" t="str">
        <f t="shared" si="126"/>
        <v>00:00</v>
      </c>
      <c r="FR185" s="29"/>
      <c r="FS185" s="31" t="str">
        <f t="shared" si="127"/>
        <v/>
      </c>
      <c r="FT185" s="27"/>
      <c r="FU185" s="27"/>
      <c r="FV185" s="28" t="str">
        <f>IFERROR(VLOOKUP(FT185,Horarios!$H:$I,2,0),"")</f>
        <v/>
      </c>
      <c r="FW185" s="28" t="str">
        <f>IFERROR(VLOOKUP(FU185,Horarios!$H:$I,2,0),"")</f>
        <v/>
      </c>
      <c r="FX185" s="28" t="str">
        <f t="shared" si="128"/>
        <v>00:00</v>
      </c>
      <c r="FY185" s="29"/>
      <c r="FZ185" s="27"/>
      <c r="GA185" s="27"/>
      <c r="GB185" s="28" t="str">
        <f>IFERROR(VLOOKUP(FZ185,Horarios!$H:$I,2,0),"")</f>
        <v/>
      </c>
      <c r="GC185" s="28" t="str">
        <f>IFERROR(VLOOKUP(GA185,Horarios!$H:$I,2,0),"")</f>
        <v/>
      </c>
      <c r="GD185" s="28" t="str">
        <f t="shared" si="129"/>
        <v>00:00</v>
      </c>
      <c r="GE185" s="29"/>
      <c r="GF185" s="27"/>
      <c r="GG185" s="27"/>
      <c r="GH185" s="28" t="str">
        <f>IFERROR(VLOOKUP(GF185,Horarios!$H:$I,2,0),"")</f>
        <v/>
      </c>
      <c r="GI185" s="28" t="str">
        <f>IFERROR(VLOOKUP(GG185,Horarios!$H:$I,2,0),"")</f>
        <v/>
      </c>
      <c r="GJ185" s="28" t="str">
        <f t="shared" si="130"/>
        <v>00:00</v>
      </c>
      <c r="GK185" s="29"/>
      <c r="GL185" s="27"/>
      <c r="GM185" s="27"/>
      <c r="GN185" s="28" t="str">
        <f>IFERROR(VLOOKUP(GL185,Horarios!$H:$I,2,0),"")</f>
        <v/>
      </c>
      <c r="GO185" s="28" t="str">
        <f>IFERROR(VLOOKUP(GM185,Horarios!$H:$I,2,0),"")</f>
        <v/>
      </c>
      <c r="GP185" s="28" t="str">
        <f t="shared" si="131"/>
        <v>00:00</v>
      </c>
      <c r="GQ185" s="29"/>
      <c r="GR185" s="27"/>
      <c r="GS185" s="27"/>
      <c r="GT185" s="28" t="str">
        <f>IFERROR(VLOOKUP(GR185,Horarios!$H:$I,2,0),"")</f>
        <v/>
      </c>
      <c r="GU185" s="28" t="str">
        <f>IFERROR(VLOOKUP(GS185,Horarios!$H:$I,2,0),"")</f>
        <v/>
      </c>
      <c r="GV185" s="28" t="str">
        <f t="shared" si="132"/>
        <v>00:00</v>
      </c>
      <c r="GW185" s="29"/>
      <c r="GX185" s="27"/>
      <c r="GY185" s="27"/>
      <c r="GZ185" s="28" t="str">
        <f>IFERROR(VLOOKUP(GX185,Horarios!$H:$I,2,0),"")</f>
        <v/>
      </c>
      <c r="HA185" s="28" t="str">
        <f>IFERROR(VLOOKUP(GY185,Horarios!$H:$I,2,0),"")</f>
        <v/>
      </c>
      <c r="HB185" s="28" t="str">
        <f t="shared" si="133"/>
        <v>00:00</v>
      </c>
      <c r="HC185" s="29"/>
      <c r="HD185" s="27"/>
      <c r="HE185" s="27"/>
      <c r="HF185" s="28" t="str">
        <f>IFERROR(VLOOKUP(HD185,Horarios!$H:$I,2,0),"")</f>
        <v/>
      </c>
      <c r="HG185" s="28" t="str">
        <f>IFERROR(VLOOKUP(HE185,Horarios!$H:$I,2,0),"")</f>
        <v/>
      </c>
      <c r="HH185" s="28" t="str">
        <f t="shared" si="134"/>
        <v>00:00</v>
      </c>
      <c r="HI185" s="29"/>
      <c r="HJ185" s="31" t="str">
        <f t="shared" si="135"/>
        <v/>
      </c>
      <c r="HK185" s="27"/>
      <c r="HL185" s="27"/>
      <c r="HM185" s="28" t="str">
        <f>IFERROR(VLOOKUP(HK185,Horarios!$H:$I,2,0),"")</f>
        <v/>
      </c>
      <c r="HN185" s="28" t="str">
        <f>IFERROR(VLOOKUP(HL185,Horarios!$H:$I,2,0),"")</f>
        <v/>
      </c>
      <c r="HO185" s="28" t="str">
        <f t="shared" si="136"/>
        <v>00:00</v>
      </c>
      <c r="HP185" s="29"/>
      <c r="HQ185" s="27"/>
      <c r="HR185" s="27"/>
      <c r="HS185" s="28" t="str">
        <f>IFERROR(VLOOKUP(HQ185,Horarios!$H:$I,2,0),"")</f>
        <v/>
      </c>
      <c r="HT185" s="28" t="str">
        <f>IFERROR(VLOOKUP(HR185,Horarios!$H:$I,2,0),"")</f>
        <v/>
      </c>
      <c r="HU185" s="28" t="str">
        <f t="shared" si="137"/>
        <v>00:00</v>
      </c>
      <c r="HV185" s="29"/>
      <c r="HW185" s="27"/>
      <c r="HX185" s="27"/>
      <c r="HY185" s="28" t="str">
        <f>IFERROR(VLOOKUP(HW185,Horarios!$H:$I,2,0),"")</f>
        <v/>
      </c>
      <c r="HZ185" s="28" t="str">
        <f>IFERROR(VLOOKUP(HX185,Horarios!$H:$I,2,0),"")</f>
        <v/>
      </c>
      <c r="IA185" s="28" t="str">
        <f t="shared" si="138"/>
        <v>00:00</v>
      </c>
      <c r="IB185" s="29"/>
      <c r="IC185" s="27"/>
      <c r="ID185" s="27"/>
      <c r="IE185" s="28" t="str">
        <f>IFERROR(VLOOKUP(IC185,Horarios!$H:$I,2,0),"")</f>
        <v/>
      </c>
      <c r="IF185" s="28" t="str">
        <f>IFERROR(VLOOKUP(ID185,Horarios!$H:$I,2,0),"")</f>
        <v/>
      </c>
      <c r="IG185" s="28" t="str">
        <f t="shared" si="139"/>
        <v>00:00</v>
      </c>
      <c r="IH185" s="29"/>
      <c r="II185" s="27"/>
      <c r="IJ185" s="27"/>
      <c r="IK185" s="28" t="str">
        <f>IFERROR(VLOOKUP(II185,Horarios!$H:$I,2,0),"")</f>
        <v/>
      </c>
      <c r="IL185" s="28" t="str">
        <f>IFERROR(VLOOKUP(IJ185,Horarios!$H:$I,2,0),"")</f>
        <v/>
      </c>
      <c r="IM185" s="28" t="str">
        <f t="shared" si="140"/>
        <v>00:00</v>
      </c>
      <c r="IN185" s="29"/>
      <c r="IO185" s="27"/>
      <c r="IP185" s="27"/>
      <c r="IQ185" s="28" t="str">
        <f>IFERROR(VLOOKUP(IO185,Horarios!$H:$I,2,0),"")</f>
        <v/>
      </c>
      <c r="IR185" s="28" t="str">
        <f>IFERROR(VLOOKUP(IP185,Horarios!$H:$I,2,0),"")</f>
        <v/>
      </c>
      <c r="IS185" s="28" t="str">
        <f t="shared" si="141"/>
        <v>00:00</v>
      </c>
      <c r="IT185" s="29"/>
      <c r="IU185" s="27"/>
      <c r="IV185" s="27"/>
      <c r="IW185" s="28" t="str">
        <f>IFERROR(VLOOKUP(IU185,Horarios!$H:$I,2,0),"")</f>
        <v/>
      </c>
      <c r="IX185" s="28" t="str">
        <f>IFERROR(VLOOKUP(IV185,Horarios!$H:$I,2,0),"")</f>
        <v/>
      </c>
      <c r="IY185" s="28" t="str">
        <f t="shared" si="142"/>
        <v>00:00</v>
      </c>
      <c r="IZ185" s="29"/>
      <c r="JA185" s="31" t="str">
        <f t="shared" si="143"/>
        <v/>
      </c>
    </row>
    <row r="186" spans="1:261" s="24" customFormat="1" ht="17.399999999999999" x14ac:dyDescent="0.25">
      <c r="A186" s="25"/>
      <c r="B186" s="26" t="str">
        <f>IFERROR(VLOOKUP(A186,BaseNombres!A:B,2,0),"")</f>
        <v/>
      </c>
      <c r="C186" s="26" t="str">
        <f>IFERROR(VLOOKUP(A186,BaseNombres!A:C,3,0),"")</f>
        <v/>
      </c>
      <c r="D186" s="27"/>
      <c r="E186" s="27"/>
      <c r="F186" s="28" t="str">
        <f>IFERROR(VLOOKUP(D186,Horarios!$H:$I,2,0),"")</f>
        <v/>
      </c>
      <c r="G186" s="28" t="str">
        <f>IFERROR(VLOOKUP(E186,Horarios!$H:$I,2,0),"")</f>
        <v/>
      </c>
      <c r="H186" s="28" t="str">
        <f t="shared" si="96"/>
        <v>00:00</v>
      </c>
      <c r="I186" s="29"/>
      <c r="J186" s="27"/>
      <c r="K186" s="27"/>
      <c r="L186" s="28" t="str">
        <f>IFERROR(VLOOKUP(J186,Horarios!$H:$I,2,0),"")</f>
        <v/>
      </c>
      <c r="M186" s="28" t="str">
        <f>IFERROR(VLOOKUP(K186,Horarios!$H:$I,2,0),"")</f>
        <v/>
      </c>
      <c r="N186" s="28" t="str">
        <f t="shared" si="97"/>
        <v>00:00</v>
      </c>
      <c r="O186" s="29"/>
      <c r="P186" s="27"/>
      <c r="Q186" s="27"/>
      <c r="R186" s="28" t="str">
        <f>IFERROR(VLOOKUP(P186,Horarios!$H:$I,2,0),"")</f>
        <v/>
      </c>
      <c r="S186" s="28" t="str">
        <f>IFERROR(VLOOKUP(Q186,Horarios!$H:$I,2,0),"")</f>
        <v/>
      </c>
      <c r="T186" s="28" t="str">
        <f t="shared" si="98"/>
        <v>00:00</v>
      </c>
      <c r="U186" s="29"/>
      <c r="V186" s="27"/>
      <c r="W186" s="27"/>
      <c r="X186" s="28" t="str">
        <f>IFERROR(VLOOKUP(V186,Horarios!$H:$I,2,0),"")</f>
        <v/>
      </c>
      <c r="Y186" s="28" t="str">
        <f>IFERROR(VLOOKUP(W186,Horarios!$H:$I,2,0),"")</f>
        <v/>
      </c>
      <c r="Z186" s="28" t="str">
        <f t="shared" si="99"/>
        <v>00:00</v>
      </c>
      <c r="AA186" s="29"/>
      <c r="AB186" s="27"/>
      <c r="AC186" s="27"/>
      <c r="AD186" s="28" t="str">
        <f>IFERROR(VLOOKUP(AB186,Horarios!$H:$I,2,0),"")</f>
        <v/>
      </c>
      <c r="AE186" s="28" t="str">
        <f>IFERROR(VLOOKUP(AC186,Horarios!$H:$I,2,0),"")</f>
        <v/>
      </c>
      <c r="AF186" s="28" t="str">
        <f t="shared" si="100"/>
        <v>00:00</v>
      </c>
      <c r="AG186" s="29"/>
      <c r="AH186" s="27"/>
      <c r="AI186" s="27"/>
      <c r="AJ186" s="28" t="str">
        <f>IFERROR(VLOOKUP(AH186,Horarios!$H:$I,2,0),"")</f>
        <v/>
      </c>
      <c r="AK186" s="28" t="str">
        <f>IFERROR(VLOOKUP(AI186,Horarios!$H:$I,2,0),"")</f>
        <v/>
      </c>
      <c r="AL186" s="28" t="str">
        <f t="shared" si="101"/>
        <v>00:00</v>
      </c>
      <c r="AM186" s="29"/>
      <c r="AN186" s="27"/>
      <c r="AO186" s="27"/>
      <c r="AP186" s="28" t="str">
        <f>IFERROR(VLOOKUP(AN186,Horarios!$H:$I,2,0),"")</f>
        <v/>
      </c>
      <c r="AQ186" s="28" t="str">
        <f>IFERROR(VLOOKUP(AO186,Horarios!$H:$I,2,0),"")</f>
        <v/>
      </c>
      <c r="AR186" s="28" t="str">
        <f t="shared" si="102"/>
        <v>00:00</v>
      </c>
      <c r="AS186" s="29"/>
      <c r="AT186" s="31" t="str">
        <f t="shared" si="103"/>
        <v/>
      </c>
      <c r="AU186" s="27"/>
      <c r="AV186" s="27"/>
      <c r="AW186" s="28" t="str">
        <f>IFERROR(VLOOKUP(AU186,Horarios!$H:$I,2,0),"")</f>
        <v/>
      </c>
      <c r="AX186" s="28" t="str">
        <f>IFERROR(VLOOKUP(AV186,Horarios!$H:$I,2,0),"")</f>
        <v/>
      </c>
      <c r="AY186" s="28" t="str">
        <f t="shared" si="104"/>
        <v>00:00</v>
      </c>
      <c r="AZ186" s="29"/>
      <c r="BA186" s="27"/>
      <c r="BB186" s="27"/>
      <c r="BC186" s="28" t="str">
        <f>IFERROR(VLOOKUP(BA186,Horarios!$H:$I,2,0),"")</f>
        <v/>
      </c>
      <c r="BD186" s="28" t="str">
        <f>IFERROR(VLOOKUP(BB186,Horarios!$H:$I,2,0),"")</f>
        <v/>
      </c>
      <c r="BE186" s="28" t="str">
        <f t="shared" si="105"/>
        <v>00:00</v>
      </c>
      <c r="BF186" s="29"/>
      <c r="BG186" s="27"/>
      <c r="BH186" s="27"/>
      <c r="BI186" s="28" t="str">
        <f>IFERROR(VLOOKUP(BG186,Horarios!$H:$I,2,0),"")</f>
        <v/>
      </c>
      <c r="BJ186" s="28" t="str">
        <f>IFERROR(VLOOKUP(BH186,Horarios!$H:$I,2,0),"")</f>
        <v/>
      </c>
      <c r="BK186" s="28" t="str">
        <f t="shared" si="106"/>
        <v>00:00</v>
      </c>
      <c r="BL186" s="29"/>
      <c r="BM186" s="27"/>
      <c r="BN186" s="27"/>
      <c r="BO186" s="28" t="str">
        <f>IFERROR(VLOOKUP(BM186,Horarios!$H:$I,2,0),"")</f>
        <v/>
      </c>
      <c r="BP186" s="28" t="str">
        <f>IFERROR(VLOOKUP(BN186,Horarios!$H:$I,2,0),"")</f>
        <v/>
      </c>
      <c r="BQ186" s="28" t="str">
        <f t="shared" si="107"/>
        <v>00:00</v>
      </c>
      <c r="BR186" s="29"/>
      <c r="BS186" s="27"/>
      <c r="BT186" s="27"/>
      <c r="BU186" s="28" t="str">
        <f>IFERROR(VLOOKUP(BS186,Horarios!$H:$I,2,0),"")</f>
        <v/>
      </c>
      <c r="BV186" s="28" t="str">
        <f>IFERROR(VLOOKUP(BT186,Horarios!$H:$I,2,0),"")</f>
        <v/>
      </c>
      <c r="BW186" s="28" t="str">
        <f t="shared" si="108"/>
        <v>00:00</v>
      </c>
      <c r="BX186" s="29"/>
      <c r="BY186" s="27"/>
      <c r="BZ186" s="27"/>
      <c r="CA186" s="28" t="str">
        <f>IFERROR(VLOOKUP(BY186,Horarios!$H:$I,2,0),"")</f>
        <v/>
      </c>
      <c r="CB186" s="28" t="str">
        <f>IFERROR(VLOOKUP(BZ186,Horarios!$H:$I,2,0),"")</f>
        <v/>
      </c>
      <c r="CC186" s="28" t="str">
        <f t="shared" si="109"/>
        <v>00:00</v>
      </c>
      <c r="CD186" s="29"/>
      <c r="CE186" s="27"/>
      <c r="CF186" s="27"/>
      <c r="CG186" s="28" t="str">
        <f>IFERROR(VLOOKUP(CE186,Horarios!$H:$I,2,0),"")</f>
        <v/>
      </c>
      <c r="CH186" s="28" t="str">
        <f>IFERROR(VLOOKUP(CF186,Horarios!$H:$I,2,0),"")</f>
        <v/>
      </c>
      <c r="CI186" s="28" t="str">
        <f t="shared" si="110"/>
        <v>00:00</v>
      </c>
      <c r="CJ186" s="29"/>
      <c r="CK186" s="31" t="str">
        <f t="shared" si="111"/>
        <v/>
      </c>
      <c r="CL186" s="27"/>
      <c r="CM186" s="27"/>
      <c r="CN186" s="28" t="str">
        <f>IFERROR(VLOOKUP(CL186,Horarios!$H:$I,2,0),"")</f>
        <v/>
      </c>
      <c r="CO186" s="28" t="str">
        <f>IFERROR(VLOOKUP(CM186,Horarios!$H:$I,2,0),"")</f>
        <v/>
      </c>
      <c r="CP186" s="28" t="str">
        <f t="shared" si="112"/>
        <v>00:00</v>
      </c>
      <c r="CQ186" s="29"/>
      <c r="CR186" s="27"/>
      <c r="CS186" s="27"/>
      <c r="CT186" s="28" t="str">
        <f>IFERROR(VLOOKUP(CR186,Horarios!$H:$I,2,0),"")</f>
        <v/>
      </c>
      <c r="CU186" s="28" t="str">
        <f>IFERROR(VLOOKUP(CS186,Horarios!$H:$I,2,0),"")</f>
        <v/>
      </c>
      <c r="CV186" s="28" t="str">
        <f t="shared" si="113"/>
        <v>00:00</v>
      </c>
      <c r="CW186" s="29"/>
      <c r="CX186" s="27"/>
      <c r="CY186" s="27"/>
      <c r="CZ186" s="28" t="str">
        <f>IFERROR(VLOOKUP(CX186,Horarios!$H:$I,2,0),"")</f>
        <v/>
      </c>
      <c r="DA186" s="28" t="str">
        <f>IFERROR(VLOOKUP(CY186,Horarios!$H:$I,2,0),"")</f>
        <v/>
      </c>
      <c r="DB186" s="28" t="str">
        <f t="shared" si="114"/>
        <v>00:00</v>
      </c>
      <c r="DC186" s="29"/>
      <c r="DD186" s="27"/>
      <c r="DE186" s="27"/>
      <c r="DF186" s="28" t="str">
        <f>IFERROR(VLOOKUP(DD186,Horarios!$H:$I,2,0),"")</f>
        <v/>
      </c>
      <c r="DG186" s="28" t="str">
        <f>IFERROR(VLOOKUP(DE186,Horarios!$H:$I,2,0),"")</f>
        <v/>
      </c>
      <c r="DH186" s="28" t="str">
        <f t="shared" si="115"/>
        <v>00:00</v>
      </c>
      <c r="DI186" s="29"/>
      <c r="DJ186" s="27"/>
      <c r="DK186" s="27"/>
      <c r="DL186" s="28" t="str">
        <f>IFERROR(VLOOKUP(DJ186,Horarios!$H:$I,2,0),"")</f>
        <v/>
      </c>
      <c r="DM186" s="28" t="str">
        <f>IFERROR(VLOOKUP(DK186,Horarios!$H:$I,2,0),"")</f>
        <v/>
      </c>
      <c r="DN186" s="28" t="str">
        <f t="shared" si="116"/>
        <v>00:00</v>
      </c>
      <c r="DO186" s="29"/>
      <c r="DP186" s="27"/>
      <c r="DQ186" s="27"/>
      <c r="DR186" s="28" t="str">
        <f>IFERROR(VLOOKUP(DP186,Horarios!$H:$I,2,0),"")</f>
        <v/>
      </c>
      <c r="DS186" s="28" t="str">
        <f>IFERROR(VLOOKUP(DQ186,Horarios!$H:$I,2,0),"")</f>
        <v/>
      </c>
      <c r="DT186" s="28" t="str">
        <f t="shared" si="117"/>
        <v>00:00</v>
      </c>
      <c r="DU186" s="29"/>
      <c r="DV186" s="27"/>
      <c r="DW186" s="27"/>
      <c r="DX186" s="28" t="str">
        <f>IFERROR(VLOOKUP(DV186,Horarios!$H:$I,2,0),"")</f>
        <v/>
      </c>
      <c r="DY186" s="28" t="str">
        <f>IFERROR(VLOOKUP(DW186,Horarios!$H:$I,2,0),"")</f>
        <v/>
      </c>
      <c r="DZ186" s="28" t="str">
        <f t="shared" si="118"/>
        <v>00:00</v>
      </c>
      <c r="EA186" s="29"/>
      <c r="EB186" s="31" t="str">
        <f t="shared" si="119"/>
        <v/>
      </c>
      <c r="EC186" s="27"/>
      <c r="ED186" s="27"/>
      <c r="EE186" s="28" t="str">
        <f>IFERROR(VLOOKUP(EC186,Horarios!$H:$I,2,0),"")</f>
        <v/>
      </c>
      <c r="EF186" s="28" t="str">
        <f>IFERROR(VLOOKUP(ED186,Horarios!$H:$I,2,0),"")</f>
        <v/>
      </c>
      <c r="EG186" s="28" t="str">
        <f t="shared" si="120"/>
        <v>00:00</v>
      </c>
      <c r="EH186" s="29"/>
      <c r="EI186" s="27"/>
      <c r="EJ186" s="27"/>
      <c r="EK186" s="28" t="str">
        <f>IFERROR(VLOOKUP(EI186,Horarios!$H:$I,2,0),"")</f>
        <v/>
      </c>
      <c r="EL186" s="28" t="str">
        <f>IFERROR(VLOOKUP(EJ186,Horarios!$H:$I,2,0),"")</f>
        <v/>
      </c>
      <c r="EM186" s="28" t="str">
        <f t="shared" si="121"/>
        <v>00:00</v>
      </c>
      <c r="EN186" s="29"/>
      <c r="EO186" s="27"/>
      <c r="EP186" s="27"/>
      <c r="EQ186" s="28" t="str">
        <f>IFERROR(VLOOKUP(EO186,Horarios!$H:$I,2,0),"")</f>
        <v/>
      </c>
      <c r="ER186" s="28" t="str">
        <f>IFERROR(VLOOKUP(EP186,Horarios!$H:$I,2,0),"")</f>
        <v/>
      </c>
      <c r="ES186" s="28" t="str">
        <f t="shared" si="122"/>
        <v>00:00</v>
      </c>
      <c r="ET186" s="29"/>
      <c r="EU186" s="27"/>
      <c r="EV186" s="27"/>
      <c r="EW186" s="28" t="str">
        <f>IFERROR(VLOOKUP(EU186,Horarios!$H:$I,2,0),"")</f>
        <v/>
      </c>
      <c r="EX186" s="28" t="str">
        <f>IFERROR(VLOOKUP(EV186,Horarios!$H:$I,2,0),"")</f>
        <v/>
      </c>
      <c r="EY186" s="28" t="str">
        <f t="shared" si="123"/>
        <v>00:00</v>
      </c>
      <c r="EZ186" s="29"/>
      <c r="FA186" s="27"/>
      <c r="FB186" s="27"/>
      <c r="FC186" s="28" t="str">
        <f>IFERROR(VLOOKUP(FA186,Horarios!$H:$I,2,0),"")</f>
        <v/>
      </c>
      <c r="FD186" s="28" t="str">
        <f>IFERROR(VLOOKUP(FB186,Horarios!$H:$I,2,0),"")</f>
        <v/>
      </c>
      <c r="FE186" s="28" t="str">
        <f t="shared" si="124"/>
        <v>00:00</v>
      </c>
      <c r="FF186" s="29"/>
      <c r="FG186" s="27"/>
      <c r="FH186" s="27"/>
      <c r="FI186" s="28" t="str">
        <f>IFERROR(VLOOKUP(FG186,Horarios!$H:$I,2,0),"")</f>
        <v/>
      </c>
      <c r="FJ186" s="28" t="str">
        <f>IFERROR(VLOOKUP(FH186,Horarios!$H:$I,2,0),"")</f>
        <v/>
      </c>
      <c r="FK186" s="28" t="str">
        <f t="shared" si="125"/>
        <v>00:00</v>
      </c>
      <c r="FL186" s="29"/>
      <c r="FM186" s="27"/>
      <c r="FN186" s="27"/>
      <c r="FO186" s="28" t="str">
        <f>IFERROR(VLOOKUP(FM186,Horarios!$H:$I,2,0),"")</f>
        <v/>
      </c>
      <c r="FP186" s="28" t="str">
        <f>IFERROR(VLOOKUP(FN186,Horarios!$H:$I,2,0),"")</f>
        <v/>
      </c>
      <c r="FQ186" s="28" t="str">
        <f t="shared" si="126"/>
        <v>00:00</v>
      </c>
      <c r="FR186" s="29"/>
      <c r="FS186" s="31" t="str">
        <f t="shared" si="127"/>
        <v/>
      </c>
      <c r="FT186" s="27"/>
      <c r="FU186" s="27"/>
      <c r="FV186" s="28" t="str">
        <f>IFERROR(VLOOKUP(FT186,Horarios!$H:$I,2,0),"")</f>
        <v/>
      </c>
      <c r="FW186" s="28" t="str">
        <f>IFERROR(VLOOKUP(FU186,Horarios!$H:$I,2,0),"")</f>
        <v/>
      </c>
      <c r="FX186" s="28" t="str">
        <f t="shared" si="128"/>
        <v>00:00</v>
      </c>
      <c r="FY186" s="29"/>
      <c r="FZ186" s="27"/>
      <c r="GA186" s="27"/>
      <c r="GB186" s="28" t="str">
        <f>IFERROR(VLOOKUP(FZ186,Horarios!$H:$I,2,0),"")</f>
        <v/>
      </c>
      <c r="GC186" s="28" t="str">
        <f>IFERROR(VLOOKUP(GA186,Horarios!$H:$I,2,0),"")</f>
        <v/>
      </c>
      <c r="GD186" s="28" t="str">
        <f t="shared" si="129"/>
        <v>00:00</v>
      </c>
      <c r="GE186" s="29"/>
      <c r="GF186" s="27"/>
      <c r="GG186" s="27"/>
      <c r="GH186" s="28" t="str">
        <f>IFERROR(VLOOKUP(GF186,Horarios!$H:$I,2,0),"")</f>
        <v/>
      </c>
      <c r="GI186" s="28" t="str">
        <f>IFERROR(VLOOKUP(GG186,Horarios!$H:$I,2,0),"")</f>
        <v/>
      </c>
      <c r="GJ186" s="28" t="str">
        <f t="shared" si="130"/>
        <v>00:00</v>
      </c>
      <c r="GK186" s="29"/>
      <c r="GL186" s="27"/>
      <c r="GM186" s="27"/>
      <c r="GN186" s="28" t="str">
        <f>IFERROR(VLOOKUP(GL186,Horarios!$H:$I,2,0),"")</f>
        <v/>
      </c>
      <c r="GO186" s="28" t="str">
        <f>IFERROR(VLOOKUP(GM186,Horarios!$H:$I,2,0),"")</f>
        <v/>
      </c>
      <c r="GP186" s="28" t="str">
        <f t="shared" si="131"/>
        <v>00:00</v>
      </c>
      <c r="GQ186" s="29"/>
      <c r="GR186" s="27"/>
      <c r="GS186" s="27"/>
      <c r="GT186" s="28" t="str">
        <f>IFERROR(VLOOKUP(GR186,Horarios!$H:$I,2,0),"")</f>
        <v/>
      </c>
      <c r="GU186" s="28" t="str">
        <f>IFERROR(VLOOKUP(GS186,Horarios!$H:$I,2,0),"")</f>
        <v/>
      </c>
      <c r="GV186" s="28" t="str">
        <f t="shared" si="132"/>
        <v>00:00</v>
      </c>
      <c r="GW186" s="29"/>
      <c r="GX186" s="27"/>
      <c r="GY186" s="27"/>
      <c r="GZ186" s="28" t="str">
        <f>IFERROR(VLOOKUP(GX186,Horarios!$H:$I,2,0),"")</f>
        <v/>
      </c>
      <c r="HA186" s="28" t="str">
        <f>IFERROR(VLOOKUP(GY186,Horarios!$H:$I,2,0),"")</f>
        <v/>
      </c>
      <c r="HB186" s="28" t="str">
        <f t="shared" si="133"/>
        <v>00:00</v>
      </c>
      <c r="HC186" s="29"/>
      <c r="HD186" s="27"/>
      <c r="HE186" s="27"/>
      <c r="HF186" s="28" t="str">
        <f>IFERROR(VLOOKUP(HD186,Horarios!$H:$I,2,0),"")</f>
        <v/>
      </c>
      <c r="HG186" s="28" t="str">
        <f>IFERROR(VLOOKUP(HE186,Horarios!$H:$I,2,0),"")</f>
        <v/>
      </c>
      <c r="HH186" s="28" t="str">
        <f t="shared" si="134"/>
        <v>00:00</v>
      </c>
      <c r="HI186" s="29"/>
      <c r="HJ186" s="31" t="str">
        <f t="shared" si="135"/>
        <v/>
      </c>
      <c r="HK186" s="27"/>
      <c r="HL186" s="27"/>
      <c r="HM186" s="28" t="str">
        <f>IFERROR(VLOOKUP(HK186,Horarios!$H:$I,2,0),"")</f>
        <v/>
      </c>
      <c r="HN186" s="28" t="str">
        <f>IFERROR(VLOOKUP(HL186,Horarios!$H:$I,2,0),"")</f>
        <v/>
      </c>
      <c r="HO186" s="28" t="str">
        <f t="shared" si="136"/>
        <v>00:00</v>
      </c>
      <c r="HP186" s="29"/>
      <c r="HQ186" s="27"/>
      <c r="HR186" s="27"/>
      <c r="HS186" s="28" t="str">
        <f>IFERROR(VLOOKUP(HQ186,Horarios!$H:$I,2,0),"")</f>
        <v/>
      </c>
      <c r="HT186" s="28" t="str">
        <f>IFERROR(VLOOKUP(HR186,Horarios!$H:$I,2,0),"")</f>
        <v/>
      </c>
      <c r="HU186" s="28" t="str">
        <f t="shared" si="137"/>
        <v>00:00</v>
      </c>
      <c r="HV186" s="29"/>
      <c r="HW186" s="27"/>
      <c r="HX186" s="27"/>
      <c r="HY186" s="28" t="str">
        <f>IFERROR(VLOOKUP(HW186,Horarios!$H:$I,2,0),"")</f>
        <v/>
      </c>
      <c r="HZ186" s="28" t="str">
        <f>IFERROR(VLOOKUP(HX186,Horarios!$H:$I,2,0),"")</f>
        <v/>
      </c>
      <c r="IA186" s="28" t="str">
        <f t="shared" si="138"/>
        <v>00:00</v>
      </c>
      <c r="IB186" s="29"/>
      <c r="IC186" s="27"/>
      <c r="ID186" s="27"/>
      <c r="IE186" s="28" t="str">
        <f>IFERROR(VLOOKUP(IC186,Horarios!$H:$I,2,0),"")</f>
        <v/>
      </c>
      <c r="IF186" s="28" t="str">
        <f>IFERROR(VLOOKUP(ID186,Horarios!$H:$I,2,0),"")</f>
        <v/>
      </c>
      <c r="IG186" s="28" t="str">
        <f t="shared" si="139"/>
        <v>00:00</v>
      </c>
      <c r="IH186" s="29"/>
      <c r="II186" s="27"/>
      <c r="IJ186" s="27"/>
      <c r="IK186" s="28" t="str">
        <f>IFERROR(VLOOKUP(II186,Horarios!$H:$I,2,0),"")</f>
        <v/>
      </c>
      <c r="IL186" s="28" t="str">
        <f>IFERROR(VLOOKUP(IJ186,Horarios!$H:$I,2,0),"")</f>
        <v/>
      </c>
      <c r="IM186" s="28" t="str">
        <f t="shared" si="140"/>
        <v>00:00</v>
      </c>
      <c r="IN186" s="29"/>
      <c r="IO186" s="27"/>
      <c r="IP186" s="27"/>
      <c r="IQ186" s="28" t="str">
        <f>IFERROR(VLOOKUP(IO186,Horarios!$H:$I,2,0),"")</f>
        <v/>
      </c>
      <c r="IR186" s="28" t="str">
        <f>IFERROR(VLOOKUP(IP186,Horarios!$H:$I,2,0),"")</f>
        <v/>
      </c>
      <c r="IS186" s="28" t="str">
        <f t="shared" si="141"/>
        <v>00:00</v>
      </c>
      <c r="IT186" s="29"/>
      <c r="IU186" s="27"/>
      <c r="IV186" s="27"/>
      <c r="IW186" s="28" t="str">
        <f>IFERROR(VLOOKUP(IU186,Horarios!$H:$I,2,0),"")</f>
        <v/>
      </c>
      <c r="IX186" s="28" t="str">
        <f>IFERROR(VLOOKUP(IV186,Horarios!$H:$I,2,0),"")</f>
        <v/>
      </c>
      <c r="IY186" s="28" t="str">
        <f t="shared" si="142"/>
        <v>00:00</v>
      </c>
      <c r="IZ186" s="29"/>
      <c r="JA186" s="31" t="str">
        <f t="shared" si="143"/>
        <v/>
      </c>
    </row>
    <row r="187" spans="1:261" s="24" customFormat="1" ht="17.399999999999999" x14ac:dyDescent="0.25">
      <c r="A187" s="25"/>
      <c r="B187" s="26" t="str">
        <f>IFERROR(VLOOKUP(A187,BaseNombres!A:B,2,0),"")</f>
        <v/>
      </c>
      <c r="C187" s="26" t="str">
        <f>IFERROR(VLOOKUP(A187,BaseNombres!A:C,3,0),"")</f>
        <v/>
      </c>
      <c r="D187" s="27"/>
      <c r="E187" s="27"/>
      <c r="F187" s="28" t="str">
        <f>IFERROR(VLOOKUP(D187,Horarios!$H:$I,2,0),"")</f>
        <v/>
      </c>
      <c r="G187" s="28" t="str">
        <f>IFERROR(VLOOKUP(E187,Horarios!$H:$I,2,0),"")</f>
        <v/>
      </c>
      <c r="H187" s="28" t="str">
        <f t="shared" si="96"/>
        <v>00:00</v>
      </c>
      <c r="I187" s="29"/>
      <c r="J187" s="27"/>
      <c r="K187" s="27"/>
      <c r="L187" s="28" t="str">
        <f>IFERROR(VLOOKUP(J187,Horarios!$H:$I,2,0),"")</f>
        <v/>
      </c>
      <c r="M187" s="28" t="str">
        <f>IFERROR(VLOOKUP(K187,Horarios!$H:$I,2,0),"")</f>
        <v/>
      </c>
      <c r="N187" s="28" t="str">
        <f t="shared" si="97"/>
        <v>00:00</v>
      </c>
      <c r="O187" s="29"/>
      <c r="P187" s="27"/>
      <c r="Q187" s="27"/>
      <c r="R187" s="28" t="str">
        <f>IFERROR(VLOOKUP(P187,Horarios!$H:$I,2,0),"")</f>
        <v/>
      </c>
      <c r="S187" s="28" t="str">
        <f>IFERROR(VLOOKUP(Q187,Horarios!$H:$I,2,0),"")</f>
        <v/>
      </c>
      <c r="T187" s="28" t="str">
        <f t="shared" si="98"/>
        <v>00:00</v>
      </c>
      <c r="U187" s="29"/>
      <c r="V187" s="27"/>
      <c r="W187" s="27"/>
      <c r="X187" s="28" t="str">
        <f>IFERROR(VLOOKUP(V187,Horarios!$H:$I,2,0),"")</f>
        <v/>
      </c>
      <c r="Y187" s="28" t="str">
        <f>IFERROR(VLOOKUP(W187,Horarios!$H:$I,2,0),"")</f>
        <v/>
      </c>
      <c r="Z187" s="28" t="str">
        <f t="shared" si="99"/>
        <v>00:00</v>
      </c>
      <c r="AA187" s="29"/>
      <c r="AB187" s="27"/>
      <c r="AC187" s="27"/>
      <c r="AD187" s="28" t="str">
        <f>IFERROR(VLOOKUP(AB187,Horarios!$H:$I,2,0),"")</f>
        <v/>
      </c>
      <c r="AE187" s="28" t="str">
        <f>IFERROR(VLOOKUP(AC187,Horarios!$H:$I,2,0),"")</f>
        <v/>
      </c>
      <c r="AF187" s="28" t="str">
        <f t="shared" si="100"/>
        <v>00:00</v>
      </c>
      <c r="AG187" s="29"/>
      <c r="AH187" s="27"/>
      <c r="AI187" s="27"/>
      <c r="AJ187" s="28" t="str">
        <f>IFERROR(VLOOKUP(AH187,Horarios!$H:$I,2,0),"")</f>
        <v/>
      </c>
      <c r="AK187" s="28" t="str">
        <f>IFERROR(VLOOKUP(AI187,Horarios!$H:$I,2,0),"")</f>
        <v/>
      </c>
      <c r="AL187" s="28" t="str">
        <f t="shared" si="101"/>
        <v>00:00</v>
      </c>
      <c r="AM187" s="29"/>
      <c r="AN187" s="27"/>
      <c r="AO187" s="27"/>
      <c r="AP187" s="28" t="str">
        <f>IFERROR(VLOOKUP(AN187,Horarios!$H:$I,2,0),"")</f>
        <v/>
      </c>
      <c r="AQ187" s="28" t="str">
        <f>IFERROR(VLOOKUP(AO187,Horarios!$H:$I,2,0),"")</f>
        <v/>
      </c>
      <c r="AR187" s="28" t="str">
        <f t="shared" si="102"/>
        <v>00:00</v>
      </c>
      <c r="AS187" s="29"/>
      <c r="AT187" s="31" t="str">
        <f t="shared" si="103"/>
        <v/>
      </c>
      <c r="AU187" s="27"/>
      <c r="AV187" s="27"/>
      <c r="AW187" s="28" t="str">
        <f>IFERROR(VLOOKUP(AU187,Horarios!$H:$I,2,0),"")</f>
        <v/>
      </c>
      <c r="AX187" s="28" t="str">
        <f>IFERROR(VLOOKUP(AV187,Horarios!$H:$I,2,0),"")</f>
        <v/>
      </c>
      <c r="AY187" s="28" t="str">
        <f t="shared" si="104"/>
        <v>00:00</v>
      </c>
      <c r="AZ187" s="29"/>
      <c r="BA187" s="27"/>
      <c r="BB187" s="27"/>
      <c r="BC187" s="28" t="str">
        <f>IFERROR(VLOOKUP(BA187,Horarios!$H:$I,2,0),"")</f>
        <v/>
      </c>
      <c r="BD187" s="28" t="str">
        <f>IFERROR(VLOOKUP(BB187,Horarios!$H:$I,2,0),"")</f>
        <v/>
      </c>
      <c r="BE187" s="28" t="str">
        <f t="shared" si="105"/>
        <v>00:00</v>
      </c>
      <c r="BF187" s="29"/>
      <c r="BG187" s="27"/>
      <c r="BH187" s="27"/>
      <c r="BI187" s="28" t="str">
        <f>IFERROR(VLOOKUP(BG187,Horarios!$H:$I,2,0),"")</f>
        <v/>
      </c>
      <c r="BJ187" s="28" t="str">
        <f>IFERROR(VLOOKUP(BH187,Horarios!$H:$I,2,0),"")</f>
        <v/>
      </c>
      <c r="BK187" s="28" t="str">
        <f t="shared" si="106"/>
        <v>00:00</v>
      </c>
      <c r="BL187" s="29"/>
      <c r="BM187" s="27"/>
      <c r="BN187" s="27"/>
      <c r="BO187" s="28" t="str">
        <f>IFERROR(VLOOKUP(BM187,Horarios!$H:$I,2,0),"")</f>
        <v/>
      </c>
      <c r="BP187" s="28" t="str">
        <f>IFERROR(VLOOKUP(BN187,Horarios!$H:$I,2,0),"")</f>
        <v/>
      </c>
      <c r="BQ187" s="28" t="str">
        <f t="shared" si="107"/>
        <v>00:00</v>
      </c>
      <c r="BR187" s="29"/>
      <c r="BS187" s="27"/>
      <c r="BT187" s="27"/>
      <c r="BU187" s="28" t="str">
        <f>IFERROR(VLOOKUP(BS187,Horarios!$H:$I,2,0),"")</f>
        <v/>
      </c>
      <c r="BV187" s="28" t="str">
        <f>IFERROR(VLOOKUP(BT187,Horarios!$H:$I,2,0),"")</f>
        <v/>
      </c>
      <c r="BW187" s="28" t="str">
        <f t="shared" si="108"/>
        <v>00:00</v>
      </c>
      <c r="BX187" s="29"/>
      <c r="BY187" s="27"/>
      <c r="BZ187" s="27"/>
      <c r="CA187" s="28" t="str">
        <f>IFERROR(VLOOKUP(BY187,Horarios!$H:$I,2,0),"")</f>
        <v/>
      </c>
      <c r="CB187" s="28" t="str">
        <f>IFERROR(VLOOKUP(BZ187,Horarios!$H:$I,2,0),"")</f>
        <v/>
      </c>
      <c r="CC187" s="28" t="str">
        <f t="shared" si="109"/>
        <v>00:00</v>
      </c>
      <c r="CD187" s="29"/>
      <c r="CE187" s="27"/>
      <c r="CF187" s="27"/>
      <c r="CG187" s="28" t="str">
        <f>IFERROR(VLOOKUP(CE187,Horarios!$H:$I,2,0),"")</f>
        <v/>
      </c>
      <c r="CH187" s="28" t="str">
        <f>IFERROR(VLOOKUP(CF187,Horarios!$H:$I,2,0),"")</f>
        <v/>
      </c>
      <c r="CI187" s="28" t="str">
        <f t="shared" si="110"/>
        <v>00:00</v>
      </c>
      <c r="CJ187" s="29"/>
      <c r="CK187" s="31" t="str">
        <f t="shared" si="111"/>
        <v/>
      </c>
      <c r="CL187" s="27"/>
      <c r="CM187" s="27"/>
      <c r="CN187" s="28" t="str">
        <f>IFERROR(VLOOKUP(CL187,Horarios!$H:$I,2,0),"")</f>
        <v/>
      </c>
      <c r="CO187" s="28" t="str">
        <f>IFERROR(VLOOKUP(CM187,Horarios!$H:$I,2,0),"")</f>
        <v/>
      </c>
      <c r="CP187" s="28" t="str">
        <f t="shared" si="112"/>
        <v>00:00</v>
      </c>
      <c r="CQ187" s="29"/>
      <c r="CR187" s="27"/>
      <c r="CS187" s="27"/>
      <c r="CT187" s="28" t="str">
        <f>IFERROR(VLOOKUP(CR187,Horarios!$H:$I,2,0),"")</f>
        <v/>
      </c>
      <c r="CU187" s="28" t="str">
        <f>IFERROR(VLOOKUP(CS187,Horarios!$H:$I,2,0),"")</f>
        <v/>
      </c>
      <c r="CV187" s="28" t="str">
        <f t="shared" si="113"/>
        <v>00:00</v>
      </c>
      <c r="CW187" s="29"/>
      <c r="CX187" s="27"/>
      <c r="CY187" s="27"/>
      <c r="CZ187" s="28" t="str">
        <f>IFERROR(VLOOKUP(CX187,Horarios!$H:$I,2,0),"")</f>
        <v/>
      </c>
      <c r="DA187" s="28" t="str">
        <f>IFERROR(VLOOKUP(CY187,Horarios!$H:$I,2,0),"")</f>
        <v/>
      </c>
      <c r="DB187" s="28" t="str">
        <f t="shared" si="114"/>
        <v>00:00</v>
      </c>
      <c r="DC187" s="29"/>
      <c r="DD187" s="27"/>
      <c r="DE187" s="27"/>
      <c r="DF187" s="28" t="str">
        <f>IFERROR(VLOOKUP(DD187,Horarios!$H:$I,2,0),"")</f>
        <v/>
      </c>
      <c r="DG187" s="28" t="str">
        <f>IFERROR(VLOOKUP(DE187,Horarios!$H:$I,2,0),"")</f>
        <v/>
      </c>
      <c r="DH187" s="28" t="str">
        <f t="shared" si="115"/>
        <v>00:00</v>
      </c>
      <c r="DI187" s="29"/>
      <c r="DJ187" s="27"/>
      <c r="DK187" s="27"/>
      <c r="DL187" s="28" t="str">
        <f>IFERROR(VLOOKUP(DJ187,Horarios!$H:$I,2,0),"")</f>
        <v/>
      </c>
      <c r="DM187" s="28" t="str">
        <f>IFERROR(VLOOKUP(DK187,Horarios!$H:$I,2,0),"")</f>
        <v/>
      </c>
      <c r="DN187" s="28" t="str">
        <f t="shared" si="116"/>
        <v>00:00</v>
      </c>
      <c r="DO187" s="29"/>
      <c r="DP187" s="27"/>
      <c r="DQ187" s="27"/>
      <c r="DR187" s="28" t="str">
        <f>IFERROR(VLOOKUP(DP187,Horarios!$H:$I,2,0),"")</f>
        <v/>
      </c>
      <c r="DS187" s="28" t="str">
        <f>IFERROR(VLOOKUP(DQ187,Horarios!$H:$I,2,0),"")</f>
        <v/>
      </c>
      <c r="DT187" s="28" t="str">
        <f t="shared" si="117"/>
        <v>00:00</v>
      </c>
      <c r="DU187" s="29"/>
      <c r="DV187" s="27"/>
      <c r="DW187" s="27"/>
      <c r="DX187" s="28" t="str">
        <f>IFERROR(VLOOKUP(DV187,Horarios!$H:$I,2,0),"")</f>
        <v/>
      </c>
      <c r="DY187" s="28" t="str">
        <f>IFERROR(VLOOKUP(DW187,Horarios!$H:$I,2,0),"")</f>
        <v/>
      </c>
      <c r="DZ187" s="28" t="str">
        <f t="shared" si="118"/>
        <v>00:00</v>
      </c>
      <c r="EA187" s="29"/>
      <c r="EB187" s="31" t="str">
        <f t="shared" si="119"/>
        <v/>
      </c>
      <c r="EC187" s="27"/>
      <c r="ED187" s="27"/>
      <c r="EE187" s="28" t="str">
        <f>IFERROR(VLOOKUP(EC187,Horarios!$H:$I,2,0),"")</f>
        <v/>
      </c>
      <c r="EF187" s="28" t="str">
        <f>IFERROR(VLOOKUP(ED187,Horarios!$H:$I,2,0),"")</f>
        <v/>
      </c>
      <c r="EG187" s="28" t="str">
        <f t="shared" si="120"/>
        <v>00:00</v>
      </c>
      <c r="EH187" s="29"/>
      <c r="EI187" s="27"/>
      <c r="EJ187" s="27"/>
      <c r="EK187" s="28" t="str">
        <f>IFERROR(VLOOKUP(EI187,Horarios!$H:$I,2,0),"")</f>
        <v/>
      </c>
      <c r="EL187" s="28" t="str">
        <f>IFERROR(VLOOKUP(EJ187,Horarios!$H:$I,2,0),"")</f>
        <v/>
      </c>
      <c r="EM187" s="28" t="str">
        <f t="shared" si="121"/>
        <v>00:00</v>
      </c>
      <c r="EN187" s="29"/>
      <c r="EO187" s="27"/>
      <c r="EP187" s="27"/>
      <c r="EQ187" s="28" t="str">
        <f>IFERROR(VLOOKUP(EO187,Horarios!$H:$I,2,0),"")</f>
        <v/>
      </c>
      <c r="ER187" s="28" t="str">
        <f>IFERROR(VLOOKUP(EP187,Horarios!$H:$I,2,0),"")</f>
        <v/>
      </c>
      <c r="ES187" s="28" t="str">
        <f t="shared" si="122"/>
        <v>00:00</v>
      </c>
      <c r="ET187" s="29"/>
      <c r="EU187" s="27"/>
      <c r="EV187" s="27"/>
      <c r="EW187" s="28" t="str">
        <f>IFERROR(VLOOKUP(EU187,Horarios!$H:$I,2,0),"")</f>
        <v/>
      </c>
      <c r="EX187" s="28" t="str">
        <f>IFERROR(VLOOKUP(EV187,Horarios!$H:$I,2,0),"")</f>
        <v/>
      </c>
      <c r="EY187" s="28" t="str">
        <f t="shared" si="123"/>
        <v>00:00</v>
      </c>
      <c r="EZ187" s="29"/>
      <c r="FA187" s="27"/>
      <c r="FB187" s="27"/>
      <c r="FC187" s="28" t="str">
        <f>IFERROR(VLOOKUP(FA187,Horarios!$H:$I,2,0),"")</f>
        <v/>
      </c>
      <c r="FD187" s="28" t="str">
        <f>IFERROR(VLOOKUP(FB187,Horarios!$H:$I,2,0),"")</f>
        <v/>
      </c>
      <c r="FE187" s="28" t="str">
        <f t="shared" si="124"/>
        <v>00:00</v>
      </c>
      <c r="FF187" s="29"/>
      <c r="FG187" s="27"/>
      <c r="FH187" s="27"/>
      <c r="FI187" s="28" t="str">
        <f>IFERROR(VLOOKUP(FG187,Horarios!$H:$I,2,0),"")</f>
        <v/>
      </c>
      <c r="FJ187" s="28" t="str">
        <f>IFERROR(VLOOKUP(FH187,Horarios!$H:$I,2,0),"")</f>
        <v/>
      </c>
      <c r="FK187" s="28" t="str">
        <f t="shared" si="125"/>
        <v>00:00</v>
      </c>
      <c r="FL187" s="29"/>
      <c r="FM187" s="27"/>
      <c r="FN187" s="27"/>
      <c r="FO187" s="28" t="str">
        <f>IFERROR(VLOOKUP(FM187,Horarios!$H:$I,2,0),"")</f>
        <v/>
      </c>
      <c r="FP187" s="28" t="str">
        <f>IFERROR(VLOOKUP(FN187,Horarios!$H:$I,2,0),"")</f>
        <v/>
      </c>
      <c r="FQ187" s="28" t="str">
        <f t="shared" si="126"/>
        <v>00:00</v>
      </c>
      <c r="FR187" s="29"/>
      <c r="FS187" s="31" t="str">
        <f t="shared" si="127"/>
        <v/>
      </c>
      <c r="FT187" s="27"/>
      <c r="FU187" s="27"/>
      <c r="FV187" s="28" t="str">
        <f>IFERROR(VLOOKUP(FT187,Horarios!$H:$I,2,0),"")</f>
        <v/>
      </c>
      <c r="FW187" s="28" t="str">
        <f>IFERROR(VLOOKUP(FU187,Horarios!$H:$I,2,0),"")</f>
        <v/>
      </c>
      <c r="FX187" s="28" t="str">
        <f t="shared" si="128"/>
        <v>00:00</v>
      </c>
      <c r="FY187" s="29"/>
      <c r="FZ187" s="27"/>
      <c r="GA187" s="27"/>
      <c r="GB187" s="28" t="str">
        <f>IFERROR(VLOOKUP(FZ187,Horarios!$H:$I,2,0),"")</f>
        <v/>
      </c>
      <c r="GC187" s="28" t="str">
        <f>IFERROR(VLOOKUP(GA187,Horarios!$H:$I,2,0),"")</f>
        <v/>
      </c>
      <c r="GD187" s="28" t="str">
        <f t="shared" si="129"/>
        <v>00:00</v>
      </c>
      <c r="GE187" s="29"/>
      <c r="GF187" s="27"/>
      <c r="GG187" s="27"/>
      <c r="GH187" s="28" t="str">
        <f>IFERROR(VLOOKUP(GF187,Horarios!$H:$I,2,0),"")</f>
        <v/>
      </c>
      <c r="GI187" s="28" t="str">
        <f>IFERROR(VLOOKUP(GG187,Horarios!$H:$I,2,0),"")</f>
        <v/>
      </c>
      <c r="GJ187" s="28" t="str">
        <f t="shared" si="130"/>
        <v>00:00</v>
      </c>
      <c r="GK187" s="29"/>
      <c r="GL187" s="27"/>
      <c r="GM187" s="27"/>
      <c r="GN187" s="28" t="str">
        <f>IFERROR(VLOOKUP(GL187,Horarios!$H:$I,2,0),"")</f>
        <v/>
      </c>
      <c r="GO187" s="28" t="str">
        <f>IFERROR(VLOOKUP(GM187,Horarios!$H:$I,2,0),"")</f>
        <v/>
      </c>
      <c r="GP187" s="28" t="str">
        <f t="shared" si="131"/>
        <v>00:00</v>
      </c>
      <c r="GQ187" s="29"/>
      <c r="GR187" s="27"/>
      <c r="GS187" s="27"/>
      <c r="GT187" s="28" t="str">
        <f>IFERROR(VLOOKUP(GR187,Horarios!$H:$I,2,0),"")</f>
        <v/>
      </c>
      <c r="GU187" s="28" t="str">
        <f>IFERROR(VLOOKUP(GS187,Horarios!$H:$I,2,0),"")</f>
        <v/>
      </c>
      <c r="GV187" s="28" t="str">
        <f t="shared" si="132"/>
        <v>00:00</v>
      </c>
      <c r="GW187" s="29"/>
      <c r="GX187" s="27"/>
      <c r="GY187" s="27"/>
      <c r="GZ187" s="28" t="str">
        <f>IFERROR(VLOOKUP(GX187,Horarios!$H:$I,2,0),"")</f>
        <v/>
      </c>
      <c r="HA187" s="28" t="str">
        <f>IFERROR(VLOOKUP(GY187,Horarios!$H:$I,2,0),"")</f>
        <v/>
      </c>
      <c r="HB187" s="28" t="str">
        <f t="shared" si="133"/>
        <v>00:00</v>
      </c>
      <c r="HC187" s="29"/>
      <c r="HD187" s="27"/>
      <c r="HE187" s="27"/>
      <c r="HF187" s="28" t="str">
        <f>IFERROR(VLOOKUP(HD187,Horarios!$H:$I,2,0),"")</f>
        <v/>
      </c>
      <c r="HG187" s="28" t="str">
        <f>IFERROR(VLOOKUP(HE187,Horarios!$H:$I,2,0),"")</f>
        <v/>
      </c>
      <c r="HH187" s="28" t="str">
        <f t="shared" si="134"/>
        <v>00:00</v>
      </c>
      <c r="HI187" s="29"/>
      <c r="HJ187" s="31" t="str">
        <f t="shared" si="135"/>
        <v/>
      </c>
      <c r="HK187" s="27"/>
      <c r="HL187" s="27"/>
      <c r="HM187" s="28" t="str">
        <f>IFERROR(VLOOKUP(HK187,Horarios!$H:$I,2,0),"")</f>
        <v/>
      </c>
      <c r="HN187" s="28" t="str">
        <f>IFERROR(VLOOKUP(HL187,Horarios!$H:$I,2,0),"")</f>
        <v/>
      </c>
      <c r="HO187" s="28" t="str">
        <f t="shared" si="136"/>
        <v>00:00</v>
      </c>
      <c r="HP187" s="29"/>
      <c r="HQ187" s="27"/>
      <c r="HR187" s="27"/>
      <c r="HS187" s="28" t="str">
        <f>IFERROR(VLOOKUP(HQ187,Horarios!$H:$I,2,0),"")</f>
        <v/>
      </c>
      <c r="HT187" s="28" t="str">
        <f>IFERROR(VLOOKUP(HR187,Horarios!$H:$I,2,0),"")</f>
        <v/>
      </c>
      <c r="HU187" s="28" t="str">
        <f t="shared" si="137"/>
        <v>00:00</v>
      </c>
      <c r="HV187" s="29"/>
      <c r="HW187" s="27"/>
      <c r="HX187" s="27"/>
      <c r="HY187" s="28" t="str">
        <f>IFERROR(VLOOKUP(HW187,Horarios!$H:$I,2,0),"")</f>
        <v/>
      </c>
      <c r="HZ187" s="28" t="str">
        <f>IFERROR(VLOOKUP(HX187,Horarios!$H:$I,2,0),"")</f>
        <v/>
      </c>
      <c r="IA187" s="28" t="str">
        <f t="shared" si="138"/>
        <v>00:00</v>
      </c>
      <c r="IB187" s="29"/>
      <c r="IC187" s="27"/>
      <c r="ID187" s="27"/>
      <c r="IE187" s="28" t="str">
        <f>IFERROR(VLOOKUP(IC187,Horarios!$H:$I,2,0),"")</f>
        <v/>
      </c>
      <c r="IF187" s="28" t="str">
        <f>IFERROR(VLOOKUP(ID187,Horarios!$H:$I,2,0),"")</f>
        <v/>
      </c>
      <c r="IG187" s="28" t="str">
        <f t="shared" si="139"/>
        <v>00:00</v>
      </c>
      <c r="IH187" s="29"/>
      <c r="II187" s="27"/>
      <c r="IJ187" s="27"/>
      <c r="IK187" s="28" t="str">
        <f>IFERROR(VLOOKUP(II187,Horarios!$H:$I,2,0),"")</f>
        <v/>
      </c>
      <c r="IL187" s="28" t="str">
        <f>IFERROR(VLOOKUP(IJ187,Horarios!$H:$I,2,0),"")</f>
        <v/>
      </c>
      <c r="IM187" s="28" t="str">
        <f t="shared" si="140"/>
        <v>00:00</v>
      </c>
      <c r="IN187" s="29"/>
      <c r="IO187" s="27"/>
      <c r="IP187" s="27"/>
      <c r="IQ187" s="28" t="str">
        <f>IFERROR(VLOOKUP(IO187,Horarios!$H:$I,2,0),"")</f>
        <v/>
      </c>
      <c r="IR187" s="28" t="str">
        <f>IFERROR(VLOOKUP(IP187,Horarios!$H:$I,2,0),"")</f>
        <v/>
      </c>
      <c r="IS187" s="28" t="str">
        <f t="shared" si="141"/>
        <v>00:00</v>
      </c>
      <c r="IT187" s="29"/>
      <c r="IU187" s="27"/>
      <c r="IV187" s="27"/>
      <c r="IW187" s="28" t="str">
        <f>IFERROR(VLOOKUP(IU187,Horarios!$H:$I,2,0),"")</f>
        <v/>
      </c>
      <c r="IX187" s="28" t="str">
        <f>IFERROR(VLOOKUP(IV187,Horarios!$H:$I,2,0),"")</f>
        <v/>
      </c>
      <c r="IY187" s="28" t="str">
        <f t="shared" si="142"/>
        <v>00:00</v>
      </c>
      <c r="IZ187" s="29"/>
      <c r="JA187" s="31" t="str">
        <f t="shared" si="143"/>
        <v/>
      </c>
    </row>
    <row r="188" spans="1:261" s="24" customFormat="1" ht="17.399999999999999" x14ac:dyDescent="0.25">
      <c r="A188" s="25"/>
      <c r="B188" s="26" t="str">
        <f>IFERROR(VLOOKUP(A188,BaseNombres!A:B,2,0),"")</f>
        <v/>
      </c>
      <c r="C188" s="26" t="str">
        <f>IFERROR(VLOOKUP(A188,BaseNombres!A:C,3,0),"")</f>
        <v/>
      </c>
      <c r="D188" s="27"/>
      <c r="E188" s="27"/>
      <c r="F188" s="28" t="str">
        <f>IFERROR(VLOOKUP(D188,Horarios!$H:$I,2,0),"")</f>
        <v/>
      </c>
      <c r="G188" s="28" t="str">
        <f>IFERROR(VLOOKUP(E188,Horarios!$H:$I,2,0),"")</f>
        <v/>
      </c>
      <c r="H188" s="28" t="str">
        <f t="shared" si="96"/>
        <v>00:00</v>
      </c>
      <c r="I188" s="29"/>
      <c r="J188" s="27"/>
      <c r="K188" s="27"/>
      <c r="L188" s="28" t="str">
        <f>IFERROR(VLOOKUP(J188,Horarios!$H:$I,2,0),"")</f>
        <v/>
      </c>
      <c r="M188" s="28" t="str">
        <f>IFERROR(VLOOKUP(K188,Horarios!$H:$I,2,0),"")</f>
        <v/>
      </c>
      <c r="N188" s="28" t="str">
        <f t="shared" si="97"/>
        <v>00:00</v>
      </c>
      <c r="O188" s="29"/>
      <c r="P188" s="27"/>
      <c r="Q188" s="27"/>
      <c r="R188" s="28" t="str">
        <f>IFERROR(VLOOKUP(P188,Horarios!$H:$I,2,0),"")</f>
        <v/>
      </c>
      <c r="S188" s="28" t="str">
        <f>IFERROR(VLOOKUP(Q188,Horarios!$H:$I,2,0),"")</f>
        <v/>
      </c>
      <c r="T188" s="28" t="str">
        <f t="shared" si="98"/>
        <v>00:00</v>
      </c>
      <c r="U188" s="29"/>
      <c r="V188" s="27"/>
      <c r="W188" s="27"/>
      <c r="X188" s="28" t="str">
        <f>IFERROR(VLOOKUP(V188,Horarios!$H:$I,2,0),"")</f>
        <v/>
      </c>
      <c r="Y188" s="28" t="str">
        <f>IFERROR(VLOOKUP(W188,Horarios!$H:$I,2,0),"")</f>
        <v/>
      </c>
      <c r="Z188" s="28" t="str">
        <f t="shared" si="99"/>
        <v>00:00</v>
      </c>
      <c r="AA188" s="29"/>
      <c r="AB188" s="27"/>
      <c r="AC188" s="27"/>
      <c r="AD188" s="28" t="str">
        <f>IFERROR(VLOOKUP(AB188,Horarios!$H:$I,2,0),"")</f>
        <v/>
      </c>
      <c r="AE188" s="28" t="str">
        <f>IFERROR(VLOOKUP(AC188,Horarios!$H:$I,2,0),"")</f>
        <v/>
      </c>
      <c r="AF188" s="28" t="str">
        <f t="shared" si="100"/>
        <v>00:00</v>
      </c>
      <c r="AG188" s="29"/>
      <c r="AH188" s="27"/>
      <c r="AI188" s="27"/>
      <c r="AJ188" s="28" t="str">
        <f>IFERROR(VLOOKUP(AH188,Horarios!$H:$I,2,0),"")</f>
        <v/>
      </c>
      <c r="AK188" s="28" t="str">
        <f>IFERROR(VLOOKUP(AI188,Horarios!$H:$I,2,0),"")</f>
        <v/>
      </c>
      <c r="AL188" s="28" t="str">
        <f t="shared" si="101"/>
        <v>00:00</v>
      </c>
      <c r="AM188" s="29"/>
      <c r="AN188" s="27"/>
      <c r="AO188" s="27"/>
      <c r="AP188" s="28" t="str">
        <f>IFERROR(VLOOKUP(AN188,Horarios!$H:$I,2,0),"")</f>
        <v/>
      </c>
      <c r="AQ188" s="28" t="str">
        <f>IFERROR(VLOOKUP(AO188,Horarios!$H:$I,2,0),"")</f>
        <v/>
      </c>
      <c r="AR188" s="28" t="str">
        <f t="shared" si="102"/>
        <v>00:00</v>
      </c>
      <c r="AS188" s="29"/>
      <c r="AT188" s="31" t="str">
        <f t="shared" si="103"/>
        <v/>
      </c>
      <c r="AU188" s="27"/>
      <c r="AV188" s="27"/>
      <c r="AW188" s="28" t="str">
        <f>IFERROR(VLOOKUP(AU188,Horarios!$H:$I,2,0),"")</f>
        <v/>
      </c>
      <c r="AX188" s="28" t="str">
        <f>IFERROR(VLOOKUP(AV188,Horarios!$H:$I,2,0),"")</f>
        <v/>
      </c>
      <c r="AY188" s="28" t="str">
        <f t="shared" si="104"/>
        <v>00:00</v>
      </c>
      <c r="AZ188" s="29"/>
      <c r="BA188" s="27"/>
      <c r="BB188" s="27"/>
      <c r="BC188" s="28" t="str">
        <f>IFERROR(VLOOKUP(BA188,Horarios!$H:$I,2,0),"")</f>
        <v/>
      </c>
      <c r="BD188" s="28" t="str">
        <f>IFERROR(VLOOKUP(BB188,Horarios!$H:$I,2,0),"")</f>
        <v/>
      </c>
      <c r="BE188" s="28" t="str">
        <f t="shared" si="105"/>
        <v>00:00</v>
      </c>
      <c r="BF188" s="29"/>
      <c r="BG188" s="27"/>
      <c r="BH188" s="27"/>
      <c r="BI188" s="28" t="str">
        <f>IFERROR(VLOOKUP(BG188,Horarios!$H:$I,2,0),"")</f>
        <v/>
      </c>
      <c r="BJ188" s="28" t="str">
        <f>IFERROR(VLOOKUP(BH188,Horarios!$H:$I,2,0),"")</f>
        <v/>
      </c>
      <c r="BK188" s="28" t="str">
        <f t="shared" si="106"/>
        <v>00:00</v>
      </c>
      <c r="BL188" s="29"/>
      <c r="BM188" s="27"/>
      <c r="BN188" s="27"/>
      <c r="BO188" s="28" t="str">
        <f>IFERROR(VLOOKUP(BM188,Horarios!$H:$I,2,0),"")</f>
        <v/>
      </c>
      <c r="BP188" s="28" t="str">
        <f>IFERROR(VLOOKUP(BN188,Horarios!$H:$I,2,0),"")</f>
        <v/>
      </c>
      <c r="BQ188" s="28" t="str">
        <f t="shared" si="107"/>
        <v>00:00</v>
      </c>
      <c r="BR188" s="29"/>
      <c r="BS188" s="27"/>
      <c r="BT188" s="27"/>
      <c r="BU188" s="28" t="str">
        <f>IFERROR(VLOOKUP(BS188,Horarios!$H:$I,2,0),"")</f>
        <v/>
      </c>
      <c r="BV188" s="28" t="str">
        <f>IFERROR(VLOOKUP(BT188,Horarios!$H:$I,2,0),"")</f>
        <v/>
      </c>
      <c r="BW188" s="28" t="str">
        <f t="shared" si="108"/>
        <v>00:00</v>
      </c>
      <c r="BX188" s="29"/>
      <c r="BY188" s="27"/>
      <c r="BZ188" s="27"/>
      <c r="CA188" s="28" t="str">
        <f>IFERROR(VLOOKUP(BY188,Horarios!$H:$I,2,0),"")</f>
        <v/>
      </c>
      <c r="CB188" s="28" t="str">
        <f>IFERROR(VLOOKUP(BZ188,Horarios!$H:$I,2,0),"")</f>
        <v/>
      </c>
      <c r="CC188" s="28" t="str">
        <f t="shared" si="109"/>
        <v>00:00</v>
      </c>
      <c r="CD188" s="29"/>
      <c r="CE188" s="27"/>
      <c r="CF188" s="27"/>
      <c r="CG188" s="28" t="str">
        <f>IFERROR(VLOOKUP(CE188,Horarios!$H:$I,2,0),"")</f>
        <v/>
      </c>
      <c r="CH188" s="28" t="str">
        <f>IFERROR(VLOOKUP(CF188,Horarios!$H:$I,2,0),"")</f>
        <v/>
      </c>
      <c r="CI188" s="28" t="str">
        <f t="shared" si="110"/>
        <v>00:00</v>
      </c>
      <c r="CJ188" s="29"/>
      <c r="CK188" s="31" t="str">
        <f t="shared" si="111"/>
        <v/>
      </c>
      <c r="CL188" s="27"/>
      <c r="CM188" s="27"/>
      <c r="CN188" s="28" t="str">
        <f>IFERROR(VLOOKUP(CL188,Horarios!$H:$I,2,0),"")</f>
        <v/>
      </c>
      <c r="CO188" s="28" t="str">
        <f>IFERROR(VLOOKUP(CM188,Horarios!$H:$I,2,0),"")</f>
        <v/>
      </c>
      <c r="CP188" s="28" t="str">
        <f t="shared" si="112"/>
        <v>00:00</v>
      </c>
      <c r="CQ188" s="29"/>
      <c r="CR188" s="27"/>
      <c r="CS188" s="27"/>
      <c r="CT188" s="28" t="str">
        <f>IFERROR(VLOOKUP(CR188,Horarios!$H:$I,2,0),"")</f>
        <v/>
      </c>
      <c r="CU188" s="28" t="str">
        <f>IFERROR(VLOOKUP(CS188,Horarios!$H:$I,2,0),"")</f>
        <v/>
      </c>
      <c r="CV188" s="28" t="str">
        <f t="shared" si="113"/>
        <v>00:00</v>
      </c>
      <c r="CW188" s="29"/>
      <c r="CX188" s="27"/>
      <c r="CY188" s="27"/>
      <c r="CZ188" s="28" t="str">
        <f>IFERROR(VLOOKUP(CX188,Horarios!$H:$I,2,0),"")</f>
        <v/>
      </c>
      <c r="DA188" s="28" t="str">
        <f>IFERROR(VLOOKUP(CY188,Horarios!$H:$I,2,0),"")</f>
        <v/>
      </c>
      <c r="DB188" s="28" t="str">
        <f t="shared" si="114"/>
        <v>00:00</v>
      </c>
      <c r="DC188" s="29"/>
      <c r="DD188" s="27"/>
      <c r="DE188" s="27"/>
      <c r="DF188" s="28" t="str">
        <f>IFERROR(VLOOKUP(DD188,Horarios!$H:$I,2,0),"")</f>
        <v/>
      </c>
      <c r="DG188" s="28" t="str">
        <f>IFERROR(VLOOKUP(DE188,Horarios!$H:$I,2,0),"")</f>
        <v/>
      </c>
      <c r="DH188" s="28" t="str">
        <f t="shared" si="115"/>
        <v>00:00</v>
      </c>
      <c r="DI188" s="29"/>
      <c r="DJ188" s="27"/>
      <c r="DK188" s="27"/>
      <c r="DL188" s="28" t="str">
        <f>IFERROR(VLOOKUP(DJ188,Horarios!$H:$I,2,0),"")</f>
        <v/>
      </c>
      <c r="DM188" s="28" t="str">
        <f>IFERROR(VLOOKUP(DK188,Horarios!$H:$I,2,0),"")</f>
        <v/>
      </c>
      <c r="DN188" s="28" t="str">
        <f t="shared" si="116"/>
        <v>00:00</v>
      </c>
      <c r="DO188" s="29"/>
      <c r="DP188" s="27"/>
      <c r="DQ188" s="27"/>
      <c r="DR188" s="28" t="str">
        <f>IFERROR(VLOOKUP(DP188,Horarios!$H:$I,2,0),"")</f>
        <v/>
      </c>
      <c r="DS188" s="28" t="str">
        <f>IFERROR(VLOOKUP(DQ188,Horarios!$H:$I,2,0),"")</f>
        <v/>
      </c>
      <c r="DT188" s="28" t="str">
        <f t="shared" si="117"/>
        <v>00:00</v>
      </c>
      <c r="DU188" s="29"/>
      <c r="DV188" s="27"/>
      <c r="DW188" s="27"/>
      <c r="DX188" s="28" t="str">
        <f>IFERROR(VLOOKUP(DV188,Horarios!$H:$I,2,0),"")</f>
        <v/>
      </c>
      <c r="DY188" s="28" t="str">
        <f>IFERROR(VLOOKUP(DW188,Horarios!$H:$I,2,0),"")</f>
        <v/>
      </c>
      <c r="DZ188" s="28" t="str">
        <f t="shared" si="118"/>
        <v>00:00</v>
      </c>
      <c r="EA188" s="29"/>
      <c r="EB188" s="31" t="str">
        <f t="shared" si="119"/>
        <v/>
      </c>
      <c r="EC188" s="27"/>
      <c r="ED188" s="27"/>
      <c r="EE188" s="28" t="str">
        <f>IFERROR(VLOOKUP(EC188,Horarios!$H:$I,2,0),"")</f>
        <v/>
      </c>
      <c r="EF188" s="28" t="str">
        <f>IFERROR(VLOOKUP(ED188,Horarios!$H:$I,2,0),"")</f>
        <v/>
      </c>
      <c r="EG188" s="28" t="str">
        <f t="shared" si="120"/>
        <v>00:00</v>
      </c>
      <c r="EH188" s="29"/>
      <c r="EI188" s="27"/>
      <c r="EJ188" s="27"/>
      <c r="EK188" s="28" t="str">
        <f>IFERROR(VLOOKUP(EI188,Horarios!$H:$I,2,0),"")</f>
        <v/>
      </c>
      <c r="EL188" s="28" t="str">
        <f>IFERROR(VLOOKUP(EJ188,Horarios!$H:$I,2,0),"")</f>
        <v/>
      </c>
      <c r="EM188" s="28" t="str">
        <f t="shared" si="121"/>
        <v>00:00</v>
      </c>
      <c r="EN188" s="29"/>
      <c r="EO188" s="27"/>
      <c r="EP188" s="27"/>
      <c r="EQ188" s="28" t="str">
        <f>IFERROR(VLOOKUP(EO188,Horarios!$H:$I,2,0),"")</f>
        <v/>
      </c>
      <c r="ER188" s="28" t="str">
        <f>IFERROR(VLOOKUP(EP188,Horarios!$H:$I,2,0),"")</f>
        <v/>
      </c>
      <c r="ES188" s="28" t="str">
        <f t="shared" si="122"/>
        <v>00:00</v>
      </c>
      <c r="ET188" s="29"/>
      <c r="EU188" s="27"/>
      <c r="EV188" s="27"/>
      <c r="EW188" s="28" t="str">
        <f>IFERROR(VLOOKUP(EU188,Horarios!$H:$I,2,0),"")</f>
        <v/>
      </c>
      <c r="EX188" s="28" t="str">
        <f>IFERROR(VLOOKUP(EV188,Horarios!$H:$I,2,0),"")</f>
        <v/>
      </c>
      <c r="EY188" s="28" t="str">
        <f t="shared" si="123"/>
        <v>00:00</v>
      </c>
      <c r="EZ188" s="29"/>
      <c r="FA188" s="27"/>
      <c r="FB188" s="27"/>
      <c r="FC188" s="28" t="str">
        <f>IFERROR(VLOOKUP(FA188,Horarios!$H:$I,2,0),"")</f>
        <v/>
      </c>
      <c r="FD188" s="28" t="str">
        <f>IFERROR(VLOOKUP(FB188,Horarios!$H:$I,2,0),"")</f>
        <v/>
      </c>
      <c r="FE188" s="28" t="str">
        <f t="shared" si="124"/>
        <v>00:00</v>
      </c>
      <c r="FF188" s="29"/>
      <c r="FG188" s="27"/>
      <c r="FH188" s="27"/>
      <c r="FI188" s="28" t="str">
        <f>IFERROR(VLOOKUP(FG188,Horarios!$H:$I,2,0),"")</f>
        <v/>
      </c>
      <c r="FJ188" s="28" t="str">
        <f>IFERROR(VLOOKUP(FH188,Horarios!$H:$I,2,0),"")</f>
        <v/>
      </c>
      <c r="FK188" s="28" t="str">
        <f t="shared" si="125"/>
        <v>00:00</v>
      </c>
      <c r="FL188" s="29"/>
      <c r="FM188" s="27"/>
      <c r="FN188" s="27"/>
      <c r="FO188" s="28" t="str">
        <f>IFERROR(VLOOKUP(FM188,Horarios!$H:$I,2,0),"")</f>
        <v/>
      </c>
      <c r="FP188" s="28" t="str">
        <f>IFERROR(VLOOKUP(FN188,Horarios!$H:$I,2,0),"")</f>
        <v/>
      </c>
      <c r="FQ188" s="28" t="str">
        <f t="shared" si="126"/>
        <v>00:00</v>
      </c>
      <c r="FR188" s="29"/>
      <c r="FS188" s="31" t="str">
        <f t="shared" si="127"/>
        <v/>
      </c>
      <c r="FT188" s="27"/>
      <c r="FU188" s="27"/>
      <c r="FV188" s="28" t="str">
        <f>IFERROR(VLOOKUP(FT188,Horarios!$H:$I,2,0),"")</f>
        <v/>
      </c>
      <c r="FW188" s="28" t="str">
        <f>IFERROR(VLOOKUP(FU188,Horarios!$H:$I,2,0),"")</f>
        <v/>
      </c>
      <c r="FX188" s="28" t="str">
        <f t="shared" si="128"/>
        <v>00:00</v>
      </c>
      <c r="FY188" s="29"/>
      <c r="FZ188" s="27"/>
      <c r="GA188" s="27"/>
      <c r="GB188" s="28" t="str">
        <f>IFERROR(VLOOKUP(FZ188,Horarios!$H:$I,2,0),"")</f>
        <v/>
      </c>
      <c r="GC188" s="28" t="str">
        <f>IFERROR(VLOOKUP(GA188,Horarios!$H:$I,2,0),"")</f>
        <v/>
      </c>
      <c r="GD188" s="28" t="str">
        <f t="shared" si="129"/>
        <v>00:00</v>
      </c>
      <c r="GE188" s="29"/>
      <c r="GF188" s="27"/>
      <c r="GG188" s="27"/>
      <c r="GH188" s="28" t="str">
        <f>IFERROR(VLOOKUP(GF188,Horarios!$H:$I,2,0),"")</f>
        <v/>
      </c>
      <c r="GI188" s="28" t="str">
        <f>IFERROR(VLOOKUP(GG188,Horarios!$H:$I,2,0),"")</f>
        <v/>
      </c>
      <c r="GJ188" s="28" t="str">
        <f t="shared" si="130"/>
        <v>00:00</v>
      </c>
      <c r="GK188" s="29"/>
      <c r="GL188" s="27"/>
      <c r="GM188" s="27"/>
      <c r="GN188" s="28" t="str">
        <f>IFERROR(VLOOKUP(GL188,Horarios!$H:$I,2,0),"")</f>
        <v/>
      </c>
      <c r="GO188" s="28" t="str">
        <f>IFERROR(VLOOKUP(GM188,Horarios!$H:$I,2,0),"")</f>
        <v/>
      </c>
      <c r="GP188" s="28" t="str">
        <f t="shared" si="131"/>
        <v>00:00</v>
      </c>
      <c r="GQ188" s="29"/>
      <c r="GR188" s="27"/>
      <c r="GS188" s="27"/>
      <c r="GT188" s="28" t="str">
        <f>IFERROR(VLOOKUP(GR188,Horarios!$H:$I,2,0),"")</f>
        <v/>
      </c>
      <c r="GU188" s="28" t="str">
        <f>IFERROR(VLOOKUP(GS188,Horarios!$H:$I,2,0),"")</f>
        <v/>
      </c>
      <c r="GV188" s="28" t="str">
        <f t="shared" si="132"/>
        <v>00:00</v>
      </c>
      <c r="GW188" s="29"/>
      <c r="GX188" s="27"/>
      <c r="GY188" s="27"/>
      <c r="GZ188" s="28" t="str">
        <f>IFERROR(VLOOKUP(GX188,Horarios!$H:$I,2,0),"")</f>
        <v/>
      </c>
      <c r="HA188" s="28" t="str">
        <f>IFERROR(VLOOKUP(GY188,Horarios!$H:$I,2,0),"")</f>
        <v/>
      </c>
      <c r="HB188" s="28" t="str">
        <f t="shared" si="133"/>
        <v>00:00</v>
      </c>
      <c r="HC188" s="29"/>
      <c r="HD188" s="27"/>
      <c r="HE188" s="27"/>
      <c r="HF188" s="28" t="str">
        <f>IFERROR(VLOOKUP(HD188,Horarios!$H:$I,2,0),"")</f>
        <v/>
      </c>
      <c r="HG188" s="28" t="str">
        <f>IFERROR(VLOOKUP(HE188,Horarios!$H:$I,2,0),"")</f>
        <v/>
      </c>
      <c r="HH188" s="28" t="str">
        <f t="shared" si="134"/>
        <v>00:00</v>
      </c>
      <c r="HI188" s="29"/>
      <c r="HJ188" s="31" t="str">
        <f t="shared" si="135"/>
        <v/>
      </c>
      <c r="HK188" s="27"/>
      <c r="HL188" s="27"/>
      <c r="HM188" s="28" t="str">
        <f>IFERROR(VLOOKUP(HK188,Horarios!$H:$I,2,0),"")</f>
        <v/>
      </c>
      <c r="HN188" s="28" t="str">
        <f>IFERROR(VLOOKUP(HL188,Horarios!$H:$I,2,0),"")</f>
        <v/>
      </c>
      <c r="HO188" s="28" t="str">
        <f t="shared" si="136"/>
        <v>00:00</v>
      </c>
      <c r="HP188" s="29"/>
      <c r="HQ188" s="27"/>
      <c r="HR188" s="27"/>
      <c r="HS188" s="28" t="str">
        <f>IFERROR(VLOOKUP(HQ188,Horarios!$H:$I,2,0),"")</f>
        <v/>
      </c>
      <c r="HT188" s="28" t="str">
        <f>IFERROR(VLOOKUP(HR188,Horarios!$H:$I,2,0),"")</f>
        <v/>
      </c>
      <c r="HU188" s="28" t="str">
        <f t="shared" si="137"/>
        <v>00:00</v>
      </c>
      <c r="HV188" s="29"/>
      <c r="HW188" s="27"/>
      <c r="HX188" s="27"/>
      <c r="HY188" s="28" t="str">
        <f>IFERROR(VLOOKUP(HW188,Horarios!$H:$I,2,0),"")</f>
        <v/>
      </c>
      <c r="HZ188" s="28" t="str">
        <f>IFERROR(VLOOKUP(HX188,Horarios!$H:$I,2,0),"")</f>
        <v/>
      </c>
      <c r="IA188" s="28" t="str">
        <f t="shared" si="138"/>
        <v>00:00</v>
      </c>
      <c r="IB188" s="29"/>
      <c r="IC188" s="27"/>
      <c r="ID188" s="27"/>
      <c r="IE188" s="28" t="str">
        <f>IFERROR(VLOOKUP(IC188,Horarios!$H:$I,2,0),"")</f>
        <v/>
      </c>
      <c r="IF188" s="28" t="str">
        <f>IFERROR(VLOOKUP(ID188,Horarios!$H:$I,2,0),"")</f>
        <v/>
      </c>
      <c r="IG188" s="28" t="str">
        <f t="shared" si="139"/>
        <v>00:00</v>
      </c>
      <c r="IH188" s="29"/>
      <c r="II188" s="27"/>
      <c r="IJ188" s="27"/>
      <c r="IK188" s="28" t="str">
        <f>IFERROR(VLOOKUP(II188,Horarios!$H:$I,2,0),"")</f>
        <v/>
      </c>
      <c r="IL188" s="28" t="str">
        <f>IFERROR(VLOOKUP(IJ188,Horarios!$H:$I,2,0),"")</f>
        <v/>
      </c>
      <c r="IM188" s="28" t="str">
        <f t="shared" si="140"/>
        <v>00:00</v>
      </c>
      <c r="IN188" s="29"/>
      <c r="IO188" s="27"/>
      <c r="IP188" s="27"/>
      <c r="IQ188" s="28" t="str">
        <f>IFERROR(VLOOKUP(IO188,Horarios!$H:$I,2,0),"")</f>
        <v/>
      </c>
      <c r="IR188" s="28" t="str">
        <f>IFERROR(VLOOKUP(IP188,Horarios!$H:$I,2,0),"")</f>
        <v/>
      </c>
      <c r="IS188" s="28" t="str">
        <f t="shared" si="141"/>
        <v>00:00</v>
      </c>
      <c r="IT188" s="29"/>
      <c r="IU188" s="27"/>
      <c r="IV188" s="27"/>
      <c r="IW188" s="28" t="str">
        <f>IFERROR(VLOOKUP(IU188,Horarios!$H:$I,2,0),"")</f>
        <v/>
      </c>
      <c r="IX188" s="28" t="str">
        <f>IFERROR(VLOOKUP(IV188,Horarios!$H:$I,2,0),"")</f>
        <v/>
      </c>
      <c r="IY188" s="28" t="str">
        <f t="shared" si="142"/>
        <v>00:00</v>
      </c>
      <c r="IZ188" s="29"/>
      <c r="JA188" s="31" t="str">
        <f t="shared" si="143"/>
        <v/>
      </c>
    </row>
    <row r="189" spans="1:261" s="24" customFormat="1" ht="17.399999999999999" x14ac:dyDescent="0.25">
      <c r="A189" s="25"/>
      <c r="B189" s="26" t="str">
        <f>IFERROR(VLOOKUP(A189,BaseNombres!A:B,2,0),"")</f>
        <v/>
      </c>
      <c r="C189" s="26" t="str">
        <f>IFERROR(VLOOKUP(A189,BaseNombres!A:C,3,0),"")</f>
        <v/>
      </c>
      <c r="D189" s="27"/>
      <c r="E189" s="27"/>
      <c r="F189" s="28" t="str">
        <f>IFERROR(VLOOKUP(D189,Horarios!$H:$I,2,0),"")</f>
        <v/>
      </c>
      <c r="G189" s="28" t="str">
        <f>IFERROR(VLOOKUP(E189,Horarios!$H:$I,2,0),"")</f>
        <v/>
      </c>
      <c r="H189" s="28" t="str">
        <f t="shared" si="96"/>
        <v>00:00</v>
      </c>
      <c r="I189" s="29"/>
      <c r="J189" s="27"/>
      <c r="K189" s="27"/>
      <c r="L189" s="28" t="str">
        <f>IFERROR(VLOOKUP(J189,Horarios!$H:$I,2,0),"")</f>
        <v/>
      </c>
      <c r="M189" s="28" t="str">
        <f>IFERROR(VLOOKUP(K189,Horarios!$H:$I,2,0),"")</f>
        <v/>
      </c>
      <c r="N189" s="28" t="str">
        <f t="shared" si="97"/>
        <v>00:00</v>
      </c>
      <c r="O189" s="29"/>
      <c r="P189" s="27"/>
      <c r="Q189" s="27"/>
      <c r="R189" s="28" t="str">
        <f>IFERROR(VLOOKUP(P189,Horarios!$H:$I,2,0),"")</f>
        <v/>
      </c>
      <c r="S189" s="28" t="str">
        <f>IFERROR(VLOOKUP(Q189,Horarios!$H:$I,2,0),"")</f>
        <v/>
      </c>
      <c r="T189" s="28" t="str">
        <f t="shared" si="98"/>
        <v>00:00</v>
      </c>
      <c r="U189" s="29"/>
      <c r="V189" s="27"/>
      <c r="W189" s="27"/>
      <c r="X189" s="28" t="str">
        <f>IFERROR(VLOOKUP(V189,Horarios!$H:$I,2,0),"")</f>
        <v/>
      </c>
      <c r="Y189" s="28" t="str">
        <f>IFERROR(VLOOKUP(W189,Horarios!$H:$I,2,0),"")</f>
        <v/>
      </c>
      <c r="Z189" s="28" t="str">
        <f t="shared" si="99"/>
        <v>00:00</v>
      </c>
      <c r="AA189" s="29"/>
      <c r="AB189" s="27"/>
      <c r="AC189" s="27"/>
      <c r="AD189" s="28" t="str">
        <f>IFERROR(VLOOKUP(AB189,Horarios!$H:$I,2,0),"")</f>
        <v/>
      </c>
      <c r="AE189" s="28" t="str">
        <f>IFERROR(VLOOKUP(AC189,Horarios!$H:$I,2,0),"")</f>
        <v/>
      </c>
      <c r="AF189" s="28" t="str">
        <f t="shared" si="100"/>
        <v>00:00</v>
      </c>
      <c r="AG189" s="29"/>
      <c r="AH189" s="27"/>
      <c r="AI189" s="27"/>
      <c r="AJ189" s="28" t="str">
        <f>IFERROR(VLOOKUP(AH189,Horarios!$H:$I,2,0),"")</f>
        <v/>
      </c>
      <c r="AK189" s="28" t="str">
        <f>IFERROR(VLOOKUP(AI189,Horarios!$H:$I,2,0),"")</f>
        <v/>
      </c>
      <c r="AL189" s="28" t="str">
        <f t="shared" si="101"/>
        <v>00:00</v>
      </c>
      <c r="AM189" s="29"/>
      <c r="AN189" s="27"/>
      <c r="AO189" s="27"/>
      <c r="AP189" s="28" t="str">
        <f>IFERROR(VLOOKUP(AN189,Horarios!$H:$I,2,0),"")</f>
        <v/>
      </c>
      <c r="AQ189" s="28" t="str">
        <f>IFERROR(VLOOKUP(AO189,Horarios!$H:$I,2,0),"")</f>
        <v/>
      </c>
      <c r="AR189" s="28" t="str">
        <f t="shared" si="102"/>
        <v>00:00</v>
      </c>
      <c r="AS189" s="29"/>
      <c r="AT189" s="31" t="str">
        <f t="shared" si="103"/>
        <v/>
      </c>
      <c r="AU189" s="27"/>
      <c r="AV189" s="27"/>
      <c r="AW189" s="28" t="str">
        <f>IFERROR(VLOOKUP(AU189,Horarios!$H:$I,2,0),"")</f>
        <v/>
      </c>
      <c r="AX189" s="28" t="str">
        <f>IFERROR(VLOOKUP(AV189,Horarios!$H:$I,2,0),"")</f>
        <v/>
      </c>
      <c r="AY189" s="28" t="str">
        <f t="shared" si="104"/>
        <v>00:00</v>
      </c>
      <c r="AZ189" s="29"/>
      <c r="BA189" s="27"/>
      <c r="BB189" s="27"/>
      <c r="BC189" s="28" t="str">
        <f>IFERROR(VLOOKUP(BA189,Horarios!$H:$I,2,0),"")</f>
        <v/>
      </c>
      <c r="BD189" s="28" t="str">
        <f>IFERROR(VLOOKUP(BB189,Horarios!$H:$I,2,0),"")</f>
        <v/>
      </c>
      <c r="BE189" s="28" t="str">
        <f t="shared" si="105"/>
        <v>00:00</v>
      </c>
      <c r="BF189" s="29"/>
      <c r="BG189" s="27"/>
      <c r="BH189" s="27"/>
      <c r="BI189" s="28" t="str">
        <f>IFERROR(VLOOKUP(BG189,Horarios!$H:$I,2,0),"")</f>
        <v/>
      </c>
      <c r="BJ189" s="28" t="str">
        <f>IFERROR(VLOOKUP(BH189,Horarios!$H:$I,2,0),"")</f>
        <v/>
      </c>
      <c r="BK189" s="28" t="str">
        <f t="shared" si="106"/>
        <v>00:00</v>
      </c>
      <c r="BL189" s="29"/>
      <c r="BM189" s="27"/>
      <c r="BN189" s="27"/>
      <c r="BO189" s="28" t="str">
        <f>IFERROR(VLOOKUP(BM189,Horarios!$H:$I,2,0),"")</f>
        <v/>
      </c>
      <c r="BP189" s="28" t="str">
        <f>IFERROR(VLOOKUP(BN189,Horarios!$H:$I,2,0),"")</f>
        <v/>
      </c>
      <c r="BQ189" s="28" t="str">
        <f t="shared" si="107"/>
        <v>00:00</v>
      </c>
      <c r="BR189" s="29"/>
      <c r="BS189" s="27"/>
      <c r="BT189" s="27"/>
      <c r="BU189" s="28" t="str">
        <f>IFERROR(VLOOKUP(BS189,Horarios!$H:$I,2,0),"")</f>
        <v/>
      </c>
      <c r="BV189" s="28" t="str">
        <f>IFERROR(VLOOKUP(BT189,Horarios!$H:$I,2,0),"")</f>
        <v/>
      </c>
      <c r="BW189" s="28" t="str">
        <f t="shared" si="108"/>
        <v>00:00</v>
      </c>
      <c r="BX189" s="29"/>
      <c r="BY189" s="27"/>
      <c r="BZ189" s="27"/>
      <c r="CA189" s="28" t="str">
        <f>IFERROR(VLOOKUP(BY189,Horarios!$H:$I,2,0),"")</f>
        <v/>
      </c>
      <c r="CB189" s="28" t="str">
        <f>IFERROR(VLOOKUP(BZ189,Horarios!$H:$I,2,0),"")</f>
        <v/>
      </c>
      <c r="CC189" s="28" t="str">
        <f t="shared" si="109"/>
        <v>00:00</v>
      </c>
      <c r="CD189" s="29"/>
      <c r="CE189" s="27"/>
      <c r="CF189" s="27"/>
      <c r="CG189" s="28" t="str">
        <f>IFERROR(VLOOKUP(CE189,Horarios!$H:$I,2,0),"")</f>
        <v/>
      </c>
      <c r="CH189" s="28" t="str">
        <f>IFERROR(VLOOKUP(CF189,Horarios!$H:$I,2,0),"")</f>
        <v/>
      </c>
      <c r="CI189" s="28" t="str">
        <f t="shared" si="110"/>
        <v>00:00</v>
      </c>
      <c r="CJ189" s="29"/>
      <c r="CK189" s="31" t="str">
        <f t="shared" si="111"/>
        <v/>
      </c>
      <c r="CL189" s="27"/>
      <c r="CM189" s="27"/>
      <c r="CN189" s="28" t="str">
        <f>IFERROR(VLOOKUP(CL189,Horarios!$H:$I,2,0),"")</f>
        <v/>
      </c>
      <c r="CO189" s="28" t="str">
        <f>IFERROR(VLOOKUP(CM189,Horarios!$H:$I,2,0),"")</f>
        <v/>
      </c>
      <c r="CP189" s="28" t="str">
        <f t="shared" si="112"/>
        <v>00:00</v>
      </c>
      <c r="CQ189" s="29"/>
      <c r="CR189" s="27"/>
      <c r="CS189" s="27"/>
      <c r="CT189" s="28" t="str">
        <f>IFERROR(VLOOKUP(CR189,Horarios!$H:$I,2,0),"")</f>
        <v/>
      </c>
      <c r="CU189" s="28" t="str">
        <f>IFERROR(VLOOKUP(CS189,Horarios!$H:$I,2,0),"")</f>
        <v/>
      </c>
      <c r="CV189" s="28" t="str">
        <f t="shared" si="113"/>
        <v>00:00</v>
      </c>
      <c r="CW189" s="29"/>
      <c r="CX189" s="27"/>
      <c r="CY189" s="27"/>
      <c r="CZ189" s="28" t="str">
        <f>IFERROR(VLOOKUP(CX189,Horarios!$H:$I,2,0),"")</f>
        <v/>
      </c>
      <c r="DA189" s="28" t="str">
        <f>IFERROR(VLOOKUP(CY189,Horarios!$H:$I,2,0),"")</f>
        <v/>
      </c>
      <c r="DB189" s="28" t="str">
        <f t="shared" si="114"/>
        <v>00:00</v>
      </c>
      <c r="DC189" s="29"/>
      <c r="DD189" s="27"/>
      <c r="DE189" s="27"/>
      <c r="DF189" s="28" t="str">
        <f>IFERROR(VLOOKUP(DD189,Horarios!$H:$I,2,0),"")</f>
        <v/>
      </c>
      <c r="DG189" s="28" t="str">
        <f>IFERROR(VLOOKUP(DE189,Horarios!$H:$I,2,0),"")</f>
        <v/>
      </c>
      <c r="DH189" s="28" t="str">
        <f t="shared" si="115"/>
        <v>00:00</v>
      </c>
      <c r="DI189" s="29"/>
      <c r="DJ189" s="27"/>
      <c r="DK189" s="27"/>
      <c r="DL189" s="28" t="str">
        <f>IFERROR(VLOOKUP(DJ189,Horarios!$H:$I,2,0),"")</f>
        <v/>
      </c>
      <c r="DM189" s="28" t="str">
        <f>IFERROR(VLOOKUP(DK189,Horarios!$H:$I,2,0),"")</f>
        <v/>
      </c>
      <c r="DN189" s="28" t="str">
        <f t="shared" si="116"/>
        <v>00:00</v>
      </c>
      <c r="DO189" s="29"/>
      <c r="DP189" s="27"/>
      <c r="DQ189" s="27"/>
      <c r="DR189" s="28" t="str">
        <f>IFERROR(VLOOKUP(DP189,Horarios!$H:$I,2,0),"")</f>
        <v/>
      </c>
      <c r="DS189" s="28" t="str">
        <f>IFERROR(VLOOKUP(DQ189,Horarios!$H:$I,2,0),"")</f>
        <v/>
      </c>
      <c r="DT189" s="28" t="str">
        <f t="shared" si="117"/>
        <v>00:00</v>
      </c>
      <c r="DU189" s="29"/>
      <c r="DV189" s="27"/>
      <c r="DW189" s="27"/>
      <c r="DX189" s="28" t="str">
        <f>IFERROR(VLOOKUP(DV189,Horarios!$H:$I,2,0),"")</f>
        <v/>
      </c>
      <c r="DY189" s="28" t="str">
        <f>IFERROR(VLOOKUP(DW189,Horarios!$H:$I,2,0),"")</f>
        <v/>
      </c>
      <c r="DZ189" s="28" t="str">
        <f t="shared" si="118"/>
        <v>00:00</v>
      </c>
      <c r="EA189" s="29"/>
      <c r="EB189" s="31" t="str">
        <f t="shared" si="119"/>
        <v/>
      </c>
      <c r="EC189" s="27"/>
      <c r="ED189" s="27"/>
      <c r="EE189" s="28" t="str">
        <f>IFERROR(VLOOKUP(EC189,Horarios!$H:$I,2,0),"")</f>
        <v/>
      </c>
      <c r="EF189" s="28" t="str">
        <f>IFERROR(VLOOKUP(ED189,Horarios!$H:$I,2,0),"")</f>
        <v/>
      </c>
      <c r="EG189" s="28" t="str">
        <f t="shared" si="120"/>
        <v>00:00</v>
      </c>
      <c r="EH189" s="29"/>
      <c r="EI189" s="27"/>
      <c r="EJ189" s="27"/>
      <c r="EK189" s="28" t="str">
        <f>IFERROR(VLOOKUP(EI189,Horarios!$H:$I,2,0),"")</f>
        <v/>
      </c>
      <c r="EL189" s="28" t="str">
        <f>IFERROR(VLOOKUP(EJ189,Horarios!$H:$I,2,0),"")</f>
        <v/>
      </c>
      <c r="EM189" s="28" t="str">
        <f t="shared" si="121"/>
        <v>00:00</v>
      </c>
      <c r="EN189" s="29"/>
      <c r="EO189" s="27"/>
      <c r="EP189" s="27"/>
      <c r="EQ189" s="28" t="str">
        <f>IFERROR(VLOOKUP(EO189,Horarios!$H:$I,2,0),"")</f>
        <v/>
      </c>
      <c r="ER189" s="28" t="str">
        <f>IFERROR(VLOOKUP(EP189,Horarios!$H:$I,2,0),"")</f>
        <v/>
      </c>
      <c r="ES189" s="28" t="str">
        <f t="shared" si="122"/>
        <v>00:00</v>
      </c>
      <c r="ET189" s="29"/>
      <c r="EU189" s="27"/>
      <c r="EV189" s="27"/>
      <c r="EW189" s="28" t="str">
        <f>IFERROR(VLOOKUP(EU189,Horarios!$H:$I,2,0),"")</f>
        <v/>
      </c>
      <c r="EX189" s="28" t="str">
        <f>IFERROR(VLOOKUP(EV189,Horarios!$H:$I,2,0),"")</f>
        <v/>
      </c>
      <c r="EY189" s="28" t="str">
        <f t="shared" si="123"/>
        <v>00:00</v>
      </c>
      <c r="EZ189" s="29"/>
      <c r="FA189" s="27"/>
      <c r="FB189" s="27"/>
      <c r="FC189" s="28" t="str">
        <f>IFERROR(VLOOKUP(FA189,Horarios!$H:$I,2,0),"")</f>
        <v/>
      </c>
      <c r="FD189" s="28" t="str">
        <f>IFERROR(VLOOKUP(FB189,Horarios!$H:$I,2,0),"")</f>
        <v/>
      </c>
      <c r="FE189" s="28" t="str">
        <f t="shared" si="124"/>
        <v>00:00</v>
      </c>
      <c r="FF189" s="29"/>
      <c r="FG189" s="27"/>
      <c r="FH189" s="27"/>
      <c r="FI189" s="28" t="str">
        <f>IFERROR(VLOOKUP(FG189,Horarios!$H:$I,2,0),"")</f>
        <v/>
      </c>
      <c r="FJ189" s="28" t="str">
        <f>IFERROR(VLOOKUP(FH189,Horarios!$H:$I,2,0),"")</f>
        <v/>
      </c>
      <c r="FK189" s="28" t="str">
        <f t="shared" si="125"/>
        <v>00:00</v>
      </c>
      <c r="FL189" s="29"/>
      <c r="FM189" s="27"/>
      <c r="FN189" s="27"/>
      <c r="FO189" s="28" t="str">
        <f>IFERROR(VLOOKUP(FM189,Horarios!$H:$I,2,0),"")</f>
        <v/>
      </c>
      <c r="FP189" s="28" t="str">
        <f>IFERROR(VLOOKUP(FN189,Horarios!$H:$I,2,0),"")</f>
        <v/>
      </c>
      <c r="FQ189" s="28" t="str">
        <f t="shared" si="126"/>
        <v>00:00</v>
      </c>
      <c r="FR189" s="29"/>
      <c r="FS189" s="31" t="str">
        <f t="shared" si="127"/>
        <v/>
      </c>
      <c r="FT189" s="27"/>
      <c r="FU189" s="27"/>
      <c r="FV189" s="28" t="str">
        <f>IFERROR(VLOOKUP(FT189,Horarios!$H:$I,2,0),"")</f>
        <v/>
      </c>
      <c r="FW189" s="28" t="str">
        <f>IFERROR(VLOOKUP(FU189,Horarios!$H:$I,2,0),"")</f>
        <v/>
      </c>
      <c r="FX189" s="28" t="str">
        <f t="shared" si="128"/>
        <v>00:00</v>
      </c>
      <c r="FY189" s="29"/>
      <c r="FZ189" s="27"/>
      <c r="GA189" s="27"/>
      <c r="GB189" s="28" t="str">
        <f>IFERROR(VLOOKUP(FZ189,Horarios!$H:$I,2,0),"")</f>
        <v/>
      </c>
      <c r="GC189" s="28" t="str">
        <f>IFERROR(VLOOKUP(GA189,Horarios!$H:$I,2,0),"")</f>
        <v/>
      </c>
      <c r="GD189" s="28" t="str">
        <f t="shared" si="129"/>
        <v>00:00</v>
      </c>
      <c r="GE189" s="29"/>
      <c r="GF189" s="27"/>
      <c r="GG189" s="27"/>
      <c r="GH189" s="28" t="str">
        <f>IFERROR(VLOOKUP(GF189,Horarios!$H:$I,2,0),"")</f>
        <v/>
      </c>
      <c r="GI189" s="28" t="str">
        <f>IFERROR(VLOOKUP(GG189,Horarios!$H:$I,2,0),"")</f>
        <v/>
      </c>
      <c r="GJ189" s="28" t="str">
        <f t="shared" si="130"/>
        <v>00:00</v>
      </c>
      <c r="GK189" s="29"/>
      <c r="GL189" s="27"/>
      <c r="GM189" s="27"/>
      <c r="GN189" s="28" t="str">
        <f>IFERROR(VLOOKUP(GL189,Horarios!$H:$I,2,0),"")</f>
        <v/>
      </c>
      <c r="GO189" s="28" t="str">
        <f>IFERROR(VLOOKUP(GM189,Horarios!$H:$I,2,0),"")</f>
        <v/>
      </c>
      <c r="GP189" s="28" t="str">
        <f t="shared" si="131"/>
        <v>00:00</v>
      </c>
      <c r="GQ189" s="29"/>
      <c r="GR189" s="27"/>
      <c r="GS189" s="27"/>
      <c r="GT189" s="28" t="str">
        <f>IFERROR(VLOOKUP(GR189,Horarios!$H:$I,2,0),"")</f>
        <v/>
      </c>
      <c r="GU189" s="28" t="str">
        <f>IFERROR(VLOOKUP(GS189,Horarios!$H:$I,2,0),"")</f>
        <v/>
      </c>
      <c r="GV189" s="28" t="str">
        <f t="shared" si="132"/>
        <v>00:00</v>
      </c>
      <c r="GW189" s="29"/>
      <c r="GX189" s="27"/>
      <c r="GY189" s="27"/>
      <c r="GZ189" s="28" t="str">
        <f>IFERROR(VLOOKUP(GX189,Horarios!$H:$I,2,0),"")</f>
        <v/>
      </c>
      <c r="HA189" s="28" t="str">
        <f>IFERROR(VLOOKUP(GY189,Horarios!$H:$I,2,0),"")</f>
        <v/>
      </c>
      <c r="HB189" s="28" t="str">
        <f t="shared" si="133"/>
        <v>00:00</v>
      </c>
      <c r="HC189" s="29"/>
      <c r="HD189" s="27"/>
      <c r="HE189" s="27"/>
      <c r="HF189" s="28" t="str">
        <f>IFERROR(VLOOKUP(HD189,Horarios!$H:$I,2,0),"")</f>
        <v/>
      </c>
      <c r="HG189" s="28" t="str">
        <f>IFERROR(VLOOKUP(HE189,Horarios!$H:$I,2,0),"")</f>
        <v/>
      </c>
      <c r="HH189" s="28" t="str">
        <f t="shared" si="134"/>
        <v>00:00</v>
      </c>
      <c r="HI189" s="29"/>
      <c r="HJ189" s="31" t="str">
        <f t="shared" si="135"/>
        <v/>
      </c>
      <c r="HK189" s="27"/>
      <c r="HL189" s="27"/>
      <c r="HM189" s="28" t="str">
        <f>IFERROR(VLOOKUP(HK189,Horarios!$H:$I,2,0),"")</f>
        <v/>
      </c>
      <c r="HN189" s="28" t="str">
        <f>IFERROR(VLOOKUP(HL189,Horarios!$H:$I,2,0),"")</f>
        <v/>
      </c>
      <c r="HO189" s="28" t="str">
        <f t="shared" si="136"/>
        <v>00:00</v>
      </c>
      <c r="HP189" s="29"/>
      <c r="HQ189" s="27"/>
      <c r="HR189" s="27"/>
      <c r="HS189" s="28" t="str">
        <f>IFERROR(VLOOKUP(HQ189,Horarios!$H:$I,2,0),"")</f>
        <v/>
      </c>
      <c r="HT189" s="28" t="str">
        <f>IFERROR(VLOOKUP(HR189,Horarios!$H:$I,2,0),"")</f>
        <v/>
      </c>
      <c r="HU189" s="28" t="str">
        <f t="shared" si="137"/>
        <v>00:00</v>
      </c>
      <c r="HV189" s="29"/>
      <c r="HW189" s="27"/>
      <c r="HX189" s="27"/>
      <c r="HY189" s="28" t="str">
        <f>IFERROR(VLOOKUP(HW189,Horarios!$H:$I,2,0),"")</f>
        <v/>
      </c>
      <c r="HZ189" s="28" t="str">
        <f>IFERROR(VLOOKUP(HX189,Horarios!$H:$I,2,0),"")</f>
        <v/>
      </c>
      <c r="IA189" s="28" t="str">
        <f t="shared" si="138"/>
        <v>00:00</v>
      </c>
      <c r="IB189" s="29"/>
      <c r="IC189" s="27"/>
      <c r="ID189" s="27"/>
      <c r="IE189" s="28" t="str">
        <f>IFERROR(VLOOKUP(IC189,Horarios!$H:$I,2,0),"")</f>
        <v/>
      </c>
      <c r="IF189" s="28" t="str">
        <f>IFERROR(VLOOKUP(ID189,Horarios!$H:$I,2,0),"")</f>
        <v/>
      </c>
      <c r="IG189" s="28" t="str">
        <f t="shared" si="139"/>
        <v>00:00</v>
      </c>
      <c r="IH189" s="29"/>
      <c r="II189" s="27"/>
      <c r="IJ189" s="27"/>
      <c r="IK189" s="28" t="str">
        <f>IFERROR(VLOOKUP(II189,Horarios!$H:$I,2,0),"")</f>
        <v/>
      </c>
      <c r="IL189" s="28" t="str">
        <f>IFERROR(VLOOKUP(IJ189,Horarios!$H:$I,2,0),"")</f>
        <v/>
      </c>
      <c r="IM189" s="28" t="str">
        <f t="shared" si="140"/>
        <v>00:00</v>
      </c>
      <c r="IN189" s="29"/>
      <c r="IO189" s="27"/>
      <c r="IP189" s="27"/>
      <c r="IQ189" s="28" t="str">
        <f>IFERROR(VLOOKUP(IO189,Horarios!$H:$I,2,0),"")</f>
        <v/>
      </c>
      <c r="IR189" s="28" t="str">
        <f>IFERROR(VLOOKUP(IP189,Horarios!$H:$I,2,0),"")</f>
        <v/>
      </c>
      <c r="IS189" s="28" t="str">
        <f t="shared" si="141"/>
        <v>00:00</v>
      </c>
      <c r="IT189" s="29"/>
      <c r="IU189" s="27"/>
      <c r="IV189" s="27"/>
      <c r="IW189" s="28" t="str">
        <f>IFERROR(VLOOKUP(IU189,Horarios!$H:$I,2,0),"")</f>
        <v/>
      </c>
      <c r="IX189" s="28" t="str">
        <f>IFERROR(VLOOKUP(IV189,Horarios!$H:$I,2,0),"")</f>
        <v/>
      </c>
      <c r="IY189" s="28" t="str">
        <f t="shared" si="142"/>
        <v>00:00</v>
      </c>
      <c r="IZ189" s="29"/>
      <c r="JA189" s="31" t="str">
        <f t="shared" si="143"/>
        <v/>
      </c>
    </row>
    <row r="190" spans="1:261" s="24" customFormat="1" ht="17.399999999999999" x14ac:dyDescent="0.25">
      <c r="A190" s="25"/>
      <c r="B190" s="26" t="str">
        <f>IFERROR(VLOOKUP(A190,BaseNombres!A:B,2,0),"")</f>
        <v/>
      </c>
      <c r="C190" s="26" t="str">
        <f>IFERROR(VLOOKUP(A190,BaseNombres!A:C,3,0),"")</f>
        <v/>
      </c>
      <c r="D190" s="27"/>
      <c r="E190" s="27"/>
      <c r="F190" s="28" t="str">
        <f>IFERROR(VLOOKUP(D190,Horarios!$H:$I,2,0),"")</f>
        <v/>
      </c>
      <c r="G190" s="28" t="str">
        <f>IFERROR(VLOOKUP(E190,Horarios!$H:$I,2,0),"")</f>
        <v/>
      </c>
      <c r="H190" s="28" t="str">
        <f t="shared" si="96"/>
        <v>00:00</v>
      </c>
      <c r="I190" s="29"/>
      <c r="J190" s="27"/>
      <c r="K190" s="27"/>
      <c r="L190" s="28" t="str">
        <f>IFERROR(VLOOKUP(J190,Horarios!$H:$I,2,0),"")</f>
        <v/>
      </c>
      <c r="M190" s="28" t="str">
        <f>IFERROR(VLOOKUP(K190,Horarios!$H:$I,2,0),"")</f>
        <v/>
      </c>
      <c r="N190" s="28" t="str">
        <f t="shared" si="97"/>
        <v>00:00</v>
      </c>
      <c r="O190" s="29"/>
      <c r="P190" s="27"/>
      <c r="Q190" s="27"/>
      <c r="R190" s="28" t="str">
        <f>IFERROR(VLOOKUP(P190,Horarios!$H:$I,2,0),"")</f>
        <v/>
      </c>
      <c r="S190" s="28" t="str">
        <f>IFERROR(VLOOKUP(Q190,Horarios!$H:$I,2,0),"")</f>
        <v/>
      </c>
      <c r="T190" s="28" t="str">
        <f t="shared" si="98"/>
        <v>00:00</v>
      </c>
      <c r="U190" s="29"/>
      <c r="V190" s="27"/>
      <c r="W190" s="27"/>
      <c r="X190" s="28" t="str">
        <f>IFERROR(VLOOKUP(V190,Horarios!$H:$I,2,0),"")</f>
        <v/>
      </c>
      <c r="Y190" s="28" t="str">
        <f>IFERROR(VLOOKUP(W190,Horarios!$H:$I,2,0),"")</f>
        <v/>
      </c>
      <c r="Z190" s="28" t="str">
        <f t="shared" si="99"/>
        <v>00:00</v>
      </c>
      <c r="AA190" s="29"/>
      <c r="AB190" s="27"/>
      <c r="AC190" s="27"/>
      <c r="AD190" s="28" t="str">
        <f>IFERROR(VLOOKUP(AB190,Horarios!$H:$I,2,0),"")</f>
        <v/>
      </c>
      <c r="AE190" s="28" t="str">
        <f>IFERROR(VLOOKUP(AC190,Horarios!$H:$I,2,0),"")</f>
        <v/>
      </c>
      <c r="AF190" s="28" t="str">
        <f t="shared" si="100"/>
        <v>00:00</v>
      </c>
      <c r="AG190" s="29"/>
      <c r="AH190" s="27"/>
      <c r="AI190" s="27"/>
      <c r="AJ190" s="28" t="str">
        <f>IFERROR(VLOOKUP(AH190,Horarios!$H:$I,2,0),"")</f>
        <v/>
      </c>
      <c r="AK190" s="28" t="str">
        <f>IFERROR(VLOOKUP(AI190,Horarios!$H:$I,2,0),"")</f>
        <v/>
      </c>
      <c r="AL190" s="28" t="str">
        <f t="shared" si="101"/>
        <v>00:00</v>
      </c>
      <c r="AM190" s="29"/>
      <c r="AN190" s="27"/>
      <c r="AO190" s="27"/>
      <c r="AP190" s="28" t="str">
        <f>IFERROR(VLOOKUP(AN190,Horarios!$H:$I,2,0),"")</f>
        <v/>
      </c>
      <c r="AQ190" s="28" t="str">
        <f>IFERROR(VLOOKUP(AO190,Horarios!$H:$I,2,0),"")</f>
        <v/>
      </c>
      <c r="AR190" s="28" t="str">
        <f t="shared" si="102"/>
        <v>00:00</v>
      </c>
      <c r="AS190" s="29"/>
      <c r="AT190" s="31" t="str">
        <f t="shared" si="103"/>
        <v/>
      </c>
      <c r="AU190" s="27"/>
      <c r="AV190" s="27"/>
      <c r="AW190" s="28" t="str">
        <f>IFERROR(VLOOKUP(AU190,Horarios!$H:$I,2,0),"")</f>
        <v/>
      </c>
      <c r="AX190" s="28" t="str">
        <f>IFERROR(VLOOKUP(AV190,Horarios!$H:$I,2,0),"")</f>
        <v/>
      </c>
      <c r="AY190" s="28" t="str">
        <f t="shared" si="104"/>
        <v>00:00</v>
      </c>
      <c r="AZ190" s="29"/>
      <c r="BA190" s="27"/>
      <c r="BB190" s="27"/>
      <c r="BC190" s="28" t="str">
        <f>IFERROR(VLOOKUP(BA190,Horarios!$H:$I,2,0),"")</f>
        <v/>
      </c>
      <c r="BD190" s="28" t="str">
        <f>IFERROR(VLOOKUP(BB190,Horarios!$H:$I,2,0),"")</f>
        <v/>
      </c>
      <c r="BE190" s="28" t="str">
        <f t="shared" si="105"/>
        <v>00:00</v>
      </c>
      <c r="BF190" s="29"/>
      <c r="BG190" s="27"/>
      <c r="BH190" s="27"/>
      <c r="BI190" s="28" t="str">
        <f>IFERROR(VLOOKUP(BG190,Horarios!$H:$I,2,0),"")</f>
        <v/>
      </c>
      <c r="BJ190" s="28" t="str">
        <f>IFERROR(VLOOKUP(BH190,Horarios!$H:$I,2,0),"")</f>
        <v/>
      </c>
      <c r="BK190" s="28" t="str">
        <f t="shared" si="106"/>
        <v>00:00</v>
      </c>
      <c r="BL190" s="29"/>
      <c r="BM190" s="27"/>
      <c r="BN190" s="27"/>
      <c r="BO190" s="28" t="str">
        <f>IFERROR(VLOOKUP(BM190,Horarios!$H:$I,2,0),"")</f>
        <v/>
      </c>
      <c r="BP190" s="28" t="str">
        <f>IFERROR(VLOOKUP(BN190,Horarios!$H:$I,2,0),"")</f>
        <v/>
      </c>
      <c r="BQ190" s="28" t="str">
        <f t="shared" si="107"/>
        <v>00:00</v>
      </c>
      <c r="BR190" s="29"/>
      <c r="BS190" s="27"/>
      <c r="BT190" s="27"/>
      <c r="BU190" s="28" t="str">
        <f>IFERROR(VLOOKUP(BS190,Horarios!$H:$I,2,0),"")</f>
        <v/>
      </c>
      <c r="BV190" s="28" t="str">
        <f>IFERROR(VLOOKUP(BT190,Horarios!$H:$I,2,0),"")</f>
        <v/>
      </c>
      <c r="BW190" s="28" t="str">
        <f t="shared" si="108"/>
        <v>00:00</v>
      </c>
      <c r="BX190" s="29"/>
      <c r="BY190" s="27"/>
      <c r="BZ190" s="27"/>
      <c r="CA190" s="28" t="str">
        <f>IFERROR(VLOOKUP(BY190,Horarios!$H:$I,2,0),"")</f>
        <v/>
      </c>
      <c r="CB190" s="28" t="str">
        <f>IFERROR(VLOOKUP(BZ190,Horarios!$H:$I,2,0),"")</f>
        <v/>
      </c>
      <c r="CC190" s="28" t="str">
        <f t="shared" si="109"/>
        <v>00:00</v>
      </c>
      <c r="CD190" s="29"/>
      <c r="CE190" s="27"/>
      <c r="CF190" s="27"/>
      <c r="CG190" s="28" t="str">
        <f>IFERROR(VLOOKUP(CE190,Horarios!$H:$I,2,0),"")</f>
        <v/>
      </c>
      <c r="CH190" s="28" t="str">
        <f>IFERROR(VLOOKUP(CF190,Horarios!$H:$I,2,0),"")</f>
        <v/>
      </c>
      <c r="CI190" s="28" t="str">
        <f t="shared" si="110"/>
        <v>00:00</v>
      </c>
      <c r="CJ190" s="29"/>
      <c r="CK190" s="31" t="str">
        <f t="shared" si="111"/>
        <v/>
      </c>
      <c r="CL190" s="27"/>
      <c r="CM190" s="27"/>
      <c r="CN190" s="28" t="str">
        <f>IFERROR(VLOOKUP(CL190,Horarios!$H:$I,2,0),"")</f>
        <v/>
      </c>
      <c r="CO190" s="28" t="str">
        <f>IFERROR(VLOOKUP(CM190,Horarios!$H:$I,2,0),"")</f>
        <v/>
      </c>
      <c r="CP190" s="28" t="str">
        <f t="shared" si="112"/>
        <v>00:00</v>
      </c>
      <c r="CQ190" s="29"/>
      <c r="CR190" s="27"/>
      <c r="CS190" s="27"/>
      <c r="CT190" s="28" t="str">
        <f>IFERROR(VLOOKUP(CR190,Horarios!$H:$I,2,0),"")</f>
        <v/>
      </c>
      <c r="CU190" s="28" t="str">
        <f>IFERROR(VLOOKUP(CS190,Horarios!$H:$I,2,0),"")</f>
        <v/>
      </c>
      <c r="CV190" s="28" t="str">
        <f t="shared" si="113"/>
        <v>00:00</v>
      </c>
      <c r="CW190" s="29"/>
      <c r="CX190" s="27"/>
      <c r="CY190" s="27"/>
      <c r="CZ190" s="28" t="str">
        <f>IFERROR(VLOOKUP(CX190,Horarios!$H:$I,2,0),"")</f>
        <v/>
      </c>
      <c r="DA190" s="28" t="str">
        <f>IFERROR(VLOOKUP(CY190,Horarios!$H:$I,2,0),"")</f>
        <v/>
      </c>
      <c r="DB190" s="28" t="str">
        <f t="shared" si="114"/>
        <v>00:00</v>
      </c>
      <c r="DC190" s="29"/>
      <c r="DD190" s="27"/>
      <c r="DE190" s="27"/>
      <c r="DF190" s="28" t="str">
        <f>IFERROR(VLOOKUP(DD190,Horarios!$H:$I,2,0),"")</f>
        <v/>
      </c>
      <c r="DG190" s="28" t="str">
        <f>IFERROR(VLOOKUP(DE190,Horarios!$H:$I,2,0),"")</f>
        <v/>
      </c>
      <c r="DH190" s="28" t="str">
        <f t="shared" si="115"/>
        <v>00:00</v>
      </c>
      <c r="DI190" s="29"/>
      <c r="DJ190" s="27"/>
      <c r="DK190" s="27"/>
      <c r="DL190" s="28" t="str">
        <f>IFERROR(VLOOKUP(DJ190,Horarios!$H:$I,2,0),"")</f>
        <v/>
      </c>
      <c r="DM190" s="28" t="str">
        <f>IFERROR(VLOOKUP(DK190,Horarios!$H:$I,2,0),"")</f>
        <v/>
      </c>
      <c r="DN190" s="28" t="str">
        <f t="shared" si="116"/>
        <v>00:00</v>
      </c>
      <c r="DO190" s="29"/>
      <c r="DP190" s="27"/>
      <c r="DQ190" s="27"/>
      <c r="DR190" s="28" t="str">
        <f>IFERROR(VLOOKUP(DP190,Horarios!$H:$I,2,0),"")</f>
        <v/>
      </c>
      <c r="DS190" s="28" t="str">
        <f>IFERROR(VLOOKUP(DQ190,Horarios!$H:$I,2,0),"")</f>
        <v/>
      </c>
      <c r="DT190" s="28" t="str">
        <f t="shared" si="117"/>
        <v>00:00</v>
      </c>
      <c r="DU190" s="29"/>
      <c r="DV190" s="27"/>
      <c r="DW190" s="27"/>
      <c r="DX190" s="28" t="str">
        <f>IFERROR(VLOOKUP(DV190,Horarios!$H:$I,2,0),"")</f>
        <v/>
      </c>
      <c r="DY190" s="28" t="str">
        <f>IFERROR(VLOOKUP(DW190,Horarios!$H:$I,2,0),"")</f>
        <v/>
      </c>
      <c r="DZ190" s="28" t="str">
        <f t="shared" si="118"/>
        <v>00:00</v>
      </c>
      <c r="EA190" s="29"/>
      <c r="EB190" s="31" t="str">
        <f t="shared" si="119"/>
        <v/>
      </c>
      <c r="EC190" s="27"/>
      <c r="ED190" s="27"/>
      <c r="EE190" s="28" t="str">
        <f>IFERROR(VLOOKUP(EC190,Horarios!$H:$I,2,0),"")</f>
        <v/>
      </c>
      <c r="EF190" s="28" t="str">
        <f>IFERROR(VLOOKUP(ED190,Horarios!$H:$I,2,0),"")</f>
        <v/>
      </c>
      <c r="EG190" s="28" t="str">
        <f t="shared" si="120"/>
        <v>00:00</v>
      </c>
      <c r="EH190" s="29"/>
      <c r="EI190" s="27"/>
      <c r="EJ190" s="27"/>
      <c r="EK190" s="28" t="str">
        <f>IFERROR(VLOOKUP(EI190,Horarios!$H:$I,2,0),"")</f>
        <v/>
      </c>
      <c r="EL190" s="28" t="str">
        <f>IFERROR(VLOOKUP(EJ190,Horarios!$H:$I,2,0),"")</f>
        <v/>
      </c>
      <c r="EM190" s="28" t="str">
        <f t="shared" si="121"/>
        <v>00:00</v>
      </c>
      <c r="EN190" s="29"/>
      <c r="EO190" s="27"/>
      <c r="EP190" s="27"/>
      <c r="EQ190" s="28" t="str">
        <f>IFERROR(VLOOKUP(EO190,Horarios!$H:$I,2,0),"")</f>
        <v/>
      </c>
      <c r="ER190" s="28" t="str">
        <f>IFERROR(VLOOKUP(EP190,Horarios!$H:$I,2,0),"")</f>
        <v/>
      </c>
      <c r="ES190" s="28" t="str">
        <f t="shared" si="122"/>
        <v>00:00</v>
      </c>
      <c r="ET190" s="29"/>
      <c r="EU190" s="27"/>
      <c r="EV190" s="27"/>
      <c r="EW190" s="28" t="str">
        <f>IFERROR(VLOOKUP(EU190,Horarios!$H:$I,2,0),"")</f>
        <v/>
      </c>
      <c r="EX190" s="28" t="str">
        <f>IFERROR(VLOOKUP(EV190,Horarios!$H:$I,2,0),"")</f>
        <v/>
      </c>
      <c r="EY190" s="28" t="str">
        <f t="shared" si="123"/>
        <v>00:00</v>
      </c>
      <c r="EZ190" s="29"/>
      <c r="FA190" s="27"/>
      <c r="FB190" s="27"/>
      <c r="FC190" s="28" t="str">
        <f>IFERROR(VLOOKUP(FA190,Horarios!$H:$I,2,0),"")</f>
        <v/>
      </c>
      <c r="FD190" s="28" t="str">
        <f>IFERROR(VLOOKUP(FB190,Horarios!$H:$I,2,0),"")</f>
        <v/>
      </c>
      <c r="FE190" s="28" t="str">
        <f t="shared" si="124"/>
        <v>00:00</v>
      </c>
      <c r="FF190" s="29"/>
      <c r="FG190" s="27"/>
      <c r="FH190" s="27"/>
      <c r="FI190" s="28" t="str">
        <f>IFERROR(VLOOKUP(FG190,Horarios!$H:$I,2,0),"")</f>
        <v/>
      </c>
      <c r="FJ190" s="28" t="str">
        <f>IFERROR(VLOOKUP(FH190,Horarios!$H:$I,2,0),"")</f>
        <v/>
      </c>
      <c r="FK190" s="28" t="str">
        <f t="shared" si="125"/>
        <v>00:00</v>
      </c>
      <c r="FL190" s="29"/>
      <c r="FM190" s="27"/>
      <c r="FN190" s="27"/>
      <c r="FO190" s="28" t="str">
        <f>IFERROR(VLOOKUP(FM190,Horarios!$H:$I,2,0),"")</f>
        <v/>
      </c>
      <c r="FP190" s="28" t="str">
        <f>IFERROR(VLOOKUP(FN190,Horarios!$H:$I,2,0),"")</f>
        <v/>
      </c>
      <c r="FQ190" s="28" t="str">
        <f t="shared" si="126"/>
        <v>00:00</v>
      </c>
      <c r="FR190" s="29"/>
      <c r="FS190" s="31" t="str">
        <f t="shared" si="127"/>
        <v/>
      </c>
      <c r="FT190" s="27"/>
      <c r="FU190" s="27"/>
      <c r="FV190" s="28" t="str">
        <f>IFERROR(VLOOKUP(FT190,Horarios!$H:$I,2,0),"")</f>
        <v/>
      </c>
      <c r="FW190" s="28" t="str">
        <f>IFERROR(VLOOKUP(FU190,Horarios!$H:$I,2,0),"")</f>
        <v/>
      </c>
      <c r="FX190" s="28" t="str">
        <f t="shared" si="128"/>
        <v>00:00</v>
      </c>
      <c r="FY190" s="29"/>
      <c r="FZ190" s="27"/>
      <c r="GA190" s="27"/>
      <c r="GB190" s="28" t="str">
        <f>IFERROR(VLOOKUP(FZ190,Horarios!$H:$I,2,0),"")</f>
        <v/>
      </c>
      <c r="GC190" s="28" t="str">
        <f>IFERROR(VLOOKUP(GA190,Horarios!$H:$I,2,0),"")</f>
        <v/>
      </c>
      <c r="GD190" s="28" t="str">
        <f t="shared" si="129"/>
        <v>00:00</v>
      </c>
      <c r="GE190" s="29"/>
      <c r="GF190" s="27"/>
      <c r="GG190" s="27"/>
      <c r="GH190" s="28" t="str">
        <f>IFERROR(VLOOKUP(GF190,Horarios!$H:$I,2,0),"")</f>
        <v/>
      </c>
      <c r="GI190" s="28" t="str">
        <f>IFERROR(VLOOKUP(GG190,Horarios!$H:$I,2,0),"")</f>
        <v/>
      </c>
      <c r="GJ190" s="28" t="str">
        <f t="shared" si="130"/>
        <v>00:00</v>
      </c>
      <c r="GK190" s="29"/>
      <c r="GL190" s="27"/>
      <c r="GM190" s="27"/>
      <c r="GN190" s="28" t="str">
        <f>IFERROR(VLOOKUP(GL190,Horarios!$H:$I,2,0),"")</f>
        <v/>
      </c>
      <c r="GO190" s="28" t="str">
        <f>IFERROR(VLOOKUP(GM190,Horarios!$H:$I,2,0),"")</f>
        <v/>
      </c>
      <c r="GP190" s="28" t="str">
        <f t="shared" si="131"/>
        <v>00:00</v>
      </c>
      <c r="GQ190" s="29"/>
      <c r="GR190" s="27"/>
      <c r="GS190" s="27"/>
      <c r="GT190" s="28" t="str">
        <f>IFERROR(VLOOKUP(GR190,Horarios!$H:$I,2,0),"")</f>
        <v/>
      </c>
      <c r="GU190" s="28" t="str">
        <f>IFERROR(VLOOKUP(GS190,Horarios!$H:$I,2,0),"")</f>
        <v/>
      </c>
      <c r="GV190" s="28" t="str">
        <f t="shared" si="132"/>
        <v>00:00</v>
      </c>
      <c r="GW190" s="29"/>
      <c r="GX190" s="27"/>
      <c r="GY190" s="27"/>
      <c r="GZ190" s="28" t="str">
        <f>IFERROR(VLOOKUP(GX190,Horarios!$H:$I,2,0),"")</f>
        <v/>
      </c>
      <c r="HA190" s="28" t="str">
        <f>IFERROR(VLOOKUP(GY190,Horarios!$H:$I,2,0),"")</f>
        <v/>
      </c>
      <c r="HB190" s="28" t="str">
        <f t="shared" si="133"/>
        <v>00:00</v>
      </c>
      <c r="HC190" s="29"/>
      <c r="HD190" s="27"/>
      <c r="HE190" s="27"/>
      <c r="HF190" s="28" t="str">
        <f>IFERROR(VLOOKUP(HD190,Horarios!$H:$I,2,0),"")</f>
        <v/>
      </c>
      <c r="HG190" s="28" t="str">
        <f>IFERROR(VLOOKUP(HE190,Horarios!$H:$I,2,0),"")</f>
        <v/>
      </c>
      <c r="HH190" s="28" t="str">
        <f t="shared" si="134"/>
        <v>00:00</v>
      </c>
      <c r="HI190" s="29"/>
      <c r="HJ190" s="31" t="str">
        <f t="shared" si="135"/>
        <v/>
      </c>
      <c r="HK190" s="27"/>
      <c r="HL190" s="27"/>
      <c r="HM190" s="28" t="str">
        <f>IFERROR(VLOOKUP(HK190,Horarios!$H:$I,2,0),"")</f>
        <v/>
      </c>
      <c r="HN190" s="28" t="str">
        <f>IFERROR(VLOOKUP(HL190,Horarios!$H:$I,2,0),"")</f>
        <v/>
      </c>
      <c r="HO190" s="28" t="str">
        <f t="shared" si="136"/>
        <v>00:00</v>
      </c>
      <c r="HP190" s="29"/>
      <c r="HQ190" s="27"/>
      <c r="HR190" s="27"/>
      <c r="HS190" s="28" t="str">
        <f>IFERROR(VLOOKUP(HQ190,Horarios!$H:$I,2,0),"")</f>
        <v/>
      </c>
      <c r="HT190" s="28" t="str">
        <f>IFERROR(VLOOKUP(HR190,Horarios!$H:$I,2,0),"")</f>
        <v/>
      </c>
      <c r="HU190" s="28" t="str">
        <f t="shared" si="137"/>
        <v>00:00</v>
      </c>
      <c r="HV190" s="29"/>
      <c r="HW190" s="27"/>
      <c r="HX190" s="27"/>
      <c r="HY190" s="28" t="str">
        <f>IFERROR(VLOOKUP(HW190,Horarios!$H:$I,2,0),"")</f>
        <v/>
      </c>
      <c r="HZ190" s="28" t="str">
        <f>IFERROR(VLOOKUP(HX190,Horarios!$H:$I,2,0),"")</f>
        <v/>
      </c>
      <c r="IA190" s="28" t="str">
        <f t="shared" si="138"/>
        <v>00:00</v>
      </c>
      <c r="IB190" s="29"/>
      <c r="IC190" s="27"/>
      <c r="ID190" s="27"/>
      <c r="IE190" s="28" t="str">
        <f>IFERROR(VLOOKUP(IC190,Horarios!$H:$I,2,0),"")</f>
        <v/>
      </c>
      <c r="IF190" s="28" t="str">
        <f>IFERROR(VLOOKUP(ID190,Horarios!$H:$I,2,0),"")</f>
        <v/>
      </c>
      <c r="IG190" s="28" t="str">
        <f t="shared" si="139"/>
        <v>00:00</v>
      </c>
      <c r="IH190" s="29"/>
      <c r="II190" s="27"/>
      <c r="IJ190" s="27"/>
      <c r="IK190" s="28" t="str">
        <f>IFERROR(VLOOKUP(II190,Horarios!$H:$I,2,0),"")</f>
        <v/>
      </c>
      <c r="IL190" s="28" t="str">
        <f>IFERROR(VLOOKUP(IJ190,Horarios!$H:$I,2,0),"")</f>
        <v/>
      </c>
      <c r="IM190" s="28" t="str">
        <f t="shared" si="140"/>
        <v>00:00</v>
      </c>
      <c r="IN190" s="29"/>
      <c r="IO190" s="27"/>
      <c r="IP190" s="27"/>
      <c r="IQ190" s="28" t="str">
        <f>IFERROR(VLOOKUP(IO190,Horarios!$H:$I,2,0),"")</f>
        <v/>
      </c>
      <c r="IR190" s="28" t="str">
        <f>IFERROR(VLOOKUP(IP190,Horarios!$H:$I,2,0),"")</f>
        <v/>
      </c>
      <c r="IS190" s="28" t="str">
        <f t="shared" si="141"/>
        <v>00:00</v>
      </c>
      <c r="IT190" s="29"/>
      <c r="IU190" s="27"/>
      <c r="IV190" s="27"/>
      <c r="IW190" s="28" t="str">
        <f>IFERROR(VLOOKUP(IU190,Horarios!$H:$I,2,0),"")</f>
        <v/>
      </c>
      <c r="IX190" s="28" t="str">
        <f>IFERROR(VLOOKUP(IV190,Horarios!$H:$I,2,0),"")</f>
        <v/>
      </c>
      <c r="IY190" s="28" t="str">
        <f t="shared" si="142"/>
        <v>00:00</v>
      </c>
      <c r="IZ190" s="29"/>
      <c r="JA190" s="31" t="str">
        <f t="shared" si="143"/>
        <v/>
      </c>
    </row>
    <row r="191" spans="1:261" s="24" customFormat="1" ht="17.399999999999999" x14ac:dyDescent="0.25">
      <c r="A191" s="25"/>
      <c r="B191" s="26" t="str">
        <f>IFERROR(VLOOKUP(A191,BaseNombres!A:B,2,0),"")</f>
        <v/>
      </c>
      <c r="C191" s="26" t="str">
        <f>IFERROR(VLOOKUP(A191,BaseNombres!A:C,3,0),"")</f>
        <v/>
      </c>
      <c r="D191" s="27"/>
      <c r="E191" s="27"/>
      <c r="F191" s="28" t="str">
        <f>IFERROR(VLOOKUP(D191,Horarios!$H:$I,2,0),"")</f>
        <v/>
      </c>
      <c r="G191" s="28" t="str">
        <f>IFERROR(VLOOKUP(E191,Horarios!$H:$I,2,0),"")</f>
        <v/>
      </c>
      <c r="H191" s="28" t="str">
        <f t="shared" si="96"/>
        <v>00:00</v>
      </c>
      <c r="I191" s="29"/>
      <c r="J191" s="27"/>
      <c r="K191" s="27"/>
      <c r="L191" s="28" t="str">
        <f>IFERROR(VLOOKUP(J191,Horarios!$H:$I,2,0),"")</f>
        <v/>
      </c>
      <c r="M191" s="28" t="str">
        <f>IFERROR(VLOOKUP(K191,Horarios!$H:$I,2,0),"")</f>
        <v/>
      </c>
      <c r="N191" s="28" t="str">
        <f t="shared" si="97"/>
        <v>00:00</v>
      </c>
      <c r="O191" s="29"/>
      <c r="P191" s="27"/>
      <c r="Q191" s="27"/>
      <c r="R191" s="28" t="str">
        <f>IFERROR(VLOOKUP(P191,Horarios!$H:$I,2,0),"")</f>
        <v/>
      </c>
      <c r="S191" s="28" t="str">
        <f>IFERROR(VLOOKUP(Q191,Horarios!$H:$I,2,0),"")</f>
        <v/>
      </c>
      <c r="T191" s="28" t="str">
        <f t="shared" si="98"/>
        <v>00:00</v>
      </c>
      <c r="U191" s="29"/>
      <c r="V191" s="27"/>
      <c r="W191" s="27"/>
      <c r="X191" s="28" t="str">
        <f>IFERROR(VLOOKUP(V191,Horarios!$H:$I,2,0),"")</f>
        <v/>
      </c>
      <c r="Y191" s="28" t="str">
        <f>IFERROR(VLOOKUP(W191,Horarios!$H:$I,2,0),"")</f>
        <v/>
      </c>
      <c r="Z191" s="28" t="str">
        <f t="shared" si="99"/>
        <v>00:00</v>
      </c>
      <c r="AA191" s="29"/>
      <c r="AB191" s="27"/>
      <c r="AC191" s="27"/>
      <c r="AD191" s="28" t="str">
        <f>IFERROR(VLOOKUP(AB191,Horarios!$H:$I,2,0),"")</f>
        <v/>
      </c>
      <c r="AE191" s="28" t="str">
        <f>IFERROR(VLOOKUP(AC191,Horarios!$H:$I,2,0),"")</f>
        <v/>
      </c>
      <c r="AF191" s="28" t="str">
        <f t="shared" si="100"/>
        <v>00:00</v>
      </c>
      <c r="AG191" s="29"/>
      <c r="AH191" s="27"/>
      <c r="AI191" s="27"/>
      <c r="AJ191" s="28" t="str">
        <f>IFERROR(VLOOKUP(AH191,Horarios!$H:$I,2,0),"")</f>
        <v/>
      </c>
      <c r="AK191" s="28" t="str">
        <f>IFERROR(VLOOKUP(AI191,Horarios!$H:$I,2,0),"")</f>
        <v/>
      </c>
      <c r="AL191" s="28" t="str">
        <f t="shared" si="101"/>
        <v>00:00</v>
      </c>
      <c r="AM191" s="29"/>
      <c r="AN191" s="27"/>
      <c r="AO191" s="27"/>
      <c r="AP191" s="28" t="str">
        <f>IFERROR(VLOOKUP(AN191,Horarios!$H:$I,2,0),"")</f>
        <v/>
      </c>
      <c r="AQ191" s="28" t="str">
        <f>IFERROR(VLOOKUP(AO191,Horarios!$H:$I,2,0),"")</f>
        <v/>
      </c>
      <c r="AR191" s="28" t="str">
        <f t="shared" si="102"/>
        <v>00:00</v>
      </c>
      <c r="AS191" s="29"/>
      <c r="AT191" s="31" t="str">
        <f t="shared" si="103"/>
        <v/>
      </c>
      <c r="AU191" s="27"/>
      <c r="AV191" s="27"/>
      <c r="AW191" s="28" t="str">
        <f>IFERROR(VLOOKUP(AU191,Horarios!$H:$I,2,0),"")</f>
        <v/>
      </c>
      <c r="AX191" s="28" t="str">
        <f>IFERROR(VLOOKUP(AV191,Horarios!$H:$I,2,0),"")</f>
        <v/>
      </c>
      <c r="AY191" s="28" t="str">
        <f t="shared" si="104"/>
        <v>00:00</v>
      </c>
      <c r="AZ191" s="29"/>
      <c r="BA191" s="27"/>
      <c r="BB191" s="27"/>
      <c r="BC191" s="28" t="str">
        <f>IFERROR(VLOOKUP(BA191,Horarios!$H:$I,2,0),"")</f>
        <v/>
      </c>
      <c r="BD191" s="28" t="str">
        <f>IFERROR(VLOOKUP(BB191,Horarios!$H:$I,2,0),"")</f>
        <v/>
      </c>
      <c r="BE191" s="28" t="str">
        <f t="shared" si="105"/>
        <v>00:00</v>
      </c>
      <c r="BF191" s="29"/>
      <c r="BG191" s="27"/>
      <c r="BH191" s="27"/>
      <c r="BI191" s="28" t="str">
        <f>IFERROR(VLOOKUP(BG191,Horarios!$H:$I,2,0),"")</f>
        <v/>
      </c>
      <c r="BJ191" s="28" t="str">
        <f>IFERROR(VLOOKUP(BH191,Horarios!$H:$I,2,0),"")</f>
        <v/>
      </c>
      <c r="BK191" s="28" t="str">
        <f t="shared" si="106"/>
        <v>00:00</v>
      </c>
      <c r="BL191" s="29"/>
      <c r="BM191" s="27"/>
      <c r="BN191" s="27"/>
      <c r="BO191" s="28" t="str">
        <f>IFERROR(VLOOKUP(BM191,Horarios!$H:$I,2,0),"")</f>
        <v/>
      </c>
      <c r="BP191" s="28" t="str">
        <f>IFERROR(VLOOKUP(BN191,Horarios!$H:$I,2,0),"")</f>
        <v/>
      </c>
      <c r="BQ191" s="28" t="str">
        <f t="shared" si="107"/>
        <v>00:00</v>
      </c>
      <c r="BR191" s="29"/>
      <c r="BS191" s="27"/>
      <c r="BT191" s="27"/>
      <c r="BU191" s="28" t="str">
        <f>IFERROR(VLOOKUP(BS191,Horarios!$H:$I,2,0),"")</f>
        <v/>
      </c>
      <c r="BV191" s="28" t="str">
        <f>IFERROR(VLOOKUP(BT191,Horarios!$H:$I,2,0),"")</f>
        <v/>
      </c>
      <c r="BW191" s="28" t="str">
        <f t="shared" si="108"/>
        <v>00:00</v>
      </c>
      <c r="BX191" s="29"/>
      <c r="BY191" s="27"/>
      <c r="BZ191" s="27"/>
      <c r="CA191" s="28" t="str">
        <f>IFERROR(VLOOKUP(BY191,Horarios!$H:$I,2,0),"")</f>
        <v/>
      </c>
      <c r="CB191" s="28" t="str">
        <f>IFERROR(VLOOKUP(BZ191,Horarios!$H:$I,2,0),"")</f>
        <v/>
      </c>
      <c r="CC191" s="28" t="str">
        <f t="shared" si="109"/>
        <v>00:00</v>
      </c>
      <c r="CD191" s="29"/>
      <c r="CE191" s="27"/>
      <c r="CF191" s="27"/>
      <c r="CG191" s="28" t="str">
        <f>IFERROR(VLOOKUP(CE191,Horarios!$H:$I,2,0),"")</f>
        <v/>
      </c>
      <c r="CH191" s="28" t="str">
        <f>IFERROR(VLOOKUP(CF191,Horarios!$H:$I,2,0),"")</f>
        <v/>
      </c>
      <c r="CI191" s="28" t="str">
        <f t="shared" si="110"/>
        <v>00:00</v>
      </c>
      <c r="CJ191" s="29"/>
      <c r="CK191" s="31" t="str">
        <f t="shared" si="111"/>
        <v/>
      </c>
      <c r="CL191" s="27"/>
      <c r="CM191" s="27"/>
      <c r="CN191" s="28" t="str">
        <f>IFERROR(VLOOKUP(CL191,Horarios!$H:$I,2,0),"")</f>
        <v/>
      </c>
      <c r="CO191" s="28" t="str">
        <f>IFERROR(VLOOKUP(CM191,Horarios!$H:$I,2,0),"")</f>
        <v/>
      </c>
      <c r="CP191" s="28" t="str">
        <f t="shared" si="112"/>
        <v>00:00</v>
      </c>
      <c r="CQ191" s="29"/>
      <c r="CR191" s="27"/>
      <c r="CS191" s="27"/>
      <c r="CT191" s="28" t="str">
        <f>IFERROR(VLOOKUP(CR191,Horarios!$H:$I,2,0),"")</f>
        <v/>
      </c>
      <c r="CU191" s="28" t="str">
        <f>IFERROR(VLOOKUP(CS191,Horarios!$H:$I,2,0),"")</f>
        <v/>
      </c>
      <c r="CV191" s="28" t="str">
        <f t="shared" si="113"/>
        <v>00:00</v>
      </c>
      <c r="CW191" s="29"/>
      <c r="CX191" s="27"/>
      <c r="CY191" s="27"/>
      <c r="CZ191" s="28" t="str">
        <f>IFERROR(VLOOKUP(CX191,Horarios!$H:$I,2,0),"")</f>
        <v/>
      </c>
      <c r="DA191" s="28" t="str">
        <f>IFERROR(VLOOKUP(CY191,Horarios!$H:$I,2,0),"")</f>
        <v/>
      </c>
      <c r="DB191" s="28" t="str">
        <f t="shared" si="114"/>
        <v>00:00</v>
      </c>
      <c r="DC191" s="29"/>
      <c r="DD191" s="27"/>
      <c r="DE191" s="27"/>
      <c r="DF191" s="28" t="str">
        <f>IFERROR(VLOOKUP(DD191,Horarios!$H:$I,2,0),"")</f>
        <v/>
      </c>
      <c r="DG191" s="28" t="str">
        <f>IFERROR(VLOOKUP(DE191,Horarios!$H:$I,2,0),"")</f>
        <v/>
      </c>
      <c r="DH191" s="28" t="str">
        <f t="shared" si="115"/>
        <v>00:00</v>
      </c>
      <c r="DI191" s="29"/>
      <c r="DJ191" s="27"/>
      <c r="DK191" s="27"/>
      <c r="DL191" s="28" t="str">
        <f>IFERROR(VLOOKUP(DJ191,Horarios!$H:$I,2,0),"")</f>
        <v/>
      </c>
      <c r="DM191" s="28" t="str">
        <f>IFERROR(VLOOKUP(DK191,Horarios!$H:$I,2,0),"")</f>
        <v/>
      </c>
      <c r="DN191" s="28" t="str">
        <f t="shared" si="116"/>
        <v>00:00</v>
      </c>
      <c r="DO191" s="29"/>
      <c r="DP191" s="27"/>
      <c r="DQ191" s="27"/>
      <c r="DR191" s="28" t="str">
        <f>IFERROR(VLOOKUP(DP191,Horarios!$H:$I,2,0),"")</f>
        <v/>
      </c>
      <c r="DS191" s="28" t="str">
        <f>IFERROR(VLOOKUP(DQ191,Horarios!$H:$I,2,0),"")</f>
        <v/>
      </c>
      <c r="DT191" s="28" t="str">
        <f t="shared" si="117"/>
        <v>00:00</v>
      </c>
      <c r="DU191" s="29"/>
      <c r="DV191" s="27"/>
      <c r="DW191" s="27"/>
      <c r="DX191" s="28" t="str">
        <f>IFERROR(VLOOKUP(DV191,Horarios!$H:$I,2,0),"")</f>
        <v/>
      </c>
      <c r="DY191" s="28" t="str">
        <f>IFERROR(VLOOKUP(DW191,Horarios!$H:$I,2,0),"")</f>
        <v/>
      </c>
      <c r="DZ191" s="28" t="str">
        <f t="shared" si="118"/>
        <v>00:00</v>
      </c>
      <c r="EA191" s="29"/>
      <c r="EB191" s="31" t="str">
        <f t="shared" si="119"/>
        <v/>
      </c>
      <c r="EC191" s="27"/>
      <c r="ED191" s="27"/>
      <c r="EE191" s="28" t="str">
        <f>IFERROR(VLOOKUP(EC191,Horarios!$H:$I,2,0),"")</f>
        <v/>
      </c>
      <c r="EF191" s="28" t="str">
        <f>IFERROR(VLOOKUP(ED191,Horarios!$H:$I,2,0),"")</f>
        <v/>
      </c>
      <c r="EG191" s="28" t="str">
        <f t="shared" si="120"/>
        <v>00:00</v>
      </c>
      <c r="EH191" s="29"/>
      <c r="EI191" s="27"/>
      <c r="EJ191" s="27"/>
      <c r="EK191" s="28" t="str">
        <f>IFERROR(VLOOKUP(EI191,Horarios!$H:$I,2,0),"")</f>
        <v/>
      </c>
      <c r="EL191" s="28" t="str">
        <f>IFERROR(VLOOKUP(EJ191,Horarios!$H:$I,2,0),"")</f>
        <v/>
      </c>
      <c r="EM191" s="28" t="str">
        <f t="shared" si="121"/>
        <v>00:00</v>
      </c>
      <c r="EN191" s="29"/>
      <c r="EO191" s="27"/>
      <c r="EP191" s="27"/>
      <c r="EQ191" s="28" t="str">
        <f>IFERROR(VLOOKUP(EO191,Horarios!$H:$I,2,0),"")</f>
        <v/>
      </c>
      <c r="ER191" s="28" t="str">
        <f>IFERROR(VLOOKUP(EP191,Horarios!$H:$I,2,0),"")</f>
        <v/>
      </c>
      <c r="ES191" s="28" t="str">
        <f t="shared" si="122"/>
        <v>00:00</v>
      </c>
      <c r="ET191" s="29"/>
      <c r="EU191" s="27"/>
      <c r="EV191" s="27"/>
      <c r="EW191" s="28" t="str">
        <f>IFERROR(VLOOKUP(EU191,Horarios!$H:$I,2,0),"")</f>
        <v/>
      </c>
      <c r="EX191" s="28" t="str">
        <f>IFERROR(VLOOKUP(EV191,Horarios!$H:$I,2,0),"")</f>
        <v/>
      </c>
      <c r="EY191" s="28" t="str">
        <f t="shared" si="123"/>
        <v>00:00</v>
      </c>
      <c r="EZ191" s="29"/>
      <c r="FA191" s="27"/>
      <c r="FB191" s="27"/>
      <c r="FC191" s="28" t="str">
        <f>IFERROR(VLOOKUP(FA191,Horarios!$H:$I,2,0),"")</f>
        <v/>
      </c>
      <c r="FD191" s="28" t="str">
        <f>IFERROR(VLOOKUP(FB191,Horarios!$H:$I,2,0),"")</f>
        <v/>
      </c>
      <c r="FE191" s="28" t="str">
        <f t="shared" si="124"/>
        <v>00:00</v>
      </c>
      <c r="FF191" s="29"/>
      <c r="FG191" s="27"/>
      <c r="FH191" s="27"/>
      <c r="FI191" s="28" t="str">
        <f>IFERROR(VLOOKUP(FG191,Horarios!$H:$I,2,0),"")</f>
        <v/>
      </c>
      <c r="FJ191" s="28" t="str">
        <f>IFERROR(VLOOKUP(FH191,Horarios!$H:$I,2,0),"")</f>
        <v/>
      </c>
      <c r="FK191" s="28" t="str">
        <f t="shared" si="125"/>
        <v>00:00</v>
      </c>
      <c r="FL191" s="29"/>
      <c r="FM191" s="27"/>
      <c r="FN191" s="27"/>
      <c r="FO191" s="28" t="str">
        <f>IFERROR(VLOOKUP(FM191,Horarios!$H:$I,2,0),"")</f>
        <v/>
      </c>
      <c r="FP191" s="28" t="str">
        <f>IFERROR(VLOOKUP(FN191,Horarios!$H:$I,2,0),"")</f>
        <v/>
      </c>
      <c r="FQ191" s="28" t="str">
        <f t="shared" si="126"/>
        <v>00:00</v>
      </c>
      <c r="FR191" s="29"/>
      <c r="FS191" s="31" t="str">
        <f t="shared" si="127"/>
        <v/>
      </c>
      <c r="FT191" s="27"/>
      <c r="FU191" s="27"/>
      <c r="FV191" s="28" t="str">
        <f>IFERROR(VLOOKUP(FT191,Horarios!$H:$I,2,0),"")</f>
        <v/>
      </c>
      <c r="FW191" s="28" t="str">
        <f>IFERROR(VLOOKUP(FU191,Horarios!$H:$I,2,0),"")</f>
        <v/>
      </c>
      <c r="FX191" s="28" t="str">
        <f t="shared" si="128"/>
        <v>00:00</v>
      </c>
      <c r="FY191" s="29"/>
      <c r="FZ191" s="27"/>
      <c r="GA191" s="27"/>
      <c r="GB191" s="28" t="str">
        <f>IFERROR(VLOOKUP(FZ191,Horarios!$H:$I,2,0),"")</f>
        <v/>
      </c>
      <c r="GC191" s="28" t="str">
        <f>IFERROR(VLOOKUP(GA191,Horarios!$H:$I,2,0),"")</f>
        <v/>
      </c>
      <c r="GD191" s="28" t="str">
        <f t="shared" si="129"/>
        <v>00:00</v>
      </c>
      <c r="GE191" s="29"/>
      <c r="GF191" s="27"/>
      <c r="GG191" s="27"/>
      <c r="GH191" s="28" t="str">
        <f>IFERROR(VLOOKUP(GF191,Horarios!$H:$I,2,0),"")</f>
        <v/>
      </c>
      <c r="GI191" s="28" t="str">
        <f>IFERROR(VLOOKUP(GG191,Horarios!$H:$I,2,0),"")</f>
        <v/>
      </c>
      <c r="GJ191" s="28" t="str">
        <f t="shared" si="130"/>
        <v>00:00</v>
      </c>
      <c r="GK191" s="29"/>
      <c r="GL191" s="27"/>
      <c r="GM191" s="27"/>
      <c r="GN191" s="28" t="str">
        <f>IFERROR(VLOOKUP(GL191,Horarios!$H:$I,2,0),"")</f>
        <v/>
      </c>
      <c r="GO191" s="28" t="str">
        <f>IFERROR(VLOOKUP(GM191,Horarios!$H:$I,2,0),"")</f>
        <v/>
      </c>
      <c r="GP191" s="28" t="str">
        <f t="shared" si="131"/>
        <v>00:00</v>
      </c>
      <c r="GQ191" s="29"/>
      <c r="GR191" s="27"/>
      <c r="GS191" s="27"/>
      <c r="GT191" s="28" t="str">
        <f>IFERROR(VLOOKUP(GR191,Horarios!$H:$I,2,0),"")</f>
        <v/>
      </c>
      <c r="GU191" s="28" t="str">
        <f>IFERROR(VLOOKUP(GS191,Horarios!$H:$I,2,0),"")</f>
        <v/>
      </c>
      <c r="GV191" s="28" t="str">
        <f t="shared" si="132"/>
        <v>00:00</v>
      </c>
      <c r="GW191" s="29"/>
      <c r="GX191" s="27"/>
      <c r="GY191" s="27"/>
      <c r="GZ191" s="28" t="str">
        <f>IFERROR(VLOOKUP(GX191,Horarios!$H:$I,2,0),"")</f>
        <v/>
      </c>
      <c r="HA191" s="28" t="str">
        <f>IFERROR(VLOOKUP(GY191,Horarios!$H:$I,2,0),"")</f>
        <v/>
      </c>
      <c r="HB191" s="28" t="str">
        <f t="shared" si="133"/>
        <v>00:00</v>
      </c>
      <c r="HC191" s="29"/>
      <c r="HD191" s="27"/>
      <c r="HE191" s="27"/>
      <c r="HF191" s="28" t="str">
        <f>IFERROR(VLOOKUP(HD191,Horarios!$H:$I,2,0),"")</f>
        <v/>
      </c>
      <c r="HG191" s="28" t="str">
        <f>IFERROR(VLOOKUP(HE191,Horarios!$H:$I,2,0),"")</f>
        <v/>
      </c>
      <c r="HH191" s="28" t="str">
        <f t="shared" si="134"/>
        <v>00:00</v>
      </c>
      <c r="HI191" s="29"/>
      <c r="HJ191" s="31" t="str">
        <f t="shared" si="135"/>
        <v/>
      </c>
      <c r="HK191" s="27"/>
      <c r="HL191" s="27"/>
      <c r="HM191" s="28" t="str">
        <f>IFERROR(VLOOKUP(HK191,Horarios!$H:$I,2,0),"")</f>
        <v/>
      </c>
      <c r="HN191" s="28" t="str">
        <f>IFERROR(VLOOKUP(HL191,Horarios!$H:$I,2,0),"")</f>
        <v/>
      </c>
      <c r="HO191" s="28" t="str">
        <f t="shared" si="136"/>
        <v>00:00</v>
      </c>
      <c r="HP191" s="29"/>
      <c r="HQ191" s="27"/>
      <c r="HR191" s="27"/>
      <c r="HS191" s="28" t="str">
        <f>IFERROR(VLOOKUP(HQ191,Horarios!$H:$I,2,0),"")</f>
        <v/>
      </c>
      <c r="HT191" s="28" t="str">
        <f>IFERROR(VLOOKUP(HR191,Horarios!$H:$I,2,0),"")</f>
        <v/>
      </c>
      <c r="HU191" s="28" t="str">
        <f t="shared" si="137"/>
        <v>00:00</v>
      </c>
      <c r="HV191" s="29"/>
      <c r="HW191" s="27"/>
      <c r="HX191" s="27"/>
      <c r="HY191" s="28" t="str">
        <f>IFERROR(VLOOKUP(HW191,Horarios!$H:$I,2,0),"")</f>
        <v/>
      </c>
      <c r="HZ191" s="28" t="str">
        <f>IFERROR(VLOOKUP(HX191,Horarios!$H:$I,2,0),"")</f>
        <v/>
      </c>
      <c r="IA191" s="28" t="str">
        <f t="shared" si="138"/>
        <v>00:00</v>
      </c>
      <c r="IB191" s="29"/>
      <c r="IC191" s="27"/>
      <c r="ID191" s="27"/>
      <c r="IE191" s="28" t="str">
        <f>IFERROR(VLOOKUP(IC191,Horarios!$H:$I,2,0),"")</f>
        <v/>
      </c>
      <c r="IF191" s="28" t="str">
        <f>IFERROR(VLOOKUP(ID191,Horarios!$H:$I,2,0),"")</f>
        <v/>
      </c>
      <c r="IG191" s="28" t="str">
        <f t="shared" si="139"/>
        <v>00:00</v>
      </c>
      <c r="IH191" s="29"/>
      <c r="II191" s="27"/>
      <c r="IJ191" s="27"/>
      <c r="IK191" s="28" t="str">
        <f>IFERROR(VLOOKUP(II191,Horarios!$H:$I,2,0),"")</f>
        <v/>
      </c>
      <c r="IL191" s="28" t="str">
        <f>IFERROR(VLOOKUP(IJ191,Horarios!$H:$I,2,0),"")</f>
        <v/>
      </c>
      <c r="IM191" s="28" t="str">
        <f t="shared" si="140"/>
        <v>00:00</v>
      </c>
      <c r="IN191" s="29"/>
      <c r="IO191" s="27"/>
      <c r="IP191" s="27"/>
      <c r="IQ191" s="28" t="str">
        <f>IFERROR(VLOOKUP(IO191,Horarios!$H:$I,2,0),"")</f>
        <v/>
      </c>
      <c r="IR191" s="28" t="str">
        <f>IFERROR(VLOOKUP(IP191,Horarios!$H:$I,2,0),"")</f>
        <v/>
      </c>
      <c r="IS191" s="28" t="str">
        <f t="shared" si="141"/>
        <v>00:00</v>
      </c>
      <c r="IT191" s="29"/>
      <c r="IU191" s="27"/>
      <c r="IV191" s="27"/>
      <c r="IW191" s="28" t="str">
        <f>IFERROR(VLOOKUP(IU191,Horarios!$H:$I,2,0),"")</f>
        <v/>
      </c>
      <c r="IX191" s="28" t="str">
        <f>IFERROR(VLOOKUP(IV191,Horarios!$H:$I,2,0),"")</f>
        <v/>
      </c>
      <c r="IY191" s="28" t="str">
        <f t="shared" si="142"/>
        <v>00:00</v>
      </c>
      <c r="IZ191" s="29"/>
      <c r="JA191" s="31" t="str">
        <f t="shared" si="143"/>
        <v/>
      </c>
    </row>
    <row r="192" spans="1:261" s="24" customFormat="1" ht="17.399999999999999" x14ac:dyDescent="0.25">
      <c r="A192" s="25"/>
      <c r="B192" s="26" t="str">
        <f>IFERROR(VLOOKUP(A192,BaseNombres!A:B,2,0),"")</f>
        <v/>
      </c>
      <c r="C192" s="26" t="str">
        <f>IFERROR(VLOOKUP(A192,BaseNombres!A:C,3,0),"")</f>
        <v/>
      </c>
      <c r="D192" s="27"/>
      <c r="E192" s="27"/>
      <c r="F192" s="28" t="str">
        <f>IFERROR(VLOOKUP(D192,Horarios!$H:$I,2,0),"")</f>
        <v/>
      </c>
      <c r="G192" s="28" t="str">
        <f>IFERROR(VLOOKUP(E192,Horarios!$H:$I,2,0),"")</f>
        <v/>
      </c>
      <c r="H192" s="28" t="str">
        <f t="shared" si="96"/>
        <v>00:00</v>
      </c>
      <c r="I192" s="29"/>
      <c r="J192" s="27"/>
      <c r="K192" s="27"/>
      <c r="L192" s="28" t="str">
        <f>IFERROR(VLOOKUP(J192,Horarios!$H:$I,2,0),"")</f>
        <v/>
      </c>
      <c r="M192" s="28" t="str">
        <f>IFERROR(VLOOKUP(K192,Horarios!$H:$I,2,0),"")</f>
        <v/>
      </c>
      <c r="N192" s="28" t="str">
        <f t="shared" si="97"/>
        <v>00:00</v>
      </c>
      <c r="O192" s="29"/>
      <c r="P192" s="27"/>
      <c r="Q192" s="27"/>
      <c r="R192" s="28" t="str">
        <f>IFERROR(VLOOKUP(P192,Horarios!$H:$I,2,0),"")</f>
        <v/>
      </c>
      <c r="S192" s="28" t="str">
        <f>IFERROR(VLOOKUP(Q192,Horarios!$H:$I,2,0),"")</f>
        <v/>
      </c>
      <c r="T192" s="28" t="str">
        <f t="shared" si="98"/>
        <v>00:00</v>
      </c>
      <c r="U192" s="29"/>
      <c r="V192" s="27"/>
      <c r="W192" s="27"/>
      <c r="X192" s="28" t="str">
        <f>IFERROR(VLOOKUP(V192,Horarios!$H:$I,2,0),"")</f>
        <v/>
      </c>
      <c r="Y192" s="28" t="str">
        <f>IFERROR(VLOOKUP(W192,Horarios!$H:$I,2,0),"")</f>
        <v/>
      </c>
      <c r="Z192" s="28" t="str">
        <f t="shared" si="99"/>
        <v>00:00</v>
      </c>
      <c r="AA192" s="29"/>
      <c r="AB192" s="27"/>
      <c r="AC192" s="27"/>
      <c r="AD192" s="28" t="str">
        <f>IFERROR(VLOOKUP(AB192,Horarios!$H:$I,2,0),"")</f>
        <v/>
      </c>
      <c r="AE192" s="28" t="str">
        <f>IFERROR(VLOOKUP(AC192,Horarios!$H:$I,2,0),"")</f>
        <v/>
      </c>
      <c r="AF192" s="28" t="str">
        <f t="shared" si="100"/>
        <v>00:00</v>
      </c>
      <c r="AG192" s="29"/>
      <c r="AH192" s="27"/>
      <c r="AI192" s="27"/>
      <c r="AJ192" s="28" t="str">
        <f>IFERROR(VLOOKUP(AH192,Horarios!$H:$I,2,0),"")</f>
        <v/>
      </c>
      <c r="AK192" s="28" t="str">
        <f>IFERROR(VLOOKUP(AI192,Horarios!$H:$I,2,0),"")</f>
        <v/>
      </c>
      <c r="AL192" s="28" t="str">
        <f t="shared" si="101"/>
        <v>00:00</v>
      </c>
      <c r="AM192" s="29"/>
      <c r="AN192" s="27"/>
      <c r="AO192" s="27"/>
      <c r="AP192" s="28" t="str">
        <f>IFERROR(VLOOKUP(AN192,Horarios!$H:$I,2,0),"")</f>
        <v/>
      </c>
      <c r="AQ192" s="28" t="str">
        <f>IFERROR(VLOOKUP(AO192,Horarios!$H:$I,2,0),"")</f>
        <v/>
      </c>
      <c r="AR192" s="28" t="str">
        <f t="shared" si="102"/>
        <v>00:00</v>
      </c>
      <c r="AS192" s="29"/>
      <c r="AT192" s="31" t="str">
        <f t="shared" si="103"/>
        <v/>
      </c>
      <c r="AU192" s="27"/>
      <c r="AV192" s="27"/>
      <c r="AW192" s="28" t="str">
        <f>IFERROR(VLOOKUP(AU192,Horarios!$H:$I,2,0),"")</f>
        <v/>
      </c>
      <c r="AX192" s="28" t="str">
        <f>IFERROR(VLOOKUP(AV192,Horarios!$H:$I,2,0),"")</f>
        <v/>
      </c>
      <c r="AY192" s="28" t="str">
        <f t="shared" si="104"/>
        <v>00:00</v>
      </c>
      <c r="AZ192" s="29"/>
      <c r="BA192" s="27"/>
      <c r="BB192" s="27"/>
      <c r="BC192" s="28" t="str">
        <f>IFERROR(VLOOKUP(BA192,Horarios!$H:$I,2,0),"")</f>
        <v/>
      </c>
      <c r="BD192" s="28" t="str">
        <f>IFERROR(VLOOKUP(BB192,Horarios!$H:$I,2,0),"")</f>
        <v/>
      </c>
      <c r="BE192" s="28" t="str">
        <f t="shared" si="105"/>
        <v>00:00</v>
      </c>
      <c r="BF192" s="29"/>
      <c r="BG192" s="27"/>
      <c r="BH192" s="27"/>
      <c r="BI192" s="28" t="str">
        <f>IFERROR(VLOOKUP(BG192,Horarios!$H:$I,2,0),"")</f>
        <v/>
      </c>
      <c r="BJ192" s="28" t="str">
        <f>IFERROR(VLOOKUP(BH192,Horarios!$H:$I,2,0),"")</f>
        <v/>
      </c>
      <c r="BK192" s="28" t="str">
        <f t="shared" si="106"/>
        <v>00:00</v>
      </c>
      <c r="BL192" s="29"/>
      <c r="BM192" s="27"/>
      <c r="BN192" s="27"/>
      <c r="BO192" s="28" t="str">
        <f>IFERROR(VLOOKUP(BM192,Horarios!$H:$I,2,0),"")</f>
        <v/>
      </c>
      <c r="BP192" s="28" t="str">
        <f>IFERROR(VLOOKUP(BN192,Horarios!$H:$I,2,0),"")</f>
        <v/>
      </c>
      <c r="BQ192" s="28" t="str">
        <f t="shared" si="107"/>
        <v>00:00</v>
      </c>
      <c r="BR192" s="29"/>
      <c r="BS192" s="27"/>
      <c r="BT192" s="27"/>
      <c r="BU192" s="28" t="str">
        <f>IFERROR(VLOOKUP(BS192,Horarios!$H:$I,2,0),"")</f>
        <v/>
      </c>
      <c r="BV192" s="28" t="str">
        <f>IFERROR(VLOOKUP(BT192,Horarios!$H:$I,2,0),"")</f>
        <v/>
      </c>
      <c r="BW192" s="28" t="str">
        <f t="shared" si="108"/>
        <v>00:00</v>
      </c>
      <c r="BX192" s="29"/>
      <c r="BY192" s="27"/>
      <c r="BZ192" s="27"/>
      <c r="CA192" s="28" t="str">
        <f>IFERROR(VLOOKUP(BY192,Horarios!$H:$I,2,0),"")</f>
        <v/>
      </c>
      <c r="CB192" s="28" t="str">
        <f>IFERROR(VLOOKUP(BZ192,Horarios!$H:$I,2,0),"")</f>
        <v/>
      </c>
      <c r="CC192" s="28" t="str">
        <f t="shared" si="109"/>
        <v>00:00</v>
      </c>
      <c r="CD192" s="29"/>
      <c r="CE192" s="27"/>
      <c r="CF192" s="27"/>
      <c r="CG192" s="28" t="str">
        <f>IFERROR(VLOOKUP(CE192,Horarios!$H:$I,2,0),"")</f>
        <v/>
      </c>
      <c r="CH192" s="28" t="str">
        <f>IFERROR(VLOOKUP(CF192,Horarios!$H:$I,2,0),"")</f>
        <v/>
      </c>
      <c r="CI192" s="28" t="str">
        <f t="shared" si="110"/>
        <v>00:00</v>
      </c>
      <c r="CJ192" s="29"/>
      <c r="CK192" s="31" t="str">
        <f t="shared" si="111"/>
        <v/>
      </c>
      <c r="CL192" s="27"/>
      <c r="CM192" s="27"/>
      <c r="CN192" s="28" t="str">
        <f>IFERROR(VLOOKUP(CL192,Horarios!$H:$I,2,0),"")</f>
        <v/>
      </c>
      <c r="CO192" s="28" t="str">
        <f>IFERROR(VLOOKUP(CM192,Horarios!$H:$I,2,0),"")</f>
        <v/>
      </c>
      <c r="CP192" s="28" t="str">
        <f t="shared" si="112"/>
        <v>00:00</v>
      </c>
      <c r="CQ192" s="29"/>
      <c r="CR192" s="27"/>
      <c r="CS192" s="27"/>
      <c r="CT192" s="28" t="str">
        <f>IFERROR(VLOOKUP(CR192,Horarios!$H:$I,2,0),"")</f>
        <v/>
      </c>
      <c r="CU192" s="28" t="str">
        <f>IFERROR(VLOOKUP(CS192,Horarios!$H:$I,2,0),"")</f>
        <v/>
      </c>
      <c r="CV192" s="28" t="str">
        <f t="shared" si="113"/>
        <v>00:00</v>
      </c>
      <c r="CW192" s="29"/>
      <c r="CX192" s="27"/>
      <c r="CY192" s="27"/>
      <c r="CZ192" s="28" t="str">
        <f>IFERROR(VLOOKUP(CX192,Horarios!$H:$I,2,0),"")</f>
        <v/>
      </c>
      <c r="DA192" s="28" t="str">
        <f>IFERROR(VLOOKUP(CY192,Horarios!$H:$I,2,0),"")</f>
        <v/>
      </c>
      <c r="DB192" s="28" t="str">
        <f t="shared" si="114"/>
        <v>00:00</v>
      </c>
      <c r="DC192" s="29"/>
      <c r="DD192" s="27"/>
      <c r="DE192" s="27"/>
      <c r="DF192" s="28" t="str">
        <f>IFERROR(VLOOKUP(DD192,Horarios!$H:$I,2,0),"")</f>
        <v/>
      </c>
      <c r="DG192" s="28" t="str">
        <f>IFERROR(VLOOKUP(DE192,Horarios!$H:$I,2,0),"")</f>
        <v/>
      </c>
      <c r="DH192" s="28" t="str">
        <f t="shared" si="115"/>
        <v>00:00</v>
      </c>
      <c r="DI192" s="29"/>
      <c r="DJ192" s="27"/>
      <c r="DK192" s="27"/>
      <c r="DL192" s="28" t="str">
        <f>IFERROR(VLOOKUP(DJ192,Horarios!$H:$I,2,0),"")</f>
        <v/>
      </c>
      <c r="DM192" s="28" t="str">
        <f>IFERROR(VLOOKUP(DK192,Horarios!$H:$I,2,0),"")</f>
        <v/>
      </c>
      <c r="DN192" s="28" t="str">
        <f t="shared" si="116"/>
        <v>00:00</v>
      </c>
      <c r="DO192" s="29"/>
      <c r="DP192" s="27"/>
      <c r="DQ192" s="27"/>
      <c r="DR192" s="28" t="str">
        <f>IFERROR(VLOOKUP(DP192,Horarios!$H:$I,2,0),"")</f>
        <v/>
      </c>
      <c r="DS192" s="28" t="str">
        <f>IFERROR(VLOOKUP(DQ192,Horarios!$H:$I,2,0),"")</f>
        <v/>
      </c>
      <c r="DT192" s="28" t="str">
        <f t="shared" si="117"/>
        <v>00:00</v>
      </c>
      <c r="DU192" s="29"/>
      <c r="DV192" s="27"/>
      <c r="DW192" s="27"/>
      <c r="DX192" s="28" t="str">
        <f>IFERROR(VLOOKUP(DV192,Horarios!$H:$I,2,0),"")</f>
        <v/>
      </c>
      <c r="DY192" s="28" t="str">
        <f>IFERROR(VLOOKUP(DW192,Horarios!$H:$I,2,0),"")</f>
        <v/>
      </c>
      <c r="DZ192" s="28" t="str">
        <f t="shared" si="118"/>
        <v>00:00</v>
      </c>
      <c r="EA192" s="29"/>
      <c r="EB192" s="31" t="str">
        <f t="shared" si="119"/>
        <v/>
      </c>
      <c r="EC192" s="27"/>
      <c r="ED192" s="27"/>
      <c r="EE192" s="28" t="str">
        <f>IFERROR(VLOOKUP(EC192,Horarios!$H:$I,2,0),"")</f>
        <v/>
      </c>
      <c r="EF192" s="28" t="str">
        <f>IFERROR(VLOOKUP(ED192,Horarios!$H:$I,2,0),"")</f>
        <v/>
      </c>
      <c r="EG192" s="28" t="str">
        <f t="shared" si="120"/>
        <v>00:00</v>
      </c>
      <c r="EH192" s="29"/>
      <c r="EI192" s="27"/>
      <c r="EJ192" s="27"/>
      <c r="EK192" s="28" t="str">
        <f>IFERROR(VLOOKUP(EI192,Horarios!$H:$I,2,0),"")</f>
        <v/>
      </c>
      <c r="EL192" s="28" t="str">
        <f>IFERROR(VLOOKUP(EJ192,Horarios!$H:$I,2,0),"")</f>
        <v/>
      </c>
      <c r="EM192" s="28" t="str">
        <f t="shared" si="121"/>
        <v>00:00</v>
      </c>
      <c r="EN192" s="29"/>
      <c r="EO192" s="27"/>
      <c r="EP192" s="27"/>
      <c r="EQ192" s="28" t="str">
        <f>IFERROR(VLOOKUP(EO192,Horarios!$H:$I,2,0),"")</f>
        <v/>
      </c>
      <c r="ER192" s="28" t="str">
        <f>IFERROR(VLOOKUP(EP192,Horarios!$H:$I,2,0),"")</f>
        <v/>
      </c>
      <c r="ES192" s="28" t="str">
        <f t="shared" si="122"/>
        <v>00:00</v>
      </c>
      <c r="ET192" s="29"/>
      <c r="EU192" s="27"/>
      <c r="EV192" s="27"/>
      <c r="EW192" s="28" t="str">
        <f>IFERROR(VLOOKUP(EU192,Horarios!$H:$I,2,0),"")</f>
        <v/>
      </c>
      <c r="EX192" s="28" t="str">
        <f>IFERROR(VLOOKUP(EV192,Horarios!$H:$I,2,0),"")</f>
        <v/>
      </c>
      <c r="EY192" s="28" t="str">
        <f t="shared" si="123"/>
        <v>00:00</v>
      </c>
      <c r="EZ192" s="29"/>
      <c r="FA192" s="27"/>
      <c r="FB192" s="27"/>
      <c r="FC192" s="28" t="str">
        <f>IFERROR(VLOOKUP(FA192,Horarios!$H:$I,2,0),"")</f>
        <v/>
      </c>
      <c r="FD192" s="28" t="str">
        <f>IFERROR(VLOOKUP(FB192,Horarios!$H:$I,2,0),"")</f>
        <v/>
      </c>
      <c r="FE192" s="28" t="str">
        <f t="shared" si="124"/>
        <v>00:00</v>
      </c>
      <c r="FF192" s="29"/>
      <c r="FG192" s="27"/>
      <c r="FH192" s="27"/>
      <c r="FI192" s="28" t="str">
        <f>IFERROR(VLOOKUP(FG192,Horarios!$H:$I,2,0),"")</f>
        <v/>
      </c>
      <c r="FJ192" s="28" t="str">
        <f>IFERROR(VLOOKUP(FH192,Horarios!$H:$I,2,0),"")</f>
        <v/>
      </c>
      <c r="FK192" s="28" t="str">
        <f t="shared" si="125"/>
        <v>00:00</v>
      </c>
      <c r="FL192" s="29"/>
      <c r="FM192" s="27"/>
      <c r="FN192" s="27"/>
      <c r="FO192" s="28" t="str">
        <f>IFERROR(VLOOKUP(FM192,Horarios!$H:$I,2,0),"")</f>
        <v/>
      </c>
      <c r="FP192" s="28" t="str">
        <f>IFERROR(VLOOKUP(FN192,Horarios!$H:$I,2,0),"")</f>
        <v/>
      </c>
      <c r="FQ192" s="28" t="str">
        <f t="shared" si="126"/>
        <v>00:00</v>
      </c>
      <c r="FR192" s="29"/>
      <c r="FS192" s="31" t="str">
        <f t="shared" si="127"/>
        <v/>
      </c>
      <c r="FT192" s="27"/>
      <c r="FU192" s="27"/>
      <c r="FV192" s="28" t="str">
        <f>IFERROR(VLOOKUP(FT192,Horarios!$H:$I,2,0),"")</f>
        <v/>
      </c>
      <c r="FW192" s="28" t="str">
        <f>IFERROR(VLOOKUP(FU192,Horarios!$H:$I,2,0),"")</f>
        <v/>
      </c>
      <c r="FX192" s="28" t="str">
        <f t="shared" si="128"/>
        <v>00:00</v>
      </c>
      <c r="FY192" s="29"/>
      <c r="FZ192" s="27"/>
      <c r="GA192" s="27"/>
      <c r="GB192" s="28" t="str">
        <f>IFERROR(VLOOKUP(FZ192,Horarios!$H:$I,2,0),"")</f>
        <v/>
      </c>
      <c r="GC192" s="28" t="str">
        <f>IFERROR(VLOOKUP(GA192,Horarios!$H:$I,2,0),"")</f>
        <v/>
      </c>
      <c r="GD192" s="28" t="str">
        <f t="shared" si="129"/>
        <v>00:00</v>
      </c>
      <c r="GE192" s="29"/>
      <c r="GF192" s="27"/>
      <c r="GG192" s="27"/>
      <c r="GH192" s="28" t="str">
        <f>IFERROR(VLOOKUP(GF192,Horarios!$H:$I,2,0),"")</f>
        <v/>
      </c>
      <c r="GI192" s="28" t="str">
        <f>IFERROR(VLOOKUP(GG192,Horarios!$H:$I,2,0),"")</f>
        <v/>
      </c>
      <c r="GJ192" s="28" t="str">
        <f t="shared" si="130"/>
        <v>00:00</v>
      </c>
      <c r="GK192" s="29"/>
      <c r="GL192" s="27"/>
      <c r="GM192" s="27"/>
      <c r="GN192" s="28" t="str">
        <f>IFERROR(VLOOKUP(GL192,Horarios!$H:$I,2,0),"")</f>
        <v/>
      </c>
      <c r="GO192" s="28" t="str">
        <f>IFERROR(VLOOKUP(GM192,Horarios!$H:$I,2,0),"")</f>
        <v/>
      </c>
      <c r="GP192" s="28" t="str">
        <f t="shared" si="131"/>
        <v>00:00</v>
      </c>
      <c r="GQ192" s="29"/>
      <c r="GR192" s="27"/>
      <c r="GS192" s="27"/>
      <c r="GT192" s="28" t="str">
        <f>IFERROR(VLOOKUP(GR192,Horarios!$H:$I,2,0),"")</f>
        <v/>
      </c>
      <c r="GU192" s="28" t="str">
        <f>IFERROR(VLOOKUP(GS192,Horarios!$H:$I,2,0),"")</f>
        <v/>
      </c>
      <c r="GV192" s="28" t="str">
        <f t="shared" si="132"/>
        <v>00:00</v>
      </c>
      <c r="GW192" s="29"/>
      <c r="GX192" s="27"/>
      <c r="GY192" s="27"/>
      <c r="GZ192" s="28" t="str">
        <f>IFERROR(VLOOKUP(GX192,Horarios!$H:$I,2,0),"")</f>
        <v/>
      </c>
      <c r="HA192" s="28" t="str">
        <f>IFERROR(VLOOKUP(GY192,Horarios!$H:$I,2,0),"")</f>
        <v/>
      </c>
      <c r="HB192" s="28" t="str">
        <f t="shared" si="133"/>
        <v>00:00</v>
      </c>
      <c r="HC192" s="29"/>
      <c r="HD192" s="27"/>
      <c r="HE192" s="27"/>
      <c r="HF192" s="28" t="str">
        <f>IFERROR(VLOOKUP(HD192,Horarios!$H:$I,2,0),"")</f>
        <v/>
      </c>
      <c r="HG192" s="28" t="str">
        <f>IFERROR(VLOOKUP(HE192,Horarios!$H:$I,2,0),"")</f>
        <v/>
      </c>
      <c r="HH192" s="28" t="str">
        <f t="shared" si="134"/>
        <v>00:00</v>
      </c>
      <c r="HI192" s="29"/>
      <c r="HJ192" s="31" t="str">
        <f t="shared" si="135"/>
        <v/>
      </c>
      <c r="HK192" s="27"/>
      <c r="HL192" s="27"/>
      <c r="HM192" s="28" t="str">
        <f>IFERROR(VLOOKUP(HK192,Horarios!$H:$I,2,0),"")</f>
        <v/>
      </c>
      <c r="HN192" s="28" t="str">
        <f>IFERROR(VLOOKUP(HL192,Horarios!$H:$I,2,0),"")</f>
        <v/>
      </c>
      <c r="HO192" s="28" t="str">
        <f t="shared" si="136"/>
        <v>00:00</v>
      </c>
      <c r="HP192" s="29"/>
      <c r="HQ192" s="27"/>
      <c r="HR192" s="27"/>
      <c r="HS192" s="28" t="str">
        <f>IFERROR(VLOOKUP(HQ192,Horarios!$H:$I,2,0),"")</f>
        <v/>
      </c>
      <c r="HT192" s="28" t="str">
        <f>IFERROR(VLOOKUP(HR192,Horarios!$H:$I,2,0),"")</f>
        <v/>
      </c>
      <c r="HU192" s="28" t="str">
        <f t="shared" si="137"/>
        <v>00:00</v>
      </c>
      <c r="HV192" s="29"/>
      <c r="HW192" s="27"/>
      <c r="HX192" s="27"/>
      <c r="HY192" s="28" t="str">
        <f>IFERROR(VLOOKUP(HW192,Horarios!$H:$I,2,0),"")</f>
        <v/>
      </c>
      <c r="HZ192" s="28" t="str">
        <f>IFERROR(VLOOKUP(HX192,Horarios!$H:$I,2,0),"")</f>
        <v/>
      </c>
      <c r="IA192" s="28" t="str">
        <f t="shared" si="138"/>
        <v>00:00</v>
      </c>
      <c r="IB192" s="29"/>
      <c r="IC192" s="27"/>
      <c r="ID192" s="27"/>
      <c r="IE192" s="28" t="str">
        <f>IFERROR(VLOOKUP(IC192,Horarios!$H:$I,2,0),"")</f>
        <v/>
      </c>
      <c r="IF192" s="28" t="str">
        <f>IFERROR(VLOOKUP(ID192,Horarios!$H:$I,2,0),"")</f>
        <v/>
      </c>
      <c r="IG192" s="28" t="str">
        <f t="shared" si="139"/>
        <v>00:00</v>
      </c>
      <c r="IH192" s="29"/>
      <c r="II192" s="27"/>
      <c r="IJ192" s="27"/>
      <c r="IK192" s="28" t="str">
        <f>IFERROR(VLOOKUP(II192,Horarios!$H:$I,2,0),"")</f>
        <v/>
      </c>
      <c r="IL192" s="28" t="str">
        <f>IFERROR(VLOOKUP(IJ192,Horarios!$H:$I,2,0),"")</f>
        <v/>
      </c>
      <c r="IM192" s="28" t="str">
        <f t="shared" si="140"/>
        <v>00:00</v>
      </c>
      <c r="IN192" s="29"/>
      <c r="IO192" s="27"/>
      <c r="IP192" s="27"/>
      <c r="IQ192" s="28" t="str">
        <f>IFERROR(VLOOKUP(IO192,Horarios!$H:$I,2,0),"")</f>
        <v/>
      </c>
      <c r="IR192" s="28" t="str">
        <f>IFERROR(VLOOKUP(IP192,Horarios!$H:$I,2,0),"")</f>
        <v/>
      </c>
      <c r="IS192" s="28" t="str">
        <f t="shared" si="141"/>
        <v>00:00</v>
      </c>
      <c r="IT192" s="29"/>
      <c r="IU192" s="27"/>
      <c r="IV192" s="27"/>
      <c r="IW192" s="28" t="str">
        <f>IFERROR(VLOOKUP(IU192,Horarios!$H:$I,2,0),"")</f>
        <v/>
      </c>
      <c r="IX192" s="28" t="str">
        <f>IFERROR(VLOOKUP(IV192,Horarios!$H:$I,2,0),"")</f>
        <v/>
      </c>
      <c r="IY192" s="28" t="str">
        <f t="shared" si="142"/>
        <v>00:00</v>
      </c>
      <c r="IZ192" s="29"/>
      <c r="JA192" s="31" t="str">
        <f t="shared" si="143"/>
        <v/>
      </c>
    </row>
    <row r="193" spans="1:261" s="24" customFormat="1" ht="17.399999999999999" x14ac:dyDescent="0.25">
      <c r="A193" s="25"/>
      <c r="B193" s="26" t="str">
        <f>IFERROR(VLOOKUP(A193,BaseNombres!A:B,2,0),"")</f>
        <v/>
      </c>
      <c r="C193" s="26" t="str">
        <f>IFERROR(VLOOKUP(A193,BaseNombres!A:C,3,0),"")</f>
        <v/>
      </c>
      <c r="D193" s="27"/>
      <c r="E193" s="27"/>
      <c r="F193" s="28" t="str">
        <f>IFERROR(VLOOKUP(D193,Horarios!$H:$I,2,0),"")</f>
        <v/>
      </c>
      <c r="G193" s="28" t="str">
        <f>IFERROR(VLOOKUP(E193,Horarios!$H:$I,2,0),"")</f>
        <v/>
      </c>
      <c r="H193" s="28" t="str">
        <f t="shared" si="96"/>
        <v>00:00</v>
      </c>
      <c r="I193" s="29"/>
      <c r="J193" s="27"/>
      <c r="K193" s="27"/>
      <c r="L193" s="28" t="str">
        <f>IFERROR(VLOOKUP(J193,Horarios!$H:$I,2,0),"")</f>
        <v/>
      </c>
      <c r="M193" s="28" t="str">
        <f>IFERROR(VLOOKUP(K193,Horarios!$H:$I,2,0),"")</f>
        <v/>
      </c>
      <c r="N193" s="28" t="str">
        <f t="shared" si="97"/>
        <v>00:00</v>
      </c>
      <c r="O193" s="29"/>
      <c r="P193" s="27"/>
      <c r="Q193" s="27"/>
      <c r="R193" s="28" t="str">
        <f>IFERROR(VLOOKUP(P193,Horarios!$H:$I,2,0),"")</f>
        <v/>
      </c>
      <c r="S193" s="28" t="str">
        <f>IFERROR(VLOOKUP(Q193,Horarios!$H:$I,2,0),"")</f>
        <v/>
      </c>
      <c r="T193" s="28" t="str">
        <f t="shared" si="98"/>
        <v>00:00</v>
      </c>
      <c r="U193" s="29"/>
      <c r="V193" s="27"/>
      <c r="W193" s="27"/>
      <c r="X193" s="28" t="str">
        <f>IFERROR(VLOOKUP(V193,Horarios!$H:$I,2,0),"")</f>
        <v/>
      </c>
      <c r="Y193" s="28" t="str">
        <f>IFERROR(VLOOKUP(W193,Horarios!$H:$I,2,0),"")</f>
        <v/>
      </c>
      <c r="Z193" s="28" t="str">
        <f t="shared" si="99"/>
        <v>00:00</v>
      </c>
      <c r="AA193" s="29"/>
      <c r="AB193" s="27"/>
      <c r="AC193" s="27"/>
      <c r="AD193" s="28" t="str">
        <f>IFERROR(VLOOKUP(AB193,Horarios!$H:$I,2,0),"")</f>
        <v/>
      </c>
      <c r="AE193" s="28" t="str">
        <f>IFERROR(VLOOKUP(AC193,Horarios!$H:$I,2,0),"")</f>
        <v/>
      </c>
      <c r="AF193" s="28" t="str">
        <f t="shared" si="100"/>
        <v>00:00</v>
      </c>
      <c r="AG193" s="29"/>
      <c r="AH193" s="27"/>
      <c r="AI193" s="27"/>
      <c r="AJ193" s="28" t="str">
        <f>IFERROR(VLOOKUP(AH193,Horarios!$H:$I,2,0),"")</f>
        <v/>
      </c>
      <c r="AK193" s="28" t="str">
        <f>IFERROR(VLOOKUP(AI193,Horarios!$H:$I,2,0),"")</f>
        <v/>
      </c>
      <c r="AL193" s="28" t="str">
        <f t="shared" si="101"/>
        <v>00:00</v>
      </c>
      <c r="AM193" s="29"/>
      <c r="AN193" s="27"/>
      <c r="AO193" s="27"/>
      <c r="AP193" s="28" t="str">
        <f>IFERROR(VLOOKUP(AN193,Horarios!$H:$I,2,0),"")</f>
        <v/>
      </c>
      <c r="AQ193" s="28" t="str">
        <f>IFERROR(VLOOKUP(AO193,Horarios!$H:$I,2,0),"")</f>
        <v/>
      </c>
      <c r="AR193" s="28" t="str">
        <f t="shared" si="102"/>
        <v>00:00</v>
      </c>
      <c r="AS193" s="29"/>
      <c r="AT193" s="31" t="str">
        <f t="shared" si="103"/>
        <v/>
      </c>
      <c r="AU193" s="27"/>
      <c r="AV193" s="27"/>
      <c r="AW193" s="28" t="str">
        <f>IFERROR(VLOOKUP(AU193,Horarios!$H:$I,2,0),"")</f>
        <v/>
      </c>
      <c r="AX193" s="28" t="str">
        <f>IFERROR(VLOOKUP(AV193,Horarios!$H:$I,2,0),"")</f>
        <v/>
      </c>
      <c r="AY193" s="28" t="str">
        <f t="shared" si="104"/>
        <v>00:00</v>
      </c>
      <c r="AZ193" s="29"/>
      <c r="BA193" s="27"/>
      <c r="BB193" s="27"/>
      <c r="BC193" s="28" t="str">
        <f>IFERROR(VLOOKUP(BA193,Horarios!$H:$I,2,0),"")</f>
        <v/>
      </c>
      <c r="BD193" s="28" t="str">
        <f>IFERROR(VLOOKUP(BB193,Horarios!$H:$I,2,0),"")</f>
        <v/>
      </c>
      <c r="BE193" s="28" t="str">
        <f t="shared" si="105"/>
        <v>00:00</v>
      </c>
      <c r="BF193" s="29"/>
      <c r="BG193" s="27"/>
      <c r="BH193" s="27"/>
      <c r="BI193" s="28" t="str">
        <f>IFERROR(VLOOKUP(BG193,Horarios!$H:$I,2,0),"")</f>
        <v/>
      </c>
      <c r="BJ193" s="28" t="str">
        <f>IFERROR(VLOOKUP(BH193,Horarios!$H:$I,2,0),"")</f>
        <v/>
      </c>
      <c r="BK193" s="28" t="str">
        <f t="shared" si="106"/>
        <v>00:00</v>
      </c>
      <c r="BL193" s="29"/>
      <c r="BM193" s="27"/>
      <c r="BN193" s="27"/>
      <c r="BO193" s="28" t="str">
        <f>IFERROR(VLOOKUP(BM193,Horarios!$H:$I,2,0),"")</f>
        <v/>
      </c>
      <c r="BP193" s="28" t="str">
        <f>IFERROR(VLOOKUP(BN193,Horarios!$H:$I,2,0),"")</f>
        <v/>
      </c>
      <c r="BQ193" s="28" t="str">
        <f t="shared" si="107"/>
        <v>00:00</v>
      </c>
      <c r="BR193" s="29"/>
      <c r="BS193" s="27"/>
      <c r="BT193" s="27"/>
      <c r="BU193" s="28" t="str">
        <f>IFERROR(VLOOKUP(BS193,Horarios!$H:$I,2,0),"")</f>
        <v/>
      </c>
      <c r="BV193" s="28" t="str">
        <f>IFERROR(VLOOKUP(BT193,Horarios!$H:$I,2,0),"")</f>
        <v/>
      </c>
      <c r="BW193" s="28" t="str">
        <f t="shared" si="108"/>
        <v>00:00</v>
      </c>
      <c r="BX193" s="29"/>
      <c r="BY193" s="27"/>
      <c r="BZ193" s="27"/>
      <c r="CA193" s="28" t="str">
        <f>IFERROR(VLOOKUP(BY193,Horarios!$H:$I,2,0),"")</f>
        <v/>
      </c>
      <c r="CB193" s="28" t="str">
        <f>IFERROR(VLOOKUP(BZ193,Horarios!$H:$I,2,0),"")</f>
        <v/>
      </c>
      <c r="CC193" s="28" t="str">
        <f t="shared" si="109"/>
        <v>00:00</v>
      </c>
      <c r="CD193" s="29"/>
      <c r="CE193" s="27"/>
      <c r="CF193" s="27"/>
      <c r="CG193" s="28" t="str">
        <f>IFERROR(VLOOKUP(CE193,Horarios!$H:$I,2,0),"")</f>
        <v/>
      </c>
      <c r="CH193" s="28" t="str">
        <f>IFERROR(VLOOKUP(CF193,Horarios!$H:$I,2,0),"")</f>
        <v/>
      </c>
      <c r="CI193" s="28" t="str">
        <f t="shared" si="110"/>
        <v>00:00</v>
      </c>
      <c r="CJ193" s="29"/>
      <c r="CK193" s="31" t="str">
        <f t="shared" si="111"/>
        <v/>
      </c>
      <c r="CL193" s="27"/>
      <c r="CM193" s="27"/>
      <c r="CN193" s="28" t="str">
        <f>IFERROR(VLOOKUP(CL193,Horarios!$H:$I,2,0),"")</f>
        <v/>
      </c>
      <c r="CO193" s="28" t="str">
        <f>IFERROR(VLOOKUP(CM193,Horarios!$H:$I,2,0),"")</f>
        <v/>
      </c>
      <c r="CP193" s="28" t="str">
        <f t="shared" si="112"/>
        <v>00:00</v>
      </c>
      <c r="CQ193" s="29"/>
      <c r="CR193" s="27"/>
      <c r="CS193" s="27"/>
      <c r="CT193" s="28" t="str">
        <f>IFERROR(VLOOKUP(CR193,Horarios!$H:$I,2,0),"")</f>
        <v/>
      </c>
      <c r="CU193" s="28" t="str">
        <f>IFERROR(VLOOKUP(CS193,Horarios!$H:$I,2,0),"")</f>
        <v/>
      </c>
      <c r="CV193" s="28" t="str">
        <f t="shared" si="113"/>
        <v>00:00</v>
      </c>
      <c r="CW193" s="29"/>
      <c r="CX193" s="27"/>
      <c r="CY193" s="27"/>
      <c r="CZ193" s="28" t="str">
        <f>IFERROR(VLOOKUP(CX193,Horarios!$H:$I,2,0),"")</f>
        <v/>
      </c>
      <c r="DA193" s="28" t="str">
        <f>IFERROR(VLOOKUP(CY193,Horarios!$H:$I,2,0),"")</f>
        <v/>
      </c>
      <c r="DB193" s="28" t="str">
        <f t="shared" si="114"/>
        <v>00:00</v>
      </c>
      <c r="DC193" s="29"/>
      <c r="DD193" s="27"/>
      <c r="DE193" s="27"/>
      <c r="DF193" s="28" t="str">
        <f>IFERROR(VLOOKUP(DD193,Horarios!$H:$I,2,0),"")</f>
        <v/>
      </c>
      <c r="DG193" s="28" t="str">
        <f>IFERROR(VLOOKUP(DE193,Horarios!$H:$I,2,0),"")</f>
        <v/>
      </c>
      <c r="DH193" s="28" t="str">
        <f t="shared" si="115"/>
        <v>00:00</v>
      </c>
      <c r="DI193" s="29"/>
      <c r="DJ193" s="27"/>
      <c r="DK193" s="27"/>
      <c r="DL193" s="28" t="str">
        <f>IFERROR(VLOOKUP(DJ193,Horarios!$H:$I,2,0),"")</f>
        <v/>
      </c>
      <c r="DM193" s="28" t="str">
        <f>IFERROR(VLOOKUP(DK193,Horarios!$H:$I,2,0),"")</f>
        <v/>
      </c>
      <c r="DN193" s="28" t="str">
        <f t="shared" si="116"/>
        <v>00:00</v>
      </c>
      <c r="DO193" s="29"/>
      <c r="DP193" s="27"/>
      <c r="DQ193" s="27"/>
      <c r="DR193" s="28" t="str">
        <f>IFERROR(VLOOKUP(DP193,Horarios!$H:$I,2,0),"")</f>
        <v/>
      </c>
      <c r="DS193" s="28" t="str">
        <f>IFERROR(VLOOKUP(DQ193,Horarios!$H:$I,2,0),"")</f>
        <v/>
      </c>
      <c r="DT193" s="28" t="str">
        <f t="shared" si="117"/>
        <v>00:00</v>
      </c>
      <c r="DU193" s="29"/>
      <c r="DV193" s="27"/>
      <c r="DW193" s="27"/>
      <c r="DX193" s="28" t="str">
        <f>IFERROR(VLOOKUP(DV193,Horarios!$H:$I,2,0),"")</f>
        <v/>
      </c>
      <c r="DY193" s="28" t="str">
        <f>IFERROR(VLOOKUP(DW193,Horarios!$H:$I,2,0),"")</f>
        <v/>
      </c>
      <c r="DZ193" s="28" t="str">
        <f t="shared" si="118"/>
        <v>00:00</v>
      </c>
      <c r="EA193" s="29"/>
      <c r="EB193" s="31" t="str">
        <f t="shared" si="119"/>
        <v/>
      </c>
      <c r="EC193" s="27"/>
      <c r="ED193" s="27"/>
      <c r="EE193" s="28" t="str">
        <f>IFERROR(VLOOKUP(EC193,Horarios!$H:$I,2,0),"")</f>
        <v/>
      </c>
      <c r="EF193" s="28" t="str">
        <f>IFERROR(VLOOKUP(ED193,Horarios!$H:$I,2,0),"")</f>
        <v/>
      </c>
      <c r="EG193" s="28" t="str">
        <f t="shared" si="120"/>
        <v>00:00</v>
      </c>
      <c r="EH193" s="29"/>
      <c r="EI193" s="27"/>
      <c r="EJ193" s="27"/>
      <c r="EK193" s="28" t="str">
        <f>IFERROR(VLOOKUP(EI193,Horarios!$H:$I,2,0),"")</f>
        <v/>
      </c>
      <c r="EL193" s="28" t="str">
        <f>IFERROR(VLOOKUP(EJ193,Horarios!$H:$I,2,0),"")</f>
        <v/>
      </c>
      <c r="EM193" s="28" t="str">
        <f t="shared" si="121"/>
        <v>00:00</v>
      </c>
      <c r="EN193" s="29"/>
      <c r="EO193" s="27"/>
      <c r="EP193" s="27"/>
      <c r="EQ193" s="28" t="str">
        <f>IFERROR(VLOOKUP(EO193,Horarios!$H:$I,2,0),"")</f>
        <v/>
      </c>
      <c r="ER193" s="28" t="str">
        <f>IFERROR(VLOOKUP(EP193,Horarios!$H:$I,2,0),"")</f>
        <v/>
      </c>
      <c r="ES193" s="28" t="str">
        <f t="shared" si="122"/>
        <v>00:00</v>
      </c>
      <c r="ET193" s="29"/>
      <c r="EU193" s="27"/>
      <c r="EV193" s="27"/>
      <c r="EW193" s="28" t="str">
        <f>IFERROR(VLOOKUP(EU193,Horarios!$H:$I,2,0),"")</f>
        <v/>
      </c>
      <c r="EX193" s="28" t="str">
        <f>IFERROR(VLOOKUP(EV193,Horarios!$H:$I,2,0),"")</f>
        <v/>
      </c>
      <c r="EY193" s="28" t="str">
        <f t="shared" si="123"/>
        <v>00:00</v>
      </c>
      <c r="EZ193" s="29"/>
      <c r="FA193" s="27"/>
      <c r="FB193" s="27"/>
      <c r="FC193" s="28" t="str">
        <f>IFERROR(VLOOKUP(FA193,Horarios!$H:$I,2,0),"")</f>
        <v/>
      </c>
      <c r="FD193" s="28" t="str">
        <f>IFERROR(VLOOKUP(FB193,Horarios!$H:$I,2,0),"")</f>
        <v/>
      </c>
      <c r="FE193" s="28" t="str">
        <f t="shared" si="124"/>
        <v>00:00</v>
      </c>
      <c r="FF193" s="29"/>
      <c r="FG193" s="27"/>
      <c r="FH193" s="27"/>
      <c r="FI193" s="28" t="str">
        <f>IFERROR(VLOOKUP(FG193,Horarios!$H:$I,2,0),"")</f>
        <v/>
      </c>
      <c r="FJ193" s="28" t="str">
        <f>IFERROR(VLOOKUP(FH193,Horarios!$H:$I,2,0),"")</f>
        <v/>
      </c>
      <c r="FK193" s="28" t="str">
        <f t="shared" si="125"/>
        <v>00:00</v>
      </c>
      <c r="FL193" s="29"/>
      <c r="FM193" s="27"/>
      <c r="FN193" s="27"/>
      <c r="FO193" s="28" t="str">
        <f>IFERROR(VLOOKUP(FM193,Horarios!$H:$I,2,0),"")</f>
        <v/>
      </c>
      <c r="FP193" s="28" t="str">
        <f>IFERROR(VLOOKUP(FN193,Horarios!$H:$I,2,0),"")</f>
        <v/>
      </c>
      <c r="FQ193" s="28" t="str">
        <f t="shared" si="126"/>
        <v>00:00</v>
      </c>
      <c r="FR193" s="29"/>
      <c r="FS193" s="31" t="str">
        <f t="shared" si="127"/>
        <v/>
      </c>
      <c r="FT193" s="27"/>
      <c r="FU193" s="27"/>
      <c r="FV193" s="28" t="str">
        <f>IFERROR(VLOOKUP(FT193,Horarios!$H:$I,2,0),"")</f>
        <v/>
      </c>
      <c r="FW193" s="28" t="str">
        <f>IFERROR(VLOOKUP(FU193,Horarios!$H:$I,2,0),"")</f>
        <v/>
      </c>
      <c r="FX193" s="28" t="str">
        <f t="shared" si="128"/>
        <v>00:00</v>
      </c>
      <c r="FY193" s="29"/>
      <c r="FZ193" s="27"/>
      <c r="GA193" s="27"/>
      <c r="GB193" s="28" t="str">
        <f>IFERROR(VLOOKUP(FZ193,Horarios!$H:$I,2,0),"")</f>
        <v/>
      </c>
      <c r="GC193" s="28" t="str">
        <f>IFERROR(VLOOKUP(GA193,Horarios!$H:$I,2,0),"")</f>
        <v/>
      </c>
      <c r="GD193" s="28" t="str">
        <f t="shared" si="129"/>
        <v>00:00</v>
      </c>
      <c r="GE193" s="29"/>
      <c r="GF193" s="27"/>
      <c r="GG193" s="27"/>
      <c r="GH193" s="28" t="str">
        <f>IFERROR(VLOOKUP(GF193,Horarios!$H:$I,2,0),"")</f>
        <v/>
      </c>
      <c r="GI193" s="28" t="str">
        <f>IFERROR(VLOOKUP(GG193,Horarios!$H:$I,2,0),"")</f>
        <v/>
      </c>
      <c r="GJ193" s="28" t="str">
        <f t="shared" si="130"/>
        <v>00:00</v>
      </c>
      <c r="GK193" s="29"/>
      <c r="GL193" s="27"/>
      <c r="GM193" s="27"/>
      <c r="GN193" s="28" t="str">
        <f>IFERROR(VLOOKUP(GL193,Horarios!$H:$I,2,0),"")</f>
        <v/>
      </c>
      <c r="GO193" s="28" t="str">
        <f>IFERROR(VLOOKUP(GM193,Horarios!$H:$I,2,0),"")</f>
        <v/>
      </c>
      <c r="GP193" s="28" t="str">
        <f t="shared" si="131"/>
        <v>00:00</v>
      </c>
      <c r="GQ193" s="29"/>
      <c r="GR193" s="27"/>
      <c r="GS193" s="27"/>
      <c r="GT193" s="28" t="str">
        <f>IFERROR(VLOOKUP(GR193,Horarios!$H:$I,2,0),"")</f>
        <v/>
      </c>
      <c r="GU193" s="28" t="str">
        <f>IFERROR(VLOOKUP(GS193,Horarios!$H:$I,2,0),"")</f>
        <v/>
      </c>
      <c r="GV193" s="28" t="str">
        <f t="shared" si="132"/>
        <v>00:00</v>
      </c>
      <c r="GW193" s="29"/>
      <c r="GX193" s="27"/>
      <c r="GY193" s="27"/>
      <c r="GZ193" s="28" t="str">
        <f>IFERROR(VLOOKUP(GX193,Horarios!$H:$I,2,0),"")</f>
        <v/>
      </c>
      <c r="HA193" s="28" t="str">
        <f>IFERROR(VLOOKUP(GY193,Horarios!$H:$I,2,0),"")</f>
        <v/>
      </c>
      <c r="HB193" s="28" t="str">
        <f t="shared" si="133"/>
        <v>00:00</v>
      </c>
      <c r="HC193" s="29"/>
      <c r="HD193" s="27"/>
      <c r="HE193" s="27"/>
      <c r="HF193" s="28" t="str">
        <f>IFERROR(VLOOKUP(HD193,Horarios!$H:$I,2,0),"")</f>
        <v/>
      </c>
      <c r="HG193" s="28" t="str">
        <f>IFERROR(VLOOKUP(HE193,Horarios!$H:$I,2,0),"")</f>
        <v/>
      </c>
      <c r="HH193" s="28" t="str">
        <f t="shared" si="134"/>
        <v>00:00</v>
      </c>
      <c r="HI193" s="29"/>
      <c r="HJ193" s="31" t="str">
        <f t="shared" si="135"/>
        <v/>
      </c>
      <c r="HK193" s="27"/>
      <c r="HL193" s="27"/>
      <c r="HM193" s="28" t="str">
        <f>IFERROR(VLOOKUP(HK193,Horarios!$H:$I,2,0),"")</f>
        <v/>
      </c>
      <c r="HN193" s="28" t="str">
        <f>IFERROR(VLOOKUP(HL193,Horarios!$H:$I,2,0),"")</f>
        <v/>
      </c>
      <c r="HO193" s="28" t="str">
        <f t="shared" si="136"/>
        <v>00:00</v>
      </c>
      <c r="HP193" s="29"/>
      <c r="HQ193" s="27"/>
      <c r="HR193" s="27"/>
      <c r="HS193" s="28" t="str">
        <f>IFERROR(VLOOKUP(HQ193,Horarios!$H:$I,2,0),"")</f>
        <v/>
      </c>
      <c r="HT193" s="28" t="str">
        <f>IFERROR(VLOOKUP(HR193,Horarios!$H:$I,2,0),"")</f>
        <v/>
      </c>
      <c r="HU193" s="28" t="str">
        <f t="shared" si="137"/>
        <v>00:00</v>
      </c>
      <c r="HV193" s="29"/>
      <c r="HW193" s="27"/>
      <c r="HX193" s="27"/>
      <c r="HY193" s="28" t="str">
        <f>IFERROR(VLOOKUP(HW193,Horarios!$H:$I,2,0),"")</f>
        <v/>
      </c>
      <c r="HZ193" s="28" t="str">
        <f>IFERROR(VLOOKUP(HX193,Horarios!$H:$I,2,0),"")</f>
        <v/>
      </c>
      <c r="IA193" s="28" t="str">
        <f t="shared" si="138"/>
        <v>00:00</v>
      </c>
      <c r="IB193" s="29"/>
      <c r="IC193" s="27"/>
      <c r="ID193" s="27"/>
      <c r="IE193" s="28" t="str">
        <f>IFERROR(VLOOKUP(IC193,Horarios!$H:$I,2,0),"")</f>
        <v/>
      </c>
      <c r="IF193" s="28" t="str">
        <f>IFERROR(VLOOKUP(ID193,Horarios!$H:$I,2,0),"")</f>
        <v/>
      </c>
      <c r="IG193" s="28" t="str">
        <f t="shared" si="139"/>
        <v>00:00</v>
      </c>
      <c r="IH193" s="29"/>
      <c r="II193" s="27"/>
      <c r="IJ193" s="27"/>
      <c r="IK193" s="28" t="str">
        <f>IFERROR(VLOOKUP(II193,Horarios!$H:$I,2,0),"")</f>
        <v/>
      </c>
      <c r="IL193" s="28" t="str">
        <f>IFERROR(VLOOKUP(IJ193,Horarios!$H:$I,2,0),"")</f>
        <v/>
      </c>
      <c r="IM193" s="28" t="str">
        <f t="shared" si="140"/>
        <v>00:00</v>
      </c>
      <c r="IN193" s="29"/>
      <c r="IO193" s="27"/>
      <c r="IP193" s="27"/>
      <c r="IQ193" s="28" t="str">
        <f>IFERROR(VLOOKUP(IO193,Horarios!$H:$I,2,0),"")</f>
        <v/>
      </c>
      <c r="IR193" s="28" t="str">
        <f>IFERROR(VLOOKUP(IP193,Horarios!$H:$I,2,0),"")</f>
        <v/>
      </c>
      <c r="IS193" s="28" t="str">
        <f t="shared" si="141"/>
        <v>00:00</v>
      </c>
      <c r="IT193" s="29"/>
      <c r="IU193" s="27"/>
      <c r="IV193" s="27"/>
      <c r="IW193" s="28" t="str">
        <f>IFERROR(VLOOKUP(IU193,Horarios!$H:$I,2,0),"")</f>
        <v/>
      </c>
      <c r="IX193" s="28" t="str">
        <f>IFERROR(VLOOKUP(IV193,Horarios!$H:$I,2,0),"")</f>
        <v/>
      </c>
      <c r="IY193" s="28" t="str">
        <f t="shared" si="142"/>
        <v>00:00</v>
      </c>
      <c r="IZ193" s="29"/>
      <c r="JA193" s="31" t="str">
        <f t="shared" si="143"/>
        <v/>
      </c>
    </row>
    <row r="194" spans="1:261" s="24" customFormat="1" ht="17.399999999999999" x14ac:dyDescent="0.25">
      <c r="A194" s="25"/>
      <c r="B194" s="26" t="str">
        <f>IFERROR(VLOOKUP(A194,BaseNombres!A:B,2,0),"")</f>
        <v/>
      </c>
      <c r="C194" s="26" t="str">
        <f>IFERROR(VLOOKUP(A194,BaseNombres!A:C,3,0),"")</f>
        <v/>
      </c>
      <c r="D194" s="27"/>
      <c r="E194" s="27"/>
      <c r="F194" s="28" t="str">
        <f>IFERROR(VLOOKUP(D194,Horarios!$H:$I,2,0),"")</f>
        <v/>
      </c>
      <c r="G194" s="28" t="str">
        <f>IFERROR(VLOOKUP(E194,Horarios!$H:$I,2,0),"")</f>
        <v/>
      </c>
      <c r="H194" s="28" t="str">
        <f t="shared" si="96"/>
        <v>00:00</v>
      </c>
      <c r="I194" s="29"/>
      <c r="J194" s="27"/>
      <c r="K194" s="27"/>
      <c r="L194" s="28" t="str">
        <f>IFERROR(VLOOKUP(J194,Horarios!$H:$I,2,0),"")</f>
        <v/>
      </c>
      <c r="M194" s="28" t="str">
        <f>IFERROR(VLOOKUP(K194,Horarios!$H:$I,2,0),"")</f>
        <v/>
      </c>
      <c r="N194" s="28" t="str">
        <f t="shared" si="97"/>
        <v>00:00</v>
      </c>
      <c r="O194" s="29"/>
      <c r="P194" s="27"/>
      <c r="Q194" s="27"/>
      <c r="R194" s="28" t="str">
        <f>IFERROR(VLOOKUP(P194,Horarios!$H:$I,2,0),"")</f>
        <v/>
      </c>
      <c r="S194" s="28" t="str">
        <f>IFERROR(VLOOKUP(Q194,Horarios!$H:$I,2,0),"")</f>
        <v/>
      </c>
      <c r="T194" s="28" t="str">
        <f t="shared" si="98"/>
        <v>00:00</v>
      </c>
      <c r="U194" s="29"/>
      <c r="V194" s="27"/>
      <c r="W194" s="27"/>
      <c r="X194" s="28" t="str">
        <f>IFERROR(VLOOKUP(V194,Horarios!$H:$I,2,0),"")</f>
        <v/>
      </c>
      <c r="Y194" s="28" t="str">
        <f>IFERROR(VLOOKUP(W194,Horarios!$H:$I,2,0),"")</f>
        <v/>
      </c>
      <c r="Z194" s="28" t="str">
        <f t="shared" si="99"/>
        <v>00:00</v>
      </c>
      <c r="AA194" s="29"/>
      <c r="AB194" s="27"/>
      <c r="AC194" s="27"/>
      <c r="AD194" s="28" t="str">
        <f>IFERROR(VLOOKUP(AB194,Horarios!$H:$I,2,0),"")</f>
        <v/>
      </c>
      <c r="AE194" s="28" t="str">
        <f>IFERROR(VLOOKUP(AC194,Horarios!$H:$I,2,0),"")</f>
        <v/>
      </c>
      <c r="AF194" s="28" t="str">
        <f t="shared" si="100"/>
        <v>00:00</v>
      </c>
      <c r="AG194" s="29"/>
      <c r="AH194" s="27"/>
      <c r="AI194" s="27"/>
      <c r="AJ194" s="28" t="str">
        <f>IFERROR(VLOOKUP(AH194,Horarios!$H:$I,2,0),"")</f>
        <v/>
      </c>
      <c r="AK194" s="28" t="str">
        <f>IFERROR(VLOOKUP(AI194,Horarios!$H:$I,2,0),"")</f>
        <v/>
      </c>
      <c r="AL194" s="28" t="str">
        <f t="shared" si="101"/>
        <v>00:00</v>
      </c>
      <c r="AM194" s="29"/>
      <c r="AN194" s="27"/>
      <c r="AO194" s="27"/>
      <c r="AP194" s="28" t="str">
        <f>IFERROR(VLOOKUP(AN194,Horarios!$H:$I,2,0),"")</f>
        <v/>
      </c>
      <c r="AQ194" s="28" t="str">
        <f>IFERROR(VLOOKUP(AO194,Horarios!$H:$I,2,0),"")</f>
        <v/>
      </c>
      <c r="AR194" s="28" t="str">
        <f t="shared" si="102"/>
        <v>00:00</v>
      </c>
      <c r="AS194" s="29"/>
      <c r="AT194" s="31" t="str">
        <f t="shared" si="103"/>
        <v/>
      </c>
      <c r="AU194" s="27"/>
      <c r="AV194" s="27"/>
      <c r="AW194" s="28" t="str">
        <f>IFERROR(VLOOKUP(AU194,Horarios!$H:$I,2,0),"")</f>
        <v/>
      </c>
      <c r="AX194" s="28" t="str">
        <f>IFERROR(VLOOKUP(AV194,Horarios!$H:$I,2,0),"")</f>
        <v/>
      </c>
      <c r="AY194" s="28" t="str">
        <f t="shared" si="104"/>
        <v>00:00</v>
      </c>
      <c r="AZ194" s="29"/>
      <c r="BA194" s="27"/>
      <c r="BB194" s="27"/>
      <c r="BC194" s="28" t="str">
        <f>IFERROR(VLOOKUP(BA194,Horarios!$H:$I,2,0),"")</f>
        <v/>
      </c>
      <c r="BD194" s="28" t="str">
        <f>IFERROR(VLOOKUP(BB194,Horarios!$H:$I,2,0),"")</f>
        <v/>
      </c>
      <c r="BE194" s="28" t="str">
        <f t="shared" si="105"/>
        <v>00:00</v>
      </c>
      <c r="BF194" s="29"/>
      <c r="BG194" s="27"/>
      <c r="BH194" s="27"/>
      <c r="BI194" s="28" t="str">
        <f>IFERROR(VLOOKUP(BG194,Horarios!$H:$I,2,0),"")</f>
        <v/>
      </c>
      <c r="BJ194" s="28" t="str">
        <f>IFERROR(VLOOKUP(BH194,Horarios!$H:$I,2,0),"")</f>
        <v/>
      </c>
      <c r="BK194" s="28" t="str">
        <f t="shared" si="106"/>
        <v>00:00</v>
      </c>
      <c r="BL194" s="29"/>
      <c r="BM194" s="27"/>
      <c r="BN194" s="27"/>
      <c r="BO194" s="28" t="str">
        <f>IFERROR(VLOOKUP(BM194,Horarios!$H:$I,2,0),"")</f>
        <v/>
      </c>
      <c r="BP194" s="28" t="str">
        <f>IFERROR(VLOOKUP(BN194,Horarios!$H:$I,2,0),"")</f>
        <v/>
      </c>
      <c r="BQ194" s="28" t="str">
        <f t="shared" si="107"/>
        <v>00:00</v>
      </c>
      <c r="BR194" s="29"/>
      <c r="BS194" s="27"/>
      <c r="BT194" s="27"/>
      <c r="BU194" s="28" t="str">
        <f>IFERROR(VLOOKUP(BS194,Horarios!$H:$I,2,0),"")</f>
        <v/>
      </c>
      <c r="BV194" s="28" t="str">
        <f>IFERROR(VLOOKUP(BT194,Horarios!$H:$I,2,0),"")</f>
        <v/>
      </c>
      <c r="BW194" s="28" t="str">
        <f t="shared" si="108"/>
        <v>00:00</v>
      </c>
      <c r="BX194" s="29"/>
      <c r="BY194" s="27"/>
      <c r="BZ194" s="27"/>
      <c r="CA194" s="28" t="str">
        <f>IFERROR(VLOOKUP(BY194,Horarios!$H:$I,2,0),"")</f>
        <v/>
      </c>
      <c r="CB194" s="28" t="str">
        <f>IFERROR(VLOOKUP(BZ194,Horarios!$H:$I,2,0),"")</f>
        <v/>
      </c>
      <c r="CC194" s="28" t="str">
        <f t="shared" si="109"/>
        <v>00:00</v>
      </c>
      <c r="CD194" s="29"/>
      <c r="CE194" s="27"/>
      <c r="CF194" s="27"/>
      <c r="CG194" s="28" t="str">
        <f>IFERROR(VLOOKUP(CE194,Horarios!$H:$I,2,0),"")</f>
        <v/>
      </c>
      <c r="CH194" s="28" t="str">
        <f>IFERROR(VLOOKUP(CF194,Horarios!$H:$I,2,0),"")</f>
        <v/>
      </c>
      <c r="CI194" s="28" t="str">
        <f t="shared" si="110"/>
        <v>00:00</v>
      </c>
      <c r="CJ194" s="29"/>
      <c r="CK194" s="31" t="str">
        <f t="shared" si="111"/>
        <v/>
      </c>
      <c r="CL194" s="27"/>
      <c r="CM194" s="27"/>
      <c r="CN194" s="28" t="str">
        <f>IFERROR(VLOOKUP(CL194,Horarios!$H:$I,2,0),"")</f>
        <v/>
      </c>
      <c r="CO194" s="28" t="str">
        <f>IFERROR(VLOOKUP(CM194,Horarios!$H:$I,2,0),"")</f>
        <v/>
      </c>
      <c r="CP194" s="28" t="str">
        <f t="shared" si="112"/>
        <v>00:00</v>
      </c>
      <c r="CQ194" s="29"/>
      <c r="CR194" s="27"/>
      <c r="CS194" s="27"/>
      <c r="CT194" s="28" t="str">
        <f>IFERROR(VLOOKUP(CR194,Horarios!$H:$I,2,0),"")</f>
        <v/>
      </c>
      <c r="CU194" s="28" t="str">
        <f>IFERROR(VLOOKUP(CS194,Horarios!$H:$I,2,0),"")</f>
        <v/>
      </c>
      <c r="CV194" s="28" t="str">
        <f t="shared" si="113"/>
        <v>00:00</v>
      </c>
      <c r="CW194" s="29"/>
      <c r="CX194" s="27"/>
      <c r="CY194" s="27"/>
      <c r="CZ194" s="28" t="str">
        <f>IFERROR(VLOOKUP(CX194,Horarios!$H:$I,2,0),"")</f>
        <v/>
      </c>
      <c r="DA194" s="28" t="str">
        <f>IFERROR(VLOOKUP(CY194,Horarios!$H:$I,2,0),"")</f>
        <v/>
      </c>
      <c r="DB194" s="28" t="str">
        <f t="shared" si="114"/>
        <v>00:00</v>
      </c>
      <c r="DC194" s="29"/>
      <c r="DD194" s="27"/>
      <c r="DE194" s="27"/>
      <c r="DF194" s="28" t="str">
        <f>IFERROR(VLOOKUP(DD194,Horarios!$H:$I,2,0),"")</f>
        <v/>
      </c>
      <c r="DG194" s="28" t="str">
        <f>IFERROR(VLOOKUP(DE194,Horarios!$H:$I,2,0),"")</f>
        <v/>
      </c>
      <c r="DH194" s="28" t="str">
        <f t="shared" si="115"/>
        <v>00:00</v>
      </c>
      <c r="DI194" s="29"/>
      <c r="DJ194" s="27"/>
      <c r="DK194" s="27"/>
      <c r="DL194" s="28" t="str">
        <f>IFERROR(VLOOKUP(DJ194,Horarios!$H:$I,2,0),"")</f>
        <v/>
      </c>
      <c r="DM194" s="28" t="str">
        <f>IFERROR(VLOOKUP(DK194,Horarios!$H:$I,2,0),"")</f>
        <v/>
      </c>
      <c r="DN194" s="28" t="str">
        <f t="shared" si="116"/>
        <v>00:00</v>
      </c>
      <c r="DO194" s="29"/>
      <c r="DP194" s="27"/>
      <c r="DQ194" s="27"/>
      <c r="DR194" s="28" t="str">
        <f>IFERROR(VLOOKUP(DP194,Horarios!$H:$I,2,0),"")</f>
        <v/>
      </c>
      <c r="DS194" s="28" t="str">
        <f>IFERROR(VLOOKUP(DQ194,Horarios!$H:$I,2,0),"")</f>
        <v/>
      </c>
      <c r="DT194" s="28" t="str">
        <f t="shared" si="117"/>
        <v>00:00</v>
      </c>
      <c r="DU194" s="29"/>
      <c r="DV194" s="27"/>
      <c r="DW194" s="27"/>
      <c r="DX194" s="28" t="str">
        <f>IFERROR(VLOOKUP(DV194,Horarios!$H:$I,2,0),"")</f>
        <v/>
      </c>
      <c r="DY194" s="28" t="str">
        <f>IFERROR(VLOOKUP(DW194,Horarios!$H:$I,2,0),"")</f>
        <v/>
      </c>
      <c r="DZ194" s="28" t="str">
        <f t="shared" si="118"/>
        <v>00:00</v>
      </c>
      <c r="EA194" s="29"/>
      <c r="EB194" s="31" t="str">
        <f t="shared" si="119"/>
        <v/>
      </c>
      <c r="EC194" s="27"/>
      <c r="ED194" s="27"/>
      <c r="EE194" s="28" t="str">
        <f>IFERROR(VLOOKUP(EC194,Horarios!$H:$I,2,0),"")</f>
        <v/>
      </c>
      <c r="EF194" s="28" t="str">
        <f>IFERROR(VLOOKUP(ED194,Horarios!$H:$I,2,0),"")</f>
        <v/>
      </c>
      <c r="EG194" s="28" t="str">
        <f t="shared" si="120"/>
        <v>00:00</v>
      </c>
      <c r="EH194" s="29"/>
      <c r="EI194" s="27"/>
      <c r="EJ194" s="27"/>
      <c r="EK194" s="28" t="str">
        <f>IFERROR(VLOOKUP(EI194,Horarios!$H:$I,2,0),"")</f>
        <v/>
      </c>
      <c r="EL194" s="28" t="str">
        <f>IFERROR(VLOOKUP(EJ194,Horarios!$H:$I,2,0),"")</f>
        <v/>
      </c>
      <c r="EM194" s="28" t="str">
        <f t="shared" si="121"/>
        <v>00:00</v>
      </c>
      <c r="EN194" s="29"/>
      <c r="EO194" s="27"/>
      <c r="EP194" s="27"/>
      <c r="EQ194" s="28" t="str">
        <f>IFERROR(VLOOKUP(EO194,Horarios!$H:$I,2,0),"")</f>
        <v/>
      </c>
      <c r="ER194" s="28" t="str">
        <f>IFERROR(VLOOKUP(EP194,Horarios!$H:$I,2,0),"")</f>
        <v/>
      </c>
      <c r="ES194" s="28" t="str">
        <f t="shared" si="122"/>
        <v>00:00</v>
      </c>
      <c r="ET194" s="29"/>
      <c r="EU194" s="27"/>
      <c r="EV194" s="27"/>
      <c r="EW194" s="28" t="str">
        <f>IFERROR(VLOOKUP(EU194,Horarios!$H:$I,2,0),"")</f>
        <v/>
      </c>
      <c r="EX194" s="28" t="str">
        <f>IFERROR(VLOOKUP(EV194,Horarios!$H:$I,2,0),"")</f>
        <v/>
      </c>
      <c r="EY194" s="28" t="str">
        <f t="shared" si="123"/>
        <v>00:00</v>
      </c>
      <c r="EZ194" s="29"/>
      <c r="FA194" s="27"/>
      <c r="FB194" s="27"/>
      <c r="FC194" s="28" t="str">
        <f>IFERROR(VLOOKUP(FA194,Horarios!$H:$I,2,0),"")</f>
        <v/>
      </c>
      <c r="FD194" s="28" t="str">
        <f>IFERROR(VLOOKUP(FB194,Horarios!$H:$I,2,0),"")</f>
        <v/>
      </c>
      <c r="FE194" s="28" t="str">
        <f t="shared" si="124"/>
        <v>00:00</v>
      </c>
      <c r="FF194" s="29"/>
      <c r="FG194" s="27"/>
      <c r="FH194" s="27"/>
      <c r="FI194" s="28" t="str">
        <f>IFERROR(VLOOKUP(FG194,Horarios!$H:$I,2,0),"")</f>
        <v/>
      </c>
      <c r="FJ194" s="28" t="str">
        <f>IFERROR(VLOOKUP(FH194,Horarios!$H:$I,2,0),"")</f>
        <v/>
      </c>
      <c r="FK194" s="28" t="str">
        <f t="shared" si="125"/>
        <v>00:00</v>
      </c>
      <c r="FL194" s="29"/>
      <c r="FM194" s="27"/>
      <c r="FN194" s="27"/>
      <c r="FO194" s="28" t="str">
        <f>IFERROR(VLOOKUP(FM194,Horarios!$H:$I,2,0),"")</f>
        <v/>
      </c>
      <c r="FP194" s="28" t="str">
        <f>IFERROR(VLOOKUP(FN194,Horarios!$H:$I,2,0),"")</f>
        <v/>
      </c>
      <c r="FQ194" s="28" t="str">
        <f t="shared" si="126"/>
        <v>00:00</v>
      </c>
      <c r="FR194" s="29"/>
      <c r="FS194" s="31" t="str">
        <f t="shared" si="127"/>
        <v/>
      </c>
      <c r="FT194" s="27"/>
      <c r="FU194" s="27"/>
      <c r="FV194" s="28" t="str">
        <f>IFERROR(VLOOKUP(FT194,Horarios!$H:$I,2,0),"")</f>
        <v/>
      </c>
      <c r="FW194" s="28" t="str">
        <f>IFERROR(VLOOKUP(FU194,Horarios!$H:$I,2,0),"")</f>
        <v/>
      </c>
      <c r="FX194" s="28" t="str">
        <f t="shared" si="128"/>
        <v>00:00</v>
      </c>
      <c r="FY194" s="29"/>
      <c r="FZ194" s="27"/>
      <c r="GA194" s="27"/>
      <c r="GB194" s="28" t="str">
        <f>IFERROR(VLOOKUP(FZ194,Horarios!$H:$I,2,0),"")</f>
        <v/>
      </c>
      <c r="GC194" s="28" t="str">
        <f>IFERROR(VLOOKUP(GA194,Horarios!$H:$I,2,0),"")</f>
        <v/>
      </c>
      <c r="GD194" s="28" t="str">
        <f t="shared" si="129"/>
        <v>00:00</v>
      </c>
      <c r="GE194" s="29"/>
      <c r="GF194" s="27"/>
      <c r="GG194" s="27"/>
      <c r="GH194" s="28" t="str">
        <f>IFERROR(VLOOKUP(GF194,Horarios!$H:$I,2,0),"")</f>
        <v/>
      </c>
      <c r="GI194" s="28" t="str">
        <f>IFERROR(VLOOKUP(GG194,Horarios!$H:$I,2,0),"")</f>
        <v/>
      </c>
      <c r="GJ194" s="28" t="str">
        <f t="shared" si="130"/>
        <v>00:00</v>
      </c>
      <c r="GK194" s="29"/>
      <c r="GL194" s="27"/>
      <c r="GM194" s="27"/>
      <c r="GN194" s="28" t="str">
        <f>IFERROR(VLOOKUP(GL194,Horarios!$H:$I,2,0),"")</f>
        <v/>
      </c>
      <c r="GO194" s="28" t="str">
        <f>IFERROR(VLOOKUP(GM194,Horarios!$H:$I,2,0),"")</f>
        <v/>
      </c>
      <c r="GP194" s="28" t="str">
        <f t="shared" si="131"/>
        <v>00:00</v>
      </c>
      <c r="GQ194" s="29"/>
      <c r="GR194" s="27"/>
      <c r="GS194" s="27"/>
      <c r="GT194" s="28" t="str">
        <f>IFERROR(VLOOKUP(GR194,Horarios!$H:$I,2,0),"")</f>
        <v/>
      </c>
      <c r="GU194" s="28" t="str">
        <f>IFERROR(VLOOKUP(GS194,Horarios!$H:$I,2,0),"")</f>
        <v/>
      </c>
      <c r="GV194" s="28" t="str">
        <f t="shared" si="132"/>
        <v>00:00</v>
      </c>
      <c r="GW194" s="29"/>
      <c r="GX194" s="27"/>
      <c r="GY194" s="27"/>
      <c r="GZ194" s="28" t="str">
        <f>IFERROR(VLOOKUP(GX194,Horarios!$H:$I,2,0),"")</f>
        <v/>
      </c>
      <c r="HA194" s="28" t="str">
        <f>IFERROR(VLOOKUP(GY194,Horarios!$H:$I,2,0),"")</f>
        <v/>
      </c>
      <c r="HB194" s="28" t="str">
        <f t="shared" si="133"/>
        <v>00:00</v>
      </c>
      <c r="HC194" s="29"/>
      <c r="HD194" s="27"/>
      <c r="HE194" s="27"/>
      <c r="HF194" s="28" t="str">
        <f>IFERROR(VLOOKUP(HD194,Horarios!$H:$I,2,0),"")</f>
        <v/>
      </c>
      <c r="HG194" s="28" t="str">
        <f>IFERROR(VLOOKUP(HE194,Horarios!$H:$I,2,0),"")</f>
        <v/>
      </c>
      <c r="HH194" s="28" t="str">
        <f t="shared" si="134"/>
        <v>00:00</v>
      </c>
      <c r="HI194" s="29"/>
      <c r="HJ194" s="31" t="str">
        <f t="shared" si="135"/>
        <v/>
      </c>
      <c r="HK194" s="27"/>
      <c r="HL194" s="27"/>
      <c r="HM194" s="28" t="str">
        <f>IFERROR(VLOOKUP(HK194,Horarios!$H:$I,2,0),"")</f>
        <v/>
      </c>
      <c r="HN194" s="28" t="str">
        <f>IFERROR(VLOOKUP(HL194,Horarios!$H:$I,2,0),"")</f>
        <v/>
      </c>
      <c r="HO194" s="28" t="str">
        <f t="shared" si="136"/>
        <v>00:00</v>
      </c>
      <c r="HP194" s="29"/>
      <c r="HQ194" s="27"/>
      <c r="HR194" s="27"/>
      <c r="HS194" s="28" t="str">
        <f>IFERROR(VLOOKUP(HQ194,Horarios!$H:$I,2,0),"")</f>
        <v/>
      </c>
      <c r="HT194" s="28" t="str">
        <f>IFERROR(VLOOKUP(HR194,Horarios!$H:$I,2,0),"")</f>
        <v/>
      </c>
      <c r="HU194" s="28" t="str">
        <f t="shared" si="137"/>
        <v>00:00</v>
      </c>
      <c r="HV194" s="29"/>
      <c r="HW194" s="27"/>
      <c r="HX194" s="27"/>
      <c r="HY194" s="28" t="str">
        <f>IFERROR(VLOOKUP(HW194,Horarios!$H:$I,2,0),"")</f>
        <v/>
      </c>
      <c r="HZ194" s="28" t="str">
        <f>IFERROR(VLOOKUP(HX194,Horarios!$H:$I,2,0),"")</f>
        <v/>
      </c>
      <c r="IA194" s="28" t="str">
        <f t="shared" si="138"/>
        <v>00:00</v>
      </c>
      <c r="IB194" s="29"/>
      <c r="IC194" s="27"/>
      <c r="ID194" s="27"/>
      <c r="IE194" s="28" t="str">
        <f>IFERROR(VLOOKUP(IC194,Horarios!$H:$I,2,0),"")</f>
        <v/>
      </c>
      <c r="IF194" s="28" t="str">
        <f>IFERROR(VLOOKUP(ID194,Horarios!$H:$I,2,0),"")</f>
        <v/>
      </c>
      <c r="IG194" s="28" t="str">
        <f t="shared" si="139"/>
        <v>00:00</v>
      </c>
      <c r="IH194" s="29"/>
      <c r="II194" s="27"/>
      <c r="IJ194" s="27"/>
      <c r="IK194" s="28" t="str">
        <f>IFERROR(VLOOKUP(II194,Horarios!$H:$I,2,0),"")</f>
        <v/>
      </c>
      <c r="IL194" s="28" t="str">
        <f>IFERROR(VLOOKUP(IJ194,Horarios!$H:$I,2,0),"")</f>
        <v/>
      </c>
      <c r="IM194" s="28" t="str">
        <f t="shared" si="140"/>
        <v>00:00</v>
      </c>
      <c r="IN194" s="29"/>
      <c r="IO194" s="27"/>
      <c r="IP194" s="27"/>
      <c r="IQ194" s="28" t="str">
        <f>IFERROR(VLOOKUP(IO194,Horarios!$H:$I,2,0),"")</f>
        <v/>
      </c>
      <c r="IR194" s="28" t="str">
        <f>IFERROR(VLOOKUP(IP194,Horarios!$H:$I,2,0),"")</f>
        <v/>
      </c>
      <c r="IS194" s="28" t="str">
        <f t="shared" si="141"/>
        <v>00:00</v>
      </c>
      <c r="IT194" s="29"/>
      <c r="IU194" s="27"/>
      <c r="IV194" s="27"/>
      <c r="IW194" s="28" t="str">
        <f>IFERROR(VLOOKUP(IU194,Horarios!$H:$I,2,0),"")</f>
        <v/>
      </c>
      <c r="IX194" s="28" t="str">
        <f>IFERROR(VLOOKUP(IV194,Horarios!$H:$I,2,0),"")</f>
        <v/>
      </c>
      <c r="IY194" s="28" t="str">
        <f t="shared" si="142"/>
        <v>00:00</v>
      </c>
      <c r="IZ194" s="29"/>
      <c r="JA194" s="31" t="str">
        <f t="shared" si="143"/>
        <v/>
      </c>
    </row>
    <row r="195" spans="1:261" s="24" customFormat="1" ht="17.399999999999999" x14ac:dyDescent="0.25">
      <c r="A195" s="25"/>
      <c r="B195" s="26" t="str">
        <f>IFERROR(VLOOKUP(A195,BaseNombres!A:B,2,0),"")</f>
        <v/>
      </c>
      <c r="C195" s="26" t="str">
        <f>IFERROR(VLOOKUP(A195,BaseNombres!A:C,3,0),"")</f>
        <v/>
      </c>
      <c r="D195" s="27"/>
      <c r="E195" s="27"/>
      <c r="F195" s="28" t="str">
        <f>IFERROR(VLOOKUP(D195,Horarios!$H:$I,2,0),"")</f>
        <v/>
      </c>
      <c r="G195" s="28" t="str">
        <f>IFERROR(VLOOKUP(E195,Horarios!$H:$I,2,0),"")</f>
        <v/>
      </c>
      <c r="H195" s="28" t="str">
        <f t="shared" si="96"/>
        <v>00:00</v>
      </c>
      <c r="I195" s="29"/>
      <c r="J195" s="27"/>
      <c r="K195" s="27"/>
      <c r="L195" s="28" t="str">
        <f>IFERROR(VLOOKUP(J195,Horarios!$H:$I,2,0),"")</f>
        <v/>
      </c>
      <c r="M195" s="28" t="str">
        <f>IFERROR(VLOOKUP(K195,Horarios!$H:$I,2,0),"")</f>
        <v/>
      </c>
      <c r="N195" s="28" t="str">
        <f t="shared" si="97"/>
        <v>00:00</v>
      </c>
      <c r="O195" s="29"/>
      <c r="P195" s="27"/>
      <c r="Q195" s="27"/>
      <c r="R195" s="28" t="str">
        <f>IFERROR(VLOOKUP(P195,Horarios!$H:$I,2,0),"")</f>
        <v/>
      </c>
      <c r="S195" s="28" t="str">
        <f>IFERROR(VLOOKUP(Q195,Horarios!$H:$I,2,0),"")</f>
        <v/>
      </c>
      <c r="T195" s="28" t="str">
        <f t="shared" si="98"/>
        <v>00:00</v>
      </c>
      <c r="U195" s="29"/>
      <c r="V195" s="27"/>
      <c r="W195" s="27"/>
      <c r="X195" s="28" t="str">
        <f>IFERROR(VLOOKUP(V195,Horarios!$H:$I,2,0),"")</f>
        <v/>
      </c>
      <c r="Y195" s="28" t="str">
        <f>IFERROR(VLOOKUP(W195,Horarios!$H:$I,2,0),"")</f>
        <v/>
      </c>
      <c r="Z195" s="28" t="str">
        <f t="shared" si="99"/>
        <v>00:00</v>
      </c>
      <c r="AA195" s="29"/>
      <c r="AB195" s="27"/>
      <c r="AC195" s="27"/>
      <c r="AD195" s="28" t="str">
        <f>IFERROR(VLOOKUP(AB195,Horarios!$H:$I,2,0),"")</f>
        <v/>
      </c>
      <c r="AE195" s="28" t="str">
        <f>IFERROR(VLOOKUP(AC195,Horarios!$H:$I,2,0),"")</f>
        <v/>
      </c>
      <c r="AF195" s="28" t="str">
        <f t="shared" si="100"/>
        <v>00:00</v>
      </c>
      <c r="AG195" s="29"/>
      <c r="AH195" s="27"/>
      <c r="AI195" s="27"/>
      <c r="AJ195" s="28" t="str">
        <f>IFERROR(VLOOKUP(AH195,Horarios!$H:$I,2,0),"")</f>
        <v/>
      </c>
      <c r="AK195" s="28" t="str">
        <f>IFERROR(VLOOKUP(AI195,Horarios!$H:$I,2,0),"")</f>
        <v/>
      </c>
      <c r="AL195" s="28" t="str">
        <f t="shared" si="101"/>
        <v>00:00</v>
      </c>
      <c r="AM195" s="29"/>
      <c r="AN195" s="27"/>
      <c r="AO195" s="27"/>
      <c r="AP195" s="28" t="str">
        <f>IFERROR(VLOOKUP(AN195,Horarios!$H:$I,2,0),"")</f>
        <v/>
      </c>
      <c r="AQ195" s="28" t="str">
        <f>IFERROR(VLOOKUP(AO195,Horarios!$H:$I,2,0),"")</f>
        <v/>
      </c>
      <c r="AR195" s="28" t="str">
        <f t="shared" si="102"/>
        <v>00:00</v>
      </c>
      <c r="AS195" s="29"/>
      <c r="AT195" s="31" t="str">
        <f t="shared" si="103"/>
        <v/>
      </c>
      <c r="AU195" s="27"/>
      <c r="AV195" s="27"/>
      <c r="AW195" s="28" t="str">
        <f>IFERROR(VLOOKUP(AU195,Horarios!$H:$I,2,0),"")</f>
        <v/>
      </c>
      <c r="AX195" s="28" t="str">
        <f>IFERROR(VLOOKUP(AV195,Horarios!$H:$I,2,0),"")</f>
        <v/>
      </c>
      <c r="AY195" s="28" t="str">
        <f t="shared" si="104"/>
        <v>00:00</v>
      </c>
      <c r="AZ195" s="29"/>
      <c r="BA195" s="27"/>
      <c r="BB195" s="27"/>
      <c r="BC195" s="28" t="str">
        <f>IFERROR(VLOOKUP(BA195,Horarios!$H:$I,2,0),"")</f>
        <v/>
      </c>
      <c r="BD195" s="28" t="str">
        <f>IFERROR(VLOOKUP(BB195,Horarios!$H:$I,2,0),"")</f>
        <v/>
      </c>
      <c r="BE195" s="28" t="str">
        <f t="shared" si="105"/>
        <v>00:00</v>
      </c>
      <c r="BF195" s="29"/>
      <c r="BG195" s="27"/>
      <c r="BH195" s="27"/>
      <c r="BI195" s="28" t="str">
        <f>IFERROR(VLOOKUP(BG195,Horarios!$H:$I,2,0),"")</f>
        <v/>
      </c>
      <c r="BJ195" s="28" t="str">
        <f>IFERROR(VLOOKUP(BH195,Horarios!$H:$I,2,0),"")</f>
        <v/>
      </c>
      <c r="BK195" s="28" t="str">
        <f t="shared" si="106"/>
        <v>00:00</v>
      </c>
      <c r="BL195" s="29"/>
      <c r="BM195" s="27"/>
      <c r="BN195" s="27"/>
      <c r="BO195" s="28" t="str">
        <f>IFERROR(VLOOKUP(BM195,Horarios!$H:$I,2,0),"")</f>
        <v/>
      </c>
      <c r="BP195" s="28" t="str">
        <f>IFERROR(VLOOKUP(BN195,Horarios!$H:$I,2,0),"")</f>
        <v/>
      </c>
      <c r="BQ195" s="28" t="str">
        <f t="shared" si="107"/>
        <v>00:00</v>
      </c>
      <c r="BR195" s="29"/>
      <c r="BS195" s="27"/>
      <c r="BT195" s="27"/>
      <c r="BU195" s="28" t="str">
        <f>IFERROR(VLOOKUP(BS195,Horarios!$H:$I,2,0),"")</f>
        <v/>
      </c>
      <c r="BV195" s="28" t="str">
        <f>IFERROR(VLOOKUP(BT195,Horarios!$H:$I,2,0),"")</f>
        <v/>
      </c>
      <c r="BW195" s="28" t="str">
        <f t="shared" si="108"/>
        <v>00:00</v>
      </c>
      <c r="BX195" s="29"/>
      <c r="BY195" s="27"/>
      <c r="BZ195" s="27"/>
      <c r="CA195" s="28" t="str">
        <f>IFERROR(VLOOKUP(BY195,Horarios!$H:$I,2,0),"")</f>
        <v/>
      </c>
      <c r="CB195" s="28" t="str">
        <f>IFERROR(VLOOKUP(BZ195,Horarios!$H:$I,2,0),"")</f>
        <v/>
      </c>
      <c r="CC195" s="28" t="str">
        <f t="shared" si="109"/>
        <v>00:00</v>
      </c>
      <c r="CD195" s="29"/>
      <c r="CE195" s="27"/>
      <c r="CF195" s="27"/>
      <c r="CG195" s="28" t="str">
        <f>IFERROR(VLOOKUP(CE195,Horarios!$H:$I,2,0),"")</f>
        <v/>
      </c>
      <c r="CH195" s="28" t="str">
        <f>IFERROR(VLOOKUP(CF195,Horarios!$H:$I,2,0),"")</f>
        <v/>
      </c>
      <c r="CI195" s="28" t="str">
        <f t="shared" si="110"/>
        <v>00:00</v>
      </c>
      <c r="CJ195" s="29"/>
      <c r="CK195" s="31" t="str">
        <f t="shared" si="111"/>
        <v/>
      </c>
      <c r="CL195" s="27"/>
      <c r="CM195" s="27"/>
      <c r="CN195" s="28" t="str">
        <f>IFERROR(VLOOKUP(CL195,Horarios!$H:$I,2,0),"")</f>
        <v/>
      </c>
      <c r="CO195" s="28" t="str">
        <f>IFERROR(VLOOKUP(CM195,Horarios!$H:$I,2,0),"")</f>
        <v/>
      </c>
      <c r="CP195" s="28" t="str">
        <f t="shared" si="112"/>
        <v>00:00</v>
      </c>
      <c r="CQ195" s="29"/>
      <c r="CR195" s="27"/>
      <c r="CS195" s="27"/>
      <c r="CT195" s="28" t="str">
        <f>IFERROR(VLOOKUP(CR195,Horarios!$H:$I,2,0),"")</f>
        <v/>
      </c>
      <c r="CU195" s="28" t="str">
        <f>IFERROR(VLOOKUP(CS195,Horarios!$H:$I,2,0),"")</f>
        <v/>
      </c>
      <c r="CV195" s="28" t="str">
        <f t="shared" si="113"/>
        <v>00:00</v>
      </c>
      <c r="CW195" s="29"/>
      <c r="CX195" s="27"/>
      <c r="CY195" s="27"/>
      <c r="CZ195" s="28" t="str">
        <f>IFERROR(VLOOKUP(CX195,Horarios!$H:$I,2,0),"")</f>
        <v/>
      </c>
      <c r="DA195" s="28" t="str">
        <f>IFERROR(VLOOKUP(CY195,Horarios!$H:$I,2,0),"")</f>
        <v/>
      </c>
      <c r="DB195" s="28" t="str">
        <f t="shared" si="114"/>
        <v>00:00</v>
      </c>
      <c r="DC195" s="29"/>
      <c r="DD195" s="27"/>
      <c r="DE195" s="27"/>
      <c r="DF195" s="28" t="str">
        <f>IFERROR(VLOOKUP(DD195,Horarios!$H:$I,2,0),"")</f>
        <v/>
      </c>
      <c r="DG195" s="28" t="str">
        <f>IFERROR(VLOOKUP(DE195,Horarios!$H:$I,2,0),"")</f>
        <v/>
      </c>
      <c r="DH195" s="28" t="str">
        <f t="shared" si="115"/>
        <v>00:00</v>
      </c>
      <c r="DI195" s="29"/>
      <c r="DJ195" s="27"/>
      <c r="DK195" s="27"/>
      <c r="DL195" s="28" t="str">
        <f>IFERROR(VLOOKUP(DJ195,Horarios!$H:$I,2,0),"")</f>
        <v/>
      </c>
      <c r="DM195" s="28" t="str">
        <f>IFERROR(VLOOKUP(DK195,Horarios!$H:$I,2,0),"")</f>
        <v/>
      </c>
      <c r="DN195" s="28" t="str">
        <f t="shared" si="116"/>
        <v>00:00</v>
      </c>
      <c r="DO195" s="29"/>
      <c r="DP195" s="27"/>
      <c r="DQ195" s="27"/>
      <c r="DR195" s="28" t="str">
        <f>IFERROR(VLOOKUP(DP195,Horarios!$H:$I,2,0),"")</f>
        <v/>
      </c>
      <c r="DS195" s="28" t="str">
        <f>IFERROR(VLOOKUP(DQ195,Horarios!$H:$I,2,0),"")</f>
        <v/>
      </c>
      <c r="DT195" s="28" t="str">
        <f t="shared" si="117"/>
        <v>00:00</v>
      </c>
      <c r="DU195" s="29"/>
      <c r="DV195" s="27"/>
      <c r="DW195" s="27"/>
      <c r="DX195" s="28" t="str">
        <f>IFERROR(VLOOKUP(DV195,Horarios!$H:$I,2,0),"")</f>
        <v/>
      </c>
      <c r="DY195" s="28" t="str">
        <f>IFERROR(VLOOKUP(DW195,Horarios!$H:$I,2,0),"")</f>
        <v/>
      </c>
      <c r="DZ195" s="28" t="str">
        <f t="shared" si="118"/>
        <v>00:00</v>
      </c>
      <c r="EA195" s="29"/>
      <c r="EB195" s="31" t="str">
        <f t="shared" si="119"/>
        <v/>
      </c>
      <c r="EC195" s="27"/>
      <c r="ED195" s="27"/>
      <c r="EE195" s="28" t="str">
        <f>IFERROR(VLOOKUP(EC195,Horarios!$H:$I,2,0),"")</f>
        <v/>
      </c>
      <c r="EF195" s="28" t="str">
        <f>IFERROR(VLOOKUP(ED195,Horarios!$H:$I,2,0),"")</f>
        <v/>
      </c>
      <c r="EG195" s="28" t="str">
        <f t="shared" si="120"/>
        <v>00:00</v>
      </c>
      <c r="EH195" s="29"/>
      <c r="EI195" s="27"/>
      <c r="EJ195" s="27"/>
      <c r="EK195" s="28" t="str">
        <f>IFERROR(VLOOKUP(EI195,Horarios!$H:$I,2,0),"")</f>
        <v/>
      </c>
      <c r="EL195" s="28" t="str">
        <f>IFERROR(VLOOKUP(EJ195,Horarios!$H:$I,2,0),"")</f>
        <v/>
      </c>
      <c r="EM195" s="28" t="str">
        <f t="shared" si="121"/>
        <v>00:00</v>
      </c>
      <c r="EN195" s="29"/>
      <c r="EO195" s="27"/>
      <c r="EP195" s="27"/>
      <c r="EQ195" s="28" t="str">
        <f>IFERROR(VLOOKUP(EO195,Horarios!$H:$I,2,0),"")</f>
        <v/>
      </c>
      <c r="ER195" s="28" t="str">
        <f>IFERROR(VLOOKUP(EP195,Horarios!$H:$I,2,0),"")</f>
        <v/>
      </c>
      <c r="ES195" s="28" t="str">
        <f t="shared" si="122"/>
        <v>00:00</v>
      </c>
      <c r="ET195" s="29"/>
      <c r="EU195" s="27"/>
      <c r="EV195" s="27"/>
      <c r="EW195" s="28" t="str">
        <f>IFERROR(VLOOKUP(EU195,Horarios!$H:$I,2,0),"")</f>
        <v/>
      </c>
      <c r="EX195" s="28" t="str">
        <f>IFERROR(VLOOKUP(EV195,Horarios!$H:$I,2,0),"")</f>
        <v/>
      </c>
      <c r="EY195" s="28" t="str">
        <f t="shared" si="123"/>
        <v>00:00</v>
      </c>
      <c r="EZ195" s="29"/>
      <c r="FA195" s="27"/>
      <c r="FB195" s="27"/>
      <c r="FC195" s="28" t="str">
        <f>IFERROR(VLOOKUP(FA195,Horarios!$H:$I,2,0),"")</f>
        <v/>
      </c>
      <c r="FD195" s="28" t="str">
        <f>IFERROR(VLOOKUP(FB195,Horarios!$H:$I,2,0),"")</f>
        <v/>
      </c>
      <c r="FE195" s="28" t="str">
        <f t="shared" si="124"/>
        <v>00:00</v>
      </c>
      <c r="FF195" s="29"/>
      <c r="FG195" s="27"/>
      <c r="FH195" s="27"/>
      <c r="FI195" s="28" t="str">
        <f>IFERROR(VLOOKUP(FG195,Horarios!$H:$I,2,0),"")</f>
        <v/>
      </c>
      <c r="FJ195" s="28" t="str">
        <f>IFERROR(VLOOKUP(FH195,Horarios!$H:$I,2,0),"")</f>
        <v/>
      </c>
      <c r="FK195" s="28" t="str">
        <f t="shared" si="125"/>
        <v>00:00</v>
      </c>
      <c r="FL195" s="29"/>
      <c r="FM195" s="27"/>
      <c r="FN195" s="27"/>
      <c r="FO195" s="28" t="str">
        <f>IFERROR(VLOOKUP(FM195,Horarios!$H:$I,2,0),"")</f>
        <v/>
      </c>
      <c r="FP195" s="28" t="str">
        <f>IFERROR(VLOOKUP(FN195,Horarios!$H:$I,2,0),"")</f>
        <v/>
      </c>
      <c r="FQ195" s="28" t="str">
        <f t="shared" si="126"/>
        <v>00:00</v>
      </c>
      <c r="FR195" s="29"/>
      <c r="FS195" s="31" t="str">
        <f t="shared" si="127"/>
        <v/>
      </c>
      <c r="FT195" s="27"/>
      <c r="FU195" s="27"/>
      <c r="FV195" s="28" t="str">
        <f>IFERROR(VLOOKUP(FT195,Horarios!$H:$I,2,0),"")</f>
        <v/>
      </c>
      <c r="FW195" s="28" t="str">
        <f>IFERROR(VLOOKUP(FU195,Horarios!$H:$I,2,0),"")</f>
        <v/>
      </c>
      <c r="FX195" s="28" t="str">
        <f t="shared" si="128"/>
        <v>00:00</v>
      </c>
      <c r="FY195" s="29"/>
      <c r="FZ195" s="27"/>
      <c r="GA195" s="27"/>
      <c r="GB195" s="28" t="str">
        <f>IFERROR(VLOOKUP(FZ195,Horarios!$H:$I,2,0),"")</f>
        <v/>
      </c>
      <c r="GC195" s="28" t="str">
        <f>IFERROR(VLOOKUP(GA195,Horarios!$H:$I,2,0),"")</f>
        <v/>
      </c>
      <c r="GD195" s="28" t="str">
        <f t="shared" si="129"/>
        <v>00:00</v>
      </c>
      <c r="GE195" s="29"/>
      <c r="GF195" s="27"/>
      <c r="GG195" s="27"/>
      <c r="GH195" s="28" t="str">
        <f>IFERROR(VLOOKUP(GF195,Horarios!$H:$I,2,0),"")</f>
        <v/>
      </c>
      <c r="GI195" s="28" t="str">
        <f>IFERROR(VLOOKUP(GG195,Horarios!$H:$I,2,0),"")</f>
        <v/>
      </c>
      <c r="GJ195" s="28" t="str">
        <f t="shared" si="130"/>
        <v>00:00</v>
      </c>
      <c r="GK195" s="29"/>
      <c r="GL195" s="27"/>
      <c r="GM195" s="27"/>
      <c r="GN195" s="28" t="str">
        <f>IFERROR(VLOOKUP(GL195,Horarios!$H:$I,2,0),"")</f>
        <v/>
      </c>
      <c r="GO195" s="28" t="str">
        <f>IFERROR(VLOOKUP(GM195,Horarios!$H:$I,2,0),"")</f>
        <v/>
      </c>
      <c r="GP195" s="28" t="str">
        <f t="shared" si="131"/>
        <v>00:00</v>
      </c>
      <c r="GQ195" s="29"/>
      <c r="GR195" s="27"/>
      <c r="GS195" s="27"/>
      <c r="GT195" s="28" t="str">
        <f>IFERROR(VLOOKUP(GR195,Horarios!$H:$I,2,0),"")</f>
        <v/>
      </c>
      <c r="GU195" s="28" t="str">
        <f>IFERROR(VLOOKUP(GS195,Horarios!$H:$I,2,0),"")</f>
        <v/>
      </c>
      <c r="GV195" s="28" t="str">
        <f t="shared" si="132"/>
        <v>00:00</v>
      </c>
      <c r="GW195" s="29"/>
      <c r="GX195" s="27"/>
      <c r="GY195" s="27"/>
      <c r="GZ195" s="28" t="str">
        <f>IFERROR(VLOOKUP(GX195,Horarios!$H:$I,2,0),"")</f>
        <v/>
      </c>
      <c r="HA195" s="28" t="str">
        <f>IFERROR(VLOOKUP(GY195,Horarios!$H:$I,2,0),"")</f>
        <v/>
      </c>
      <c r="HB195" s="28" t="str">
        <f t="shared" si="133"/>
        <v>00:00</v>
      </c>
      <c r="HC195" s="29"/>
      <c r="HD195" s="27"/>
      <c r="HE195" s="27"/>
      <c r="HF195" s="28" t="str">
        <f>IFERROR(VLOOKUP(HD195,Horarios!$H:$I,2,0),"")</f>
        <v/>
      </c>
      <c r="HG195" s="28" t="str">
        <f>IFERROR(VLOOKUP(HE195,Horarios!$H:$I,2,0),"")</f>
        <v/>
      </c>
      <c r="HH195" s="28" t="str">
        <f t="shared" si="134"/>
        <v>00:00</v>
      </c>
      <c r="HI195" s="29"/>
      <c r="HJ195" s="31" t="str">
        <f t="shared" si="135"/>
        <v/>
      </c>
      <c r="HK195" s="27"/>
      <c r="HL195" s="27"/>
      <c r="HM195" s="28" t="str">
        <f>IFERROR(VLOOKUP(HK195,Horarios!$H:$I,2,0),"")</f>
        <v/>
      </c>
      <c r="HN195" s="28" t="str">
        <f>IFERROR(VLOOKUP(HL195,Horarios!$H:$I,2,0),"")</f>
        <v/>
      </c>
      <c r="HO195" s="28" t="str">
        <f t="shared" si="136"/>
        <v>00:00</v>
      </c>
      <c r="HP195" s="29"/>
      <c r="HQ195" s="27"/>
      <c r="HR195" s="27"/>
      <c r="HS195" s="28" t="str">
        <f>IFERROR(VLOOKUP(HQ195,Horarios!$H:$I,2,0),"")</f>
        <v/>
      </c>
      <c r="HT195" s="28" t="str">
        <f>IFERROR(VLOOKUP(HR195,Horarios!$H:$I,2,0),"")</f>
        <v/>
      </c>
      <c r="HU195" s="28" t="str">
        <f t="shared" si="137"/>
        <v>00:00</v>
      </c>
      <c r="HV195" s="29"/>
      <c r="HW195" s="27"/>
      <c r="HX195" s="27"/>
      <c r="HY195" s="28" t="str">
        <f>IFERROR(VLOOKUP(HW195,Horarios!$H:$I,2,0),"")</f>
        <v/>
      </c>
      <c r="HZ195" s="28" t="str">
        <f>IFERROR(VLOOKUP(HX195,Horarios!$H:$I,2,0),"")</f>
        <v/>
      </c>
      <c r="IA195" s="28" t="str">
        <f t="shared" si="138"/>
        <v>00:00</v>
      </c>
      <c r="IB195" s="29"/>
      <c r="IC195" s="27"/>
      <c r="ID195" s="27"/>
      <c r="IE195" s="28" t="str">
        <f>IFERROR(VLOOKUP(IC195,Horarios!$H:$I,2,0),"")</f>
        <v/>
      </c>
      <c r="IF195" s="28" t="str">
        <f>IFERROR(VLOOKUP(ID195,Horarios!$H:$I,2,0),"")</f>
        <v/>
      </c>
      <c r="IG195" s="28" t="str">
        <f t="shared" si="139"/>
        <v>00:00</v>
      </c>
      <c r="IH195" s="29"/>
      <c r="II195" s="27"/>
      <c r="IJ195" s="27"/>
      <c r="IK195" s="28" t="str">
        <f>IFERROR(VLOOKUP(II195,Horarios!$H:$I,2,0),"")</f>
        <v/>
      </c>
      <c r="IL195" s="28" t="str">
        <f>IFERROR(VLOOKUP(IJ195,Horarios!$H:$I,2,0),"")</f>
        <v/>
      </c>
      <c r="IM195" s="28" t="str">
        <f t="shared" si="140"/>
        <v>00:00</v>
      </c>
      <c r="IN195" s="29"/>
      <c r="IO195" s="27"/>
      <c r="IP195" s="27"/>
      <c r="IQ195" s="28" t="str">
        <f>IFERROR(VLOOKUP(IO195,Horarios!$H:$I,2,0),"")</f>
        <v/>
      </c>
      <c r="IR195" s="28" t="str">
        <f>IFERROR(VLOOKUP(IP195,Horarios!$H:$I,2,0),"")</f>
        <v/>
      </c>
      <c r="IS195" s="28" t="str">
        <f t="shared" si="141"/>
        <v>00:00</v>
      </c>
      <c r="IT195" s="29"/>
      <c r="IU195" s="27"/>
      <c r="IV195" s="27"/>
      <c r="IW195" s="28" t="str">
        <f>IFERROR(VLOOKUP(IU195,Horarios!$H:$I,2,0),"")</f>
        <v/>
      </c>
      <c r="IX195" s="28" t="str">
        <f>IFERROR(VLOOKUP(IV195,Horarios!$H:$I,2,0),"")</f>
        <v/>
      </c>
      <c r="IY195" s="28" t="str">
        <f t="shared" si="142"/>
        <v>00:00</v>
      </c>
      <c r="IZ195" s="29"/>
      <c r="JA195" s="31" t="str">
        <f t="shared" si="143"/>
        <v/>
      </c>
    </row>
    <row r="196" spans="1:261" s="24" customFormat="1" ht="17.399999999999999" x14ac:dyDescent="0.25">
      <c r="A196" s="25"/>
      <c r="B196" s="26" t="str">
        <f>IFERROR(VLOOKUP(A196,BaseNombres!A:B,2,0),"")</f>
        <v/>
      </c>
      <c r="C196" s="26" t="str">
        <f>IFERROR(VLOOKUP(A196,BaseNombres!A:C,3,0),"")</f>
        <v/>
      </c>
      <c r="D196" s="27"/>
      <c r="E196" s="27"/>
      <c r="F196" s="28" t="str">
        <f>IFERROR(VLOOKUP(D196,Horarios!$H:$I,2,0),"")</f>
        <v/>
      </c>
      <c r="G196" s="28" t="str">
        <f>IFERROR(VLOOKUP(E196,Horarios!$H:$I,2,0),"")</f>
        <v/>
      </c>
      <c r="H196" s="28" t="str">
        <f t="shared" si="96"/>
        <v>00:00</v>
      </c>
      <c r="I196" s="29"/>
      <c r="J196" s="27"/>
      <c r="K196" s="27"/>
      <c r="L196" s="28" t="str">
        <f>IFERROR(VLOOKUP(J196,Horarios!$H:$I,2,0),"")</f>
        <v/>
      </c>
      <c r="M196" s="28" t="str">
        <f>IFERROR(VLOOKUP(K196,Horarios!$H:$I,2,0),"")</f>
        <v/>
      </c>
      <c r="N196" s="28" t="str">
        <f t="shared" si="97"/>
        <v>00:00</v>
      </c>
      <c r="O196" s="29"/>
      <c r="P196" s="27"/>
      <c r="Q196" s="27"/>
      <c r="R196" s="28" t="str">
        <f>IFERROR(VLOOKUP(P196,Horarios!$H:$I,2,0),"")</f>
        <v/>
      </c>
      <c r="S196" s="28" t="str">
        <f>IFERROR(VLOOKUP(Q196,Horarios!$H:$I,2,0),"")</f>
        <v/>
      </c>
      <c r="T196" s="28" t="str">
        <f t="shared" si="98"/>
        <v>00:00</v>
      </c>
      <c r="U196" s="29"/>
      <c r="V196" s="27"/>
      <c r="W196" s="27"/>
      <c r="X196" s="28" t="str">
        <f>IFERROR(VLOOKUP(V196,Horarios!$H:$I,2,0),"")</f>
        <v/>
      </c>
      <c r="Y196" s="28" t="str">
        <f>IFERROR(VLOOKUP(W196,Horarios!$H:$I,2,0),"")</f>
        <v/>
      </c>
      <c r="Z196" s="28" t="str">
        <f t="shared" si="99"/>
        <v>00:00</v>
      </c>
      <c r="AA196" s="29"/>
      <c r="AB196" s="27"/>
      <c r="AC196" s="27"/>
      <c r="AD196" s="28" t="str">
        <f>IFERROR(VLOOKUP(AB196,Horarios!$H:$I,2,0),"")</f>
        <v/>
      </c>
      <c r="AE196" s="28" t="str">
        <f>IFERROR(VLOOKUP(AC196,Horarios!$H:$I,2,0),"")</f>
        <v/>
      </c>
      <c r="AF196" s="28" t="str">
        <f t="shared" si="100"/>
        <v>00:00</v>
      </c>
      <c r="AG196" s="29"/>
      <c r="AH196" s="27"/>
      <c r="AI196" s="27"/>
      <c r="AJ196" s="28" t="str">
        <f>IFERROR(VLOOKUP(AH196,Horarios!$H:$I,2,0),"")</f>
        <v/>
      </c>
      <c r="AK196" s="28" t="str">
        <f>IFERROR(VLOOKUP(AI196,Horarios!$H:$I,2,0),"")</f>
        <v/>
      </c>
      <c r="AL196" s="28" t="str">
        <f t="shared" si="101"/>
        <v>00:00</v>
      </c>
      <c r="AM196" s="29"/>
      <c r="AN196" s="27"/>
      <c r="AO196" s="27"/>
      <c r="AP196" s="28" t="str">
        <f>IFERROR(VLOOKUP(AN196,Horarios!$H:$I,2,0),"")</f>
        <v/>
      </c>
      <c r="AQ196" s="28" t="str">
        <f>IFERROR(VLOOKUP(AO196,Horarios!$H:$I,2,0),"")</f>
        <v/>
      </c>
      <c r="AR196" s="28" t="str">
        <f t="shared" si="102"/>
        <v>00:00</v>
      </c>
      <c r="AS196" s="29"/>
      <c r="AT196" s="31" t="str">
        <f t="shared" si="103"/>
        <v/>
      </c>
      <c r="AU196" s="27"/>
      <c r="AV196" s="27"/>
      <c r="AW196" s="28" t="str">
        <f>IFERROR(VLOOKUP(AU196,Horarios!$H:$I,2,0),"")</f>
        <v/>
      </c>
      <c r="AX196" s="28" t="str">
        <f>IFERROR(VLOOKUP(AV196,Horarios!$H:$I,2,0),"")</f>
        <v/>
      </c>
      <c r="AY196" s="28" t="str">
        <f t="shared" si="104"/>
        <v>00:00</v>
      </c>
      <c r="AZ196" s="29"/>
      <c r="BA196" s="27"/>
      <c r="BB196" s="27"/>
      <c r="BC196" s="28" t="str">
        <f>IFERROR(VLOOKUP(BA196,Horarios!$H:$I,2,0),"")</f>
        <v/>
      </c>
      <c r="BD196" s="28" t="str">
        <f>IFERROR(VLOOKUP(BB196,Horarios!$H:$I,2,0),"")</f>
        <v/>
      </c>
      <c r="BE196" s="28" t="str">
        <f t="shared" si="105"/>
        <v>00:00</v>
      </c>
      <c r="BF196" s="29"/>
      <c r="BG196" s="27"/>
      <c r="BH196" s="27"/>
      <c r="BI196" s="28" t="str">
        <f>IFERROR(VLOOKUP(BG196,Horarios!$H:$I,2,0),"")</f>
        <v/>
      </c>
      <c r="BJ196" s="28" t="str">
        <f>IFERROR(VLOOKUP(BH196,Horarios!$H:$I,2,0),"")</f>
        <v/>
      </c>
      <c r="BK196" s="28" t="str">
        <f t="shared" si="106"/>
        <v>00:00</v>
      </c>
      <c r="BL196" s="29"/>
      <c r="BM196" s="27"/>
      <c r="BN196" s="27"/>
      <c r="BO196" s="28" t="str">
        <f>IFERROR(VLOOKUP(BM196,Horarios!$H:$I,2,0),"")</f>
        <v/>
      </c>
      <c r="BP196" s="28" t="str">
        <f>IFERROR(VLOOKUP(BN196,Horarios!$H:$I,2,0),"")</f>
        <v/>
      </c>
      <c r="BQ196" s="28" t="str">
        <f t="shared" si="107"/>
        <v>00:00</v>
      </c>
      <c r="BR196" s="29"/>
      <c r="BS196" s="27"/>
      <c r="BT196" s="27"/>
      <c r="BU196" s="28" t="str">
        <f>IFERROR(VLOOKUP(BS196,Horarios!$H:$I,2,0),"")</f>
        <v/>
      </c>
      <c r="BV196" s="28" t="str">
        <f>IFERROR(VLOOKUP(BT196,Horarios!$H:$I,2,0),"")</f>
        <v/>
      </c>
      <c r="BW196" s="28" t="str">
        <f t="shared" si="108"/>
        <v>00:00</v>
      </c>
      <c r="BX196" s="29"/>
      <c r="BY196" s="27"/>
      <c r="BZ196" s="27"/>
      <c r="CA196" s="28" t="str">
        <f>IFERROR(VLOOKUP(BY196,Horarios!$H:$I,2,0),"")</f>
        <v/>
      </c>
      <c r="CB196" s="28" t="str">
        <f>IFERROR(VLOOKUP(BZ196,Horarios!$H:$I,2,0),"")</f>
        <v/>
      </c>
      <c r="CC196" s="28" t="str">
        <f t="shared" si="109"/>
        <v>00:00</v>
      </c>
      <c r="CD196" s="29"/>
      <c r="CE196" s="27"/>
      <c r="CF196" s="27"/>
      <c r="CG196" s="28" t="str">
        <f>IFERROR(VLOOKUP(CE196,Horarios!$H:$I,2,0),"")</f>
        <v/>
      </c>
      <c r="CH196" s="28" t="str">
        <f>IFERROR(VLOOKUP(CF196,Horarios!$H:$I,2,0),"")</f>
        <v/>
      </c>
      <c r="CI196" s="28" t="str">
        <f t="shared" si="110"/>
        <v>00:00</v>
      </c>
      <c r="CJ196" s="29"/>
      <c r="CK196" s="31" t="str">
        <f t="shared" si="111"/>
        <v/>
      </c>
      <c r="CL196" s="27"/>
      <c r="CM196" s="27"/>
      <c r="CN196" s="28" t="str">
        <f>IFERROR(VLOOKUP(CL196,Horarios!$H:$I,2,0),"")</f>
        <v/>
      </c>
      <c r="CO196" s="28" t="str">
        <f>IFERROR(VLOOKUP(CM196,Horarios!$H:$I,2,0),"")</f>
        <v/>
      </c>
      <c r="CP196" s="28" t="str">
        <f t="shared" si="112"/>
        <v>00:00</v>
      </c>
      <c r="CQ196" s="29"/>
      <c r="CR196" s="27"/>
      <c r="CS196" s="27"/>
      <c r="CT196" s="28" t="str">
        <f>IFERROR(VLOOKUP(CR196,Horarios!$H:$I,2,0),"")</f>
        <v/>
      </c>
      <c r="CU196" s="28" t="str">
        <f>IFERROR(VLOOKUP(CS196,Horarios!$H:$I,2,0),"")</f>
        <v/>
      </c>
      <c r="CV196" s="28" t="str">
        <f t="shared" si="113"/>
        <v>00:00</v>
      </c>
      <c r="CW196" s="29"/>
      <c r="CX196" s="27"/>
      <c r="CY196" s="27"/>
      <c r="CZ196" s="28" t="str">
        <f>IFERROR(VLOOKUP(CX196,Horarios!$H:$I,2,0),"")</f>
        <v/>
      </c>
      <c r="DA196" s="28" t="str">
        <f>IFERROR(VLOOKUP(CY196,Horarios!$H:$I,2,0),"")</f>
        <v/>
      </c>
      <c r="DB196" s="28" t="str">
        <f t="shared" si="114"/>
        <v>00:00</v>
      </c>
      <c r="DC196" s="29"/>
      <c r="DD196" s="27"/>
      <c r="DE196" s="27"/>
      <c r="DF196" s="28" t="str">
        <f>IFERROR(VLOOKUP(DD196,Horarios!$H:$I,2,0),"")</f>
        <v/>
      </c>
      <c r="DG196" s="28" t="str">
        <f>IFERROR(VLOOKUP(DE196,Horarios!$H:$I,2,0),"")</f>
        <v/>
      </c>
      <c r="DH196" s="28" t="str">
        <f t="shared" si="115"/>
        <v>00:00</v>
      </c>
      <c r="DI196" s="29"/>
      <c r="DJ196" s="27"/>
      <c r="DK196" s="27"/>
      <c r="DL196" s="28" t="str">
        <f>IFERROR(VLOOKUP(DJ196,Horarios!$H:$I,2,0),"")</f>
        <v/>
      </c>
      <c r="DM196" s="28" t="str">
        <f>IFERROR(VLOOKUP(DK196,Horarios!$H:$I,2,0),"")</f>
        <v/>
      </c>
      <c r="DN196" s="28" t="str">
        <f t="shared" si="116"/>
        <v>00:00</v>
      </c>
      <c r="DO196" s="29"/>
      <c r="DP196" s="27"/>
      <c r="DQ196" s="27"/>
      <c r="DR196" s="28" t="str">
        <f>IFERROR(VLOOKUP(DP196,Horarios!$H:$I,2,0),"")</f>
        <v/>
      </c>
      <c r="DS196" s="28" t="str">
        <f>IFERROR(VLOOKUP(DQ196,Horarios!$H:$I,2,0),"")</f>
        <v/>
      </c>
      <c r="DT196" s="28" t="str">
        <f t="shared" si="117"/>
        <v>00:00</v>
      </c>
      <c r="DU196" s="29"/>
      <c r="DV196" s="27"/>
      <c r="DW196" s="27"/>
      <c r="DX196" s="28" t="str">
        <f>IFERROR(VLOOKUP(DV196,Horarios!$H:$I,2,0),"")</f>
        <v/>
      </c>
      <c r="DY196" s="28" t="str">
        <f>IFERROR(VLOOKUP(DW196,Horarios!$H:$I,2,0),"")</f>
        <v/>
      </c>
      <c r="DZ196" s="28" t="str">
        <f t="shared" si="118"/>
        <v>00:00</v>
      </c>
      <c r="EA196" s="29"/>
      <c r="EB196" s="31" t="str">
        <f t="shared" si="119"/>
        <v/>
      </c>
      <c r="EC196" s="27"/>
      <c r="ED196" s="27"/>
      <c r="EE196" s="28" t="str">
        <f>IFERROR(VLOOKUP(EC196,Horarios!$H:$I,2,0),"")</f>
        <v/>
      </c>
      <c r="EF196" s="28" t="str">
        <f>IFERROR(VLOOKUP(ED196,Horarios!$H:$I,2,0),"")</f>
        <v/>
      </c>
      <c r="EG196" s="28" t="str">
        <f t="shared" si="120"/>
        <v>00:00</v>
      </c>
      <c r="EH196" s="29"/>
      <c r="EI196" s="27"/>
      <c r="EJ196" s="27"/>
      <c r="EK196" s="28" t="str">
        <f>IFERROR(VLOOKUP(EI196,Horarios!$H:$I,2,0),"")</f>
        <v/>
      </c>
      <c r="EL196" s="28" t="str">
        <f>IFERROR(VLOOKUP(EJ196,Horarios!$H:$I,2,0),"")</f>
        <v/>
      </c>
      <c r="EM196" s="28" t="str">
        <f t="shared" si="121"/>
        <v>00:00</v>
      </c>
      <c r="EN196" s="29"/>
      <c r="EO196" s="27"/>
      <c r="EP196" s="27"/>
      <c r="EQ196" s="28" t="str">
        <f>IFERROR(VLOOKUP(EO196,Horarios!$H:$I,2,0),"")</f>
        <v/>
      </c>
      <c r="ER196" s="28" t="str">
        <f>IFERROR(VLOOKUP(EP196,Horarios!$H:$I,2,0),"")</f>
        <v/>
      </c>
      <c r="ES196" s="28" t="str">
        <f t="shared" si="122"/>
        <v>00:00</v>
      </c>
      <c r="ET196" s="29"/>
      <c r="EU196" s="27"/>
      <c r="EV196" s="27"/>
      <c r="EW196" s="28" t="str">
        <f>IFERROR(VLOOKUP(EU196,Horarios!$H:$I,2,0),"")</f>
        <v/>
      </c>
      <c r="EX196" s="28" t="str">
        <f>IFERROR(VLOOKUP(EV196,Horarios!$H:$I,2,0),"")</f>
        <v/>
      </c>
      <c r="EY196" s="28" t="str">
        <f t="shared" si="123"/>
        <v>00:00</v>
      </c>
      <c r="EZ196" s="29"/>
      <c r="FA196" s="27"/>
      <c r="FB196" s="27"/>
      <c r="FC196" s="28" t="str">
        <f>IFERROR(VLOOKUP(FA196,Horarios!$H:$I,2,0),"")</f>
        <v/>
      </c>
      <c r="FD196" s="28" t="str">
        <f>IFERROR(VLOOKUP(FB196,Horarios!$H:$I,2,0),"")</f>
        <v/>
      </c>
      <c r="FE196" s="28" t="str">
        <f t="shared" si="124"/>
        <v>00:00</v>
      </c>
      <c r="FF196" s="29"/>
      <c r="FG196" s="27"/>
      <c r="FH196" s="27"/>
      <c r="FI196" s="28" t="str">
        <f>IFERROR(VLOOKUP(FG196,Horarios!$H:$I,2,0),"")</f>
        <v/>
      </c>
      <c r="FJ196" s="28" t="str">
        <f>IFERROR(VLOOKUP(FH196,Horarios!$H:$I,2,0),"")</f>
        <v/>
      </c>
      <c r="FK196" s="28" t="str">
        <f t="shared" si="125"/>
        <v>00:00</v>
      </c>
      <c r="FL196" s="29"/>
      <c r="FM196" s="27"/>
      <c r="FN196" s="27"/>
      <c r="FO196" s="28" t="str">
        <f>IFERROR(VLOOKUP(FM196,Horarios!$H:$I,2,0),"")</f>
        <v/>
      </c>
      <c r="FP196" s="28" t="str">
        <f>IFERROR(VLOOKUP(FN196,Horarios!$H:$I,2,0),"")</f>
        <v/>
      </c>
      <c r="FQ196" s="28" t="str">
        <f t="shared" si="126"/>
        <v>00:00</v>
      </c>
      <c r="FR196" s="29"/>
      <c r="FS196" s="31" t="str">
        <f t="shared" si="127"/>
        <v/>
      </c>
      <c r="FT196" s="27"/>
      <c r="FU196" s="27"/>
      <c r="FV196" s="28" t="str">
        <f>IFERROR(VLOOKUP(FT196,Horarios!$H:$I,2,0),"")</f>
        <v/>
      </c>
      <c r="FW196" s="28" t="str">
        <f>IFERROR(VLOOKUP(FU196,Horarios!$H:$I,2,0),"")</f>
        <v/>
      </c>
      <c r="FX196" s="28" t="str">
        <f t="shared" si="128"/>
        <v>00:00</v>
      </c>
      <c r="FY196" s="29"/>
      <c r="FZ196" s="27"/>
      <c r="GA196" s="27"/>
      <c r="GB196" s="28" t="str">
        <f>IFERROR(VLOOKUP(FZ196,Horarios!$H:$I,2,0),"")</f>
        <v/>
      </c>
      <c r="GC196" s="28" t="str">
        <f>IFERROR(VLOOKUP(GA196,Horarios!$H:$I,2,0),"")</f>
        <v/>
      </c>
      <c r="GD196" s="28" t="str">
        <f t="shared" si="129"/>
        <v>00:00</v>
      </c>
      <c r="GE196" s="29"/>
      <c r="GF196" s="27"/>
      <c r="GG196" s="27"/>
      <c r="GH196" s="28" t="str">
        <f>IFERROR(VLOOKUP(GF196,Horarios!$H:$I,2,0),"")</f>
        <v/>
      </c>
      <c r="GI196" s="28" t="str">
        <f>IFERROR(VLOOKUP(GG196,Horarios!$H:$I,2,0),"")</f>
        <v/>
      </c>
      <c r="GJ196" s="28" t="str">
        <f t="shared" si="130"/>
        <v>00:00</v>
      </c>
      <c r="GK196" s="29"/>
      <c r="GL196" s="27"/>
      <c r="GM196" s="27"/>
      <c r="GN196" s="28" t="str">
        <f>IFERROR(VLOOKUP(GL196,Horarios!$H:$I,2,0),"")</f>
        <v/>
      </c>
      <c r="GO196" s="28" t="str">
        <f>IFERROR(VLOOKUP(GM196,Horarios!$H:$I,2,0),"")</f>
        <v/>
      </c>
      <c r="GP196" s="28" t="str">
        <f t="shared" si="131"/>
        <v>00:00</v>
      </c>
      <c r="GQ196" s="29"/>
      <c r="GR196" s="27"/>
      <c r="GS196" s="27"/>
      <c r="GT196" s="28" t="str">
        <f>IFERROR(VLOOKUP(GR196,Horarios!$H:$I,2,0),"")</f>
        <v/>
      </c>
      <c r="GU196" s="28" t="str">
        <f>IFERROR(VLOOKUP(GS196,Horarios!$H:$I,2,0),"")</f>
        <v/>
      </c>
      <c r="GV196" s="28" t="str">
        <f t="shared" si="132"/>
        <v>00:00</v>
      </c>
      <c r="GW196" s="29"/>
      <c r="GX196" s="27"/>
      <c r="GY196" s="27"/>
      <c r="GZ196" s="28" t="str">
        <f>IFERROR(VLOOKUP(GX196,Horarios!$H:$I,2,0),"")</f>
        <v/>
      </c>
      <c r="HA196" s="28" t="str">
        <f>IFERROR(VLOOKUP(GY196,Horarios!$H:$I,2,0),"")</f>
        <v/>
      </c>
      <c r="HB196" s="28" t="str">
        <f t="shared" si="133"/>
        <v>00:00</v>
      </c>
      <c r="HC196" s="29"/>
      <c r="HD196" s="27"/>
      <c r="HE196" s="27"/>
      <c r="HF196" s="28" t="str">
        <f>IFERROR(VLOOKUP(HD196,Horarios!$H:$I,2,0),"")</f>
        <v/>
      </c>
      <c r="HG196" s="28" t="str">
        <f>IFERROR(VLOOKUP(HE196,Horarios!$H:$I,2,0),"")</f>
        <v/>
      </c>
      <c r="HH196" s="28" t="str">
        <f t="shared" si="134"/>
        <v>00:00</v>
      </c>
      <c r="HI196" s="29"/>
      <c r="HJ196" s="31" t="str">
        <f t="shared" si="135"/>
        <v/>
      </c>
      <c r="HK196" s="27"/>
      <c r="HL196" s="27"/>
      <c r="HM196" s="28" t="str">
        <f>IFERROR(VLOOKUP(HK196,Horarios!$H:$I,2,0),"")</f>
        <v/>
      </c>
      <c r="HN196" s="28" t="str">
        <f>IFERROR(VLOOKUP(HL196,Horarios!$H:$I,2,0),"")</f>
        <v/>
      </c>
      <c r="HO196" s="28" t="str">
        <f t="shared" si="136"/>
        <v>00:00</v>
      </c>
      <c r="HP196" s="29"/>
      <c r="HQ196" s="27"/>
      <c r="HR196" s="27"/>
      <c r="HS196" s="28" t="str">
        <f>IFERROR(VLOOKUP(HQ196,Horarios!$H:$I,2,0),"")</f>
        <v/>
      </c>
      <c r="HT196" s="28" t="str">
        <f>IFERROR(VLOOKUP(HR196,Horarios!$H:$I,2,0),"")</f>
        <v/>
      </c>
      <c r="HU196" s="28" t="str">
        <f t="shared" si="137"/>
        <v>00:00</v>
      </c>
      <c r="HV196" s="29"/>
      <c r="HW196" s="27"/>
      <c r="HX196" s="27"/>
      <c r="HY196" s="28" t="str">
        <f>IFERROR(VLOOKUP(HW196,Horarios!$H:$I,2,0),"")</f>
        <v/>
      </c>
      <c r="HZ196" s="28" t="str">
        <f>IFERROR(VLOOKUP(HX196,Horarios!$H:$I,2,0),"")</f>
        <v/>
      </c>
      <c r="IA196" s="28" t="str">
        <f t="shared" si="138"/>
        <v>00:00</v>
      </c>
      <c r="IB196" s="29"/>
      <c r="IC196" s="27"/>
      <c r="ID196" s="27"/>
      <c r="IE196" s="28" t="str">
        <f>IFERROR(VLOOKUP(IC196,Horarios!$H:$I,2,0),"")</f>
        <v/>
      </c>
      <c r="IF196" s="28" t="str">
        <f>IFERROR(VLOOKUP(ID196,Horarios!$H:$I,2,0),"")</f>
        <v/>
      </c>
      <c r="IG196" s="28" t="str">
        <f t="shared" si="139"/>
        <v>00:00</v>
      </c>
      <c r="IH196" s="29"/>
      <c r="II196" s="27"/>
      <c r="IJ196" s="27"/>
      <c r="IK196" s="28" t="str">
        <f>IFERROR(VLOOKUP(II196,Horarios!$H:$I,2,0),"")</f>
        <v/>
      </c>
      <c r="IL196" s="28" t="str">
        <f>IFERROR(VLOOKUP(IJ196,Horarios!$H:$I,2,0),"")</f>
        <v/>
      </c>
      <c r="IM196" s="28" t="str">
        <f t="shared" si="140"/>
        <v>00:00</v>
      </c>
      <c r="IN196" s="29"/>
      <c r="IO196" s="27"/>
      <c r="IP196" s="27"/>
      <c r="IQ196" s="28" t="str">
        <f>IFERROR(VLOOKUP(IO196,Horarios!$H:$I,2,0),"")</f>
        <v/>
      </c>
      <c r="IR196" s="28" t="str">
        <f>IFERROR(VLOOKUP(IP196,Horarios!$H:$I,2,0),"")</f>
        <v/>
      </c>
      <c r="IS196" s="28" t="str">
        <f t="shared" si="141"/>
        <v>00:00</v>
      </c>
      <c r="IT196" s="29"/>
      <c r="IU196" s="27"/>
      <c r="IV196" s="27"/>
      <c r="IW196" s="28" t="str">
        <f>IFERROR(VLOOKUP(IU196,Horarios!$H:$I,2,0),"")</f>
        <v/>
      </c>
      <c r="IX196" s="28" t="str">
        <f>IFERROR(VLOOKUP(IV196,Horarios!$H:$I,2,0),"")</f>
        <v/>
      </c>
      <c r="IY196" s="28" t="str">
        <f t="shared" si="142"/>
        <v>00:00</v>
      </c>
      <c r="IZ196" s="29"/>
      <c r="JA196" s="31" t="str">
        <f t="shared" si="143"/>
        <v/>
      </c>
    </row>
    <row r="197" spans="1:261" s="24" customFormat="1" ht="17.399999999999999" x14ac:dyDescent="0.25">
      <c r="A197" s="25"/>
      <c r="B197" s="26" t="str">
        <f>IFERROR(VLOOKUP(A197,BaseNombres!A:B,2,0),"")</f>
        <v/>
      </c>
      <c r="C197" s="26" t="str">
        <f>IFERROR(VLOOKUP(A197,BaseNombres!A:C,3,0),"")</f>
        <v/>
      </c>
      <c r="D197" s="27"/>
      <c r="E197" s="27"/>
      <c r="F197" s="28" t="str">
        <f>IFERROR(VLOOKUP(D197,Horarios!$H:$I,2,0),"")</f>
        <v/>
      </c>
      <c r="G197" s="28" t="str">
        <f>IFERROR(VLOOKUP(E197,Horarios!$H:$I,2,0),"")</f>
        <v/>
      </c>
      <c r="H197" s="28" t="str">
        <f t="shared" si="96"/>
        <v>00:00</v>
      </c>
      <c r="I197" s="29"/>
      <c r="J197" s="27"/>
      <c r="K197" s="27"/>
      <c r="L197" s="28" t="str">
        <f>IFERROR(VLOOKUP(J197,Horarios!$H:$I,2,0),"")</f>
        <v/>
      </c>
      <c r="M197" s="28" t="str">
        <f>IFERROR(VLOOKUP(K197,Horarios!$H:$I,2,0),"")</f>
        <v/>
      </c>
      <c r="N197" s="28" t="str">
        <f t="shared" si="97"/>
        <v>00:00</v>
      </c>
      <c r="O197" s="29"/>
      <c r="P197" s="27"/>
      <c r="Q197" s="27"/>
      <c r="R197" s="28" t="str">
        <f>IFERROR(VLOOKUP(P197,Horarios!$H:$I,2,0),"")</f>
        <v/>
      </c>
      <c r="S197" s="28" t="str">
        <f>IFERROR(VLOOKUP(Q197,Horarios!$H:$I,2,0),"")</f>
        <v/>
      </c>
      <c r="T197" s="28" t="str">
        <f t="shared" si="98"/>
        <v>00:00</v>
      </c>
      <c r="U197" s="29"/>
      <c r="V197" s="27"/>
      <c r="W197" s="27"/>
      <c r="X197" s="28" t="str">
        <f>IFERROR(VLOOKUP(V197,Horarios!$H:$I,2,0),"")</f>
        <v/>
      </c>
      <c r="Y197" s="28" t="str">
        <f>IFERROR(VLOOKUP(W197,Horarios!$H:$I,2,0),"")</f>
        <v/>
      </c>
      <c r="Z197" s="28" t="str">
        <f t="shared" si="99"/>
        <v>00:00</v>
      </c>
      <c r="AA197" s="29"/>
      <c r="AB197" s="27"/>
      <c r="AC197" s="27"/>
      <c r="AD197" s="28" t="str">
        <f>IFERROR(VLOOKUP(AB197,Horarios!$H:$I,2,0),"")</f>
        <v/>
      </c>
      <c r="AE197" s="28" t="str">
        <f>IFERROR(VLOOKUP(AC197,Horarios!$H:$I,2,0),"")</f>
        <v/>
      </c>
      <c r="AF197" s="28" t="str">
        <f t="shared" si="100"/>
        <v>00:00</v>
      </c>
      <c r="AG197" s="29"/>
      <c r="AH197" s="27"/>
      <c r="AI197" s="27"/>
      <c r="AJ197" s="28" t="str">
        <f>IFERROR(VLOOKUP(AH197,Horarios!$H:$I,2,0),"")</f>
        <v/>
      </c>
      <c r="AK197" s="28" t="str">
        <f>IFERROR(VLOOKUP(AI197,Horarios!$H:$I,2,0),"")</f>
        <v/>
      </c>
      <c r="AL197" s="28" t="str">
        <f t="shared" si="101"/>
        <v>00:00</v>
      </c>
      <c r="AM197" s="29"/>
      <c r="AN197" s="27"/>
      <c r="AO197" s="27"/>
      <c r="AP197" s="28" t="str">
        <f>IFERROR(VLOOKUP(AN197,Horarios!$H:$I,2,0),"")</f>
        <v/>
      </c>
      <c r="AQ197" s="28" t="str">
        <f>IFERROR(VLOOKUP(AO197,Horarios!$H:$I,2,0),"")</f>
        <v/>
      </c>
      <c r="AR197" s="28" t="str">
        <f t="shared" si="102"/>
        <v>00:00</v>
      </c>
      <c r="AS197" s="29"/>
      <c r="AT197" s="31" t="str">
        <f t="shared" si="103"/>
        <v/>
      </c>
      <c r="AU197" s="27"/>
      <c r="AV197" s="27"/>
      <c r="AW197" s="28" t="str">
        <f>IFERROR(VLOOKUP(AU197,Horarios!$H:$I,2,0),"")</f>
        <v/>
      </c>
      <c r="AX197" s="28" t="str">
        <f>IFERROR(VLOOKUP(AV197,Horarios!$H:$I,2,0),"")</f>
        <v/>
      </c>
      <c r="AY197" s="28" t="str">
        <f t="shared" si="104"/>
        <v>00:00</v>
      </c>
      <c r="AZ197" s="29"/>
      <c r="BA197" s="27"/>
      <c r="BB197" s="27"/>
      <c r="BC197" s="28" t="str">
        <f>IFERROR(VLOOKUP(BA197,Horarios!$H:$I,2,0),"")</f>
        <v/>
      </c>
      <c r="BD197" s="28" t="str">
        <f>IFERROR(VLOOKUP(BB197,Horarios!$H:$I,2,0),"")</f>
        <v/>
      </c>
      <c r="BE197" s="28" t="str">
        <f t="shared" si="105"/>
        <v>00:00</v>
      </c>
      <c r="BF197" s="29"/>
      <c r="BG197" s="27"/>
      <c r="BH197" s="27"/>
      <c r="BI197" s="28" t="str">
        <f>IFERROR(VLOOKUP(BG197,Horarios!$H:$I,2,0),"")</f>
        <v/>
      </c>
      <c r="BJ197" s="28" t="str">
        <f>IFERROR(VLOOKUP(BH197,Horarios!$H:$I,2,0),"")</f>
        <v/>
      </c>
      <c r="BK197" s="28" t="str">
        <f t="shared" si="106"/>
        <v>00:00</v>
      </c>
      <c r="BL197" s="29"/>
      <c r="BM197" s="27"/>
      <c r="BN197" s="27"/>
      <c r="BO197" s="28" t="str">
        <f>IFERROR(VLOOKUP(BM197,Horarios!$H:$I,2,0),"")</f>
        <v/>
      </c>
      <c r="BP197" s="28" t="str">
        <f>IFERROR(VLOOKUP(BN197,Horarios!$H:$I,2,0),"")</f>
        <v/>
      </c>
      <c r="BQ197" s="28" t="str">
        <f t="shared" si="107"/>
        <v>00:00</v>
      </c>
      <c r="BR197" s="29"/>
      <c r="BS197" s="27"/>
      <c r="BT197" s="27"/>
      <c r="BU197" s="28" t="str">
        <f>IFERROR(VLOOKUP(BS197,Horarios!$H:$I,2,0),"")</f>
        <v/>
      </c>
      <c r="BV197" s="28" t="str">
        <f>IFERROR(VLOOKUP(BT197,Horarios!$H:$I,2,0),"")</f>
        <v/>
      </c>
      <c r="BW197" s="28" t="str">
        <f t="shared" si="108"/>
        <v>00:00</v>
      </c>
      <c r="BX197" s="29"/>
      <c r="BY197" s="27"/>
      <c r="BZ197" s="27"/>
      <c r="CA197" s="28" t="str">
        <f>IFERROR(VLOOKUP(BY197,Horarios!$H:$I,2,0),"")</f>
        <v/>
      </c>
      <c r="CB197" s="28" t="str">
        <f>IFERROR(VLOOKUP(BZ197,Horarios!$H:$I,2,0),"")</f>
        <v/>
      </c>
      <c r="CC197" s="28" t="str">
        <f t="shared" si="109"/>
        <v>00:00</v>
      </c>
      <c r="CD197" s="29"/>
      <c r="CE197" s="27"/>
      <c r="CF197" s="27"/>
      <c r="CG197" s="28" t="str">
        <f>IFERROR(VLOOKUP(CE197,Horarios!$H:$I,2,0),"")</f>
        <v/>
      </c>
      <c r="CH197" s="28" t="str">
        <f>IFERROR(VLOOKUP(CF197,Horarios!$H:$I,2,0),"")</f>
        <v/>
      </c>
      <c r="CI197" s="28" t="str">
        <f t="shared" si="110"/>
        <v>00:00</v>
      </c>
      <c r="CJ197" s="29"/>
      <c r="CK197" s="31" t="str">
        <f t="shared" si="111"/>
        <v/>
      </c>
      <c r="CL197" s="27"/>
      <c r="CM197" s="27"/>
      <c r="CN197" s="28" t="str">
        <f>IFERROR(VLOOKUP(CL197,Horarios!$H:$I,2,0),"")</f>
        <v/>
      </c>
      <c r="CO197" s="28" t="str">
        <f>IFERROR(VLOOKUP(CM197,Horarios!$H:$I,2,0),"")</f>
        <v/>
      </c>
      <c r="CP197" s="28" t="str">
        <f t="shared" si="112"/>
        <v>00:00</v>
      </c>
      <c r="CQ197" s="29"/>
      <c r="CR197" s="27"/>
      <c r="CS197" s="27"/>
      <c r="CT197" s="28" t="str">
        <f>IFERROR(VLOOKUP(CR197,Horarios!$H:$I,2,0),"")</f>
        <v/>
      </c>
      <c r="CU197" s="28" t="str">
        <f>IFERROR(VLOOKUP(CS197,Horarios!$H:$I,2,0),"")</f>
        <v/>
      </c>
      <c r="CV197" s="28" t="str">
        <f t="shared" si="113"/>
        <v>00:00</v>
      </c>
      <c r="CW197" s="29"/>
      <c r="CX197" s="27"/>
      <c r="CY197" s="27"/>
      <c r="CZ197" s="28" t="str">
        <f>IFERROR(VLOOKUP(CX197,Horarios!$H:$I,2,0),"")</f>
        <v/>
      </c>
      <c r="DA197" s="28" t="str">
        <f>IFERROR(VLOOKUP(CY197,Horarios!$H:$I,2,0),"")</f>
        <v/>
      </c>
      <c r="DB197" s="28" t="str">
        <f t="shared" si="114"/>
        <v>00:00</v>
      </c>
      <c r="DC197" s="29"/>
      <c r="DD197" s="27"/>
      <c r="DE197" s="27"/>
      <c r="DF197" s="28" t="str">
        <f>IFERROR(VLOOKUP(DD197,Horarios!$H:$I,2,0),"")</f>
        <v/>
      </c>
      <c r="DG197" s="28" t="str">
        <f>IFERROR(VLOOKUP(DE197,Horarios!$H:$I,2,0),"")</f>
        <v/>
      </c>
      <c r="DH197" s="28" t="str">
        <f t="shared" si="115"/>
        <v>00:00</v>
      </c>
      <c r="DI197" s="29"/>
      <c r="DJ197" s="27"/>
      <c r="DK197" s="27"/>
      <c r="DL197" s="28" t="str">
        <f>IFERROR(VLOOKUP(DJ197,Horarios!$H:$I,2,0),"")</f>
        <v/>
      </c>
      <c r="DM197" s="28" t="str">
        <f>IFERROR(VLOOKUP(DK197,Horarios!$H:$I,2,0),"")</f>
        <v/>
      </c>
      <c r="DN197" s="28" t="str">
        <f t="shared" si="116"/>
        <v>00:00</v>
      </c>
      <c r="DO197" s="29"/>
      <c r="DP197" s="27"/>
      <c r="DQ197" s="27"/>
      <c r="DR197" s="28" t="str">
        <f>IFERROR(VLOOKUP(DP197,Horarios!$H:$I,2,0),"")</f>
        <v/>
      </c>
      <c r="DS197" s="28" t="str">
        <f>IFERROR(VLOOKUP(DQ197,Horarios!$H:$I,2,0),"")</f>
        <v/>
      </c>
      <c r="DT197" s="28" t="str">
        <f t="shared" si="117"/>
        <v>00:00</v>
      </c>
      <c r="DU197" s="29"/>
      <c r="DV197" s="27"/>
      <c r="DW197" s="27"/>
      <c r="DX197" s="28" t="str">
        <f>IFERROR(VLOOKUP(DV197,Horarios!$H:$I,2,0),"")</f>
        <v/>
      </c>
      <c r="DY197" s="28" t="str">
        <f>IFERROR(VLOOKUP(DW197,Horarios!$H:$I,2,0),"")</f>
        <v/>
      </c>
      <c r="DZ197" s="28" t="str">
        <f t="shared" si="118"/>
        <v>00:00</v>
      </c>
      <c r="EA197" s="29"/>
      <c r="EB197" s="31" t="str">
        <f t="shared" si="119"/>
        <v/>
      </c>
      <c r="EC197" s="27"/>
      <c r="ED197" s="27"/>
      <c r="EE197" s="28" t="str">
        <f>IFERROR(VLOOKUP(EC197,Horarios!$H:$I,2,0),"")</f>
        <v/>
      </c>
      <c r="EF197" s="28" t="str">
        <f>IFERROR(VLOOKUP(ED197,Horarios!$H:$I,2,0),"")</f>
        <v/>
      </c>
      <c r="EG197" s="28" t="str">
        <f t="shared" si="120"/>
        <v>00:00</v>
      </c>
      <c r="EH197" s="29"/>
      <c r="EI197" s="27"/>
      <c r="EJ197" s="27"/>
      <c r="EK197" s="28" t="str">
        <f>IFERROR(VLOOKUP(EI197,Horarios!$H:$I,2,0),"")</f>
        <v/>
      </c>
      <c r="EL197" s="28" t="str">
        <f>IFERROR(VLOOKUP(EJ197,Horarios!$H:$I,2,0),"")</f>
        <v/>
      </c>
      <c r="EM197" s="28" t="str">
        <f t="shared" si="121"/>
        <v>00:00</v>
      </c>
      <c r="EN197" s="29"/>
      <c r="EO197" s="27"/>
      <c r="EP197" s="27"/>
      <c r="EQ197" s="28" t="str">
        <f>IFERROR(VLOOKUP(EO197,Horarios!$H:$I,2,0),"")</f>
        <v/>
      </c>
      <c r="ER197" s="28" t="str">
        <f>IFERROR(VLOOKUP(EP197,Horarios!$H:$I,2,0),"")</f>
        <v/>
      </c>
      <c r="ES197" s="28" t="str">
        <f t="shared" si="122"/>
        <v>00:00</v>
      </c>
      <c r="ET197" s="29"/>
      <c r="EU197" s="27"/>
      <c r="EV197" s="27"/>
      <c r="EW197" s="28" t="str">
        <f>IFERROR(VLOOKUP(EU197,Horarios!$H:$I,2,0),"")</f>
        <v/>
      </c>
      <c r="EX197" s="28" t="str">
        <f>IFERROR(VLOOKUP(EV197,Horarios!$H:$I,2,0),"")</f>
        <v/>
      </c>
      <c r="EY197" s="28" t="str">
        <f t="shared" si="123"/>
        <v>00:00</v>
      </c>
      <c r="EZ197" s="29"/>
      <c r="FA197" s="27"/>
      <c r="FB197" s="27"/>
      <c r="FC197" s="28" t="str">
        <f>IFERROR(VLOOKUP(FA197,Horarios!$H:$I,2,0),"")</f>
        <v/>
      </c>
      <c r="FD197" s="28" t="str">
        <f>IFERROR(VLOOKUP(FB197,Horarios!$H:$I,2,0),"")</f>
        <v/>
      </c>
      <c r="FE197" s="28" t="str">
        <f t="shared" si="124"/>
        <v>00:00</v>
      </c>
      <c r="FF197" s="29"/>
      <c r="FG197" s="27"/>
      <c r="FH197" s="27"/>
      <c r="FI197" s="28" t="str">
        <f>IFERROR(VLOOKUP(FG197,Horarios!$H:$I,2,0),"")</f>
        <v/>
      </c>
      <c r="FJ197" s="28" t="str">
        <f>IFERROR(VLOOKUP(FH197,Horarios!$H:$I,2,0),"")</f>
        <v/>
      </c>
      <c r="FK197" s="28" t="str">
        <f t="shared" si="125"/>
        <v>00:00</v>
      </c>
      <c r="FL197" s="29"/>
      <c r="FM197" s="27"/>
      <c r="FN197" s="27"/>
      <c r="FO197" s="28" t="str">
        <f>IFERROR(VLOOKUP(FM197,Horarios!$H:$I,2,0),"")</f>
        <v/>
      </c>
      <c r="FP197" s="28" t="str">
        <f>IFERROR(VLOOKUP(FN197,Horarios!$H:$I,2,0),"")</f>
        <v/>
      </c>
      <c r="FQ197" s="28" t="str">
        <f t="shared" si="126"/>
        <v>00:00</v>
      </c>
      <c r="FR197" s="29"/>
      <c r="FS197" s="31" t="str">
        <f t="shared" si="127"/>
        <v/>
      </c>
      <c r="FT197" s="27"/>
      <c r="FU197" s="27"/>
      <c r="FV197" s="28" t="str">
        <f>IFERROR(VLOOKUP(FT197,Horarios!$H:$I,2,0),"")</f>
        <v/>
      </c>
      <c r="FW197" s="28" t="str">
        <f>IFERROR(VLOOKUP(FU197,Horarios!$H:$I,2,0),"")</f>
        <v/>
      </c>
      <c r="FX197" s="28" t="str">
        <f t="shared" si="128"/>
        <v>00:00</v>
      </c>
      <c r="FY197" s="29"/>
      <c r="FZ197" s="27"/>
      <c r="GA197" s="27"/>
      <c r="GB197" s="28" t="str">
        <f>IFERROR(VLOOKUP(FZ197,Horarios!$H:$I,2,0),"")</f>
        <v/>
      </c>
      <c r="GC197" s="28" t="str">
        <f>IFERROR(VLOOKUP(GA197,Horarios!$H:$I,2,0),"")</f>
        <v/>
      </c>
      <c r="GD197" s="28" t="str">
        <f t="shared" si="129"/>
        <v>00:00</v>
      </c>
      <c r="GE197" s="29"/>
      <c r="GF197" s="27"/>
      <c r="GG197" s="27"/>
      <c r="GH197" s="28" t="str">
        <f>IFERROR(VLOOKUP(GF197,Horarios!$H:$I,2,0),"")</f>
        <v/>
      </c>
      <c r="GI197" s="28" t="str">
        <f>IFERROR(VLOOKUP(GG197,Horarios!$H:$I,2,0),"")</f>
        <v/>
      </c>
      <c r="GJ197" s="28" t="str">
        <f t="shared" si="130"/>
        <v>00:00</v>
      </c>
      <c r="GK197" s="29"/>
      <c r="GL197" s="27"/>
      <c r="GM197" s="27"/>
      <c r="GN197" s="28" t="str">
        <f>IFERROR(VLOOKUP(GL197,Horarios!$H:$I,2,0),"")</f>
        <v/>
      </c>
      <c r="GO197" s="28" t="str">
        <f>IFERROR(VLOOKUP(GM197,Horarios!$H:$I,2,0),"")</f>
        <v/>
      </c>
      <c r="GP197" s="28" t="str">
        <f t="shared" si="131"/>
        <v>00:00</v>
      </c>
      <c r="GQ197" s="29"/>
      <c r="GR197" s="27"/>
      <c r="GS197" s="27"/>
      <c r="GT197" s="28" t="str">
        <f>IFERROR(VLOOKUP(GR197,Horarios!$H:$I,2,0),"")</f>
        <v/>
      </c>
      <c r="GU197" s="28" t="str">
        <f>IFERROR(VLOOKUP(GS197,Horarios!$H:$I,2,0),"")</f>
        <v/>
      </c>
      <c r="GV197" s="28" t="str">
        <f t="shared" si="132"/>
        <v>00:00</v>
      </c>
      <c r="GW197" s="29"/>
      <c r="GX197" s="27"/>
      <c r="GY197" s="27"/>
      <c r="GZ197" s="28" t="str">
        <f>IFERROR(VLOOKUP(GX197,Horarios!$H:$I,2,0),"")</f>
        <v/>
      </c>
      <c r="HA197" s="28" t="str">
        <f>IFERROR(VLOOKUP(GY197,Horarios!$H:$I,2,0),"")</f>
        <v/>
      </c>
      <c r="HB197" s="28" t="str">
        <f t="shared" si="133"/>
        <v>00:00</v>
      </c>
      <c r="HC197" s="29"/>
      <c r="HD197" s="27"/>
      <c r="HE197" s="27"/>
      <c r="HF197" s="28" t="str">
        <f>IFERROR(VLOOKUP(HD197,Horarios!$H:$I,2,0),"")</f>
        <v/>
      </c>
      <c r="HG197" s="28" t="str">
        <f>IFERROR(VLOOKUP(HE197,Horarios!$H:$I,2,0),"")</f>
        <v/>
      </c>
      <c r="HH197" s="28" t="str">
        <f t="shared" si="134"/>
        <v>00:00</v>
      </c>
      <c r="HI197" s="29"/>
      <c r="HJ197" s="31" t="str">
        <f t="shared" si="135"/>
        <v/>
      </c>
      <c r="HK197" s="27"/>
      <c r="HL197" s="27"/>
      <c r="HM197" s="28" t="str">
        <f>IFERROR(VLOOKUP(HK197,Horarios!$H:$I,2,0),"")</f>
        <v/>
      </c>
      <c r="HN197" s="28" t="str">
        <f>IFERROR(VLOOKUP(HL197,Horarios!$H:$I,2,0),"")</f>
        <v/>
      </c>
      <c r="HO197" s="28" t="str">
        <f t="shared" si="136"/>
        <v>00:00</v>
      </c>
      <c r="HP197" s="29"/>
      <c r="HQ197" s="27"/>
      <c r="HR197" s="27"/>
      <c r="HS197" s="28" t="str">
        <f>IFERROR(VLOOKUP(HQ197,Horarios!$H:$I,2,0),"")</f>
        <v/>
      </c>
      <c r="HT197" s="28" t="str">
        <f>IFERROR(VLOOKUP(HR197,Horarios!$H:$I,2,0),"")</f>
        <v/>
      </c>
      <c r="HU197" s="28" t="str">
        <f t="shared" si="137"/>
        <v>00:00</v>
      </c>
      <c r="HV197" s="29"/>
      <c r="HW197" s="27"/>
      <c r="HX197" s="27"/>
      <c r="HY197" s="28" t="str">
        <f>IFERROR(VLOOKUP(HW197,Horarios!$H:$I,2,0),"")</f>
        <v/>
      </c>
      <c r="HZ197" s="28" t="str">
        <f>IFERROR(VLOOKUP(HX197,Horarios!$H:$I,2,0),"")</f>
        <v/>
      </c>
      <c r="IA197" s="28" t="str">
        <f t="shared" si="138"/>
        <v>00:00</v>
      </c>
      <c r="IB197" s="29"/>
      <c r="IC197" s="27"/>
      <c r="ID197" s="27"/>
      <c r="IE197" s="28" t="str">
        <f>IFERROR(VLOOKUP(IC197,Horarios!$H:$I,2,0),"")</f>
        <v/>
      </c>
      <c r="IF197" s="28" t="str">
        <f>IFERROR(VLOOKUP(ID197,Horarios!$H:$I,2,0),"")</f>
        <v/>
      </c>
      <c r="IG197" s="28" t="str">
        <f t="shared" si="139"/>
        <v>00:00</v>
      </c>
      <c r="IH197" s="29"/>
      <c r="II197" s="27"/>
      <c r="IJ197" s="27"/>
      <c r="IK197" s="28" t="str">
        <f>IFERROR(VLOOKUP(II197,Horarios!$H:$I,2,0),"")</f>
        <v/>
      </c>
      <c r="IL197" s="28" t="str">
        <f>IFERROR(VLOOKUP(IJ197,Horarios!$H:$I,2,0),"")</f>
        <v/>
      </c>
      <c r="IM197" s="28" t="str">
        <f t="shared" si="140"/>
        <v>00:00</v>
      </c>
      <c r="IN197" s="29"/>
      <c r="IO197" s="27"/>
      <c r="IP197" s="27"/>
      <c r="IQ197" s="28" t="str">
        <f>IFERROR(VLOOKUP(IO197,Horarios!$H:$I,2,0),"")</f>
        <v/>
      </c>
      <c r="IR197" s="28" t="str">
        <f>IFERROR(VLOOKUP(IP197,Horarios!$H:$I,2,0),"")</f>
        <v/>
      </c>
      <c r="IS197" s="28" t="str">
        <f t="shared" si="141"/>
        <v>00:00</v>
      </c>
      <c r="IT197" s="29"/>
      <c r="IU197" s="27"/>
      <c r="IV197" s="27"/>
      <c r="IW197" s="28" t="str">
        <f>IFERROR(VLOOKUP(IU197,Horarios!$H:$I,2,0),"")</f>
        <v/>
      </c>
      <c r="IX197" s="28" t="str">
        <f>IFERROR(VLOOKUP(IV197,Horarios!$H:$I,2,0),"")</f>
        <v/>
      </c>
      <c r="IY197" s="28" t="str">
        <f t="shared" si="142"/>
        <v>00:00</v>
      </c>
      <c r="IZ197" s="29"/>
      <c r="JA197" s="31" t="str">
        <f t="shared" si="143"/>
        <v/>
      </c>
    </row>
    <row r="198" spans="1:261" s="24" customFormat="1" ht="17.399999999999999" x14ac:dyDescent="0.25">
      <c r="A198" s="25"/>
      <c r="B198" s="26" t="str">
        <f>IFERROR(VLOOKUP(A198,BaseNombres!A:B,2,0),"")</f>
        <v/>
      </c>
      <c r="C198" s="26" t="str">
        <f>IFERROR(VLOOKUP(A198,BaseNombres!A:C,3,0),"")</f>
        <v/>
      </c>
      <c r="D198" s="27"/>
      <c r="E198" s="27"/>
      <c r="F198" s="28" t="str">
        <f>IFERROR(VLOOKUP(D198,Horarios!$H:$I,2,0),"")</f>
        <v/>
      </c>
      <c r="G198" s="28" t="str">
        <f>IFERROR(VLOOKUP(E198,Horarios!$H:$I,2,0),"")</f>
        <v/>
      </c>
      <c r="H198" s="28" t="str">
        <f t="shared" si="96"/>
        <v>00:00</v>
      </c>
      <c r="I198" s="29"/>
      <c r="J198" s="27"/>
      <c r="K198" s="27"/>
      <c r="L198" s="28" t="str">
        <f>IFERROR(VLOOKUP(J198,Horarios!$H:$I,2,0),"")</f>
        <v/>
      </c>
      <c r="M198" s="28" t="str">
        <f>IFERROR(VLOOKUP(K198,Horarios!$H:$I,2,0),"")</f>
        <v/>
      </c>
      <c r="N198" s="28" t="str">
        <f t="shared" si="97"/>
        <v>00:00</v>
      </c>
      <c r="O198" s="29"/>
      <c r="P198" s="27"/>
      <c r="Q198" s="27"/>
      <c r="R198" s="28" t="str">
        <f>IFERROR(VLOOKUP(P198,Horarios!$H:$I,2,0),"")</f>
        <v/>
      </c>
      <c r="S198" s="28" t="str">
        <f>IFERROR(VLOOKUP(Q198,Horarios!$H:$I,2,0),"")</f>
        <v/>
      </c>
      <c r="T198" s="28" t="str">
        <f t="shared" si="98"/>
        <v>00:00</v>
      </c>
      <c r="U198" s="29"/>
      <c r="V198" s="27"/>
      <c r="W198" s="27"/>
      <c r="X198" s="28" t="str">
        <f>IFERROR(VLOOKUP(V198,Horarios!$H:$I,2,0),"")</f>
        <v/>
      </c>
      <c r="Y198" s="28" t="str">
        <f>IFERROR(VLOOKUP(W198,Horarios!$H:$I,2,0),"")</f>
        <v/>
      </c>
      <c r="Z198" s="28" t="str">
        <f t="shared" si="99"/>
        <v>00:00</v>
      </c>
      <c r="AA198" s="29"/>
      <c r="AB198" s="27"/>
      <c r="AC198" s="27"/>
      <c r="AD198" s="28" t="str">
        <f>IFERROR(VLOOKUP(AB198,Horarios!$H:$I,2,0),"")</f>
        <v/>
      </c>
      <c r="AE198" s="28" t="str">
        <f>IFERROR(VLOOKUP(AC198,Horarios!$H:$I,2,0),"")</f>
        <v/>
      </c>
      <c r="AF198" s="28" t="str">
        <f t="shared" si="100"/>
        <v>00:00</v>
      </c>
      <c r="AG198" s="29"/>
      <c r="AH198" s="27"/>
      <c r="AI198" s="27"/>
      <c r="AJ198" s="28" t="str">
        <f>IFERROR(VLOOKUP(AH198,Horarios!$H:$I,2,0),"")</f>
        <v/>
      </c>
      <c r="AK198" s="28" t="str">
        <f>IFERROR(VLOOKUP(AI198,Horarios!$H:$I,2,0),"")</f>
        <v/>
      </c>
      <c r="AL198" s="28" t="str">
        <f t="shared" si="101"/>
        <v>00:00</v>
      </c>
      <c r="AM198" s="29"/>
      <c r="AN198" s="27"/>
      <c r="AO198" s="27"/>
      <c r="AP198" s="28" t="str">
        <f>IFERROR(VLOOKUP(AN198,Horarios!$H:$I,2,0),"")</f>
        <v/>
      </c>
      <c r="AQ198" s="28" t="str">
        <f>IFERROR(VLOOKUP(AO198,Horarios!$H:$I,2,0),"")</f>
        <v/>
      </c>
      <c r="AR198" s="28" t="str">
        <f t="shared" si="102"/>
        <v>00:00</v>
      </c>
      <c r="AS198" s="29"/>
      <c r="AT198" s="31" t="str">
        <f t="shared" si="103"/>
        <v/>
      </c>
      <c r="AU198" s="27"/>
      <c r="AV198" s="27"/>
      <c r="AW198" s="28" t="str">
        <f>IFERROR(VLOOKUP(AU198,Horarios!$H:$I,2,0),"")</f>
        <v/>
      </c>
      <c r="AX198" s="28" t="str">
        <f>IFERROR(VLOOKUP(AV198,Horarios!$H:$I,2,0),"")</f>
        <v/>
      </c>
      <c r="AY198" s="28" t="str">
        <f t="shared" si="104"/>
        <v>00:00</v>
      </c>
      <c r="AZ198" s="29"/>
      <c r="BA198" s="27"/>
      <c r="BB198" s="27"/>
      <c r="BC198" s="28" t="str">
        <f>IFERROR(VLOOKUP(BA198,Horarios!$H:$I,2,0),"")</f>
        <v/>
      </c>
      <c r="BD198" s="28" t="str">
        <f>IFERROR(VLOOKUP(BB198,Horarios!$H:$I,2,0),"")</f>
        <v/>
      </c>
      <c r="BE198" s="28" t="str">
        <f t="shared" si="105"/>
        <v>00:00</v>
      </c>
      <c r="BF198" s="29"/>
      <c r="BG198" s="27"/>
      <c r="BH198" s="27"/>
      <c r="BI198" s="28" t="str">
        <f>IFERROR(VLOOKUP(BG198,Horarios!$H:$I,2,0),"")</f>
        <v/>
      </c>
      <c r="BJ198" s="28" t="str">
        <f>IFERROR(VLOOKUP(BH198,Horarios!$H:$I,2,0),"")</f>
        <v/>
      </c>
      <c r="BK198" s="28" t="str">
        <f t="shared" si="106"/>
        <v>00:00</v>
      </c>
      <c r="BL198" s="29"/>
      <c r="BM198" s="27"/>
      <c r="BN198" s="27"/>
      <c r="BO198" s="28" t="str">
        <f>IFERROR(VLOOKUP(BM198,Horarios!$H:$I,2,0),"")</f>
        <v/>
      </c>
      <c r="BP198" s="28" t="str">
        <f>IFERROR(VLOOKUP(BN198,Horarios!$H:$I,2,0),"")</f>
        <v/>
      </c>
      <c r="BQ198" s="28" t="str">
        <f t="shared" si="107"/>
        <v>00:00</v>
      </c>
      <c r="BR198" s="29"/>
      <c r="BS198" s="27"/>
      <c r="BT198" s="27"/>
      <c r="BU198" s="28" t="str">
        <f>IFERROR(VLOOKUP(BS198,Horarios!$H:$I,2,0),"")</f>
        <v/>
      </c>
      <c r="BV198" s="28" t="str">
        <f>IFERROR(VLOOKUP(BT198,Horarios!$H:$I,2,0),"")</f>
        <v/>
      </c>
      <c r="BW198" s="28" t="str">
        <f t="shared" si="108"/>
        <v>00:00</v>
      </c>
      <c r="BX198" s="29"/>
      <c r="BY198" s="27"/>
      <c r="BZ198" s="27"/>
      <c r="CA198" s="28" t="str">
        <f>IFERROR(VLOOKUP(BY198,Horarios!$H:$I,2,0),"")</f>
        <v/>
      </c>
      <c r="CB198" s="28" t="str">
        <f>IFERROR(VLOOKUP(BZ198,Horarios!$H:$I,2,0),"")</f>
        <v/>
      </c>
      <c r="CC198" s="28" t="str">
        <f t="shared" si="109"/>
        <v>00:00</v>
      </c>
      <c r="CD198" s="29"/>
      <c r="CE198" s="27"/>
      <c r="CF198" s="27"/>
      <c r="CG198" s="28" t="str">
        <f>IFERROR(VLOOKUP(CE198,Horarios!$H:$I,2,0),"")</f>
        <v/>
      </c>
      <c r="CH198" s="28" t="str">
        <f>IFERROR(VLOOKUP(CF198,Horarios!$H:$I,2,0),"")</f>
        <v/>
      </c>
      <c r="CI198" s="28" t="str">
        <f t="shared" si="110"/>
        <v>00:00</v>
      </c>
      <c r="CJ198" s="29"/>
      <c r="CK198" s="31" t="str">
        <f t="shared" si="111"/>
        <v/>
      </c>
      <c r="CL198" s="27"/>
      <c r="CM198" s="27"/>
      <c r="CN198" s="28" t="str">
        <f>IFERROR(VLOOKUP(CL198,Horarios!$H:$I,2,0),"")</f>
        <v/>
      </c>
      <c r="CO198" s="28" t="str">
        <f>IFERROR(VLOOKUP(CM198,Horarios!$H:$I,2,0),"")</f>
        <v/>
      </c>
      <c r="CP198" s="28" t="str">
        <f t="shared" si="112"/>
        <v>00:00</v>
      </c>
      <c r="CQ198" s="29"/>
      <c r="CR198" s="27"/>
      <c r="CS198" s="27"/>
      <c r="CT198" s="28" t="str">
        <f>IFERROR(VLOOKUP(CR198,Horarios!$H:$I,2,0),"")</f>
        <v/>
      </c>
      <c r="CU198" s="28" t="str">
        <f>IFERROR(VLOOKUP(CS198,Horarios!$H:$I,2,0),"")</f>
        <v/>
      </c>
      <c r="CV198" s="28" t="str">
        <f t="shared" si="113"/>
        <v>00:00</v>
      </c>
      <c r="CW198" s="29"/>
      <c r="CX198" s="27"/>
      <c r="CY198" s="27"/>
      <c r="CZ198" s="28" t="str">
        <f>IFERROR(VLOOKUP(CX198,Horarios!$H:$I,2,0),"")</f>
        <v/>
      </c>
      <c r="DA198" s="28" t="str">
        <f>IFERROR(VLOOKUP(CY198,Horarios!$H:$I,2,0),"")</f>
        <v/>
      </c>
      <c r="DB198" s="28" t="str">
        <f t="shared" si="114"/>
        <v>00:00</v>
      </c>
      <c r="DC198" s="29"/>
      <c r="DD198" s="27"/>
      <c r="DE198" s="27"/>
      <c r="DF198" s="28" t="str">
        <f>IFERROR(VLOOKUP(DD198,Horarios!$H:$I,2,0),"")</f>
        <v/>
      </c>
      <c r="DG198" s="28" t="str">
        <f>IFERROR(VLOOKUP(DE198,Horarios!$H:$I,2,0),"")</f>
        <v/>
      </c>
      <c r="DH198" s="28" t="str">
        <f t="shared" si="115"/>
        <v>00:00</v>
      </c>
      <c r="DI198" s="29"/>
      <c r="DJ198" s="27"/>
      <c r="DK198" s="27"/>
      <c r="DL198" s="28" t="str">
        <f>IFERROR(VLOOKUP(DJ198,Horarios!$H:$I,2,0),"")</f>
        <v/>
      </c>
      <c r="DM198" s="28" t="str">
        <f>IFERROR(VLOOKUP(DK198,Horarios!$H:$I,2,0),"")</f>
        <v/>
      </c>
      <c r="DN198" s="28" t="str">
        <f t="shared" si="116"/>
        <v>00:00</v>
      </c>
      <c r="DO198" s="29"/>
      <c r="DP198" s="27"/>
      <c r="DQ198" s="27"/>
      <c r="DR198" s="28" t="str">
        <f>IFERROR(VLOOKUP(DP198,Horarios!$H:$I,2,0),"")</f>
        <v/>
      </c>
      <c r="DS198" s="28" t="str">
        <f>IFERROR(VLOOKUP(DQ198,Horarios!$H:$I,2,0),"")</f>
        <v/>
      </c>
      <c r="DT198" s="28" t="str">
        <f t="shared" si="117"/>
        <v>00:00</v>
      </c>
      <c r="DU198" s="29"/>
      <c r="DV198" s="27"/>
      <c r="DW198" s="27"/>
      <c r="DX198" s="28" t="str">
        <f>IFERROR(VLOOKUP(DV198,Horarios!$H:$I,2,0),"")</f>
        <v/>
      </c>
      <c r="DY198" s="28" t="str">
        <f>IFERROR(VLOOKUP(DW198,Horarios!$H:$I,2,0),"")</f>
        <v/>
      </c>
      <c r="DZ198" s="28" t="str">
        <f t="shared" si="118"/>
        <v>00:00</v>
      </c>
      <c r="EA198" s="29"/>
      <c r="EB198" s="31" t="str">
        <f t="shared" si="119"/>
        <v/>
      </c>
      <c r="EC198" s="27"/>
      <c r="ED198" s="27"/>
      <c r="EE198" s="28" t="str">
        <f>IFERROR(VLOOKUP(EC198,Horarios!$H:$I,2,0),"")</f>
        <v/>
      </c>
      <c r="EF198" s="28" t="str">
        <f>IFERROR(VLOOKUP(ED198,Horarios!$H:$I,2,0),"")</f>
        <v/>
      </c>
      <c r="EG198" s="28" t="str">
        <f t="shared" si="120"/>
        <v>00:00</v>
      </c>
      <c r="EH198" s="29"/>
      <c r="EI198" s="27"/>
      <c r="EJ198" s="27"/>
      <c r="EK198" s="28" t="str">
        <f>IFERROR(VLOOKUP(EI198,Horarios!$H:$I,2,0),"")</f>
        <v/>
      </c>
      <c r="EL198" s="28" t="str">
        <f>IFERROR(VLOOKUP(EJ198,Horarios!$H:$I,2,0),"")</f>
        <v/>
      </c>
      <c r="EM198" s="28" t="str">
        <f t="shared" si="121"/>
        <v>00:00</v>
      </c>
      <c r="EN198" s="29"/>
      <c r="EO198" s="27"/>
      <c r="EP198" s="27"/>
      <c r="EQ198" s="28" t="str">
        <f>IFERROR(VLOOKUP(EO198,Horarios!$H:$I,2,0),"")</f>
        <v/>
      </c>
      <c r="ER198" s="28" t="str">
        <f>IFERROR(VLOOKUP(EP198,Horarios!$H:$I,2,0),"")</f>
        <v/>
      </c>
      <c r="ES198" s="28" t="str">
        <f t="shared" si="122"/>
        <v>00:00</v>
      </c>
      <c r="ET198" s="29"/>
      <c r="EU198" s="27"/>
      <c r="EV198" s="27"/>
      <c r="EW198" s="28" t="str">
        <f>IFERROR(VLOOKUP(EU198,Horarios!$H:$I,2,0),"")</f>
        <v/>
      </c>
      <c r="EX198" s="28" t="str">
        <f>IFERROR(VLOOKUP(EV198,Horarios!$H:$I,2,0),"")</f>
        <v/>
      </c>
      <c r="EY198" s="28" t="str">
        <f t="shared" si="123"/>
        <v>00:00</v>
      </c>
      <c r="EZ198" s="29"/>
      <c r="FA198" s="27"/>
      <c r="FB198" s="27"/>
      <c r="FC198" s="28" t="str">
        <f>IFERROR(VLOOKUP(FA198,Horarios!$H:$I,2,0),"")</f>
        <v/>
      </c>
      <c r="FD198" s="28" t="str">
        <f>IFERROR(VLOOKUP(FB198,Horarios!$H:$I,2,0),"")</f>
        <v/>
      </c>
      <c r="FE198" s="28" t="str">
        <f t="shared" si="124"/>
        <v>00:00</v>
      </c>
      <c r="FF198" s="29"/>
      <c r="FG198" s="27"/>
      <c r="FH198" s="27"/>
      <c r="FI198" s="28" t="str">
        <f>IFERROR(VLOOKUP(FG198,Horarios!$H:$I,2,0),"")</f>
        <v/>
      </c>
      <c r="FJ198" s="28" t="str">
        <f>IFERROR(VLOOKUP(FH198,Horarios!$H:$I,2,0),"")</f>
        <v/>
      </c>
      <c r="FK198" s="28" t="str">
        <f t="shared" si="125"/>
        <v>00:00</v>
      </c>
      <c r="FL198" s="29"/>
      <c r="FM198" s="27"/>
      <c r="FN198" s="27"/>
      <c r="FO198" s="28" t="str">
        <f>IFERROR(VLOOKUP(FM198,Horarios!$H:$I,2,0),"")</f>
        <v/>
      </c>
      <c r="FP198" s="28" t="str">
        <f>IFERROR(VLOOKUP(FN198,Horarios!$H:$I,2,0),"")</f>
        <v/>
      </c>
      <c r="FQ198" s="28" t="str">
        <f t="shared" si="126"/>
        <v>00:00</v>
      </c>
      <c r="FR198" s="29"/>
      <c r="FS198" s="31" t="str">
        <f t="shared" si="127"/>
        <v/>
      </c>
      <c r="FT198" s="27"/>
      <c r="FU198" s="27"/>
      <c r="FV198" s="28" t="str">
        <f>IFERROR(VLOOKUP(FT198,Horarios!$H:$I,2,0),"")</f>
        <v/>
      </c>
      <c r="FW198" s="28" t="str">
        <f>IFERROR(VLOOKUP(FU198,Horarios!$H:$I,2,0),"")</f>
        <v/>
      </c>
      <c r="FX198" s="28" t="str">
        <f t="shared" si="128"/>
        <v>00:00</v>
      </c>
      <c r="FY198" s="29"/>
      <c r="FZ198" s="27"/>
      <c r="GA198" s="27"/>
      <c r="GB198" s="28" t="str">
        <f>IFERROR(VLOOKUP(FZ198,Horarios!$H:$I,2,0),"")</f>
        <v/>
      </c>
      <c r="GC198" s="28" t="str">
        <f>IFERROR(VLOOKUP(GA198,Horarios!$H:$I,2,0),"")</f>
        <v/>
      </c>
      <c r="GD198" s="28" t="str">
        <f t="shared" si="129"/>
        <v>00:00</v>
      </c>
      <c r="GE198" s="29"/>
      <c r="GF198" s="27"/>
      <c r="GG198" s="27"/>
      <c r="GH198" s="28" t="str">
        <f>IFERROR(VLOOKUP(GF198,Horarios!$H:$I,2,0),"")</f>
        <v/>
      </c>
      <c r="GI198" s="28" t="str">
        <f>IFERROR(VLOOKUP(GG198,Horarios!$H:$I,2,0),"")</f>
        <v/>
      </c>
      <c r="GJ198" s="28" t="str">
        <f t="shared" si="130"/>
        <v>00:00</v>
      </c>
      <c r="GK198" s="29"/>
      <c r="GL198" s="27"/>
      <c r="GM198" s="27"/>
      <c r="GN198" s="28" t="str">
        <f>IFERROR(VLOOKUP(GL198,Horarios!$H:$I,2,0),"")</f>
        <v/>
      </c>
      <c r="GO198" s="28" t="str">
        <f>IFERROR(VLOOKUP(GM198,Horarios!$H:$I,2,0),"")</f>
        <v/>
      </c>
      <c r="GP198" s="28" t="str">
        <f t="shared" si="131"/>
        <v>00:00</v>
      </c>
      <c r="GQ198" s="29"/>
      <c r="GR198" s="27"/>
      <c r="GS198" s="27"/>
      <c r="GT198" s="28" t="str">
        <f>IFERROR(VLOOKUP(GR198,Horarios!$H:$I,2,0),"")</f>
        <v/>
      </c>
      <c r="GU198" s="28" t="str">
        <f>IFERROR(VLOOKUP(GS198,Horarios!$H:$I,2,0),"")</f>
        <v/>
      </c>
      <c r="GV198" s="28" t="str">
        <f t="shared" si="132"/>
        <v>00:00</v>
      </c>
      <c r="GW198" s="29"/>
      <c r="GX198" s="27"/>
      <c r="GY198" s="27"/>
      <c r="GZ198" s="28" t="str">
        <f>IFERROR(VLOOKUP(GX198,Horarios!$H:$I,2,0),"")</f>
        <v/>
      </c>
      <c r="HA198" s="28" t="str">
        <f>IFERROR(VLOOKUP(GY198,Horarios!$H:$I,2,0),"")</f>
        <v/>
      </c>
      <c r="HB198" s="28" t="str">
        <f t="shared" si="133"/>
        <v>00:00</v>
      </c>
      <c r="HC198" s="29"/>
      <c r="HD198" s="27"/>
      <c r="HE198" s="27"/>
      <c r="HF198" s="28" t="str">
        <f>IFERROR(VLOOKUP(HD198,Horarios!$H:$I,2,0),"")</f>
        <v/>
      </c>
      <c r="HG198" s="28" t="str">
        <f>IFERROR(VLOOKUP(HE198,Horarios!$H:$I,2,0),"")</f>
        <v/>
      </c>
      <c r="HH198" s="28" t="str">
        <f t="shared" si="134"/>
        <v>00:00</v>
      </c>
      <c r="HI198" s="29"/>
      <c r="HJ198" s="31" t="str">
        <f t="shared" si="135"/>
        <v/>
      </c>
      <c r="HK198" s="27"/>
      <c r="HL198" s="27"/>
      <c r="HM198" s="28" t="str">
        <f>IFERROR(VLOOKUP(HK198,Horarios!$H:$I,2,0),"")</f>
        <v/>
      </c>
      <c r="HN198" s="28" t="str">
        <f>IFERROR(VLOOKUP(HL198,Horarios!$H:$I,2,0),"")</f>
        <v/>
      </c>
      <c r="HO198" s="28" t="str">
        <f t="shared" si="136"/>
        <v>00:00</v>
      </c>
      <c r="HP198" s="29"/>
      <c r="HQ198" s="27"/>
      <c r="HR198" s="27"/>
      <c r="HS198" s="28" t="str">
        <f>IFERROR(VLOOKUP(HQ198,Horarios!$H:$I,2,0),"")</f>
        <v/>
      </c>
      <c r="HT198" s="28" t="str">
        <f>IFERROR(VLOOKUP(HR198,Horarios!$H:$I,2,0),"")</f>
        <v/>
      </c>
      <c r="HU198" s="28" t="str">
        <f t="shared" si="137"/>
        <v>00:00</v>
      </c>
      <c r="HV198" s="29"/>
      <c r="HW198" s="27"/>
      <c r="HX198" s="27"/>
      <c r="HY198" s="28" t="str">
        <f>IFERROR(VLOOKUP(HW198,Horarios!$H:$I,2,0),"")</f>
        <v/>
      </c>
      <c r="HZ198" s="28" t="str">
        <f>IFERROR(VLOOKUP(HX198,Horarios!$H:$I,2,0),"")</f>
        <v/>
      </c>
      <c r="IA198" s="28" t="str">
        <f t="shared" si="138"/>
        <v>00:00</v>
      </c>
      <c r="IB198" s="29"/>
      <c r="IC198" s="27"/>
      <c r="ID198" s="27"/>
      <c r="IE198" s="28" t="str">
        <f>IFERROR(VLOOKUP(IC198,Horarios!$H:$I,2,0),"")</f>
        <v/>
      </c>
      <c r="IF198" s="28" t="str">
        <f>IFERROR(VLOOKUP(ID198,Horarios!$H:$I,2,0),"")</f>
        <v/>
      </c>
      <c r="IG198" s="28" t="str">
        <f t="shared" si="139"/>
        <v>00:00</v>
      </c>
      <c r="IH198" s="29"/>
      <c r="II198" s="27"/>
      <c r="IJ198" s="27"/>
      <c r="IK198" s="28" t="str">
        <f>IFERROR(VLOOKUP(II198,Horarios!$H:$I,2,0),"")</f>
        <v/>
      </c>
      <c r="IL198" s="28" t="str">
        <f>IFERROR(VLOOKUP(IJ198,Horarios!$H:$I,2,0),"")</f>
        <v/>
      </c>
      <c r="IM198" s="28" t="str">
        <f t="shared" si="140"/>
        <v>00:00</v>
      </c>
      <c r="IN198" s="29"/>
      <c r="IO198" s="27"/>
      <c r="IP198" s="27"/>
      <c r="IQ198" s="28" t="str">
        <f>IFERROR(VLOOKUP(IO198,Horarios!$H:$I,2,0),"")</f>
        <v/>
      </c>
      <c r="IR198" s="28" t="str">
        <f>IFERROR(VLOOKUP(IP198,Horarios!$H:$I,2,0),"")</f>
        <v/>
      </c>
      <c r="IS198" s="28" t="str">
        <f t="shared" si="141"/>
        <v>00:00</v>
      </c>
      <c r="IT198" s="29"/>
      <c r="IU198" s="27"/>
      <c r="IV198" s="27"/>
      <c r="IW198" s="28" t="str">
        <f>IFERROR(VLOOKUP(IU198,Horarios!$H:$I,2,0),"")</f>
        <v/>
      </c>
      <c r="IX198" s="28" t="str">
        <f>IFERROR(VLOOKUP(IV198,Horarios!$H:$I,2,0),"")</f>
        <v/>
      </c>
      <c r="IY198" s="28" t="str">
        <f t="shared" si="142"/>
        <v>00:00</v>
      </c>
      <c r="IZ198" s="29"/>
      <c r="JA198" s="31" t="str">
        <f t="shared" si="143"/>
        <v/>
      </c>
    </row>
    <row r="199" spans="1:261" s="24" customFormat="1" ht="17.399999999999999" x14ac:dyDescent="0.25">
      <c r="A199" s="25"/>
      <c r="B199" s="26" t="str">
        <f>IFERROR(VLOOKUP(A199,BaseNombres!A:B,2,0),"")</f>
        <v/>
      </c>
      <c r="C199" s="26" t="str">
        <f>IFERROR(VLOOKUP(A199,BaseNombres!A:C,3,0),"")</f>
        <v/>
      </c>
      <c r="D199" s="27"/>
      <c r="E199" s="27"/>
      <c r="F199" s="28" t="str">
        <f>IFERROR(VLOOKUP(D199,Horarios!$H:$I,2,0),"")</f>
        <v/>
      </c>
      <c r="G199" s="28" t="str">
        <f>IFERROR(VLOOKUP(E199,Horarios!$H:$I,2,0),"")</f>
        <v/>
      </c>
      <c r="H199" s="28" t="str">
        <f t="shared" si="96"/>
        <v>00:00</v>
      </c>
      <c r="I199" s="29"/>
      <c r="J199" s="27"/>
      <c r="K199" s="27"/>
      <c r="L199" s="28" t="str">
        <f>IFERROR(VLOOKUP(J199,Horarios!$H:$I,2,0),"")</f>
        <v/>
      </c>
      <c r="M199" s="28" t="str">
        <f>IFERROR(VLOOKUP(K199,Horarios!$H:$I,2,0),"")</f>
        <v/>
      </c>
      <c r="N199" s="28" t="str">
        <f t="shared" si="97"/>
        <v>00:00</v>
      </c>
      <c r="O199" s="29"/>
      <c r="P199" s="27"/>
      <c r="Q199" s="27"/>
      <c r="R199" s="28" t="str">
        <f>IFERROR(VLOOKUP(P199,Horarios!$H:$I,2,0),"")</f>
        <v/>
      </c>
      <c r="S199" s="28" t="str">
        <f>IFERROR(VLOOKUP(Q199,Horarios!$H:$I,2,0),"")</f>
        <v/>
      </c>
      <c r="T199" s="28" t="str">
        <f t="shared" si="98"/>
        <v>00:00</v>
      </c>
      <c r="U199" s="29"/>
      <c r="V199" s="27"/>
      <c r="W199" s="27"/>
      <c r="X199" s="28" t="str">
        <f>IFERROR(VLOOKUP(V199,Horarios!$H:$I,2,0),"")</f>
        <v/>
      </c>
      <c r="Y199" s="28" t="str">
        <f>IFERROR(VLOOKUP(W199,Horarios!$H:$I,2,0),"")</f>
        <v/>
      </c>
      <c r="Z199" s="28" t="str">
        <f t="shared" si="99"/>
        <v>00:00</v>
      </c>
      <c r="AA199" s="29"/>
      <c r="AB199" s="27"/>
      <c r="AC199" s="27"/>
      <c r="AD199" s="28" t="str">
        <f>IFERROR(VLOOKUP(AB199,Horarios!$H:$I,2,0),"")</f>
        <v/>
      </c>
      <c r="AE199" s="28" t="str">
        <f>IFERROR(VLOOKUP(AC199,Horarios!$H:$I,2,0),"")</f>
        <v/>
      </c>
      <c r="AF199" s="28" t="str">
        <f t="shared" si="100"/>
        <v>00:00</v>
      </c>
      <c r="AG199" s="29"/>
      <c r="AH199" s="27"/>
      <c r="AI199" s="27"/>
      <c r="AJ199" s="28" t="str">
        <f>IFERROR(VLOOKUP(AH199,Horarios!$H:$I,2,0),"")</f>
        <v/>
      </c>
      <c r="AK199" s="28" t="str">
        <f>IFERROR(VLOOKUP(AI199,Horarios!$H:$I,2,0),"")</f>
        <v/>
      </c>
      <c r="AL199" s="28" t="str">
        <f t="shared" si="101"/>
        <v>00:00</v>
      </c>
      <c r="AM199" s="29"/>
      <c r="AN199" s="27"/>
      <c r="AO199" s="27"/>
      <c r="AP199" s="28" t="str">
        <f>IFERROR(VLOOKUP(AN199,Horarios!$H:$I,2,0),"")</f>
        <v/>
      </c>
      <c r="AQ199" s="28" t="str">
        <f>IFERROR(VLOOKUP(AO199,Horarios!$H:$I,2,0),"")</f>
        <v/>
      </c>
      <c r="AR199" s="28" t="str">
        <f t="shared" si="102"/>
        <v>00:00</v>
      </c>
      <c r="AS199" s="29"/>
      <c r="AT199" s="31" t="str">
        <f t="shared" si="103"/>
        <v/>
      </c>
      <c r="AU199" s="27"/>
      <c r="AV199" s="27"/>
      <c r="AW199" s="28" t="str">
        <f>IFERROR(VLOOKUP(AU199,Horarios!$H:$I,2,0),"")</f>
        <v/>
      </c>
      <c r="AX199" s="28" t="str">
        <f>IFERROR(VLOOKUP(AV199,Horarios!$H:$I,2,0),"")</f>
        <v/>
      </c>
      <c r="AY199" s="28" t="str">
        <f t="shared" si="104"/>
        <v>00:00</v>
      </c>
      <c r="AZ199" s="29"/>
      <c r="BA199" s="27"/>
      <c r="BB199" s="27"/>
      <c r="BC199" s="28" t="str">
        <f>IFERROR(VLOOKUP(BA199,Horarios!$H:$I,2,0),"")</f>
        <v/>
      </c>
      <c r="BD199" s="28" t="str">
        <f>IFERROR(VLOOKUP(BB199,Horarios!$H:$I,2,0),"")</f>
        <v/>
      </c>
      <c r="BE199" s="28" t="str">
        <f t="shared" si="105"/>
        <v>00:00</v>
      </c>
      <c r="BF199" s="29"/>
      <c r="BG199" s="27"/>
      <c r="BH199" s="27"/>
      <c r="BI199" s="28" t="str">
        <f>IFERROR(VLOOKUP(BG199,Horarios!$H:$I,2,0),"")</f>
        <v/>
      </c>
      <c r="BJ199" s="28" t="str">
        <f>IFERROR(VLOOKUP(BH199,Horarios!$H:$I,2,0),"")</f>
        <v/>
      </c>
      <c r="BK199" s="28" t="str">
        <f t="shared" si="106"/>
        <v>00:00</v>
      </c>
      <c r="BL199" s="29"/>
      <c r="BM199" s="27"/>
      <c r="BN199" s="27"/>
      <c r="BO199" s="28" t="str">
        <f>IFERROR(VLOOKUP(BM199,Horarios!$H:$I,2,0),"")</f>
        <v/>
      </c>
      <c r="BP199" s="28" t="str">
        <f>IFERROR(VLOOKUP(BN199,Horarios!$H:$I,2,0),"")</f>
        <v/>
      </c>
      <c r="BQ199" s="28" t="str">
        <f t="shared" si="107"/>
        <v>00:00</v>
      </c>
      <c r="BR199" s="29"/>
      <c r="BS199" s="27"/>
      <c r="BT199" s="27"/>
      <c r="BU199" s="28" t="str">
        <f>IFERROR(VLOOKUP(BS199,Horarios!$H:$I,2,0),"")</f>
        <v/>
      </c>
      <c r="BV199" s="28" t="str">
        <f>IFERROR(VLOOKUP(BT199,Horarios!$H:$I,2,0),"")</f>
        <v/>
      </c>
      <c r="BW199" s="28" t="str">
        <f t="shared" si="108"/>
        <v>00:00</v>
      </c>
      <c r="BX199" s="29"/>
      <c r="BY199" s="27"/>
      <c r="BZ199" s="27"/>
      <c r="CA199" s="28" t="str">
        <f>IFERROR(VLOOKUP(BY199,Horarios!$H:$I,2,0),"")</f>
        <v/>
      </c>
      <c r="CB199" s="28" t="str">
        <f>IFERROR(VLOOKUP(BZ199,Horarios!$H:$I,2,0),"")</f>
        <v/>
      </c>
      <c r="CC199" s="28" t="str">
        <f t="shared" si="109"/>
        <v>00:00</v>
      </c>
      <c r="CD199" s="29"/>
      <c r="CE199" s="27"/>
      <c r="CF199" s="27"/>
      <c r="CG199" s="28" t="str">
        <f>IFERROR(VLOOKUP(CE199,Horarios!$H:$I,2,0),"")</f>
        <v/>
      </c>
      <c r="CH199" s="28" t="str">
        <f>IFERROR(VLOOKUP(CF199,Horarios!$H:$I,2,0),"")</f>
        <v/>
      </c>
      <c r="CI199" s="28" t="str">
        <f t="shared" si="110"/>
        <v>00:00</v>
      </c>
      <c r="CJ199" s="29"/>
      <c r="CK199" s="31" t="str">
        <f t="shared" si="111"/>
        <v/>
      </c>
      <c r="CL199" s="27"/>
      <c r="CM199" s="27"/>
      <c r="CN199" s="28" t="str">
        <f>IFERROR(VLOOKUP(CL199,Horarios!$H:$I,2,0),"")</f>
        <v/>
      </c>
      <c r="CO199" s="28" t="str">
        <f>IFERROR(VLOOKUP(CM199,Horarios!$H:$I,2,0),"")</f>
        <v/>
      </c>
      <c r="CP199" s="28" t="str">
        <f t="shared" si="112"/>
        <v>00:00</v>
      </c>
      <c r="CQ199" s="29"/>
      <c r="CR199" s="27"/>
      <c r="CS199" s="27"/>
      <c r="CT199" s="28" t="str">
        <f>IFERROR(VLOOKUP(CR199,Horarios!$H:$I,2,0),"")</f>
        <v/>
      </c>
      <c r="CU199" s="28" t="str">
        <f>IFERROR(VLOOKUP(CS199,Horarios!$H:$I,2,0),"")</f>
        <v/>
      </c>
      <c r="CV199" s="28" t="str">
        <f t="shared" si="113"/>
        <v>00:00</v>
      </c>
      <c r="CW199" s="29"/>
      <c r="CX199" s="27"/>
      <c r="CY199" s="27"/>
      <c r="CZ199" s="28" t="str">
        <f>IFERROR(VLOOKUP(CX199,Horarios!$H:$I,2,0),"")</f>
        <v/>
      </c>
      <c r="DA199" s="28" t="str">
        <f>IFERROR(VLOOKUP(CY199,Horarios!$H:$I,2,0),"")</f>
        <v/>
      </c>
      <c r="DB199" s="28" t="str">
        <f t="shared" si="114"/>
        <v>00:00</v>
      </c>
      <c r="DC199" s="29"/>
      <c r="DD199" s="27"/>
      <c r="DE199" s="27"/>
      <c r="DF199" s="28" t="str">
        <f>IFERROR(VLOOKUP(DD199,Horarios!$H:$I,2,0),"")</f>
        <v/>
      </c>
      <c r="DG199" s="28" t="str">
        <f>IFERROR(VLOOKUP(DE199,Horarios!$H:$I,2,0),"")</f>
        <v/>
      </c>
      <c r="DH199" s="28" t="str">
        <f t="shared" si="115"/>
        <v>00:00</v>
      </c>
      <c r="DI199" s="29"/>
      <c r="DJ199" s="27"/>
      <c r="DK199" s="27"/>
      <c r="DL199" s="28" t="str">
        <f>IFERROR(VLOOKUP(DJ199,Horarios!$H:$I,2,0),"")</f>
        <v/>
      </c>
      <c r="DM199" s="28" t="str">
        <f>IFERROR(VLOOKUP(DK199,Horarios!$H:$I,2,0),"")</f>
        <v/>
      </c>
      <c r="DN199" s="28" t="str">
        <f t="shared" si="116"/>
        <v>00:00</v>
      </c>
      <c r="DO199" s="29"/>
      <c r="DP199" s="27"/>
      <c r="DQ199" s="27"/>
      <c r="DR199" s="28" t="str">
        <f>IFERROR(VLOOKUP(DP199,Horarios!$H:$I,2,0),"")</f>
        <v/>
      </c>
      <c r="DS199" s="28" t="str">
        <f>IFERROR(VLOOKUP(DQ199,Horarios!$H:$I,2,0),"")</f>
        <v/>
      </c>
      <c r="DT199" s="28" t="str">
        <f t="shared" si="117"/>
        <v>00:00</v>
      </c>
      <c r="DU199" s="29"/>
      <c r="DV199" s="27"/>
      <c r="DW199" s="27"/>
      <c r="DX199" s="28" t="str">
        <f>IFERROR(VLOOKUP(DV199,Horarios!$H:$I,2,0),"")</f>
        <v/>
      </c>
      <c r="DY199" s="28" t="str">
        <f>IFERROR(VLOOKUP(DW199,Horarios!$H:$I,2,0),"")</f>
        <v/>
      </c>
      <c r="DZ199" s="28" t="str">
        <f t="shared" si="118"/>
        <v>00:00</v>
      </c>
      <c r="EA199" s="29"/>
      <c r="EB199" s="31" t="str">
        <f t="shared" si="119"/>
        <v/>
      </c>
      <c r="EC199" s="27"/>
      <c r="ED199" s="27"/>
      <c r="EE199" s="28" t="str">
        <f>IFERROR(VLOOKUP(EC199,Horarios!$H:$I,2,0),"")</f>
        <v/>
      </c>
      <c r="EF199" s="28" t="str">
        <f>IFERROR(VLOOKUP(ED199,Horarios!$H:$I,2,0),"")</f>
        <v/>
      </c>
      <c r="EG199" s="28" t="str">
        <f t="shared" si="120"/>
        <v>00:00</v>
      </c>
      <c r="EH199" s="29"/>
      <c r="EI199" s="27"/>
      <c r="EJ199" s="27"/>
      <c r="EK199" s="28" t="str">
        <f>IFERROR(VLOOKUP(EI199,Horarios!$H:$I,2,0),"")</f>
        <v/>
      </c>
      <c r="EL199" s="28" t="str">
        <f>IFERROR(VLOOKUP(EJ199,Horarios!$H:$I,2,0),"")</f>
        <v/>
      </c>
      <c r="EM199" s="28" t="str">
        <f t="shared" si="121"/>
        <v>00:00</v>
      </c>
      <c r="EN199" s="29"/>
      <c r="EO199" s="27"/>
      <c r="EP199" s="27"/>
      <c r="EQ199" s="28" t="str">
        <f>IFERROR(VLOOKUP(EO199,Horarios!$H:$I,2,0),"")</f>
        <v/>
      </c>
      <c r="ER199" s="28" t="str">
        <f>IFERROR(VLOOKUP(EP199,Horarios!$H:$I,2,0),"")</f>
        <v/>
      </c>
      <c r="ES199" s="28" t="str">
        <f t="shared" si="122"/>
        <v>00:00</v>
      </c>
      <c r="ET199" s="29"/>
      <c r="EU199" s="27"/>
      <c r="EV199" s="27"/>
      <c r="EW199" s="28" t="str">
        <f>IFERROR(VLOOKUP(EU199,Horarios!$H:$I,2,0),"")</f>
        <v/>
      </c>
      <c r="EX199" s="28" t="str">
        <f>IFERROR(VLOOKUP(EV199,Horarios!$H:$I,2,0),"")</f>
        <v/>
      </c>
      <c r="EY199" s="28" t="str">
        <f t="shared" si="123"/>
        <v>00:00</v>
      </c>
      <c r="EZ199" s="29"/>
      <c r="FA199" s="27"/>
      <c r="FB199" s="27"/>
      <c r="FC199" s="28" t="str">
        <f>IFERROR(VLOOKUP(FA199,Horarios!$H:$I,2,0),"")</f>
        <v/>
      </c>
      <c r="FD199" s="28" t="str">
        <f>IFERROR(VLOOKUP(FB199,Horarios!$H:$I,2,0),"")</f>
        <v/>
      </c>
      <c r="FE199" s="28" t="str">
        <f t="shared" si="124"/>
        <v>00:00</v>
      </c>
      <c r="FF199" s="29"/>
      <c r="FG199" s="27"/>
      <c r="FH199" s="27"/>
      <c r="FI199" s="28" t="str">
        <f>IFERROR(VLOOKUP(FG199,Horarios!$H:$I,2,0),"")</f>
        <v/>
      </c>
      <c r="FJ199" s="28" t="str">
        <f>IFERROR(VLOOKUP(FH199,Horarios!$H:$I,2,0),"")</f>
        <v/>
      </c>
      <c r="FK199" s="28" t="str">
        <f t="shared" si="125"/>
        <v>00:00</v>
      </c>
      <c r="FL199" s="29"/>
      <c r="FM199" s="27"/>
      <c r="FN199" s="27"/>
      <c r="FO199" s="28" t="str">
        <f>IFERROR(VLOOKUP(FM199,Horarios!$H:$I,2,0),"")</f>
        <v/>
      </c>
      <c r="FP199" s="28" t="str">
        <f>IFERROR(VLOOKUP(FN199,Horarios!$H:$I,2,0),"")</f>
        <v/>
      </c>
      <c r="FQ199" s="28" t="str">
        <f t="shared" si="126"/>
        <v>00:00</v>
      </c>
      <c r="FR199" s="29"/>
      <c r="FS199" s="31" t="str">
        <f t="shared" si="127"/>
        <v/>
      </c>
      <c r="FT199" s="27"/>
      <c r="FU199" s="27"/>
      <c r="FV199" s="28" t="str">
        <f>IFERROR(VLOOKUP(FT199,Horarios!$H:$I,2,0),"")</f>
        <v/>
      </c>
      <c r="FW199" s="28" t="str">
        <f>IFERROR(VLOOKUP(FU199,Horarios!$H:$I,2,0),"")</f>
        <v/>
      </c>
      <c r="FX199" s="28" t="str">
        <f t="shared" si="128"/>
        <v>00:00</v>
      </c>
      <c r="FY199" s="29"/>
      <c r="FZ199" s="27"/>
      <c r="GA199" s="27"/>
      <c r="GB199" s="28" t="str">
        <f>IFERROR(VLOOKUP(FZ199,Horarios!$H:$I,2,0),"")</f>
        <v/>
      </c>
      <c r="GC199" s="28" t="str">
        <f>IFERROR(VLOOKUP(GA199,Horarios!$H:$I,2,0),"")</f>
        <v/>
      </c>
      <c r="GD199" s="28" t="str">
        <f t="shared" si="129"/>
        <v>00:00</v>
      </c>
      <c r="GE199" s="29"/>
      <c r="GF199" s="27"/>
      <c r="GG199" s="27"/>
      <c r="GH199" s="28" t="str">
        <f>IFERROR(VLOOKUP(GF199,Horarios!$H:$I,2,0),"")</f>
        <v/>
      </c>
      <c r="GI199" s="28" t="str">
        <f>IFERROR(VLOOKUP(GG199,Horarios!$H:$I,2,0),"")</f>
        <v/>
      </c>
      <c r="GJ199" s="28" t="str">
        <f t="shared" si="130"/>
        <v>00:00</v>
      </c>
      <c r="GK199" s="29"/>
      <c r="GL199" s="27"/>
      <c r="GM199" s="27"/>
      <c r="GN199" s="28" t="str">
        <f>IFERROR(VLOOKUP(GL199,Horarios!$H:$I,2,0),"")</f>
        <v/>
      </c>
      <c r="GO199" s="28" t="str">
        <f>IFERROR(VLOOKUP(GM199,Horarios!$H:$I,2,0),"")</f>
        <v/>
      </c>
      <c r="GP199" s="28" t="str">
        <f t="shared" si="131"/>
        <v>00:00</v>
      </c>
      <c r="GQ199" s="29"/>
      <c r="GR199" s="27"/>
      <c r="GS199" s="27"/>
      <c r="GT199" s="28" t="str">
        <f>IFERROR(VLOOKUP(GR199,Horarios!$H:$I,2,0),"")</f>
        <v/>
      </c>
      <c r="GU199" s="28" t="str">
        <f>IFERROR(VLOOKUP(GS199,Horarios!$H:$I,2,0),"")</f>
        <v/>
      </c>
      <c r="GV199" s="28" t="str">
        <f t="shared" si="132"/>
        <v>00:00</v>
      </c>
      <c r="GW199" s="29"/>
      <c r="GX199" s="27"/>
      <c r="GY199" s="27"/>
      <c r="GZ199" s="28" t="str">
        <f>IFERROR(VLOOKUP(GX199,Horarios!$H:$I,2,0),"")</f>
        <v/>
      </c>
      <c r="HA199" s="28" t="str">
        <f>IFERROR(VLOOKUP(GY199,Horarios!$H:$I,2,0),"")</f>
        <v/>
      </c>
      <c r="HB199" s="28" t="str">
        <f t="shared" si="133"/>
        <v>00:00</v>
      </c>
      <c r="HC199" s="29"/>
      <c r="HD199" s="27"/>
      <c r="HE199" s="27"/>
      <c r="HF199" s="28" t="str">
        <f>IFERROR(VLOOKUP(HD199,Horarios!$H:$I,2,0),"")</f>
        <v/>
      </c>
      <c r="HG199" s="28" t="str">
        <f>IFERROR(VLOOKUP(HE199,Horarios!$H:$I,2,0),"")</f>
        <v/>
      </c>
      <c r="HH199" s="28" t="str">
        <f t="shared" si="134"/>
        <v>00:00</v>
      </c>
      <c r="HI199" s="29"/>
      <c r="HJ199" s="31" t="str">
        <f t="shared" si="135"/>
        <v/>
      </c>
      <c r="HK199" s="27"/>
      <c r="HL199" s="27"/>
      <c r="HM199" s="28" t="str">
        <f>IFERROR(VLOOKUP(HK199,Horarios!$H:$I,2,0),"")</f>
        <v/>
      </c>
      <c r="HN199" s="28" t="str">
        <f>IFERROR(VLOOKUP(HL199,Horarios!$H:$I,2,0),"")</f>
        <v/>
      </c>
      <c r="HO199" s="28" t="str">
        <f t="shared" si="136"/>
        <v>00:00</v>
      </c>
      <c r="HP199" s="29"/>
      <c r="HQ199" s="27"/>
      <c r="HR199" s="27"/>
      <c r="HS199" s="28" t="str">
        <f>IFERROR(VLOOKUP(HQ199,Horarios!$H:$I,2,0),"")</f>
        <v/>
      </c>
      <c r="HT199" s="28" t="str">
        <f>IFERROR(VLOOKUP(HR199,Horarios!$H:$I,2,0),"")</f>
        <v/>
      </c>
      <c r="HU199" s="28" t="str">
        <f t="shared" si="137"/>
        <v>00:00</v>
      </c>
      <c r="HV199" s="29"/>
      <c r="HW199" s="27"/>
      <c r="HX199" s="27"/>
      <c r="HY199" s="28" t="str">
        <f>IFERROR(VLOOKUP(HW199,Horarios!$H:$I,2,0),"")</f>
        <v/>
      </c>
      <c r="HZ199" s="28" t="str">
        <f>IFERROR(VLOOKUP(HX199,Horarios!$H:$I,2,0),"")</f>
        <v/>
      </c>
      <c r="IA199" s="28" t="str">
        <f t="shared" si="138"/>
        <v>00:00</v>
      </c>
      <c r="IB199" s="29"/>
      <c r="IC199" s="27"/>
      <c r="ID199" s="27"/>
      <c r="IE199" s="28" t="str">
        <f>IFERROR(VLOOKUP(IC199,Horarios!$H:$I,2,0),"")</f>
        <v/>
      </c>
      <c r="IF199" s="28" t="str">
        <f>IFERROR(VLOOKUP(ID199,Horarios!$H:$I,2,0),"")</f>
        <v/>
      </c>
      <c r="IG199" s="28" t="str">
        <f t="shared" si="139"/>
        <v>00:00</v>
      </c>
      <c r="IH199" s="29"/>
      <c r="II199" s="27"/>
      <c r="IJ199" s="27"/>
      <c r="IK199" s="28" t="str">
        <f>IFERROR(VLOOKUP(II199,Horarios!$H:$I,2,0),"")</f>
        <v/>
      </c>
      <c r="IL199" s="28" t="str">
        <f>IFERROR(VLOOKUP(IJ199,Horarios!$H:$I,2,0),"")</f>
        <v/>
      </c>
      <c r="IM199" s="28" t="str">
        <f t="shared" si="140"/>
        <v>00:00</v>
      </c>
      <c r="IN199" s="29"/>
      <c r="IO199" s="27"/>
      <c r="IP199" s="27"/>
      <c r="IQ199" s="28" t="str">
        <f>IFERROR(VLOOKUP(IO199,Horarios!$H:$I,2,0),"")</f>
        <v/>
      </c>
      <c r="IR199" s="28" t="str">
        <f>IFERROR(VLOOKUP(IP199,Horarios!$H:$I,2,0),"")</f>
        <v/>
      </c>
      <c r="IS199" s="28" t="str">
        <f t="shared" si="141"/>
        <v>00:00</v>
      </c>
      <c r="IT199" s="29"/>
      <c r="IU199" s="27"/>
      <c r="IV199" s="27"/>
      <c r="IW199" s="28" t="str">
        <f>IFERROR(VLOOKUP(IU199,Horarios!$H:$I,2,0),"")</f>
        <v/>
      </c>
      <c r="IX199" s="28" t="str">
        <f>IFERROR(VLOOKUP(IV199,Horarios!$H:$I,2,0),"")</f>
        <v/>
      </c>
      <c r="IY199" s="28" t="str">
        <f t="shared" si="142"/>
        <v>00:00</v>
      </c>
      <c r="IZ199" s="29"/>
      <c r="JA199" s="31" t="str">
        <f t="shared" si="143"/>
        <v/>
      </c>
    </row>
    <row r="200" spans="1:261" s="24" customFormat="1" ht="17.399999999999999" x14ac:dyDescent="0.25">
      <c r="A200" s="25"/>
      <c r="B200" s="26" t="str">
        <f>IFERROR(VLOOKUP(A200,BaseNombres!A:B,2,0),"")</f>
        <v/>
      </c>
      <c r="C200" s="26" t="str">
        <f>IFERROR(VLOOKUP(A200,BaseNombres!A:C,3,0),"")</f>
        <v/>
      </c>
      <c r="D200" s="27"/>
      <c r="E200" s="27"/>
      <c r="F200" s="28" t="str">
        <f>IFERROR(VLOOKUP(D200,Horarios!$H:$I,2,0),"")</f>
        <v/>
      </c>
      <c r="G200" s="28" t="str">
        <f>IFERROR(VLOOKUP(E200,Horarios!$H:$I,2,0),"")</f>
        <v/>
      </c>
      <c r="H200" s="28" t="str">
        <f t="shared" si="96"/>
        <v>00:00</v>
      </c>
      <c r="I200" s="29"/>
      <c r="J200" s="27"/>
      <c r="K200" s="27"/>
      <c r="L200" s="28" t="str">
        <f>IFERROR(VLOOKUP(J200,Horarios!$H:$I,2,0),"")</f>
        <v/>
      </c>
      <c r="M200" s="28" t="str">
        <f>IFERROR(VLOOKUP(K200,Horarios!$H:$I,2,0),"")</f>
        <v/>
      </c>
      <c r="N200" s="28" t="str">
        <f t="shared" si="97"/>
        <v>00:00</v>
      </c>
      <c r="O200" s="29"/>
      <c r="P200" s="27"/>
      <c r="Q200" s="27"/>
      <c r="R200" s="28" t="str">
        <f>IFERROR(VLOOKUP(P200,Horarios!$H:$I,2,0),"")</f>
        <v/>
      </c>
      <c r="S200" s="28" t="str">
        <f>IFERROR(VLOOKUP(Q200,Horarios!$H:$I,2,0),"")</f>
        <v/>
      </c>
      <c r="T200" s="28" t="str">
        <f t="shared" si="98"/>
        <v>00:00</v>
      </c>
      <c r="U200" s="29"/>
      <c r="V200" s="27"/>
      <c r="W200" s="27"/>
      <c r="X200" s="28" t="str">
        <f>IFERROR(VLOOKUP(V200,Horarios!$H:$I,2,0),"")</f>
        <v/>
      </c>
      <c r="Y200" s="28" t="str">
        <f>IFERROR(VLOOKUP(W200,Horarios!$H:$I,2,0),"")</f>
        <v/>
      </c>
      <c r="Z200" s="28" t="str">
        <f t="shared" si="99"/>
        <v>00:00</v>
      </c>
      <c r="AA200" s="29"/>
      <c r="AB200" s="27"/>
      <c r="AC200" s="27"/>
      <c r="AD200" s="28" t="str">
        <f>IFERROR(VLOOKUP(AB200,Horarios!$H:$I,2,0),"")</f>
        <v/>
      </c>
      <c r="AE200" s="28" t="str">
        <f>IFERROR(VLOOKUP(AC200,Horarios!$H:$I,2,0),"")</f>
        <v/>
      </c>
      <c r="AF200" s="28" t="str">
        <f t="shared" si="100"/>
        <v>00:00</v>
      </c>
      <c r="AG200" s="29"/>
      <c r="AH200" s="27"/>
      <c r="AI200" s="27"/>
      <c r="AJ200" s="28" t="str">
        <f>IFERROR(VLOOKUP(AH200,Horarios!$H:$I,2,0),"")</f>
        <v/>
      </c>
      <c r="AK200" s="28" t="str">
        <f>IFERROR(VLOOKUP(AI200,Horarios!$H:$I,2,0),"")</f>
        <v/>
      </c>
      <c r="AL200" s="28" t="str">
        <f t="shared" si="101"/>
        <v>00:00</v>
      </c>
      <c r="AM200" s="29"/>
      <c r="AN200" s="27"/>
      <c r="AO200" s="27"/>
      <c r="AP200" s="28" t="str">
        <f>IFERROR(VLOOKUP(AN200,Horarios!$H:$I,2,0),"")</f>
        <v/>
      </c>
      <c r="AQ200" s="28" t="str">
        <f>IFERROR(VLOOKUP(AO200,Horarios!$H:$I,2,0),"")</f>
        <v/>
      </c>
      <c r="AR200" s="28" t="str">
        <f t="shared" si="102"/>
        <v>00:00</v>
      </c>
      <c r="AS200" s="29"/>
      <c r="AT200" s="31" t="str">
        <f t="shared" si="103"/>
        <v/>
      </c>
      <c r="AU200" s="27"/>
      <c r="AV200" s="27"/>
      <c r="AW200" s="28" t="str">
        <f>IFERROR(VLOOKUP(AU200,Horarios!$H:$I,2,0),"")</f>
        <v/>
      </c>
      <c r="AX200" s="28" t="str">
        <f>IFERROR(VLOOKUP(AV200,Horarios!$H:$I,2,0),"")</f>
        <v/>
      </c>
      <c r="AY200" s="28" t="str">
        <f t="shared" si="104"/>
        <v>00:00</v>
      </c>
      <c r="AZ200" s="29"/>
      <c r="BA200" s="27"/>
      <c r="BB200" s="27"/>
      <c r="BC200" s="28" t="str">
        <f>IFERROR(VLOOKUP(BA200,Horarios!$H:$I,2,0),"")</f>
        <v/>
      </c>
      <c r="BD200" s="28" t="str">
        <f>IFERROR(VLOOKUP(BB200,Horarios!$H:$I,2,0),"")</f>
        <v/>
      </c>
      <c r="BE200" s="28" t="str">
        <f t="shared" si="105"/>
        <v>00:00</v>
      </c>
      <c r="BF200" s="29"/>
      <c r="BG200" s="27"/>
      <c r="BH200" s="27"/>
      <c r="BI200" s="28" t="str">
        <f>IFERROR(VLOOKUP(BG200,Horarios!$H:$I,2,0),"")</f>
        <v/>
      </c>
      <c r="BJ200" s="28" t="str">
        <f>IFERROR(VLOOKUP(BH200,Horarios!$H:$I,2,0),"")</f>
        <v/>
      </c>
      <c r="BK200" s="28" t="str">
        <f t="shared" si="106"/>
        <v>00:00</v>
      </c>
      <c r="BL200" s="29"/>
      <c r="BM200" s="27"/>
      <c r="BN200" s="27"/>
      <c r="BO200" s="28" t="str">
        <f>IFERROR(VLOOKUP(BM200,Horarios!$H:$I,2,0),"")</f>
        <v/>
      </c>
      <c r="BP200" s="28" t="str">
        <f>IFERROR(VLOOKUP(BN200,Horarios!$H:$I,2,0),"")</f>
        <v/>
      </c>
      <c r="BQ200" s="28" t="str">
        <f t="shared" si="107"/>
        <v>00:00</v>
      </c>
      <c r="BR200" s="29"/>
      <c r="BS200" s="27"/>
      <c r="BT200" s="27"/>
      <c r="BU200" s="28" t="str">
        <f>IFERROR(VLOOKUP(BS200,Horarios!$H:$I,2,0),"")</f>
        <v/>
      </c>
      <c r="BV200" s="28" t="str">
        <f>IFERROR(VLOOKUP(BT200,Horarios!$H:$I,2,0),"")</f>
        <v/>
      </c>
      <c r="BW200" s="28" t="str">
        <f t="shared" si="108"/>
        <v>00:00</v>
      </c>
      <c r="BX200" s="29"/>
      <c r="BY200" s="27"/>
      <c r="BZ200" s="27"/>
      <c r="CA200" s="28" t="str">
        <f>IFERROR(VLOOKUP(BY200,Horarios!$H:$I,2,0),"")</f>
        <v/>
      </c>
      <c r="CB200" s="28" t="str">
        <f>IFERROR(VLOOKUP(BZ200,Horarios!$H:$I,2,0),"")</f>
        <v/>
      </c>
      <c r="CC200" s="28" t="str">
        <f t="shared" si="109"/>
        <v>00:00</v>
      </c>
      <c r="CD200" s="29"/>
      <c r="CE200" s="27"/>
      <c r="CF200" s="27"/>
      <c r="CG200" s="28" t="str">
        <f>IFERROR(VLOOKUP(CE200,Horarios!$H:$I,2,0),"")</f>
        <v/>
      </c>
      <c r="CH200" s="28" t="str">
        <f>IFERROR(VLOOKUP(CF200,Horarios!$H:$I,2,0),"")</f>
        <v/>
      </c>
      <c r="CI200" s="28" t="str">
        <f t="shared" si="110"/>
        <v>00:00</v>
      </c>
      <c r="CJ200" s="29"/>
      <c r="CK200" s="31" t="str">
        <f t="shared" si="111"/>
        <v/>
      </c>
      <c r="CL200" s="27"/>
      <c r="CM200" s="27"/>
      <c r="CN200" s="28" t="str">
        <f>IFERROR(VLOOKUP(CL200,Horarios!$H:$I,2,0),"")</f>
        <v/>
      </c>
      <c r="CO200" s="28" t="str">
        <f>IFERROR(VLOOKUP(CM200,Horarios!$H:$I,2,0),"")</f>
        <v/>
      </c>
      <c r="CP200" s="28" t="str">
        <f t="shared" si="112"/>
        <v>00:00</v>
      </c>
      <c r="CQ200" s="29"/>
      <c r="CR200" s="27"/>
      <c r="CS200" s="27"/>
      <c r="CT200" s="28" t="str">
        <f>IFERROR(VLOOKUP(CR200,Horarios!$H:$I,2,0),"")</f>
        <v/>
      </c>
      <c r="CU200" s="28" t="str">
        <f>IFERROR(VLOOKUP(CS200,Horarios!$H:$I,2,0),"")</f>
        <v/>
      </c>
      <c r="CV200" s="28" t="str">
        <f t="shared" si="113"/>
        <v>00:00</v>
      </c>
      <c r="CW200" s="29"/>
      <c r="CX200" s="27"/>
      <c r="CY200" s="27"/>
      <c r="CZ200" s="28" t="str">
        <f>IFERROR(VLOOKUP(CX200,Horarios!$H:$I,2,0),"")</f>
        <v/>
      </c>
      <c r="DA200" s="28" t="str">
        <f>IFERROR(VLOOKUP(CY200,Horarios!$H:$I,2,0),"")</f>
        <v/>
      </c>
      <c r="DB200" s="28" t="str">
        <f t="shared" si="114"/>
        <v>00:00</v>
      </c>
      <c r="DC200" s="29"/>
      <c r="DD200" s="27"/>
      <c r="DE200" s="27"/>
      <c r="DF200" s="28" t="str">
        <f>IFERROR(VLOOKUP(DD200,Horarios!$H:$I,2,0),"")</f>
        <v/>
      </c>
      <c r="DG200" s="28" t="str">
        <f>IFERROR(VLOOKUP(DE200,Horarios!$H:$I,2,0),"")</f>
        <v/>
      </c>
      <c r="DH200" s="28" t="str">
        <f t="shared" si="115"/>
        <v>00:00</v>
      </c>
      <c r="DI200" s="29"/>
      <c r="DJ200" s="27"/>
      <c r="DK200" s="27"/>
      <c r="DL200" s="28" t="str">
        <f>IFERROR(VLOOKUP(DJ200,Horarios!$H:$I,2,0),"")</f>
        <v/>
      </c>
      <c r="DM200" s="28" t="str">
        <f>IFERROR(VLOOKUP(DK200,Horarios!$H:$I,2,0),"")</f>
        <v/>
      </c>
      <c r="DN200" s="28" t="str">
        <f t="shared" si="116"/>
        <v>00:00</v>
      </c>
      <c r="DO200" s="29"/>
      <c r="DP200" s="27"/>
      <c r="DQ200" s="27"/>
      <c r="DR200" s="28" t="str">
        <f>IFERROR(VLOOKUP(DP200,Horarios!$H:$I,2,0),"")</f>
        <v/>
      </c>
      <c r="DS200" s="28" t="str">
        <f>IFERROR(VLOOKUP(DQ200,Horarios!$H:$I,2,0),"")</f>
        <v/>
      </c>
      <c r="DT200" s="28" t="str">
        <f t="shared" si="117"/>
        <v>00:00</v>
      </c>
      <c r="DU200" s="29"/>
      <c r="DV200" s="27"/>
      <c r="DW200" s="27"/>
      <c r="DX200" s="28" t="str">
        <f>IFERROR(VLOOKUP(DV200,Horarios!$H:$I,2,0),"")</f>
        <v/>
      </c>
      <c r="DY200" s="28" t="str">
        <f>IFERROR(VLOOKUP(DW200,Horarios!$H:$I,2,0),"")</f>
        <v/>
      </c>
      <c r="DZ200" s="28" t="str">
        <f t="shared" si="118"/>
        <v>00:00</v>
      </c>
      <c r="EA200" s="29"/>
      <c r="EB200" s="31" t="str">
        <f t="shared" si="119"/>
        <v/>
      </c>
      <c r="EC200" s="27"/>
      <c r="ED200" s="27"/>
      <c r="EE200" s="28" t="str">
        <f>IFERROR(VLOOKUP(EC200,Horarios!$H:$I,2,0),"")</f>
        <v/>
      </c>
      <c r="EF200" s="28" t="str">
        <f>IFERROR(VLOOKUP(ED200,Horarios!$H:$I,2,0),"")</f>
        <v/>
      </c>
      <c r="EG200" s="28" t="str">
        <f t="shared" si="120"/>
        <v>00:00</v>
      </c>
      <c r="EH200" s="29"/>
      <c r="EI200" s="27"/>
      <c r="EJ200" s="27"/>
      <c r="EK200" s="28" t="str">
        <f>IFERROR(VLOOKUP(EI200,Horarios!$H:$I,2,0),"")</f>
        <v/>
      </c>
      <c r="EL200" s="28" t="str">
        <f>IFERROR(VLOOKUP(EJ200,Horarios!$H:$I,2,0),"")</f>
        <v/>
      </c>
      <c r="EM200" s="28" t="str">
        <f t="shared" si="121"/>
        <v>00:00</v>
      </c>
      <c r="EN200" s="29"/>
      <c r="EO200" s="27"/>
      <c r="EP200" s="27"/>
      <c r="EQ200" s="28" t="str">
        <f>IFERROR(VLOOKUP(EO200,Horarios!$H:$I,2,0),"")</f>
        <v/>
      </c>
      <c r="ER200" s="28" t="str">
        <f>IFERROR(VLOOKUP(EP200,Horarios!$H:$I,2,0),"")</f>
        <v/>
      </c>
      <c r="ES200" s="28" t="str">
        <f t="shared" si="122"/>
        <v>00:00</v>
      </c>
      <c r="ET200" s="29"/>
      <c r="EU200" s="27"/>
      <c r="EV200" s="27"/>
      <c r="EW200" s="28" t="str">
        <f>IFERROR(VLOOKUP(EU200,Horarios!$H:$I,2,0),"")</f>
        <v/>
      </c>
      <c r="EX200" s="28" t="str">
        <f>IFERROR(VLOOKUP(EV200,Horarios!$H:$I,2,0),"")</f>
        <v/>
      </c>
      <c r="EY200" s="28" t="str">
        <f t="shared" si="123"/>
        <v>00:00</v>
      </c>
      <c r="EZ200" s="29"/>
      <c r="FA200" s="27"/>
      <c r="FB200" s="27"/>
      <c r="FC200" s="28" t="str">
        <f>IFERROR(VLOOKUP(FA200,Horarios!$H:$I,2,0),"")</f>
        <v/>
      </c>
      <c r="FD200" s="28" t="str">
        <f>IFERROR(VLOOKUP(FB200,Horarios!$H:$I,2,0),"")</f>
        <v/>
      </c>
      <c r="FE200" s="28" t="str">
        <f t="shared" si="124"/>
        <v>00:00</v>
      </c>
      <c r="FF200" s="29"/>
      <c r="FG200" s="27"/>
      <c r="FH200" s="27"/>
      <c r="FI200" s="28" t="str">
        <f>IFERROR(VLOOKUP(FG200,Horarios!$H:$I,2,0),"")</f>
        <v/>
      </c>
      <c r="FJ200" s="28" t="str">
        <f>IFERROR(VLOOKUP(FH200,Horarios!$H:$I,2,0),"")</f>
        <v/>
      </c>
      <c r="FK200" s="28" t="str">
        <f t="shared" si="125"/>
        <v>00:00</v>
      </c>
      <c r="FL200" s="29"/>
      <c r="FM200" s="27"/>
      <c r="FN200" s="27"/>
      <c r="FO200" s="28" t="str">
        <f>IFERROR(VLOOKUP(FM200,Horarios!$H:$I,2,0),"")</f>
        <v/>
      </c>
      <c r="FP200" s="28" t="str">
        <f>IFERROR(VLOOKUP(FN200,Horarios!$H:$I,2,0),"")</f>
        <v/>
      </c>
      <c r="FQ200" s="28" t="str">
        <f t="shared" si="126"/>
        <v>00:00</v>
      </c>
      <c r="FR200" s="29"/>
      <c r="FS200" s="31" t="str">
        <f t="shared" si="127"/>
        <v/>
      </c>
      <c r="FT200" s="27"/>
      <c r="FU200" s="27"/>
      <c r="FV200" s="28" t="str">
        <f>IFERROR(VLOOKUP(FT200,Horarios!$H:$I,2,0),"")</f>
        <v/>
      </c>
      <c r="FW200" s="28" t="str">
        <f>IFERROR(VLOOKUP(FU200,Horarios!$H:$I,2,0),"")</f>
        <v/>
      </c>
      <c r="FX200" s="28" t="str">
        <f t="shared" si="128"/>
        <v>00:00</v>
      </c>
      <c r="FY200" s="29"/>
      <c r="FZ200" s="27"/>
      <c r="GA200" s="27"/>
      <c r="GB200" s="28" t="str">
        <f>IFERROR(VLOOKUP(FZ200,Horarios!$H:$I,2,0),"")</f>
        <v/>
      </c>
      <c r="GC200" s="28" t="str">
        <f>IFERROR(VLOOKUP(GA200,Horarios!$H:$I,2,0),"")</f>
        <v/>
      </c>
      <c r="GD200" s="28" t="str">
        <f t="shared" si="129"/>
        <v>00:00</v>
      </c>
      <c r="GE200" s="29"/>
      <c r="GF200" s="27"/>
      <c r="GG200" s="27"/>
      <c r="GH200" s="28" t="str">
        <f>IFERROR(VLOOKUP(GF200,Horarios!$H:$I,2,0),"")</f>
        <v/>
      </c>
      <c r="GI200" s="28" t="str">
        <f>IFERROR(VLOOKUP(GG200,Horarios!$H:$I,2,0),"")</f>
        <v/>
      </c>
      <c r="GJ200" s="28" t="str">
        <f t="shared" si="130"/>
        <v>00:00</v>
      </c>
      <c r="GK200" s="29"/>
      <c r="GL200" s="27"/>
      <c r="GM200" s="27"/>
      <c r="GN200" s="28" t="str">
        <f>IFERROR(VLOOKUP(GL200,Horarios!$H:$I,2,0),"")</f>
        <v/>
      </c>
      <c r="GO200" s="28" t="str">
        <f>IFERROR(VLOOKUP(GM200,Horarios!$H:$I,2,0),"")</f>
        <v/>
      </c>
      <c r="GP200" s="28" t="str">
        <f t="shared" si="131"/>
        <v>00:00</v>
      </c>
      <c r="GQ200" s="29"/>
      <c r="GR200" s="27"/>
      <c r="GS200" s="27"/>
      <c r="GT200" s="28" t="str">
        <f>IFERROR(VLOOKUP(GR200,Horarios!$H:$I,2,0),"")</f>
        <v/>
      </c>
      <c r="GU200" s="28" t="str">
        <f>IFERROR(VLOOKUP(GS200,Horarios!$H:$I,2,0),"")</f>
        <v/>
      </c>
      <c r="GV200" s="28" t="str">
        <f t="shared" si="132"/>
        <v>00:00</v>
      </c>
      <c r="GW200" s="29"/>
      <c r="GX200" s="27"/>
      <c r="GY200" s="27"/>
      <c r="GZ200" s="28" t="str">
        <f>IFERROR(VLOOKUP(GX200,Horarios!$H:$I,2,0),"")</f>
        <v/>
      </c>
      <c r="HA200" s="28" t="str">
        <f>IFERROR(VLOOKUP(GY200,Horarios!$H:$I,2,0),"")</f>
        <v/>
      </c>
      <c r="HB200" s="28" t="str">
        <f t="shared" si="133"/>
        <v>00:00</v>
      </c>
      <c r="HC200" s="29"/>
      <c r="HD200" s="27"/>
      <c r="HE200" s="27"/>
      <c r="HF200" s="28" t="str">
        <f>IFERROR(VLOOKUP(HD200,Horarios!$H:$I,2,0),"")</f>
        <v/>
      </c>
      <c r="HG200" s="28" t="str">
        <f>IFERROR(VLOOKUP(HE200,Horarios!$H:$I,2,0),"")</f>
        <v/>
      </c>
      <c r="HH200" s="28" t="str">
        <f t="shared" si="134"/>
        <v>00:00</v>
      </c>
      <c r="HI200" s="29"/>
      <c r="HJ200" s="31" t="str">
        <f t="shared" si="135"/>
        <v/>
      </c>
      <c r="HK200" s="27"/>
      <c r="HL200" s="27"/>
      <c r="HM200" s="28" t="str">
        <f>IFERROR(VLOOKUP(HK200,Horarios!$H:$I,2,0),"")</f>
        <v/>
      </c>
      <c r="HN200" s="28" t="str">
        <f>IFERROR(VLOOKUP(HL200,Horarios!$H:$I,2,0),"")</f>
        <v/>
      </c>
      <c r="HO200" s="28" t="str">
        <f t="shared" si="136"/>
        <v>00:00</v>
      </c>
      <c r="HP200" s="29"/>
      <c r="HQ200" s="27"/>
      <c r="HR200" s="27"/>
      <c r="HS200" s="28" t="str">
        <f>IFERROR(VLOOKUP(HQ200,Horarios!$H:$I,2,0),"")</f>
        <v/>
      </c>
      <c r="HT200" s="28" t="str">
        <f>IFERROR(VLOOKUP(HR200,Horarios!$H:$I,2,0),"")</f>
        <v/>
      </c>
      <c r="HU200" s="28" t="str">
        <f t="shared" si="137"/>
        <v>00:00</v>
      </c>
      <c r="HV200" s="29"/>
      <c r="HW200" s="27"/>
      <c r="HX200" s="27"/>
      <c r="HY200" s="28" t="str">
        <f>IFERROR(VLOOKUP(HW200,Horarios!$H:$I,2,0),"")</f>
        <v/>
      </c>
      <c r="HZ200" s="28" t="str">
        <f>IFERROR(VLOOKUP(HX200,Horarios!$H:$I,2,0),"")</f>
        <v/>
      </c>
      <c r="IA200" s="28" t="str">
        <f t="shared" si="138"/>
        <v>00:00</v>
      </c>
      <c r="IB200" s="29"/>
      <c r="IC200" s="27"/>
      <c r="ID200" s="27"/>
      <c r="IE200" s="28" t="str">
        <f>IFERROR(VLOOKUP(IC200,Horarios!$H:$I,2,0),"")</f>
        <v/>
      </c>
      <c r="IF200" s="28" t="str">
        <f>IFERROR(VLOOKUP(ID200,Horarios!$H:$I,2,0),"")</f>
        <v/>
      </c>
      <c r="IG200" s="28" t="str">
        <f t="shared" si="139"/>
        <v>00:00</v>
      </c>
      <c r="IH200" s="29"/>
      <c r="II200" s="27"/>
      <c r="IJ200" s="27"/>
      <c r="IK200" s="28" t="str">
        <f>IFERROR(VLOOKUP(II200,Horarios!$H:$I,2,0),"")</f>
        <v/>
      </c>
      <c r="IL200" s="28" t="str">
        <f>IFERROR(VLOOKUP(IJ200,Horarios!$H:$I,2,0),"")</f>
        <v/>
      </c>
      <c r="IM200" s="28" t="str">
        <f t="shared" si="140"/>
        <v>00:00</v>
      </c>
      <c r="IN200" s="29"/>
      <c r="IO200" s="27"/>
      <c r="IP200" s="27"/>
      <c r="IQ200" s="28" t="str">
        <f>IFERROR(VLOOKUP(IO200,Horarios!$H:$I,2,0),"")</f>
        <v/>
      </c>
      <c r="IR200" s="28" t="str">
        <f>IFERROR(VLOOKUP(IP200,Horarios!$H:$I,2,0),"")</f>
        <v/>
      </c>
      <c r="IS200" s="28" t="str">
        <f t="shared" si="141"/>
        <v>00:00</v>
      </c>
      <c r="IT200" s="29"/>
      <c r="IU200" s="27"/>
      <c r="IV200" s="27"/>
      <c r="IW200" s="28" t="str">
        <f>IFERROR(VLOOKUP(IU200,Horarios!$H:$I,2,0),"")</f>
        <v/>
      </c>
      <c r="IX200" s="28" t="str">
        <f>IFERROR(VLOOKUP(IV200,Horarios!$H:$I,2,0),"")</f>
        <v/>
      </c>
      <c r="IY200" s="28" t="str">
        <f t="shared" si="142"/>
        <v>00:00</v>
      </c>
      <c r="IZ200" s="29"/>
      <c r="JA200" s="31" t="str">
        <f t="shared" si="143"/>
        <v/>
      </c>
    </row>
    <row r="201" spans="1:261" s="24" customFormat="1" ht="17.399999999999999" x14ac:dyDescent="0.25">
      <c r="A201" s="25"/>
      <c r="B201" s="26" t="str">
        <f>IFERROR(VLOOKUP(A201,BaseNombres!A:B,2,0),"")</f>
        <v/>
      </c>
      <c r="C201" s="26" t="str">
        <f>IFERROR(VLOOKUP(A201,BaseNombres!A:C,3,0),"")</f>
        <v/>
      </c>
      <c r="D201" s="27"/>
      <c r="E201" s="27"/>
      <c r="F201" s="28" t="str">
        <f>IFERROR(VLOOKUP(D201,Horarios!$H:$I,2,0),"")</f>
        <v/>
      </c>
      <c r="G201" s="28" t="str">
        <f>IFERROR(VLOOKUP(E201,Horarios!$H:$I,2,0),"")</f>
        <v/>
      </c>
      <c r="H201" s="28" t="str">
        <f t="shared" si="96"/>
        <v>00:00</v>
      </c>
      <c r="I201" s="29"/>
      <c r="J201" s="27"/>
      <c r="K201" s="27"/>
      <c r="L201" s="28" t="str">
        <f>IFERROR(VLOOKUP(J201,Horarios!$H:$I,2,0),"")</f>
        <v/>
      </c>
      <c r="M201" s="28" t="str">
        <f>IFERROR(VLOOKUP(K201,Horarios!$H:$I,2,0),"")</f>
        <v/>
      </c>
      <c r="N201" s="28" t="str">
        <f t="shared" si="97"/>
        <v>00:00</v>
      </c>
      <c r="O201" s="29"/>
      <c r="P201" s="27"/>
      <c r="Q201" s="27"/>
      <c r="R201" s="28" t="str">
        <f>IFERROR(VLOOKUP(P201,Horarios!$H:$I,2,0),"")</f>
        <v/>
      </c>
      <c r="S201" s="28" t="str">
        <f>IFERROR(VLOOKUP(Q201,Horarios!$H:$I,2,0),"")</f>
        <v/>
      </c>
      <c r="T201" s="28" t="str">
        <f t="shared" si="98"/>
        <v>00:00</v>
      </c>
      <c r="U201" s="29"/>
      <c r="V201" s="27"/>
      <c r="W201" s="27"/>
      <c r="X201" s="28" t="str">
        <f>IFERROR(VLOOKUP(V201,Horarios!$H:$I,2,0),"")</f>
        <v/>
      </c>
      <c r="Y201" s="28" t="str">
        <f>IFERROR(VLOOKUP(W201,Horarios!$H:$I,2,0),"")</f>
        <v/>
      </c>
      <c r="Z201" s="28" t="str">
        <f t="shared" si="99"/>
        <v>00:00</v>
      </c>
      <c r="AA201" s="29"/>
      <c r="AB201" s="27"/>
      <c r="AC201" s="27"/>
      <c r="AD201" s="28" t="str">
        <f>IFERROR(VLOOKUP(AB201,Horarios!$H:$I,2,0),"")</f>
        <v/>
      </c>
      <c r="AE201" s="28" t="str">
        <f>IFERROR(VLOOKUP(AC201,Horarios!$H:$I,2,0),"")</f>
        <v/>
      </c>
      <c r="AF201" s="28" t="str">
        <f t="shared" si="100"/>
        <v>00:00</v>
      </c>
      <c r="AG201" s="29"/>
      <c r="AH201" s="27"/>
      <c r="AI201" s="27"/>
      <c r="AJ201" s="28" t="str">
        <f>IFERROR(VLOOKUP(AH201,Horarios!$H:$I,2,0),"")</f>
        <v/>
      </c>
      <c r="AK201" s="28" t="str">
        <f>IFERROR(VLOOKUP(AI201,Horarios!$H:$I,2,0),"")</f>
        <v/>
      </c>
      <c r="AL201" s="28" t="str">
        <f t="shared" si="101"/>
        <v>00:00</v>
      </c>
      <c r="AM201" s="29"/>
      <c r="AN201" s="27"/>
      <c r="AO201" s="27"/>
      <c r="AP201" s="28" t="str">
        <f>IFERROR(VLOOKUP(AN201,Horarios!$H:$I,2,0),"")</f>
        <v/>
      </c>
      <c r="AQ201" s="28" t="str">
        <f>IFERROR(VLOOKUP(AO201,Horarios!$H:$I,2,0),"")</f>
        <v/>
      </c>
      <c r="AR201" s="28" t="str">
        <f t="shared" si="102"/>
        <v>00:00</v>
      </c>
      <c r="AS201" s="29"/>
      <c r="AT201" s="31" t="str">
        <f t="shared" si="103"/>
        <v/>
      </c>
      <c r="AU201" s="27"/>
      <c r="AV201" s="27"/>
      <c r="AW201" s="28" t="str">
        <f>IFERROR(VLOOKUP(AU201,Horarios!$H:$I,2,0),"")</f>
        <v/>
      </c>
      <c r="AX201" s="28" t="str">
        <f>IFERROR(VLOOKUP(AV201,Horarios!$H:$I,2,0),"")</f>
        <v/>
      </c>
      <c r="AY201" s="28" t="str">
        <f t="shared" si="104"/>
        <v>00:00</v>
      </c>
      <c r="AZ201" s="29"/>
      <c r="BA201" s="27"/>
      <c r="BB201" s="27"/>
      <c r="BC201" s="28" t="str">
        <f>IFERROR(VLOOKUP(BA201,Horarios!$H:$I,2,0),"")</f>
        <v/>
      </c>
      <c r="BD201" s="28" t="str">
        <f>IFERROR(VLOOKUP(BB201,Horarios!$H:$I,2,0),"")</f>
        <v/>
      </c>
      <c r="BE201" s="28" t="str">
        <f t="shared" si="105"/>
        <v>00:00</v>
      </c>
      <c r="BF201" s="29"/>
      <c r="BG201" s="27"/>
      <c r="BH201" s="27"/>
      <c r="BI201" s="28" t="str">
        <f>IFERROR(VLOOKUP(BG201,Horarios!$H:$I,2,0),"")</f>
        <v/>
      </c>
      <c r="BJ201" s="28" t="str">
        <f>IFERROR(VLOOKUP(BH201,Horarios!$H:$I,2,0),"")</f>
        <v/>
      </c>
      <c r="BK201" s="28" t="str">
        <f t="shared" si="106"/>
        <v>00:00</v>
      </c>
      <c r="BL201" s="29"/>
      <c r="BM201" s="27"/>
      <c r="BN201" s="27"/>
      <c r="BO201" s="28" t="str">
        <f>IFERROR(VLOOKUP(BM201,Horarios!$H:$I,2,0),"")</f>
        <v/>
      </c>
      <c r="BP201" s="28" t="str">
        <f>IFERROR(VLOOKUP(BN201,Horarios!$H:$I,2,0),"")</f>
        <v/>
      </c>
      <c r="BQ201" s="28" t="str">
        <f t="shared" si="107"/>
        <v>00:00</v>
      </c>
      <c r="BR201" s="29"/>
      <c r="BS201" s="27"/>
      <c r="BT201" s="27"/>
      <c r="BU201" s="28" t="str">
        <f>IFERROR(VLOOKUP(BS201,Horarios!$H:$I,2,0),"")</f>
        <v/>
      </c>
      <c r="BV201" s="28" t="str">
        <f>IFERROR(VLOOKUP(BT201,Horarios!$H:$I,2,0),"")</f>
        <v/>
      </c>
      <c r="BW201" s="28" t="str">
        <f t="shared" si="108"/>
        <v>00:00</v>
      </c>
      <c r="BX201" s="29"/>
      <c r="BY201" s="27"/>
      <c r="BZ201" s="27"/>
      <c r="CA201" s="28" t="str">
        <f>IFERROR(VLOOKUP(BY201,Horarios!$H:$I,2,0),"")</f>
        <v/>
      </c>
      <c r="CB201" s="28" t="str">
        <f>IFERROR(VLOOKUP(BZ201,Horarios!$H:$I,2,0),"")</f>
        <v/>
      </c>
      <c r="CC201" s="28" t="str">
        <f t="shared" si="109"/>
        <v>00:00</v>
      </c>
      <c r="CD201" s="29"/>
      <c r="CE201" s="27"/>
      <c r="CF201" s="27"/>
      <c r="CG201" s="28" t="str">
        <f>IFERROR(VLOOKUP(CE201,Horarios!$H:$I,2,0),"")</f>
        <v/>
      </c>
      <c r="CH201" s="28" t="str">
        <f>IFERROR(VLOOKUP(CF201,Horarios!$H:$I,2,0),"")</f>
        <v/>
      </c>
      <c r="CI201" s="28" t="str">
        <f t="shared" si="110"/>
        <v>00:00</v>
      </c>
      <c r="CJ201" s="29"/>
      <c r="CK201" s="31" t="str">
        <f t="shared" si="111"/>
        <v/>
      </c>
      <c r="CL201" s="27"/>
      <c r="CM201" s="27"/>
      <c r="CN201" s="28" t="str">
        <f>IFERROR(VLOOKUP(CL201,Horarios!$H:$I,2,0),"")</f>
        <v/>
      </c>
      <c r="CO201" s="28" t="str">
        <f>IFERROR(VLOOKUP(CM201,Horarios!$H:$I,2,0),"")</f>
        <v/>
      </c>
      <c r="CP201" s="28" t="str">
        <f t="shared" si="112"/>
        <v>00:00</v>
      </c>
      <c r="CQ201" s="29"/>
      <c r="CR201" s="27"/>
      <c r="CS201" s="27"/>
      <c r="CT201" s="28" t="str">
        <f>IFERROR(VLOOKUP(CR201,Horarios!$H:$I,2,0),"")</f>
        <v/>
      </c>
      <c r="CU201" s="28" t="str">
        <f>IFERROR(VLOOKUP(CS201,Horarios!$H:$I,2,0),"")</f>
        <v/>
      </c>
      <c r="CV201" s="28" t="str">
        <f t="shared" si="113"/>
        <v>00:00</v>
      </c>
      <c r="CW201" s="29"/>
      <c r="CX201" s="27"/>
      <c r="CY201" s="27"/>
      <c r="CZ201" s="28" t="str">
        <f>IFERROR(VLOOKUP(CX201,Horarios!$H:$I,2,0),"")</f>
        <v/>
      </c>
      <c r="DA201" s="28" t="str">
        <f>IFERROR(VLOOKUP(CY201,Horarios!$H:$I,2,0),"")</f>
        <v/>
      </c>
      <c r="DB201" s="28" t="str">
        <f t="shared" si="114"/>
        <v>00:00</v>
      </c>
      <c r="DC201" s="29"/>
      <c r="DD201" s="27"/>
      <c r="DE201" s="27"/>
      <c r="DF201" s="28" t="str">
        <f>IFERROR(VLOOKUP(DD201,Horarios!$H:$I,2,0),"")</f>
        <v/>
      </c>
      <c r="DG201" s="28" t="str">
        <f>IFERROR(VLOOKUP(DE201,Horarios!$H:$I,2,0),"")</f>
        <v/>
      </c>
      <c r="DH201" s="28" t="str">
        <f t="shared" si="115"/>
        <v>00:00</v>
      </c>
      <c r="DI201" s="29"/>
      <c r="DJ201" s="27"/>
      <c r="DK201" s="27"/>
      <c r="DL201" s="28" t="str">
        <f>IFERROR(VLOOKUP(DJ201,Horarios!$H:$I,2,0),"")</f>
        <v/>
      </c>
      <c r="DM201" s="28" t="str">
        <f>IFERROR(VLOOKUP(DK201,Horarios!$H:$I,2,0),"")</f>
        <v/>
      </c>
      <c r="DN201" s="28" t="str">
        <f t="shared" si="116"/>
        <v>00:00</v>
      </c>
      <c r="DO201" s="29"/>
      <c r="DP201" s="27"/>
      <c r="DQ201" s="27"/>
      <c r="DR201" s="28" t="str">
        <f>IFERROR(VLOOKUP(DP201,Horarios!$H:$I,2,0),"")</f>
        <v/>
      </c>
      <c r="DS201" s="28" t="str">
        <f>IFERROR(VLOOKUP(DQ201,Horarios!$H:$I,2,0),"")</f>
        <v/>
      </c>
      <c r="DT201" s="28" t="str">
        <f t="shared" si="117"/>
        <v>00:00</v>
      </c>
      <c r="DU201" s="29"/>
      <c r="DV201" s="27"/>
      <c r="DW201" s="27"/>
      <c r="DX201" s="28" t="str">
        <f>IFERROR(VLOOKUP(DV201,Horarios!$H:$I,2,0),"")</f>
        <v/>
      </c>
      <c r="DY201" s="28" t="str">
        <f>IFERROR(VLOOKUP(DW201,Horarios!$H:$I,2,0),"")</f>
        <v/>
      </c>
      <c r="DZ201" s="28" t="str">
        <f t="shared" si="118"/>
        <v>00:00</v>
      </c>
      <c r="EA201" s="29"/>
      <c r="EB201" s="31" t="str">
        <f t="shared" si="119"/>
        <v/>
      </c>
      <c r="EC201" s="27"/>
      <c r="ED201" s="27"/>
      <c r="EE201" s="28" t="str">
        <f>IFERROR(VLOOKUP(EC201,Horarios!$H:$I,2,0),"")</f>
        <v/>
      </c>
      <c r="EF201" s="28" t="str">
        <f>IFERROR(VLOOKUP(ED201,Horarios!$H:$I,2,0),"")</f>
        <v/>
      </c>
      <c r="EG201" s="28" t="str">
        <f t="shared" si="120"/>
        <v>00:00</v>
      </c>
      <c r="EH201" s="29"/>
      <c r="EI201" s="27"/>
      <c r="EJ201" s="27"/>
      <c r="EK201" s="28" t="str">
        <f>IFERROR(VLOOKUP(EI201,Horarios!$H:$I,2,0),"")</f>
        <v/>
      </c>
      <c r="EL201" s="28" t="str">
        <f>IFERROR(VLOOKUP(EJ201,Horarios!$H:$I,2,0),"")</f>
        <v/>
      </c>
      <c r="EM201" s="28" t="str">
        <f t="shared" si="121"/>
        <v>00:00</v>
      </c>
      <c r="EN201" s="29"/>
      <c r="EO201" s="27"/>
      <c r="EP201" s="27"/>
      <c r="EQ201" s="28" t="str">
        <f>IFERROR(VLOOKUP(EO201,Horarios!$H:$I,2,0),"")</f>
        <v/>
      </c>
      <c r="ER201" s="28" t="str">
        <f>IFERROR(VLOOKUP(EP201,Horarios!$H:$I,2,0),"")</f>
        <v/>
      </c>
      <c r="ES201" s="28" t="str">
        <f t="shared" si="122"/>
        <v>00:00</v>
      </c>
      <c r="ET201" s="29"/>
      <c r="EU201" s="27"/>
      <c r="EV201" s="27"/>
      <c r="EW201" s="28" t="str">
        <f>IFERROR(VLOOKUP(EU201,Horarios!$H:$I,2,0),"")</f>
        <v/>
      </c>
      <c r="EX201" s="28" t="str">
        <f>IFERROR(VLOOKUP(EV201,Horarios!$H:$I,2,0),"")</f>
        <v/>
      </c>
      <c r="EY201" s="28" t="str">
        <f t="shared" si="123"/>
        <v>00:00</v>
      </c>
      <c r="EZ201" s="29"/>
      <c r="FA201" s="27"/>
      <c r="FB201" s="27"/>
      <c r="FC201" s="28" t="str">
        <f>IFERROR(VLOOKUP(FA201,Horarios!$H:$I,2,0),"")</f>
        <v/>
      </c>
      <c r="FD201" s="28" t="str">
        <f>IFERROR(VLOOKUP(FB201,Horarios!$H:$I,2,0),"")</f>
        <v/>
      </c>
      <c r="FE201" s="28" t="str">
        <f t="shared" si="124"/>
        <v>00:00</v>
      </c>
      <c r="FF201" s="29"/>
      <c r="FG201" s="27"/>
      <c r="FH201" s="27"/>
      <c r="FI201" s="28" t="str">
        <f>IFERROR(VLOOKUP(FG201,Horarios!$H:$I,2,0),"")</f>
        <v/>
      </c>
      <c r="FJ201" s="28" t="str">
        <f>IFERROR(VLOOKUP(FH201,Horarios!$H:$I,2,0),"")</f>
        <v/>
      </c>
      <c r="FK201" s="28" t="str">
        <f t="shared" si="125"/>
        <v>00:00</v>
      </c>
      <c r="FL201" s="29"/>
      <c r="FM201" s="27"/>
      <c r="FN201" s="27"/>
      <c r="FO201" s="28" t="str">
        <f>IFERROR(VLOOKUP(FM201,Horarios!$H:$I,2,0),"")</f>
        <v/>
      </c>
      <c r="FP201" s="28" t="str">
        <f>IFERROR(VLOOKUP(FN201,Horarios!$H:$I,2,0),"")</f>
        <v/>
      </c>
      <c r="FQ201" s="28" t="str">
        <f t="shared" si="126"/>
        <v>00:00</v>
      </c>
      <c r="FR201" s="29"/>
      <c r="FS201" s="31" t="str">
        <f t="shared" si="127"/>
        <v/>
      </c>
      <c r="FT201" s="27"/>
      <c r="FU201" s="27"/>
      <c r="FV201" s="28" t="str">
        <f>IFERROR(VLOOKUP(FT201,Horarios!$H:$I,2,0),"")</f>
        <v/>
      </c>
      <c r="FW201" s="28" t="str">
        <f>IFERROR(VLOOKUP(FU201,Horarios!$H:$I,2,0),"")</f>
        <v/>
      </c>
      <c r="FX201" s="28" t="str">
        <f t="shared" si="128"/>
        <v>00:00</v>
      </c>
      <c r="FY201" s="29"/>
      <c r="FZ201" s="27"/>
      <c r="GA201" s="27"/>
      <c r="GB201" s="28" t="str">
        <f>IFERROR(VLOOKUP(FZ201,Horarios!$H:$I,2,0),"")</f>
        <v/>
      </c>
      <c r="GC201" s="28" t="str">
        <f>IFERROR(VLOOKUP(GA201,Horarios!$H:$I,2,0),"")</f>
        <v/>
      </c>
      <c r="GD201" s="28" t="str">
        <f t="shared" si="129"/>
        <v>00:00</v>
      </c>
      <c r="GE201" s="29"/>
      <c r="GF201" s="27"/>
      <c r="GG201" s="27"/>
      <c r="GH201" s="28" t="str">
        <f>IFERROR(VLOOKUP(GF201,Horarios!$H:$I,2,0),"")</f>
        <v/>
      </c>
      <c r="GI201" s="28" t="str">
        <f>IFERROR(VLOOKUP(GG201,Horarios!$H:$I,2,0),"")</f>
        <v/>
      </c>
      <c r="GJ201" s="28" t="str">
        <f t="shared" si="130"/>
        <v>00:00</v>
      </c>
      <c r="GK201" s="29"/>
      <c r="GL201" s="27"/>
      <c r="GM201" s="27"/>
      <c r="GN201" s="28" t="str">
        <f>IFERROR(VLOOKUP(GL201,Horarios!$H:$I,2,0),"")</f>
        <v/>
      </c>
      <c r="GO201" s="28" t="str">
        <f>IFERROR(VLOOKUP(GM201,Horarios!$H:$I,2,0),"")</f>
        <v/>
      </c>
      <c r="GP201" s="28" t="str">
        <f t="shared" si="131"/>
        <v>00:00</v>
      </c>
      <c r="GQ201" s="29"/>
      <c r="GR201" s="27"/>
      <c r="GS201" s="27"/>
      <c r="GT201" s="28" t="str">
        <f>IFERROR(VLOOKUP(GR201,Horarios!$H:$I,2,0),"")</f>
        <v/>
      </c>
      <c r="GU201" s="28" t="str">
        <f>IFERROR(VLOOKUP(GS201,Horarios!$H:$I,2,0),"")</f>
        <v/>
      </c>
      <c r="GV201" s="28" t="str">
        <f t="shared" si="132"/>
        <v>00:00</v>
      </c>
      <c r="GW201" s="29"/>
      <c r="GX201" s="27"/>
      <c r="GY201" s="27"/>
      <c r="GZ201" s="28" t="str">
        <f>IFERROR(VLOOKUP(GX201,Horarios!$H:$I,2,0),"")</f>
        <v/>
      </c>
      <c r="HA201" s="28" t="str">
        <f>IFERROR(VLOOKUP(GY201,Horarios!$H:$I,2,0),"")</f>
        <v/>
      </c>
      <c r="HB201" s="28" t="str">
        <f t="shared" si="133"/>
        <v>00:00</v>
      </c>
      <c r="HC201" s="29"/>
      <c r="HD201" s="27"/>
      <c r="HE201" s="27"/>
      <c r="HF201" s="28" t="str">
        <f>IFERROR(VLOOKUP(HD201,Horarios!$H:$I,2,0),"")</f>
        <v/>
      </c>
      <c r="HG201" s="28" t="str">
        <f>IFERROR(VLOOKUP(HE201,Horarios!$H:$I,2,0),"")</f>
        <v/>
      </c>
      <c r="HH201" s="28" t="str">
        <f t="shared" si="134"/>
        <v>00:00</v>
      </c>
      <c r="HI201" s="29"/>
      <c r="HJ201" s="31" t="str">
        <f t="shared" si="135"/>
        <v/>
      </c>
      <c r="HK201" s="27"/>
      <c r="HL201" s="27"/>
      <c r="HM201" s="28" t="str">
        <f>IFERROR(VLOOKUP(HK201,Horarios!$H:$I,2,0),"")</f>
        <v/>
      </c>
      <c r="HN201" s="28" t="str">
        <f>IFERROR(VLOOKUP(HL201,Horarios!$H:$I,2,0),"")</f>
        <v/>
      </c>
      <c r="HO201" s="28" t="str">
        <f t="shared" si="136"/>
        <v>00:00</v>
      </c>
      <c r="HP201" s="29"/>
      <c r="HQ201" s="27"/>
      <c r="HR201" s="27"/>
      <c r="HS201" s="28" t="str">
        <f>IFERROR(VLOOKUP(HQ201,Horarios!$H:$I,2,0),"")</f>
        <v/>
      </c>
      <c r="HT201" s="28" t="str">
        <f>IFERROR(VLOOKUP(HR201,Horarios!$H:$I,2,0),"")</f>
        <v/>
      </c>
      <c r="HU201" s="28" t="str">
        <f t="shared" si="137"/>
        <v>00:00</v>
      </c>
      <c r="HV201" s="29"/>
      <c r="HW201" s="27"/>
      <c r="HX201" s="27"/>
      <c r="HY201" s="28" t="str">
        <f>IFERROR(VLOOKUP(HW201,Horarios!$H:$I,2,0),"")</f>
        <v/>
      </c>
      <c r="HZ201" s="28" t="str">
        <f>IFERROR(VLOOKUP(HX201,Horarios!$H:$I,2,0),"")</f>
        <v/>
      </c>
      <c r="IA201" s="28" t="str">
        <f t="shared" si="138"/>
        <v>00:00</v>
      </c>
      <c r="IB201" s="29"/>
      <c r="IC201" s="27"/>
      <c r="ID201" s="27"/>
      <c r="IE201" s="28" t="str">
        <f>IFERROR(VLOOKUP(IC201,Horarios!$H:$I,2,0),"")</f>
        <v/>
      </c>
      <c r="IF201" s="28" t="str">
        <f>IFERROR(VLOOKUP(ID201,Horarios!$H:$I,2,0),"")</f>
        <v/>
      </c>
      <c r="IG201" s="28" t="str">
        <f t="shared" si="139"/>
        <v>00:00</v>
      </c>
      <c r="IH201" s="29"/>
      <c r="II201" s="27"/>
      <c r="IJ201" s="27"/>
      <c r="IK201" s="28" t="str">
        <f>IFERROR(VLOOKUP(II201,Horarios!$H:$I,2,0),"")</f>
        <v/>
      </c>
      <c r="IL201" s="28" t="str">
        <f>IFERROR(VLOOKUP(IJ201,Horarios!$H:$I,2,0),"")</f>
        <v/>
      </c>
      <c r="IM201" s="28" t="str">
        <f t="shared" si="140"/>
        <v>00:00</v>
      </c>
      <c r="IN201" s="29"/>
      <c r="IO201" s="27"/>
      <c r="IP201" s="27"/>
      <c r="IQ201" s="28" t="str">
        <f>IFERROR(VLOOKUP(IO201,Horarios!$H:$I,2,0),"")</f>
        <v/>
      </c>
      <c r="IR201" s="28" t="str">
        <f>IFERROR(VLOOKUP(IP201,Horarios!$H:$I,2,0),"")</f>
        <v/>
      </c>
      <c r="IS201" s="28" t="str">
        <f t="shared" si="141"/>
        <v>00:00</v>
      </c>
      <c r="IT201" s="29"/>
      <c r="IU201" s="27"/>
      <c r="IV201" s="27"/>
      <c r="IW201" s="28" t="str">
        <f>IFERROR(VLOOKUP(IU201,Horarios!$H:$I,2,0),"")</f>
        <v/>
      </c>
      <c r="IX201" s="28" t="str">
        <f>IFERROR(VLOOKUP(IV201,Horarios!$H:$I,2,0),"")</f>
        <v/>
      </c>
      <c r="IY201" s="28" t="str">
        <f t="shared" si="142"/>
        <v>00:00</v>
      </c>
      <c r="IZ201" s="29"/>
      <c r="JA201" s="31" t="str">
        <f t="shared" si="143"/>
        <v/>
      </c>
    </row>
    <row r="202" spans="1:261" s="24" customFormat="1" ht="17.399999999999999" x14ac:dyDescent="0.25">
      <c r="A202" s="25"/>
      <c r="B202" s="26" t="str">
        <f>IFERROR(VLOOKUP(A202,BaseNombres!A:B,2,0),"")</f>
        <v/>
      </c>
      <c r="C202" s="26" t="str">
        <f>IFERROR(VLOOKUP(A202,BaseNombres!A:C,3,0),"")</f>
        <v/>
      </c>
      <c r="D202" s="27"/>
      <c r="E202" s="27"/>
      <c r="F202" s="28" t="str">
        <f>IFERROR(VLOOKUP(D202,Horarios!$H:$I,2,0),"")</f>
        <v/>
      </c>
      <c r="G202" s="28" t="str">
        <f>IFERROR(VLOOKUP(E202,Horarios!$H:$I,2,0),"")</f>
        <v/>
      </c>
      <c r="H202" s="28" t="str">
        <f t="shared" si="96"/>
        <v>00:00</v>
      </c>
      <c r="I202" s="29"/>
      <c r="J202" s="27"/>
      <c r="K202" s="27"/>
      <c r="L202" s="28" t="str">
        <f>IFERROR(VLOOKUP(J202,Horarios!$H:$I,2,0),"")</f>
        <v/>
      </c>
      <c r="M202" s="28" t="str">
        <f>IFERROR(VLOOKUP(K202,Horarios!$H:$I,2,0),"")</f>
        <v/>
      </c>
      <c r="N202" s="28" t="str">
        <f t="shared" si="97"/>
        <v>00:00</v>
      </c>
      <c r="O202" s="29"/>
      <c r="P202" s="27"/>
      <c r="Q202" s="27"/>
      <c r="R202" s="28" t="str">
        <f>IFERROR(VLOOKUP(P202,Horarios!$H:$I,2,0),"")</f>
        <v/>
      </c>
      <c r="S202" s="28" t="str">
        <f>IFERROR(VLOOKUP(Q202,Horarios!$H:$I,2,0),"")</f>
        <v/>
      </c>
      <c r="T202" s="28" t="str">
        <f t="shared" si="98"/>
        <v>00:00</v>
      </c>
      <c r="U202" s="29"/>
      <c r="V202" s="27"/>
      <c r="W202" s="27"/>
      <c r="X202" s="28" t="str">
        <f>IFERROR(VLOOKUP(V202,Horarios!$H:$I,2,0),"")</f>
        <v/>
      </c>
      <c r="Y202" s="28" t="str">
        <f>IFERROR(VLOOKUP(W202,Horarios!$H:$I,2,0),"")</f>
        <v/>
      </c>
      <c r="Z202" s="28" t="str">
        <f t="shared" si="99"/>
        <v>00:00</v>
      </c>
      <c r="AA202" s="29"/>
      <c r="AB202" s="27"/>
      <c r="AC202" s="27"/>
      <c r="AD202" s="28" t="str">
        <f>IFERROR(VLOOKUP(AB202,Horarios!$H:$I,2,0),"")</f>
        <v/>
      </c>
      <c r="AE202" s="28" t="str">
        <f>IFERROR(VLOOKUP(AC202,Horarios!$H:$I,2,0),"")</f>
        <v/>
      </c>
      <c r="AF202" s="28" t="str">
        <f t="shared" si="100"/>
        <v>00:00</v>
      </c>
      <c r="AG202" s="29"/>
      <c r="AH202" s="27"/>
      <c r="AI202" s="27"/>
      <c r="AJ202" s="28" t="str">
        <f>IFERROR(VLOOKUP(AH202,Horarios!$H:$I,2,0),"")</f>
        <v/>
      </c>
      <c r="AK202" s="28" t="str">
        <f>IFERROR(VLOOKUP(AI202,Horarios!$H:$I,2,0),"")</f>
        <v/>
      </c>
      <c r="AL202" s="28" t="str">
        <f t="shared" si="101"/>
        <v>00:00</v>
      </c>
      <c r="AM202" s="29"/>
      <c r="AN202" s="27"/>
      <c r="AO202" s="27"/>
      <c r="AP202" s="28" t="str">
        <f>IFERROR(VLOOKUP(AN202,Horarios!$H:$I,2,0),"")</f>
        <v/>
      </c>
      <c r="AQ202" s="28" t="str">
        <f>IFERROR(VLOOKUP(AO202,Horarios!$H:$I,2,0),"")</f>
        <v/>
      </c>
      <c r="AR202" s="28" t="str">
        <f t="shared" si="102"/>
        <v>00:00</v>
      </c>
      <c r="AS202" s="29"/>
      <c r="AT202" s="31" t="str">
        <f t="shared" si="103"/>
        <v/>
      </c>
      <c r="AU202" s="27"/>
      <c r="AV202" s="27"/>
      <c r="AW202" s="28" t="str">
        <f>IFERROR(VLOOKUP(AU202,Horarios!$H:$I,2,0),"")</f>
        <v/>
      </c>
      <c r="AX202" s="28" t="str">
        <f>IFERROR(VLOOKUP(AV202,Horarios!$H:$I,2,0),"")</f>
        <v/>
      </c>
      <c r="AY202" s="28" t="str">
        <f t="shared" si="104"/>
        <v>00:00</v>
      </c>
      <c r="AZ202" s="29"/>
      <c r="BA202" s="27"/>
      <c r="BB202" s="27"/>
      <c r="BC202" s="28" t="str">
        <f>IFERROR(VLOOKUP(BA202,Horarios!$H:$I,2,0),"")</f>
        <v/>
      </c>
      <c r="BD202" s="28" t="str">
        <f>IFERROR(VLOOKUP(BB202,Horarios!$H:$I,2,0),"")</f>
        <v/>
      </c>
      <c r="BE202" s="28" t="str">
        <f t="shared" si="105"/>
        <v>00:00</v>
      </c>
      <c r="BF202" s="29"/>
      <c r="BG202" s="27"/>
      <c r="BH202" s="27"/>
      <c r="BI202" s="28" t="str">
        <f>IFERROR(VLOOKUP(BG202,Horarios!$H:$I,2,0),"")</f>
        <v/>
      </c>
      <c r="BJ202" s="28" t="str">
        <f>IFERROR(VLOOKUP(BH202,Horarios!$H:$I,2,0),"")</f>
        <v/>
      </c>
      <c r="BK202" s="28" t="str">
        <f t="shared" si="106"/>
        <v>00:00</v>
      </c>
      <c r="BL202" s="29"/>
      <c r="BM202" s="27"/>
      <c r="BN202" s="27"/>
      <c r="BO202" s="28" t="str">
        <f>IFERROR(VLOOKUP(BM202,Horarios!$H:$I,2,0),"")</f>
        <v/>
      </c>
      <c r="BP202" s="28" t="str">
        <f>IFERROR(VLOOKUP(BN202,Horarios!$H:$I,2,0),"")</f>
        <v/>
      </c>
      <c r="BQ202" s="28" t="str">
        <f t="shared" si="107"/>
        <v>00:00</v>
      </c>
      <c r="BR202" s="29"/>
      <c r="BS202" s="27"/>
      <c r="BT202" s="27"/>
      <c r="BU202" s="28" t="str">
        <f>IFERROR(VLOOKUP(BS202,Horarios!$H:$I,2,0),"")</f>
        <v/>
      </c>
      <c r="BV202" s="28" t="str">
        <f>IFERROR(VLOOKUP(BT202,Horarios!$H:$I,2,0),"")</f>
        <v/>
      </c>
      <c r="BW202" s="28" t="str">
        <f t="shared" si="108"/>
        <v>00:00</v>
      </c>
      <c r="BX202" s="29"/>
      <c r="BY202" s="27"/>
      <c r="BZ202" s="27"/>
      <c r="CA202" s="28" t="str">
        <f>IFERROR(VLOOKUP(BY202,Horarios!$H:$I,2,0),"")</f>
        <v/>
      </c>
      <c r="CB202" s="28" t="str">
        <f>IFERROR(VLOOKUP(BZ202,Horarios!$H:$I,2,0),"")</f>
        <v/>
      </c>
      <c r="CC202" s="28" t="str">
        <f t="shared" si="109"/>
        <v>00:00</v>
      </c>
      <c r="CD202" s="29"/>
      <c r="CE202" s="27"/>
      <c r="CF202" s="27"/>
      <c r="CG202" s="28" t="str">
        <f>IFERROR(VLOOKUP(CE202,Horarios!$H:$I,2,0),"")</f>
        <v/>
      </c>
      <c r="CH202" s="28" t="str">
        <f>IFERROR(VLOOKUP(CF202,Horarios!$H:$I,2,0),"")</f>
        <v/>
      </c>
      <c r="CI202" s="28" t="str">
        <f t="shared" si="110"/>
        <v>00:00</v>
      </c>
      <c r="CJ202" s="29"/>
      <c r="CK202" s="31" t="str">
        <f t="shared" si="111"/>
        <v/>
      </c>
      <c r="CL202" s="27"/>
      <c r="CM202" s="27"/>
      <c r="CN202" s="28" t="str">
        <f>IFERROR(VLOOKUP(CL202,Horarios!$H:$I,2,0),"")</f>
        <v/>
      </c>
      <c r="CO202" s="28" t="str">
        <f>IFERROR(VLOOKUP(CM202,Horarios!$H:$I,2,0),"")</f>
        <v/>
      </c>
      <c r="CP202" s="28" t="str">
        <f t="shared" si="112"/>
        <v>00:00</v>
      </c>
      <c r="CQ202" s="29"/>
      <c r="CR202" s="27"/>
      <c r="CS202" s="27"/>
      <c r="CT202" s="28" t="str">
        <f>IFERROR(VLOOKUP(CR202,Horarios!$H:$I,2,0),"")</f>
        <v/>
      </c>
      <c r="CU202" s="28" t="str">
        <f>IFERROR(VLOOKUP(CS202,Horarios!$H:$I,2,0),"")</f>
        <v/>
      </c>
      <c r="CV202" s="28" t="str">
        <f t="shared" si="113"/>
        <v>00:00</v>
      </c>
      <c r="CW202" s="29"/>
      <c r="CX202" s="27"/>
      <c r="CY202" s="27"/>
      <c r="CZ202" s="28" t="str">
        <f>IFERROR(VLOOKUP(CX202,Horarios!$H:$I,2,0),"")</f>
        <v/>
      </c>
      <c r="DA202" s="28" t="str">
        <f>IFERROR(VLOOKUP(CY202,Horarios!$H:$I,2,0),"")</f>
        <v/>
      </c>
      <c r="DB202" s="28" t="str">
        <f t="shared" si="114"/>
        <v>00:00</v>
      </c>
      <c r="DC202" s="29"/>
      <c r="DD202" s="27"/>
      <c r="DE202" s="27"/>
      <c r="DF202" s="28" t="str">
        <f>IFERROR(VLOOKUP(DD202,Horarios!$H:$I,2,0),"")</f>
        <v/>
      </c>
      <c r="DG202" s="28" t="str">
        <f>IFERROR(VLOOKUP(DE202,Horarios!$H:$I,2,0),"")</f>
        <v/>
      </c>
      <c r="DH202" s="28" t="str">
        <f t="shared" si="115"/>
        <v>00:00</v>
      </c>
      <c r="DI202" s="29"/>
      <c r="DJ202" s="27"/>
      <c r="DK202" s="27"/>
      <c r="DL202" s="28" t="str">
        <f>IFERROR(VLOOKUP(DJ202,Horarios!$H:$I,2,0),"")</f>
        <v/>
      </c>
      <c r="DM202" s="28" t="str">
        <f>IFERROR(VLOOKUP(DK202,Horarios!$H:$I,2,0),"")</f>
        <v/>
      </c>
      <c r="DN202" s="28" t="str">
        <f t="shared" si="116"/>
        <v>00:00</v>
      </c>
      <c r="DO202" s="29"/>
      <c r="DP202" s="27"/>
      <c r="DQ202" s="27"/>
      <c r="DR202" s="28" t="str">
        <f>IFERROR(VLOOKUP(DP202,Horarios!$H:$I,2,0),"")</f>
        <v/>
      </c>
      <c r="DS202" s="28" t="str">
        <f>IFERROR(VLOOKUP(DQ202,Horarios!$H:$I,2,0),"")</f>
        <v/>
      </c>
      <c r="DT202" s="28" t="str">
        <f t="shared" si="117"/>
        <v>00:00</v>
      </c>
      <c r="DU202" s="29"/>
      <c r="DV202" s="27"/>
      <c r="DW202" s="27"/>
      <c r="DX202" s="28" t="str">
        <f>IFERROR(VLOOKUP(DV202,Horarios!$H:$I,2,0),"")</f>
        <v/>
      </c>
      <c r="DY202" s="28" t="str">
        <f>IFERROR(VLOOKUP(DW202,Horarios!$H:$I,2,0),"")</f>
        <v/>
      </c>
      <c r="DZ202" s="28" t="str">
        <f t="shared" si="118"/>
        <v>00:00</v>
      </c>
      <c r="EA202" s="29"/>
      <c r="EB202" s="31" t="str">
        <f t="shared" si="119"/>
        <v/>
      </c>
      <c r="EC202" s="27"/>
      <c r="ED202" s="27"/>
      <c r="EE202" s="28" t="str">
        <f>IFERROR(VLOOKUP(EC202,Horarios!$H:$I,2,0),"")</f>
        <v/>
      </c>
      <c r="EF202" s="28" t="str">
        <f>IFERROR(VLOOKUP(ED202,Horarios!$H:$I,2,0),"")</f>
        <v/>
      </c>
      <c r="EG202" s="28" t="str">
        <f t="shared" si="120"/>
        <v>00:00</v>
      </c>
      <c r="EH202" s="29"/>
      <c r="EI202" s="27"/>
      <c r="EJ202" s="27"/>
      <c r="EK202" s="28" t="str">
        <f>IFERROR(VLOOKUP(EI202,Horarios!$H:$I,2,0),"")</f>
        <v/>
      </c>
      <c r="EL202" s="28" t="str">
        <f>IFERROR(VLOOKUP(EJ202,Horarios!$H:$I,2,0),"")</f>
        <v/>
      </c>
      <c r="EM202" s="28" t="str">
        <f t="shared" si="121"/>
        <v>00:00</v>
      </c>
      <c r="EN202" s="29"/>
      <c r="EO202" s="27"/>
      <c r="EP202" s="27"/>
      <c r="EQ202" s="28" t="str">
        <f>IFERROR(VLOOKUP(EO202,Horarios!$H:$I,2,0),"")</f>
        <v/>
      </c>
      <c r="ER202" s="28" t="str">
        <f>IFERROR(VLOOKUP(EP202,Horarios!$H:$I,2,0),"")</f>
        <v/>
      </c>
      <c r="ES202" s="28" t="str">
        <f t="shared" si="122"/>
        <v>00:00</v>
      </c>
      <c r="ET202" s="29"/>
      <c r="EU202" s="27"/>
      <c r="EV202" s="27"/>
      <c r="EW202" s="28" t="str">
        <f>IFERROR(VLOOKUP(EU202,Horarios!$H:$I,2,0),"")</f>
        <v/>
      </c>
      <c r="EX202" s="28" t="str">
        <f>IFERROR(VLOOKUP(EV202,Horarios!$H:$I,2,0),"")</f>
        <v/>
      </c>
      <c r="EY202" s="28" t="str">
        <f t="shared" si="123"/>
        <v>00:00</v>
      </c>
      <c r="EZ202" s="29"/>
      <c r="FA202" s="27"/>
      <c r="FB202" s="27"/>
      <c r="FC202" s="28" t="str">
        <f>IFERROR(VLOOKUP(FA202,Horarios!$H:$I,2,0),"")</f>
        <v/>
      </c>
      <c r="FD202" s="28" t="str">
        <f>IFERROR(VLOOKUP(FB202,Horarios!$H:$I,2,0),"")</f>
        <v/>
      </c>
      <c r="FE202" s="28" t="str">
        <f t="shared" si="124"/>
        <v>00:00</v>
      </c>
      <c r="FF202" s="29"/>
      <c r="FG202" s="27"/>
      <c r="FH202" s="27"/>
      <c r="FI202" s="28" t="str">
        <f>IFERROR(VLOOKUP(FG202,Horarios!$H:$I,2,0),"")</f>
        <v/>
      </c>
      <c r="FJ202" s="28" t="str">
        <f>IFERROR(VLOOKUP(FH202,Horarios!$H:$I,2,0),"")</f>
        <v/>
      </c>
      <c r="FK202" s="28" t="str">
        <f t="shared" si="125"/>
        <v>00:00</v>
      </c>
      <c r="FL202" s="29"/>
      <c r="FM202" s="27"/>
      <c r="FN202" s="27"/>
      <c r="FO202" s="28" t="str">
        <f>IFERROR(VLOOKUP(FM202,Horarios!$H:$I,2,0),"")</f>
        <v/>
      </c>
      <c r="FP202" s="28" t="str">
        <f>IFERROR(VLOOKUP(FN202,Horarios!$H:$I,2,0),"")</f>
        <v/>
      </c>
      <c r="FQ202" s="28" t="str">
        <f t="shared" si="126"/>
        <v>00:00</v>
      </c>
      <c r="FR202" s="29"/>
      <c r="FS202" s="31" t="str">
        <f t="shared" si="127"/>
        <v/>
      </c>
      <c r="FT202" s="27"/>
      <c r="FU202" s="27"/>
      <c r="FV202" s="28" t="str">
        <f>IFERROR(VLOOKUP(FT202,Horarios!$H:$I,2,0),"")</f>
        <v/>
      </c>
      <c r="FW202" s="28" t="str">
        <f>IFERROR(VLOOKUP(FU202,Horarios!$H:$I,2,0),"")</f>
        <v/>
      </c>
      <c r="FX202" s="28" t="str">
        <f t="shared" si="128"/>
        <v>00:00</v>
      </c>
      <c r="FY202" s="29"/>
      <c r="FZ202" s="27"/>
      <c r="GA202" s="27"/>
      <c r="GB202" s="28" t="str">
        <f>IFERROR(VLOOKUP(FZ202,Horarios!$H:$I,2,0),"")</f>
        <v/>
      </c>
      <c r="GC202" s="28" t="str">
        <f>IFERROR(VLOOKUP(GA202,Horarios!$H:$I,2,0),"")</f>
        <v/>
      </c>
      <c r="GD202" s="28" t="str">
        <f t="shared" si="129"/>
        <v>00:00</v>
      </c>
      <c r="GE202" s="29"/>
      <c r="GF202" s="27"/>
      <c r="GG202" s="27"/>
      <c r="GH202" s="28" t="str">
        <f>IFERROR(VLOOKUP(GF202,Horarios!$H:$I,2,0),"")</f>
        <v/>
      </c>
      <c r="GI202" s="28" t="str">
        <f>IFERROR(VLOOKUP(GG202,Horarios!$H:$I,2,0),"")</f>
        <v/>
      </c>
      <c r="GJ202" s="28" t="str">
        <f t="shared" si="130"/>
        <v>00:00</v>
      </c>
      <c r="GK202" s="29"/>
      <c r="GL202" s="27"/>
      <c r="GM202" s="27"/>
      <c r="GN202" s="28" t="str">
        <f>IFERROR(VLOOKUP(GL202,Horarios!$H:$I,2,0),"")</f>
        <v/>
      </c>
      <c r="GO202" s="28" t="str">
        <f>IFERROR(VLOOKUP(GM202,Horarios!$H:$I,2,0),"")</f>
        <v/>
      </c>
      <c r="GP202" s="28" t="str">
        <f t="shared" si="131"/>
        <v>00:00</v>
      </c>
      <c r="GQ202" s="29"/>
      <c r="GR202" s="27"/>
      <c r="GS202" s="27"/>
      <c r="GT202" s="28" t="str">
        <f>IFERROR(VLOOKUP(GR202,Horarios!$H:$I,2,0),"")</f>
        <v/>
      </c>
      <c r="GU202" s="28" t="str">
        <f>IFERROR(VLOOKUP(GS202,Horarios!$H:$I,2,0),"")</f>
        <v/>
      </c>
      <c r="GV202" s="28" t="str">
        <f t="shared" si="132"/>
        <v>00:00</v>
      </c>
      <c r="GW202" s="29"/>
      <c r="GX202" s="27"/>
      <c r="GY202" s="27"/>
      <c r="GZ202" s="28" t="str">
        <f>IFERROR(VLOOKUP(GX202,Horarios!$H:$I,2,0),"")</f>
        <v/>
      </c>
      <c r="HA202" s="28" t="str">
        <f>IFERROR(VLOOKUP(GY202,Horarios!$H:$I,2,0),"")</f>
        <v/>
      </c>
      <c r="HB202" s="28" t="str">
        <f t="shared" si="133"/>
        <v>00:00</v>
      </c>
      <c r="HC202" s="29"/>
      <c r="HD202" s="27"/>
      <c r="HE202" s="27"/>
      <c r="HF202" s="28" t="str">
        <f>IFERROR(VLOOKUP(HD202,Horarios!$H:$I,2,0),"")</f>
        <v/>
      </c>
      <c r="HG202" s="28" t="str">
        <f>IFERROR(VLOOKUP(HE202,Horarios!$H:$I,2,0),"")</f>
        <v/>
      </c>
      <c r="HH202" s="28" t="str">
        <f t="shared" si="134"/>
        <v>00:00</v>
      </c>
      <c r="HI202" s="29"/>
      <c r="HJ202" s="31" t="str">
        <f t="shared" si="135"/>
        <v/>
      </c>
      <c r="HK202" s="27"/>
      <c r="HL202" s="27"/>
      <c r="HM202" s="28" t="str">
        <f>IFERROR(VLOOKUP(HK202,Horarios!$H:$I,2,0),"")</f>
        <v/>
      </c>
      <c r="HN202" s="28" t="str">
        <f>IFERROR(VLOOKUP(HL202,Horarios!$H:$I,2,0),"")</f>
        <v/>
      </c>
      <c r="HO202" s="28" t="str">
        <f t="shared" si="136"/>
        <v>00:00</v>
      </c>
      <c r="HP202" s="29"/>
      <c r="HQ202" s="27"/>
      <c r="HR202" s="27"/>
      <c r="HS202" s="28" t="str">
        <f>IFERROR(VLOOKUP(HQ202,Horarios!$H:$I,2,0),"")</f>
        <v/>
      </c>
      <c r="HT202" s="28" t="str">
        <f>IFERROR(VLOOKUP(HR202,Horarios!$H:$I,2,0),"")</f>
        <v/>
      </c>
      <c r="HU202" s="28" t="str">
        <f t="shared" si="137"/>
        <v>00:00</v>
      </c>
      <c r="HV202" s="29"/>
      <c r="HW202" s="27"/>
      <c r="HX202" s="27"/>
      <c r="HY202" s="28" t="str">
        <f>IFERROR(VLOOKUP(HW202,Horarios!$H:$I,2,0),"")</f>
        <v/>
      </c>
      <c r="HZ202" s="28" t="str">
        <f>IFERROR(VLOOKUP(HX202,Horarios!$H:$I,2,0),"")</f>
        <v/>
      </c>
      <c r="IA202" s="28" t="str">
        <f t="shared" si="138"/>
        <v>00:00</v>
      </c>
      <c r="IB202" s="29"/>
      <c r="IC202" s="27"/>
      <c r="ID202" s="27"/>
      <c r="IE202" s="28" t="str">
        <f>IFERROR(VLOOKUP(IC202,Horarios!$H:$I,2,0),"")</f>
        <v/>
      </c>
      <c r="IF202" s="28" t="str">
        <f>IFERROR(VLOOKUP(ID202,Horarios!$H:$I,2,0),"")</f>
        <v/>
      </c>
      <c r="IG202" s="28" t="str">
        <f t="shared" si="139"/>
        <v>00:00</v>
      </c>
      <c r="IH202" s="29"/>
      <c r="II202" s="27"/>
      <c r="IJ202" s="27"/>
      <c r="IK202" s="28" t="str">
        <f>IFERROR(VLOOKUP(II202,Horarios!$H:$I,2,0),"")</f>
        <v/>
      </c>
      <c r="IL202" s="28" t="str">
        <f>IFERROR(VLOOKUP(IJ202,Horarios!$H:$I,2,0),"")</f>
        <v/>
      </c>
      <c r="IM202" s="28" t="str">
        <f t="shared" si="140"/>
        <v>00:00</v>
      </c>
      <c r="IN202" s="29"/>
      <c r="IO202" s="27"/>
      <c r="IP202" s="27"/>
      <c r="IQ202" s="28" t="str">
        <f>IFERROR(VLOOKUP(IO202,Horarios!$H:$I,2,0),"")</f>
        <v/>
      </c>
      <c r="IR202" s="28" t="str">
        <f>IFERROR(VLOOKUP(IP202,Horarios!$H:$I,2,0),"")</f>
        <v/>
      </c>
      <c r="IS202" s="28" t="str">
        <f t="shared" si="141"/>
        <v>00:00</v>
      </c>
      <c r="IT202" s="29"/>
      <c r="IU202" s="27"/>
      <c r="IV202" s="27"/>
      <c r="IW202" s="28" t="str">
        <f>IFERROR(VLOOKUP(IU202,Horarios!$H:$I,2,0),"")</f>
        <v/>
      </c>
      <c r="IX202" s="28" t="str">
        <f>IFERROR(VLOOKUP(IV202,Horarios!$H:$I,2,0),"")</f>
        <v/>
      </c>
      <c r="IY202" s="28" t="str">
        <f t="shared" si="142"/>
        <v>00:00</v>
      </c>
      <c r="IZ202" s="29"/>
      <c r="JA202" s="31" t="str">
        <f t="shared" si="143"/>
        <v/>
      </c>
    </row>
    <row r="203" spans="1:261" s="24" customFormat="1" ht="17.399999999999999" x14ac:dyDescent="0.25">
      <c r="A203" s="25"/>
      <c r="B203" s="26" t="str">
        <f>IFERROR(VLOOKUP(A203,BaseNombres!A:B,2,0),"")</f>
        <v/>
      </c>
      <c r="C203" s="26" t="str">
        <f>IFERROR(VLOOKUP(A203,BaseNombres!A:C,3,0),"")</f>
        <v/>
      </c>
      <c r="D203" s="27"/>
      <c r="E203" s="27"/>
      <c r="F203" s="28" t="str">
        <f>IFERROR(VLOOKUP(D203,Horarios!$H:$I,2,0),"")</f>
        <v/>
      </c>
      <c r="G203" s="28" t="str">
        <f>IFERROR(VLOOKUP(E203,Horarios!$H:$I,2,0),"")</f>
        <v/>
      </c>
      <c r="H203" s="28" t="str">
        <f t="shared" ref="H203:H266" si="144">IF(SUM(F203,G203)=0,"00:00",SUM(F203,G203))</f>
        <v>00:00</v>
      </c>
      <c r="I203" s="29"/>
      <c r="J203" s="27"/>
      <c r="K203" s="27"/>
      <c r="L203" s="28" t="str">
        <f>IFERROR(VLOOKUP(J203,Horarios!$H:$I,2,0),"")</f>
        <v/>
      </c>
      <c r="M203" s="28" t="str">
        <f>IFERROR(VLOOKUP(K203,Horarios!$H:$I,2,0),"")</f>
        <v/>
      </c>
      <c r="N203" s="28" t="str">
        <f t="shared" ref="N203:N266" si="145">IF(SUM(L203,M203)=0,"00:00",SUM(L203,M203))</f>
        <v>00:00</v>
      </c>
      <c r="O203" s="29"/>
      <c r="P203" s="27"/>
      <c r="Q203" s="27"/>
      <c r="R203" s="28" t="str">
        <f>IFERROR(VLOOKUP(P203,Horarios!$H:$I,2,0),"")</f>
        <v/>
      </c>
      <c r="S203" s="28" t="str">
        <f>IFERROR(VLOOKUP(Q203,Horarios!$H:$I,2,0),"")</f>
        <v/>
      </c>
      <c r="T203" s="28" t="str">
        <f t="shared" ref="T203:T266" si="146">IF(SUM(R203,S203)=0,"00:00",SUM(R203,S203))</f>
        <v>00:00</v>
      </c>
      <c r="U203" s="29"/>
      <c r="V203" s="27"/>
      <c r="W203" s="27"/>
      <c r="X203" s="28" t="str">
        <f>IFERROR(VLOOKUP(V203,Horarios!$H:$I,2,0),"")</f>
        <v/>
      </c>
      <c r="Y203" s="28" t="str">
        <f>IFERROR(VLOOKUP(W203,Horarios!$H:$I,2,0),"")</f>
        <v/>
      </c>
      <c r="Z203" s="28" t="str">
        <f t="shared" ref="Z203:Z266" si="147">IF(SUM(X203,Y203)=0,"00:00",SUM(X203,Y203))</f>
        <v>00:00</v>
      </c>
      <c r="AA203" s="29"/>
      <c r="AB203" s="27"/>
      <c r="AC203" s="27"/>
      <c r="AD203" s="28" t="str">
        <f>IFERROR(VLOOKUP(AB203,Horarios!$H:$I,2,0),"")</f>
        <v/>
      </c>
      <c r="AE203" s="28" t="str">
        <f>IFERROR(VLOOKUP(AC203,Horarios!$H:$I,2,0),"")</f>
        <v/>
      </c>
      <c r="AF203" s="28" t="str">
        <f t="shared" ref="AF203:AF266" si="148">IF(SUM(AD203,AE203)=0,"00:00",SUM(AD203,AE203))</f>
        <v>00:00</v>
      </c>
      <c r="AG203" s="29"/>
      <c r="AH203" s="27"/>
      <c r="AI203" s="27"/>
      <c r="AJ203" s="28" t="str">
        <f>IFERROR(VLOOKUP(AH203,Horarios!$H:$I,2,0),"")</f>
        <v/>
      </c>
      <c r="AK203" s="28" t="str">
        <f>IFERROR(VLOOKUP(AI203,Horarios!$H:$I,2,0),"")</f>
        <v/>
      </c>
      <c r="AL203" s="28" t="str">
        <f t="shared" ref="AL203:AL266" si="149">IF(SUM(AJ203,AK203)=0,"00:00",SUM(AJ203,AK203))</f>
        <v>00:00</v>
      </c>
      <c r="AM203" s="29"/>
      <c r="AN203" s="27"/>
      <c r="AO203" s="27"/>
      <c r="AP203" s="28" t="str">
        <f>IFERROR(VLOOKUP(AN203,Horarios!$H:$I,2,0),"")</f>
        <v/>
      </c>
      <c r="AQ203" s="28" t="str">
        <f>IFERROR(VLOOKUP(AO203,Horarios!$H:$I,2,0),"")</f>
        <v/>
      </c>
      <c r="AR203" s="28" t="str">
        <f t="shared" ref="AR203:AR266" si="150">IF(SUM(AP203,AQ203)=0,"00:00",SUM(AP203,AQ203))</f>
        <v>00:00</v>
      </c>
      <c r="AS203" s="29"/>
      <c r="AT203" s="31" t="str">
        <f t="shared" ref="AT203:AT266" si="151">IFERROR(IF(SUM(H203,N203,T203,Z203,AF203,AL203,AR203)=0,"",SUM(TEXT(H203,"HH:MM"),TEXT(N203,"HH:MM"),TEXT(T203,"HH:MM"),TEXT(Z203,"HH:MM"),TEXT(AF203,"HH:MM"),TEXT(AL203,"HH:MM"),TEXT(AR203,"HH:MM")))*24,"")</f>
        <v/>
      </c>
      <c r="AU203" s="27"/>
      <c r="AV203" s="27"/>
      <c r="AW203" s="28" t="str">
        <f>IFERROR(VLOOKUP(AU203,Horarios!$H:$I,2,0),"")</f>
        <v/>
      </c>
      <c r="AX203" s="28" t="str">
        <f>IFERROR(VLOOKUP(AV203,Horarios!$H:$I,2,0),"")</f>
        <v/>
      </c>
      <c r="AY203" s="28" t="str">
        <f t="shared" ref="AY203:AY266" si="152">IF(SUM(AW203,AX203)=0,"00:00",SUM(AW203,AX203))</f>
        <v>00:00</v>
      </c>
      <c r="AZ203" s="29"/>
      <c r="BA203" s="27"/>
      <c r="BB203" s="27"/>
      <c r="BC203" s="28" t="str">
        <f>IFERROR(VLOOKUP(BA203,Horarios!$H:$I,2,0),"")</f>
        <v/>
      </c>
      <c r="BD203" s="28" t="str">
        <f>IFERROR(VLOOKUP(BB203,Horarios!$H:$I,2,0),"")</f>
        <v/>
      </c>
      <c r="BE203" s="28" t="str">
        <f t="shared" ref="BE203:BE266" si="153">IF(SUM(BC203,BD203)=0,"00:00",SUM(BC203,BD203))</f>
        <v>00:00</v>
      </c>
      <c r="BF203" s="29"/>
      <c r="BG203" s="27"/>
      <c r="BH203" s="27"/>
      <c r="BI203" s="28" t="str">
        <f>IFERROR(VLOOKUP(BG203,Horarios!$H:$I,2,0),"")</f>
        <v/>
      </c>
      <c r="BJ203" s="28" t="str">
        <f>IFERROR(VLOOKUP(BH203,Horarios!$H:$I,2,0),"")</f>
        <v/>
      </c>
      <c r="BK203" s="28" t="str">
        <f t="shared" ref="BK203:BK266" si="154">IF(SUM(BI203,BJ203)=0,"00:00",SUM(BI203,BJ203))</f>
        <v>00:00</v>
      </c>
      <c r="BL203" s="29"/>
      <c r="BM203" s="27"/>
      <c r="BN203" s="27"/>
      <c r="BO203" s="28" t="str">
        <f>IFERROR(VLOOKUP(BM203,Horarios!$H:$I,2,0),"")</f>
        <v/>
      </c>
      <c r="BP203" s="28" t="str">
        <f>IFERROR(VLOOKUP(BN203,Horarios!$H:$I,2,0),"")</f>
        <v/>
      </c>
      <c r="BQ203" s="28" t="str">
        <f t="shared" ref="BQ203:BQ266" si="155">IF(SUM(BO203,BP203)=0,"00:00",SUM(BO203,BP203))</f>
        <v>00:00</v>
      </c>
      <c r="BR203" s="29"/>
      <c r="BS203" s="27"/>
      <c r="BT203" s="27"/>
      <c r="BU203" s="28" t="str">
        <f>IFERROR(VLOOKUP(BS203,Horarios!$H:$I,2,0),"")</f>
        <v/>
      </c>
      <c r="BV203" s="28" t="str">
        <f>IFERROR(VLOOKUP(BT203,Horarios!$H:$I,2,0),"")</f>
        <v/>
      </c>
      <c r="BW203" s="28" t="str">
        <f t="shared" ref="BW203:BW266" si="156">IF(SUM(BU203,BV203)=0,"00:00",SUM(BU203,BV203))</f>
        <v>00:00</v>
      </c>
      <c r="BX203" s="29"/>
      <c r="BY203" s="27"/>
      <c r="BZ203" s="27"/>
      <c r="CA203" s="28" t="str">
        <f>IFERROR(VLOOKUP(BY203,Horarios!$H:$I,2,0),"")</f>
        <v/>
      </c>
      <c r="CB203" s="28" t="str">
        <f>IFERROR(VLOOKUP(BZ203,Horarios!$H:$I,2,0),"")</f>
        <v/>
      </c>
      <c r="CC203" s="28" t="str">
        <f t="shared" ref="CC203:CC266" si="157">IF(SUM(CA203,CB203)=0,"00:00",SUM(CA203,CB203))</f>
        <v>00:00</v>
      </c>
      <c r="CD203" s="29"/>
      <c r="CE203" s="27"/>
      <c r="CF203" s="27"/>
      <c r="CG203" s="28" t="str">
        <f>IFERROR(VLOOKUP(CE203,Horarios!$H:$I,2,0),"")</f>
        <v/>
      </c>
      <c r="CH203" s="28" t="str">
        <f>IFERROR(VLOOKUP(CF203,Horarios!$H:$I,2,0),"")</f>
        <v/>
      </c>
      <c r="CI203" s="28" t="str">
        <f t="shared" ref="CI203:CI266" si="158">IF(SUM(CG203,CH203)=0,"00:00",SUM(CG203,CH203))</f>
        <v>00:00</v>
      </c>
      <c r="CJ203" s="29"/>
      <c r="CK203" s="31" t="str">
        <f t="shared" ref="CK203:CK266" si="159">IFERROR(IF(SUM(AY203,BE203,BK203,BQ203,BW203,CC203,CI203)=0,"",SUM(TEXT(AY203,"HH:MM"),TEXT(BE203,"HH:MM"),TEXT(BK203,"HH:MM"),TEXT(BQ203,"HH:MM"),TEXT(BW203,"HH:MM"),TEXT(CC203,"HH:MM"),TEXT(CI203,"HH:MM")))*24,"")</f>
        <v/>
      </c>
      <c r="CL203" s="27"/>
      <c r="CM203" s="27"/>
      <c r="CN203" s="28" t="str">
        <f>IFERROR(VLOOKUP(CL203,Horarios!$H:$I,2,0),"")</f>
        <v/>
      </c>
      <c r="CO203" s="28" t="str">
        <f>IFERROR(VLOOKUP(CM203,Horarios!$H:$I,2,0),"")</f>
        <v/>
      </c>
      <c r="CP203" s="28" t="str">
        <f t="shared" ref="CP203:CP266" si="160">IF(SUM(CN203,CO203)=0,"00:00",SUM(CN203,CO203))</f>
        <v>00:00</v>
      </c>
      <c r="CQ203" s="29"/>
      <c r="CR203" s="27"/>
      <c r="CS203" s="27"/>
      <c r="CT203" s="28" t="str">
        <f>IFERROR(VLOOKUP(CR203,Horarios!$H:$I,2,0),"")</f>
        <v/>
      </c>
      <c r="CU203" s="28" t="str">
        <f>IFERROR(VLOOKUP(CS203,Horarios!$H:$I,2,0),"")</f>
        <v/>
      </c>
      <c r="CV203" s="28" t="str">
        <f t="shared" ref="CV203:CV266" si="161">IF(SUM(CT203,CU203)=0,"00:00",SUM(CT203,CU203))</f>
        <v>00:00</v>
      </c>
      <c r="CW203" s="29"/>
      <c r="CX203" s="27"/>
      <c r="CY203" s="27"/>
      <c r="CZ203" s="28" t="str">
        <f>IFERROR(VLOOKUP(CX203,Horarios!$H:$I,2,0),"")</f>
        <v/>
      </c>
      <c r="DA203" s="28" t="str">
        <f>IFERROR(VLOOKUP(CY203,Horarios!$H:$I,2,0),"")</f>
        <v/>
      </c>
      <c r="DB203" s="28" t="str">
        <f t="shared" ref="DB203:DB266" si="162">IF(SUM(CZ203,DA203)=0,"00:00",SUM(CZ203,DA203))</f>
        <v>00:00</v>
      </c>
      <c r="DC203" s="29"/>
      <c r="DD203" s="27"/>
      <c r="DE203" s="27"/>
      <c r="DF203" s="28" t="str">
        <f>IFERROR(VLOOKUP(DD203,Horarios!$H:$I,2,0),"")</f>
        <v/>
      </c>
      <c r="DG203" s="28" t="str">
        <f>IFERROR(VLOOKUP(DE203,Horarios!$H:$I,2,0),"")</f>
        <v/>
      </c>
      <c r="DH203" s="28" t="str">
        <f t="shared" ref="DH203:DH266" si="163">IF(SUM(DF203,DG203)=0,"00:00",SUM(DF203,DG203))</f>
        <v>00:00</v>
      </c>
      <c r="DI203" s="29"/>
      <c r="DJ203" s="27"/>
      <c r="DK203" s="27"/>
      <c r="DL203" s="28" t="str">
        <f>IFERROR(VLOOKUP(DJ203,Horarios!$H:$I,2,0),"")</f>
        <v/>
      </c>
      <c r="DM203" s="28" t="str">
        <f>IFERROR(VLOOKUP(DK203,Horarios!$H:$I,2,0),"")</f>
        <v/>
      </c>
      <c r="DN203" s="28" t="str">
        <f t="shared" ref="DN203:DN266" si="164">IF(SUM(DL203,DM203)=0,"00:00",SUM(DL203,DM203))</f>
        <v>00:00</v>
      </c>
      <c r="DO203" s="29"/>
      <c r="DP203" s="27"/>
      <c r="DQ203" s="27"/>
      <c r="DR203" s="28" t="str">
        <f>IFERROR(VLOOKUP(DP203,Horarios!$H:$I,2,0),"")</f>
        <v/>
      </c>
      <c r="DS203" s="28" t="str">
        <f>IFERROR(VLOOKUP(DQ203,Horarios!$H:$I,2,0),"")</f>
        <v/>
      </c>
      <c r="DT203" s="28" t="str">
        <f t="shared" ref="DT203:DT266" si="165">IF(SUM(DR203,DS203)=0,"00:00",SUM(DR203,DS203))</f>
        <v>00:00</v>
      </c>
      <c r="DU203" s="29"/>
      <c r="DV203" s="27"/>
      <c r="DW203" s="27"/>
      <c r="DX203" s="28" t="str">
        <f>IFERROR(VLOOKUP(DV203,Horarios!$H:$I,2,0),"")</f>
        <v/>
      </c>
      <c r="DY203" s="28" t="str">
        <f>IFERROR(VLOOKUP(DW203,Horarios!$H:$I,2,0),"")</f>
        <v/>
      </c>
      <c r="DZ203" s="28" t="str">
        <f t="shared" ref="DZ203:DZ266" si="166">IF(SUM(DX203,DY203)=0,"00:00",SUM(DX203,DY203))</f>
        <v>00:00</v>
      </c>
      <c r="EA203" s="29"/>
      <c r="EB203" s="31" t="str">
        <f t="shared" ref="EB203:EB266" si="167">IFERROR(IF(SUM(CP203,CV203,DB203,DH203,DN203,DT203,DZ203)=0,"",SUM(TEXT(CP203,"HH:MM"),TEXT(CV203,"HH:MM"),TEXT(DB203,"HH:MM"),TEXT(DH203,"HH:MM"),TEXT(DN203,"HH:MM"),TEXT(DT203,"HH:MM"),TEXT(DZ203,"HH:MM")))*24,"")</f>
        <v/>
      </c>
      <c r="EC203" s="27"/>
      <c r="ED203" s="27"/>
      <c r="EE203" s="28" t="str">
        <f>IFERROR(VLOOKUP(EC203,Horarios!$H:$I,2,0),"")</f>
        <v/>
      </c>
      <c r="EF203" s="28" t="str">
        <f>IFERROR(VLOOKUP(ED203,Horarios!$H:$I,2,0),"")</f>
        <v/>
      </c>
      <c r="EG203" s="28" t="str">
        <f t="shared" ref="EG203:EG266" si="168">IF(SUM(EE203,EF203)=0,"00:00",SUM(EE203,EF203))</f>
        <v>00:00</v>
      </c>
      <c r="EH203" s="29"/>
      <c r="EI203" s="27"/>
      <c r="EJ203" s="27"/>
      <c r="EK203" s="28" t="str">
        <f>IFERROR(VLOOKUP(EI203,Horarios!$H:$I,2,0),"")</f>
        <v/>
      </c>
      <c r="EL203" s="28" t="str">
        <f>IFERROR(VLOOKUP(EJ203,Horarios!$H:$I,2,0),"")</f>
        <v/>
      </c>
      <c r="EM203" s="28" t="str">
        <f t="shared" ref="EM203:EM266" si="169">IF(SUM(EK203,EL203)=0,"00:00",SUM(EK203,EL203))</f>
        <v>00:00</v>
      </c>
      <c r="EN203" s="29"/>
      <c r="EO203" s="27"/>
      <c r="EP203" s="27"/>
      <c r="EQ203" s="28" t="str">
        <f>IFERROR(VLOOKUP(EO203,Horarios!$H:$I,2,0),"")</f>
        <v/>
      </c>
      <c r="ER203" s="28" t="str">
        <f>IFERROR(VLOOKUP(EP203,Horarios!$H:$I,2,0),"")</f>
        <v/>
      </c>
      <c r="ES203" s="28" t="str">
        <f t="shared" ref="ES203:ES266" si="170">IF(SUM(EQ203,ER203)=0,"00:00",SUM(EQ203,ER203))</f>
        <v>00:00</v>
      </c>
      <c r="ET203" s="29"/>
      <c r="EU203" s="27"/>
      <c r="EV203" s="27"/>
      <c r="EW203" s="28" t="str">
        <f>IFERROR(VLOOKUP(EU203,Horarios!$H:$I,2,0),"")</f>
        <v/>
      </c>
      <c r="EX203" s="28" t="str">
        <f>IFERROR(VLOOKUP(EV203,Horarios!$H:$I,2,0),"")</f>
        <v/>
      </c>
      <c r="EY203" s="28" t="str">
        <f t="shared" ref="EY203:EY266" si="171">IF(SUM(EW203,EX203)=0,"00:00",SUM(EW203,EX203))</f>
        <v>00:00</v>
      </c>
      <c r="EZ203" s="29"/>
      <c r="FA203" s="27"/>
      <c r="FB203" s="27"/>
      <c r="FC203" s="28" t="str">
        <f>IFERROR(VLOOKUP(FA203,Horarios!$H:$I,2,0),"")</f>
        <v/>
      </c>
      <c r="FD203" s="28" t="str">
        <f>IFERROR(VLOOKUP(FB203,Horarios!$H:$I,2,0),"")</f>
        <v/>
      </c>
      <c r="FE203" s="28" t="str">
        <f t="shared" ref="FE203:FE266" si="172">IF(SUM(FC203,FD203)=0,"00:00",SUM(FC203,FD203))</f>
        <v>00:00</v>
      </c>
      <c r="FF203" s="29"/>
      <c r="FG203" s="27"/>
      <c r="FH203" s="27"/>
      <c r="FI203" s="28" t="str">
        <f>IFERROR(VLOOKUP(FG203,Horarios!$H:$I,2,0),"")</f>
        <v/>
      </c>
      <c r="FJ203" s="28" t="str">
        <f>IFERROR(VLOOKUP(FH203,Horarios!$H:$I,2,0),"")</f>
        <v/>
      </c>
      <c r="FK203" s="28" t="str">
        <f t="shared" ref="FK203:FK266" si="173">IF(SUM(FI203,FJ203)=0,"00:00",SUM(FI203,FJ203))</f>
        <v>00:00</v>
      </c>
      <c r="FL203" s="29"/>
      <c r="FM203" s="27"/>
      <c r="FN203" s="27"/>
      <c r="FO203" s="28" t="str">
        <f>IFERROR(VLOOKUP(FM203,Horarios!$H:$I,2,0),"")</f>
        <v/>
      </c>
      <c r="FP203" s="28" t="str">
        <f>IFERROR(VLOOKUP(FN203,Horarios!$H:$I,2,0),"")</f>
        <v/>
      </c>
      <c r="FQ203" s="28" t="str">
        <f t="shared" ref="FQ203:FQ266" si="174">IF(SUM(FO203,FP203)=0,"00:00",SUM(FO203,FP203))</f>
        <v>00:00</v>
      </c>
      <c r="FR203" s="29"/>
      <c r="FS203" s="31" t="str">
        <f t="shared" ref="FS203:FS266" si="175">IFERROR(IF(SUM(EG203,EM203,ES203,EY203,FE203,FK203,FQ203)=0,"",SUM(TEXT(EG203,"HH:MM"),TEXT(EM203,"HH:MM"),TEXT(ES203,"HH:MM"),TEXT(EY203,"HH:MM"),TEXT(FE203,"HH:MM"),TEXT(FK203,"HH:MM"),TEXT(FQ203,"HH:MM")))*24,"")</f>
        <v/>
      </c>
      <c r="FT203" s="27"/>
      <c r="FU203" s="27"/>
      <c r="FV203" s="28" t="str">
        <f>IFERROR(VLOOKUP(FT203,Horarios!$H:$I,2,0),"")</f>
        <v/>
      </c>
      <c r="FW203" s="28" t="str">
        <f>IFERROR(VLOOKUP(FU203,Horarios!$H:$I,2,0),"")</f>
        <v/>
      </c>
      <c r="FX203" s="28" t="str">
        <f t="shared" ref="FX203:FX266" si="176">IF(SUM(FV203,FW203)=0,"00:00",SUM(FV203,FW203))</f>
        <v>00:00</v>
      </c>
      <c r="FY203" s="29"/>
      <c r="FZ203" s="27"/>
      <c r="GA203" s="27"/>
      <c r="GB203" s="28" t="str">
        <f>IFERROR(VLOOKUP(FZ203,Horarios!$H:$I,2,0),"")</f>
        <v/>
      </c>
      <c r="GC203" s="28" t="str">
        <f>IFERROR(VLOOKUP(GA203,Horarios!$H:$I,2,0),"")</f>
        <v/>
      </c>
      <c r="GD203" s="28" t="str">
        <f t="shared" ref="GD203:GD266" si="177">IF(SUM(GB203,GC203)=0,"00:00",SUM(GB203,GC203))</f>
        <v>00:00</v>
      </c>
      <c r="GE203" s="29"/>
      <c r="GF203" s="27"/>
      <c r="GG203" s="27"/>
      <c r="GH203" s="28" t="str">
        <f>IFERROR(VLOOKUP(GF203,Horarios!$H:$I,2,0),"")</f>
        <v/>
      </c>
      <c r="GI203" s="28" t="str">
        <f>IFERROR(VLOOKUP(GG203,Horarios!$H:$I,2,0),"")</f>
        <v/>
      </c>
      <c r="GJ203" s="28" t="str">
        <f t="shared" ref="GJ203:GJ266" si="178">IF(SUM(GH203,GI203)=0,"00:00",SUM(GH203,GI203))</f>
        <v>00:00</v>
      </c>
      <c r="GK203" s="29"/>
      <c r="GL203" s="27"/>
      <c r="GM203" s="27"/>
      <c r="GN203" s="28" t="str">
        <f>IFERROR(VLOOKUP(GL203,Horarios!$H:$I,2,0),"")</f>
        <v/>
      </c>
      <c r="GO203" s="28" t="str">
        <f>IFERROR(VLOOKUP(GM203,Horarios!$H:$I,2,0),"")</f>
        <v/>
      </c>
      <c r="GP203" s="28" t="str">
        <f t="shared" ref="GP203:GP266" si="179">IF(SUM(GN203,GO203)=0,"00:00",SUM(GN203,GO203))</f>
        <v>00:00</v>
      </c>
      <c r="GQ203" s="29"/>
      <c r="GR203" s="27"/>
      <c r="GS203" s="27"/>
      <c r="GT203" s="28" t="str">
        <f>IFERROR(VLOOKUP(GR203,Horarios!$H:$I,2,0),"")</f>
        <v/>
      </c>
      <c r="GU203" s="28" t="str">
        <f>IFERROR(VLOOKUP(GS203,Horarios!$H:$I,2,0),"")</f>
        <v/>
      </c>
      <c r="GV203" s="28" t="str">
        <f t="shared" ref="GV203:GV266" si="180">IF(SUM(GT203,GU203)=0,"00:00",SUM(GT203,GU203))</f>
        <v>00:00</v>
      </c>
      <c r="GW203" s="29"/>
      <c r="GX203" s="27"/>
      <c r="GY203" s="27"/>
      <c r="GZ203" s="28" t="str">
        <f>IFERROR(VLOOKUP(GX203,Horarios!$H:$I,2,0),"")</f>
        <v/>
      </c>
      <c r="HA203" s="28" t="str">
        <f>IFERROR(VLOOKUP(GY203,Horarios!$H:$I,2,0),"")</f>
        <v/>
      </c>
      <c r="HB203" s="28" t="str">
        <f t="shared" ref="HB203:HB266" si="181">IF(SUM(GZ203,HA203)=0,"00:00",SUM(GZ203,HA203))</f>
        <v>00:00</v>
      </c>
      <c r="HC203" s="29"/>
      <c r="HD203" s="27"/>
      <c r="HE203" s="27"/>
      <c r="HF203" s="28" t="str">
        <f>IFERROR(VLOOKUP(HD203,Horarios!$H:$I,2,0),"")</f>
        <v/>
      </c>
      <c r="HG203" s="28" t="str">
        <f>IFERROR(VLOOKUP(HE203,Horarios!$H:$I,2,0),"")</f>
        <v/>
      </c>
      <c r="HH203" s="28" t="str">
        <f t="shared" ref="HH203:HH266" si="182">IF(SUM(HF203,HG203)=0,"00:00",SUM(HF203,HG203))</f>
        <v>00:00</v>
      </c>
      <c r="HI203" s="29"/>
      <c r="HJ203" s="31" t="str">
        <f t="shared" ref="HJ203:HJ266" si="183">IFERROR(IF(SUM(FX203,GD203,GJ203,GP203,GV203,HB203,HH203)=0,"",SUM(TEXT(FX203,"HH:MM"),TEXT(GD203,"HH:MM"),TEXT(GJ203,"HH:MM"),TEXT(GP203,"HH:MM"),TEXT(GV203,"HH:MM"),TEXT(HB203,"HH:MM"),TEXT(HH203,"HH:MM")))*24,"")</f>
        <v/>
      </c>
      <c r="HK203" s="27"/>
      <c r="HL203" s="27"/>
      <c r="HM203" s="28" t="str">
        <f>IFERROR(VLOOKUP(HK203,Horarios!$H:$I,2,0),"")</f>
        <v/>
      </c>
      <c r="HN203" s="28" t="str">
        <f>IFERROR(VLOOKUP(HL203,Horarios!$H:$I,2,0),"")</f>
        <v/>
      </c>
      <c r="HO203" s="28" t="str">
        <f t="shared" ref="HO203:HO266" si="184">IF(SUM(HM203,HN203)=0,"00:00",SUM(HM203,HN203))</f>
        <v>00:00</v>
      </c>
      <c r="HP203" s="29"/>
      <c r="HQ203" s="27"/>
      <c r="HR203" s="27"/>
      <c r="HS203" s="28" t="str">
        <f>IFERROR(VLOOKUP(HQ203,Horarios!$H:$I,2,0),"")</f>
        <v/>
      </c>
      <c r="HT203" s="28" t="str">
        <f>IFERROR(VLOOKUP(HR203,Horarios!$H:$I,2,0),"")</f>
        <v/>
      </c>
      <c r="HU203" s="28" t="str">
        <f t="shared" ref="HU203:HU266" si="185">IF(SUM(HS203,HT203)=0,"00:00",SUM(HS203,HT203))</f>
        <v>00:00</v>
      </c>
      <c r="HV203" s="29"/>
      <c r="HW203" s="27"/>
      <c r="HX203" s="27"/>
      <c r="HY203" s="28" t="str">
        <f>IFERROR(VLOOKUP(HW203,Horarios!$H:$I,2,0),"")</f>
        <v/>
      </c>
      <c r="HZ203" s="28" t="str">
        <f>IFERROR(VLOOKUP(HX203,Horarios!$H:$I,2,0),"")</f>
        <v/>
      </c>
      <c r="IA203" s="28" t="str">
        <f t="shared" ref="IA203:IA266" si="186">IF(SUM(HY203,HZ203)=0,"00:00",SUM(HY203,HZ203))</f>
        <v>00:00</v>
      </c>
      <c r="IB203" s="29"/>
      <c r="IC203" s="27"/>
      <c r="ID203" s="27"/>
      <c r="IE203" s="28" t="str">
        <f>IFERROR(VLOOKUP(IC203,Horarios!$H:$I,2,0),"")</f>
        <v/>
      </c>
      <c r="IF203" s="28" t="str">
        <f>IFERROR(VLOOKUP(ID203,Horarios!$H:$I,2,0),"")</f>
        <v/>
      </c>
      <c r="IG203" s="28" t="str">
        <f t="shared" ref="IG203:IG266" si="187">IF(SUM(IE203,IF203)=0,"00:00",SUM(IE203,IF203))</f>
        <v>00:00</v>
      </c>
      <c r="IH203" s="29"/>
      <c r="II203" s="27"/>
      <c r="IJ203" s="27"/>
      <c r="IK203" s="28" t="str">
        <f>IFERROR(VLOOKUP(II203,Horarios!$H:$I,2,0),"")</f>
        <v/>
      </c>
      <c r="IL203" s="28" t="str">
        <f>IFERROR(VLOOKUP(IJ203,Horarios!$H:$I,2,0),"")</f>
        <v/>
      </c>
      <c r="IM203" s="28" t="str">
        <f t="shared" ref="IM203:IM266" si="188">IF(SUM(IK203,IL203)=0,"00:00",SUM(IK203,IL203))</f>
        <v>00:00</v>
      </c>
      <c r="IN203" s="29"/>
      <c r="IO203" s="27"/>
      <c r="IP203" s="27"/>
      <c r="IQ203" s="28" t="str">
        <f>IFERROR(VLOOKUP(IO203,Horarios!$H:$I,2,0),"")</f>
        <v/>
      </c>
      <c r="IR203" s="28" t="str">
        <f>IFERROR(VLOOKUP(IP203,Horarios!$H:$I,2,0),"")</f>
        <v/>
      </c>
      <c r="IS203" s="28" t="str">
        <f t="shared" ref="IS203:IS266" si="189">IF(SUM(IQ203,IR203)=0,"00:00",SUM(IQ203,IR203))</f>
        <v>00:00</v>
      </c>
      <c r="IT203" s="29"/>
      <c r="IU203" s="27"/>
      <c r="IV203" s="27"/>
      <c r="IW203" s="28" t="str">
        <f>IFERROR(VLOOKUP(IU203,Horarios!$H:$I,2,0),"")</f>
        <v/>
      </c>
      <c r="IX203" s="28" t="str">
        <f>IFERROR(VLOOKUP(IV203,Horarios!$H:$I,2,0),"")</f>
        <v/>
      </c>
      <c r="IY203" s="28" t="str">
        <f t="shared" ref="IY203:IY266" si="190">IF(SUM(IW203,IX203)=0,"00:00",SUM(IW203,IX203))</f>
        <v>00:00</v>
      </c>
      <c r="IZ203" s="29"/>
      <c r="JA203" s="31" t="str">
        <f t="shared" ref="JA203:JA266" si="191">IFERROR(IF(SUM(HO203,HU203,IA203,IG203,IM203,IS203,IY203)=0,"",SUM(TEXT(HO203,"HH:MM"),TEXT(HU203,"HH:MM"),TEXT(IA203,"HH:MM"),TEXT(IG203,"HH:MM"),TEXT(IM203,"HH:MM"),TEXT(IS203,"HH:MM"),TEXT(IY203,"HH:MM")))*24,"")</f>
        <v/>
      </c>
    </row>
    <row r="204" spans="1:261" s="24" customFormat="1" ht="17.399999999999999" x14ac:dyDescent="0.25">
      <c r="A204" s="25"/>
      <c r="B204" s="26" t="str">
        <f>IFERROR(VLOOKUP(A204,BaseNombres!A:B,2,0),"")</f>
        <v/>
      </c>
      <c r="C204" s="26" t="str">
        <f>IFERROR(VLOOKUP(A204,BaseNombres!A:C,3,0),"")</f>
        <v/>
      </c>
      <c r="D204" s="27"/>
      <c r="E204" s="27"/>
      <c r="F204" s="28" t="str">
        <f>IFERROR(VLOOKUP(D204,Horarios!$H:$I,2,0),"")</f>
        <v/>
      </c>
      <c r="G204" s="28" t="str">
        <f>IFERROR(VLOOKUP(E204,Horarios!$H:$I,2,0),"")</f>
        <v/>
      </c>
      <c r="H204" s="28" t="str">
        <f t="shared" si="144"/>
        <v>00:00</v>
      </c>
      <c r="I204" s="29"/>
      <c r="J204" s="27"/>
      <c r="K204" s="27"/>
      <c r="L204" s="28" t="str">
        <f>IFERROR(VLOOKUP(J204,Horarios!$H:$I,2,0),"")</f>
        <v/>
      </c>
      <c r="M204" s="28" t="str">
        <f>IFERROR(VLOOKUP(K204,Horarios!$H:$I,2,0),"")</f>
        <v/>
      </c>
      <c r="N204" s="28" t="str">
        <f t="shared" si="145"/>
        <v>00:00</v>
      </c>
      <c r="O204" s="29"/>
      <c r="P204" s="27"/>
      <c r="Q204" s="27"/>
      <c r="R204" s="28" t="str">
        <f>IFERROR(VLOOKUP(P204,Horarios!$H:$I,2,0),"")</f>
        <v/>
      </c>
      <c r="S204" s="28" t="str">
        <f>IFERROR(VLOOKUP(Q204,Horarios!$H:$I,2,0),"")</f>
        <v/>
      </c>
      <c r="T204" s="28" t="str">
        <f t="shared" si="146"/>
        <v>00:00</v>
      </c>
      <c r="U204" s="29"/>
      <c r="V204" s="27"/>
      <c r="W204" s="27"/>
      <c r="X204" s="28" t="str">
        <f>IFERROR(VLOOKUP(V204,Horarios!$H:$I,2,0),"")</f>
        <v/>
      </c>
      <c r="Y204" s="28" t="str">
        <f>IFERROR(VLOOKUP(W204,Horarios!$H:$I,2,0),"")</f>
        <v/>
      </c>
      <c r="Z204" s="28" t="str">
        <f t="shared" si="147"/>
        <v>00:00</v>
      </c>
      <c r="AA204" s="29"/>
      <c r="AB204" s="27"/>
      <c r="AC204" s="27"/>
      <c r="AD204" s="28" t="str">
        <f>IFERROR(VLOOKUP(AB204,Horarios!$H:$I,2,0),"")</f>
        <v/>
      </c>
      <c r="AE204" s="28" t="str">
        <f>IFERROR(VLOOKUP(AC204,Horarios!$H:$I,2,0),"")</f>
        <v/>
      </c>
      <c r="AF204" s="28" t="str">
        <f t="shared" si="148"/>
        <v>00:00</v>
      </c>
      <c r="AG204" s="29"/>
      <c r="AH204" s="27"/>
      <c r="AI204" s="27"/>
      <c r="AJ204" s="28" t="str">
        <f>IFERROR(VLOOKUP(AH204,Horarios!$H:$I,2,0),"")</f>
        <v/>
      </c>
      <c r="AK204" s="28" t="str">
        <f>IFERROR(VLOOKUP(AI204,Horarios!$H:$I,2,0),"")</f>
        <v/>
      </c>
      <c r="AL204" s="28" t="str">
        <f t="shared" si="149"/>
        <v>00:00</v>
      </c>
      <c r="AM204" s="29"/>
      <c r="AN204" s="27"/>
      <c r="AO204" s="27"/>
      <c r="AP204" s="28" t="str">
        <f>IFERROR(VLOOKUP(AN204,Horarios!$H:$I,2,0),"")</f>
        <v/>
      </c>
      <c r="AQ204" s="28" t="str">
        <f>IFERROR(VLOOKUP(AO204,Horarios!$H:$I,2,0),"")</f>
        <v/>
      </c>
      <c r="AR204" s="28" t="str">
        <f t="shared" si="150"/>
        <v>00:00</v>
      </c>
      <c r="AS204" s="29"/>
      <c r="AT204" s="31" t="str">
        <f t="shared" si="151"/>
        <v/>
      </c>
      <c r="AU204" s="27"/>
      <c r="AV204" s="27"/>
      <c r="AW204" s="28" t="str">
        <f>IFERROR(VLOOKUP(AU204,Horarios!$H:$I,2,0),"")</f>
        <v/>
      </c>
      <c r="AX204" s="28" t="str">
        <f>IFERROR(VLOOKUP(AV204,Horarios!$H:$I,2,0),"")</f>
        <v/>
      </c>
      <c r="AY204" s="28" t="str">
        <f t="shared" si="152"/>
        <v>00:00</v>
      </c>
      <c r="AZ204" s="29"/>
      <c r="BA204" s="27"/>
      <c r="BB204" s="27"/>
      <c r="BC204" s="28" t="str">
        <f>IFERROR(VLOOKUP(BA204,Horarios!$H:$I,2,0),"")</f>
        <v/>
      </c>
      <c r="BD204" s="28" t="str">
        <f>IFERROR(VLOOKUP(BB204,Horarios!$H:$I,2,0),"")</f>
        <v/>
      </c>
      <c r="BE204" s="28" t="str">
        <f t="shared" si="153"/>
        <v>00:00</v>
      </c>
      <c r="BF204" s="29"/>
      <c r="BG204" s="27"/>
      <c r="BH204" s="27"/>
      <c r="BI204" s="28" t="str">
        <f>IFERROR(VLOOKUP(BG204,Horarios!$H:$I,2,0),"")</f>
        <v/>
      </c>
      <c r="BJ204" s="28" t="str">
        <f>IFERROR(VLOOKUP(BH204,Horarios!$H:$I,2,0),"")</f>
        <v/>
      </c>
      <c r="BK204" s="28" t="str">
        <f t="shared" si="154"/>
        <v>00:00</v>
      </c>
      <c r="BL204" s="29"/>
      <c r="BM204" s="27"/>
      <c r="BN204" s="27"/>
      <c r="BO204" s="28" t="str">
        <f>IFERROR(VLOOKUP(BM204,Horarios!$H:$I,2,0),"")</f>
        <v/>
      </c>
      <c r="BP204" s="28" t="str">
        <f>IFERROR(VLOOKUP(BN204,Horarios!$H:$I,2,0),"")</f>
        <v/>
      </c>
      <c r="BQ204" s="28" t="str">
        <f t="shared" si="155"/>
        <v>00:00</v>
      </c>
      <c r="BR204" s="29"/>
      <c r="BS204" s="27"/>
      <c r="BT204" s="27"/>
      <c r="BU204" s="28" t="str">
        <f>IFERROR(VLOOKUP(BS204,Horarios!$H:$I,2,0),"")</f>
        <v/>
      </c>
      <c r="BV204" s="28" t="str">
        <f>IFERROR(VLOOKUP(BT204,Horarios!$H:$I,2,0),"")</f>
        <v/>
      </c>
      <c r="BW204" s="28" t="str">
        <f t="shared" si="156"/>
        <v>00:00</v>
      </c>
      <c r="BX204" s="29"/>
      <c r="BY204" s="27"/>
      <c r="BZ204" s="27"/>
      <c r="CA204" s="28" t="str">
        <f>IFERROR(VLOOKUP(BY204,Horarios!$H:$I,2,0),"")</f>
        <v/>
      </c>
      <c r="CB204" s="28" t="str">
        <f>IFERROR(VLOOKUP(BZ204,Horarios!$H:$I,2,0),"")</f>
        <v/>
      </c>
      <c r="CC204" s="28" t="str">
        <f t="shared" si="157"/>
        <v>00:00</v>
      </c>
      <c r="CD204" s="29"/>
      <c r="CE204" s="27"/>
      <c r="CF204" s="27"/>
      <c r="CG204" s="28" t="str">
        <f>IFERROR(VLOOKUP(CE204,Horarios!$H:$I,2,0),"")</f>
        <v/>
      </c>
      <c r="CH204" s="28" t="str">
        <f>IFERROR(VLOOKUP(CF204,Horarios!$H:$I,2,0),"")</f>
        <v/>
      </c>
      <c r="CI204" s="28" t="str">
        <f t="shared" si="158"/>
        <v>00:00</v>
      </c>
      <c r="CJ204" s="29"/>
      <c r="CK204" s="31" t="str">
        <f t="shared" si="159"/>
        <v/>
      </c>
      <c r="CL204" s="27"/>
      <c r="CM204" s="27"/>
      <c r="CN204" s="28" t="str">
        <f>IFERROR(VLOOKUP(CL204,Horarios!$H:$I,2,0),"")</f>
        <v/>
      </c>
      <c r="CO204" s="28" t="str">
        <f>IFERROR(VLOOKUP(CM204,Horarios!$H:$I,2,0),"")</f>
        <v/>
      </c>
      <c r="CP204" s="28" t="str">
        <f t="shared" si="160"/>
        <v>00:00</v>
      </c>
      <c r="CQ204" s="29"/>
      <c r="CR204" s="27"/>
      <c r="CS204" s="27"/>
      <c r="CT204" s="28" t="str">
        <f>IFERROR(VLOOKUP(CR204,Horarios!$H:$I,2,0),"")</f>
        <v/>
      </c>
      <c r="CU204" s="28" t="str">
        <f>IFERROR(VLOOKUP(CS204,Horarios!$H:$I,2,0),"")</f>
        <v/>
      </c>
      <c r="CV204" s="28" t="str">
        <f t="shared" si="161"/>
        <v>00:00</v>
      </c>
      <c r="CW204" s="29"/>
      <c r="CX204" s="27"/>
      <c r="CY204" s="27"/>
      <c r="CZ204" s="28" t="str">
        <f>IFERROR(VLOOKUP(CX204,Horarios!$H:$I,2,0),"")</f>
        <v/>
      </c>
      <c r="DA204" s="28" t="str">
        <f>IFERROR(VLOOKUP(CY204,Horarios!$H:$I,2,0),"")</f>
        <v/>
      </c>
      <c r="DB204" s="28" t="str">
        <f t="shared" si="162"/>
        <v>00:00</v>
      </c>
      <c r="DC204" s="29"/>
      <c r="DD204" s="27"/>
      <c r="DE204" s="27"/>
      <c r="DF204" s="28" t="str">
        <f>IFERROR(VLOOKUP(DD204,Horarios!$H:$I,2,0),"")</f>
        <v/>
      </c>
      <c r="DG204" s="28" t="str">
        <f>IFERROR(VLOOKUP(DE204,Horarios!$H:$I,2,0),"")</f>
        <v/>
      </c>
      <c r="DH204" s="28" t="str">
        <f t="shared" si="163"/>
        <v>00:00</v>
      </c>
      <c r="DI204" s="29"/>
      <c r="DJ204" s="27"/>
      <c r="DK204" s="27"/>
      <c r="DL204" s="28" t="str">
        <f>IFERROR(VLOOKUP(DJ204,Horarios!$H:$I,2,0),"")</f>
        <v/>
      </c>
      <c r="DM204" s="28" t="str">
        <f>IFERROR(VLOOKUP(DK204,Horarios!$H:$I,2,0),"")</f>
        <v/>
      </c>
      <c r="DN204" s="28" t="str">
        <f t="shared" si="164"/>
        <v>00:00</v>
      </c>
      <c r="DO204" s="29"/>
      <c r="DP204" s="27"/>
      <c r="DQ204" s="27"/>
      <c r="DR204" s="28" t="str">
        <f>IFERROR(VLOOKUP(DP204,Horarios!$H:$I,2,0),"")</f>
        <v/>
      </c>
      <c r="DS204" s="28" t="str">
        <f>IFERROR(VLOOKUP(DQ204,Horarios!$H:$I,2,0),"")</f>
        <v/>
      </c>
      <c r="DT204" s="28" t="str">
        <f t="shared" si="165"/>
        <v>00:00</v>
      </c>
      <c r="DU204" s="29"/>
      <c r="DV204" s="27"/>
      <c r="DW204" s="27"/>
      <c r="DX204" s="28" t="str">
        <f>IFERROR(VLOOKUP(DV204,Horarios!$H:$I,2,0),"")</f>
        <v/>
      </c>
      <c r="DY204" s="28" t="str">
        <f>IFERROR(VLOOKUP(DW204,Horarios!$H:$I,2,0),"")</f>
        <v/>
      </c>
      <c r="DZ204" s="28" t="str">
        <f t="shared" si="166"/>
        <v>00:00</v>
      </c>
      <c r="EA204" s="29"/>
      <c r="EB204" s="31" t="str">
        <f t="shared" si="167"/>
        <v/>
      </c>
      <c r="EC204" s="27"/>
      <c r="ED204" s="27"/>
      <c r="EE204" s="28" t="str">
        <f>IFERROR(VLOOKUP(EC204,Horarios!$H:$I,2,0),"")</f>
        <v/>
      </c>
      <c r="EF204" s="28" t="str">
        <f>IFERROR(VLOOKUP(ED204,Horarios!$H:$I,2,0),"")</f>
        <v/>
      </c>
      <c r="EG204" s="28" t="str">
        <f t="shared" si="168"/>
        <v>00:00</v>
      </c>
      <c r="EH204" s="29"/>
      <c r="EI204" s="27"/>
      <c r="EJ204" s="27"/>
      <c r="EK204" s="28" t="str">
        <f>IFERROR(VLOOKUP(EI204,Horarios!$H:$I,2,0),"")</f>
        <v/>
      </c>
      <c r="EL204" s="28" t="str">
        <f>IFERROR(VLOOKUP(EJ204,Horarios!$H:$I,2,0),"")</f>
        <v/>
      </c>
      <c r="EM204" s="28" t="str">
        <f t="shared" si="169"/>
        <v>00:00</v>
      </c>
      <c r="EN204" s="29"/>
      <c r="EO204" s="27"/>
      <c r="EP204" s="27"/>
      <c r="EQ204" s="28" t="str">
        <f>IFERROR(VLOOKUP(EO204,Horarios!$H:$I,2,0),"")</f>
        <v/>
      </c>
      <c r="ER204" s="28" t="str">
        <f>IFERROR(VLOOKUP(EP204,Horarios!$H:$I,2,0),"")</f>
        <v/>
      </c>
      <c r="ES204" s="28" t="str">
        <f t="shared" si="170"/>
        <v>00:00</v>
      </c>
      <c r="ET204" s="29"/>
      <c r="EU204" s="27"/>
      <c r="EV204" s="27"/>
      <c r="EW204" s="28" t="str">
        <f>IFERROR(VLOOKUP(EU204,Horarios!$H:$I,2,0),"")</f>
        <v/>
      </c>
      <c r="EX204" s="28" t="str">
        <f>IFERROR(VLOOKUP(EV204,Horarios!$H:$I,2,0),"")</f>
        <v/>
      </c>
      <c r="EY204" s="28" t="str">
        <f t="shared" si="171"/>
        <v>00:00</v>
      </c>
      <c r="EZ204" s="29"/>
      <c r="FA204" s="27"/>
      <c r="FB204" s="27"/>
      <c r="FC204" s="28" t="str">
        <f>IFERROR(VLOOKUP(FA204,Horarios!$H:$I,2,0),"")</f>
        <v/>
      </c>
      <c r="FD204" s="28" t="str">
        <f>IFERROR(VLOOKUP(FB204,Horarios!$H:$I,2,0),"")</f>
        <v/>
      </c>
      <c r="FE204" s="28" t="str">
        <f t="shared" si="172"/>
        <v>00:00</v>
      </c>
      <c r="FF204" s="29"/>
      <c r="FG204" s="27"/>
      <c r="FH204" s="27"/>
      <c r="FI204" s="28" t="str">
        <f>IFERROR(VLOOKUP(FG204,Horarios!$H:$I,2,0),"")</f>
        <v/>
      </c>
      <c r="FJ204" s="28" t="str">
        <f>IFERROR(VLOOKUP(FH204,Horarios!$H:$I,2,0),"")</f>
        <v/>
      </c>
      <c r="FK204" s="28" t="str">
        <f t="shared" si="173"/>
        <v>00:00</v>
      </c>
      <c r="FL204" s="29"/>
      <c r="FM204" s="27"/>
      <c r="FN204" s="27"/>
      <c r="FO204" s="28" t="str">
        <f>IFERROR(VLOOKUP(FM204,Horarios!$H:$I,2,0),"")</f>
        <v/>
      </c>
      <c r="FP204" s="28" t="str">
        <f>IFERROR(VLOOKUP(FN204,Horarios!$H:$I,2,0),"")</f>
        <v/>
      </c>
      <c r="FQ204" s="28" t="str">
        <f t="shared" si="174"/>
        <v>00:00</v>
      </c>
      <c r="FR204" s="29"/>
      <c r="FS204" s="31" t="str">
        <f t="shared" si="175"/>
        <v/>
      </c>
      <c r="FT204" s="27"/>
      <c r="FU204" s="27"/>
      <c r="FV204" s="28" t="str">
        <f>IFERROR(VLOOKUP(FT204,Horarios!$H:$I,2,0),"")</f>
        <v/>
      </c>
      <c r="FW204" s="28" t="str">
        <f>IFERROR(VLOOKUP(FU204,Horarios!$H:$I,2,0),"")</f>
        <v/>
      </c>
      <c r="FX204" s="28" t="str">
        <f t="shared" si="176"/>
        <v>00:00</v>
      </c>
      <c r="FY204" s="29"/>
      <c r="FZ204" s="27"/>
      <c r="GA204" s="27"/>
      <c r="GB204" s="28" t="str">
        <f>IFERROR(VLOOKUP(FZ204,Horarios!$H:$I,2,0),"")</f>
        <v/>
      </c>
      <c r="GC204" s="28" t="str">
        <f>IFERROR(VLOOKUP(GA204,Horarios!$H:$I,2,0),"")</f>
        <v/>
      </c>
      <c r="GD204" s="28" t="str">
        <f t="shared" si="177"/>
        <v>00:00</v>
      </c>
      <c r="GE204" s="29"/>
      <c r="GF204" s="27"/>
      <c r="GG204" s="27"/>
      <c r="GH204" s="28" t="str">
        <f>IFERROR(VLOOKUP(GF204,Horarios!$H:$I,2,0),"")</f>
        <v/>
      </c>
      <c r="GI204" s="28" t="str">
        <f>IFERROR(VLOOKUP(GG204,Horarios!$H:$I,2,0),"")</f>
        <v/>
      </c>
      <c r="GJ204" s="28" t="str">
        <f t="shared" si="178"/>
        <v>00:00</v>
      </c>
      <c r="GK204" s="29"/>
      <c r="GL204" s="27"/>
      <c r="GM204" s="27"/>
      <c r="GN204" s="28" t="str">
        <f>IFERROR(VLOOKUP(GL204,Horarios!$H:$I,2,0),"")</f>
        <v/>
      </c>
      <c r="GO204" s="28" t="str">
        <f>IFERROR(VLOOKUP(GM204,Horarios!$H:$I,2,0),"")</f>
        <v/>
      </c>
      <c r="GP204" s="28" t="str">
        <f t="shared" si="179"/>
        <v>00:00</v>
      </c>
      <c r="GQ204" s="29"/>
      <c r="GR204" s="27"/>
      <c r="GS204" s="27"/>
      <c r="GT204" s="28" t="str">
        <f>IFERROR(VLOOKUP(GR204,Horarios!$H:$I,2,0),"")</f>
        <v/>
      </c>
      <c r="GU204" s="28" t="str">
        <f>IFERROR(VLOOKUP(GS204,Horarios!$H:$I,2,0),"")</f>
        <v/>
      </c>
      <c r="GV204" s="28" t="str">
        <f t="shared" si="180"/>
        <v>00:00</v>
      </c>
      <c r="GW204" s="29"/>
      <c r="GX204" s="27"/>
      <c r="GY204" s="27"/>
      <c r="GZ204" s="28" t="str">
        <f>IFERROR(VLOOKUP(GX204,Horarios!$H:$I,2,0),"")</f>
        <v/>
      </c>
      <c r="HA204" s="28" t="str">
        <f>IFERROR(VLOOKUP(GY204,Horarios!$H:$I,2,0),"")</f>
        <v/>
      </c>
      <c r="HB204" s="28" t="str">
        <f t="shared" si="181"/>
        <v>00:00</v>
      </c>
      <c r="HC204" s="29"/>
      <c r="HD204" s="27"/>
      <c r="HE204" s="27"/>
      <c r="HF204" s="28" t="str">
        <f>IFERROR(VLOOKUP(HD204,Horarios!$H:$I,2,0),"")</f>
        <v/>
      </c>
      <c r="HG204" s="28" t="str">
        <f>IFERROR(VLOOKUP(HE204,Horarios!$H:$I,2,0),"")</f>
        <v/>
      </c>
      <c r="HH204" s="28" t="str">
        <f t="shared" si="182"/>
        <v>00:00</v>
      </c>
      <c r="HI204" s="29"/>
      <c r="HJ204" s="31" t="str">
        <f t="shared" si="183"/>
        <v/>
      </c>
      <c r="HK204" s="27"/>
      <c r="HL204" s="27"/>
      <c r="HM204" s="28" t="str">
        <f>IFERROR(VLOOKUP(HK204,Horarios!$H:$I,2,0),"")</f>
        <v/>
      </c>
      <c r="HN204" s="28" t="str">
        <f>IFERROR(VLOOKUP(HL204,Horarios!$H:$I,2,0),"")</f>
        <v/>
      </c>
      <c r="HO204" s="28" t="str">
        <f t="shared" si="184"/>
        <v>00:00</v>
      </c>
      <c r="HP204" s="29"/>
      <c r="HQ204" s="27"/>
      <c r="HR204" s="27"/>
      <c r="HS204" s="28" t="str">
        <f>IFERROR(VLOOKUP(HQ204,Horarios!$H:$I,2,0),"")</f>
        <v/>
      </c>
      <c r="HT204" s="28" t="str">
        <f>IFERROR(VLOOKUP(HR204,Horarios!$H:$I,2,0),"")</f>
        <v/>
      </c>
      <c r="HU204" s="28" t="str">
        <f t="shared" si="185"/>
        <v>00:00</v>
      </c>
      <c r="HV204" s="29"/>
      <c r="HW204" s="27"/>
      <c r="HX204" s="27"/>
      <c r="HY204" s="28" t="str">
        <f>IFERROR(VLOOKUP(HW204,Horarios!$H:$I,2,0),"")</f>
        <v/>
      </c>
      <c r="HZ204" s="28" t="str">
        <f>IFERROR(VLOOKUP(HX204,Horarios!$H:$I,2,0),"")</f>
        <v/>
      </c>
      <c r="IA204" s="28" t="str">
        <f t="shared" si="186"/>
        <v>00:00</v>
      </c>
      <c r="IB204" s="29"/>
      <c r="IC204" s="27"/>
      <c r="ID204" s="27"/>
      <c r="IE204" s="28" t="str">
        <f>IFERROR(VLOOKUP(IC204,Horarios!$H:$I,2,0),"")</f>
        <v/>
      </c>
      <c r="IF204" s="28" t="str">
        <f>IFERROR(VLOOKUP(ID204,Horarios!$H:$I,2,0),"")</f>
        <v/>
      </c>
      <c r="IG204" s="28" t="str">
        <f t="shared" si="187"/>
        <v>00:00</v>
      </c>
      <c r="IH204" s="29"/>
      <c r="II204" s="27"/>
      <c r="IJ204" s="27"/>
      <c r="IK204" s="28" t="str">
        <f>IFERROR(VLOOKUP(II204,Horarios!$H:$I,2,0),"")</f>
        <v/>
      </c>
      <c r="IL204" s="28" t="str">
        <f>IFERROR(VLOOKUP(IJ204,Horarios!$H:$I,2,0),"")</f>
        <v/>
      </c>
      <c r="IM204" s="28" t="str">
        <f t="shared" si="188"/>
        <v>00:00</v>
      </c>
      <c r="IN204" s="29"/>
      <c r="IO204" s="27"/>
      <c r="IP204" s="27"/>
      <c r="IQ204" s="28" t="str">
        <f>IFERROR(VLOOKUP(IO204,Horarios!$H:$I,2,0),"")</f>
        <v/>
      </c>
      <c r="IR204" s="28" t="str">
        <f>IFERROR(VLOOKUP(IP204,Horarios!$H:$I,2,0),"")</f>
        <v/>
      </c>
      <c r="IS204" s="28" t="str">
        <f t="shared" si="189"/>
        <v>00:00</v>
      </c>
      <c r="IT204" s="29"/>
      <c r="IU204" s="27"/>
      <c r="IV204" s="27"/>
      <c r="IW204" s="28" t="str">
        <f>IFERROR(VLOOKUP(IU204,Horarios!$H:$I,2,0),"")</f>
        <v/>
      </c>
      <c r="IX204" s="28" t="str">
        <f>IFERROR(VLOOKUP(IV204,Horarios!$H:$I,2,0),"")</f>
        <v/>
      </c>
      <c r="IY204" s="28" t="str">
        <f t="shared" si="190"/>
        <v>00:00</v>
      </c>
      <c r="IZ204" s="29"/>
      <c r="JA204" s="31" t="str">
        <f t="shared" si="191"/>
        <v/>
      </c>
    </row>
    <row r="205" spans="1:261" s="24" customFormat="1" ht="17.399999999999999" x14ac:dyDescent="0.25">
      <c r="A205" s="25"/>
      <c r="B205" s="26" t="str">
        <f>IFERROR(VLOOKUP(A205,BaseNombres!A:B,2,0),"")</f>
        <v/>
      </c>
      <c r="C205" s="26" t="str">
        <f>IFERROR(VLOOKUP(A205,BaseNombres!A:C,3,0),"")</f>
        <v/>
      </c>
      <c r="D205" s="27"/>
      <c r="E205" s="27"/>
      <c r="F205" s="28" t="str">
        <f>IFERROR(VLOOKUP(D205,Horarios!$H:$I,2,0),"")</f>
        <v/>
      </c>
      <c r="G205" s="28" t="str">
        <f>IFERROR(VLOOKUP(E205,Horarios!$H:$I,2,0),"")</f>
        <v/>
      </c>
      <c r="H205" s="28" t="str">
        <f t="shared" si="144"/>
        <v>00:00</v>
      </c>
      <c r="I205" s="29"/>
      <c r="J205" s="27"/>
      <c r="K205" s="27"/>
      <c r="L205" s="28" t="str">
        <f>IFERROR(VLOOKUP(J205,Horarios!$H:$I,2,0),"")</f>
        <v/>
      </c>
      <c r="M205" s="28" t="str">
        <f>IFERROR(VLOOKUP(K205,Horarios!$H:$I,2,0),"")</f>
        <v/>
      </c>
      <c r="N205" s="28" t="str">
        <f t="shared" si="145"/>
        <v>00:00</v>
      </c>
      <c r="O205" s="29"/>
      <c r="P205" s="27"/>
      <c r="Q205" s="27"/>
      <c r="R205" s="28" t="str">
        <f>IFERROR(VLOOKUP(P205,Horarios!$H:$I,2,0),"")</f>
        <v/>
      </c>
      <c r="S205" s="28" t="str">
        <f>IFERROR(VLOOKUP(Q205,Horarios!$H:$I,2,0),"")</f>
        <v/>
      </c>
      <c r="T205" s="28" t="str">
        <f t="shared" si="146"/>
        <v>00:00</v>
      </c>
      <c r="U205" s="29"/>
      <c r="V205" s="27"/>
      <c r="W205" s="27"/>
      <c r="X205" s="28" t="str">
        <f>IFERROR(VLOOKUP(V205,Horarios!$H:$I,2,0),"")</f>
        <v/>
      </c>
      <c r="Y205" s="28" t="str">
        <f>IFERROR(VLOOKUP(W205,Horarios!$H:$I,2,0),"")</f>
        <v/>
      </c>
      <c r="Z205" s="28" t="str">
        <f t="shared" si="147"/>
        <v>00:00</v>
      </c>
      <c r="AA205" s="29"/>
      <c r="AB205" s="27"/>
      <c r="AC205" s="27"/>
      <c r="AD205" s="28" t="str">
        <f>IFERROR(VLOOKUP(AB205,Horarios!$H:$I,2,0),"")</f>
        <v/>
      </c>
      <c r="AE205" s="28" t="str">
        <f>IFERROR(VLOOKUP(AC205,Horarios!$H:$I,2,0),"")</f>
        <v/>
      </c>
      <c r="AF205" s="28" t="str">
        <f t="shared" si="148"/>
        <v>00:00</v>
      </c>
      <c r="AG205" s="29"/>
      <c r="AH205" s="27"/>
      <c r="AI205" s="27"/>
      <c r="AJ205" s="28" t="str">
        <f>IFERROR(VLOOKUP(AH205,Horarios!$H:$I,2,0),"")</f>
        <v/>
      </c>
      <c r="AK205" s="28" t="str">
        <f>IFERROR(VLOOKUP(AI205,Horarios!$H:$I,2,0),"")</f>
        <v/>
      </c>
      <c r="AL205" s="28" t="str">
        <f t="shared" si="149"/>
        <v>00:00</v>
      </c>
      <c r="AM205" s="29"/>
      <c r="AN205" s="27"/>
      <c r="AO205" s="27"/>
      <c r="AP205" s="28" t="str">
        <f>IFERROR(VLOOKUP(AN205,Horarios!$H:$I,2,0),"")</f>
        <v/>
      </c>
      <c r="AQ205" s="28" t="str">
        <f>IFERROR(VLOOKUP(AO205,Horarios!$H:$I,2,0),"")</f>
        <v/>
      </c>
      <c r="AR205" s="28" t="str">
        <f t="shared" si="150"/>
        <v>00:00</v>
      </c>
      <c r="AS205" s="29"/>
      <c r="AT205" s="31" t="str">
        <f t="shared" si="151"/>
        <v/>
      </c>
      <c r="AU205" s="27"/>
      <c r="AV205" s="27"/>
      <c r="AW205" s="28" t="str">
        <f>IFERROR(VLOOKUP(AU205,Horarios!$H:$I,2,0),"")</f>
        <v/>
      </c>
      <c r="AX205" s="28" t="str">
        <f>IFERROR(VLOOKUP(AV205,Horarios!$H:$I,2,0),"")</f>
        <v/>
      </c>
      <c r="AY205" s="28" t="str">
        <f t="shared" si="152"/>
        <v>00:00</v>
      </c>
      <c r="AZ205" s="29"/>
      <c r="BA205" s="27"/>
      <c r="BB205" s="27"/>
      <c r="BC205" s="28" t="str">
        <f>IFERROR(VLOOKUP(BA205,Horarios!$H:$I,2,0),"")</f>
        <v/>
      </c>
      <c r="BD205" s="28" t="str">
        <f>IFERROR(VLOOKUP(BB205,Horarios!$H:$I,2,0),"")</f>
        <v/>
      </c>
      <c r="BE205" s="28" t="str">
        <f t="shared" si="153"/>
        <v>00:00</v>
      </c>
      <c r="BF205" s="29"/>
      <c r="BG205" s="27"/>
      <c r="BH205" s="27"/>
      <c r="BI205" s="28" t="str">
        <f>IFERROR(VLOOKUP(BG205,Horarios!$H:$I,2,0),"")</f>
        <v/>
      </c>
      <c r="BJ205" s="28" t="str">
        <f>IFERROR(VLOOKUP(BH205,Horarios!$H:$I,2,0),"")</f>
        <v/>
      </c>
      <c r="BK205" s="28" t="str">
        <f t="shared" si="154"/>
        <v>00:00</v>
      </c>
      <c r="BL205" s="29"/>
      <c r="BM205" s="27"/>
      <c r="BN205" s="27"/>
      <c r="BO205" s="28" t="str">
        <f>IFERROR(VLOOKUP(BM205,Horarios!$H:$I,2,0),"")</f>
        <v/>
      </c>
      <c r="BP205" s="28" t="str">
        <f>IFERROR(VLOOKUP(BN205,Horarios!$H:$I,2,0),"")</f>
        <v/>
      </c>
      <c r="BQ205" s="28" t="str">
        <f t="shared" si="155"/>
        <v>00:00</v>
      </c>
      <c r="BR205" s="29"/>
      <c r="BS205" s="27"/>
      <c r="BT205" s="27"/>
      <c r="BU205" s="28" t="str">
        <f>IFERROR(VLOOKUP(BS205,Horarios!$H:$I,2,0),"")</f>
        <v/>
      </c>
      <c r="BV205" s="28" t="str">
        <f>IFERROR(VLOOKUP(BT205,Horarios!$H:$I,2,0),"")</f>
        <v/>
      </c>
      <c r="BW205" s="28" t="str">
        <f t="shared" si="156"/>
        <v>00:00</v>
      </c>
      <c r="BX205" s="29"/>
      <c r="BY205" s="27"/>
      <c r="BZ205" s="27"/>
      <c r="CA205" s="28" t="str">
        <f>IFERROR(VLOOKUP(BY205,Horarios!$H:$I,2,0),"")</f>
        <v/>
      </c>
      <c r="CB205" s="28" t="str">
        <f>IFERROR(VLOOKUP(BZ205,Horarios!$H:$I,2,0),"")</f>
        <v/>
      </c>
      <c r="CC205" s="28" t="str">
        <f t="shared" si="157"/>
        <v>00:00</v>
      </c>
      <c r="CD205" s="29"/>
      <c r="CE205" s="27"/>
      <c r="CF205" s="27"/>
      <c r="CG205" s="28" t="str">
        <f>IFERROR(VLOOKUP(CE205,Horarios!$H:$I,2,0),"")</f>
        <v/>
      </c>
      <c r="CH205" s="28" t="str">
        <f>IFERROR(VLOOKUP(CF205,Horarios!$H:$I,2,0),"")</f>
        <v/>
      </c>
      <c r="CI205" s="28" t="str">
        <f t="shared" si="158"/>
        <v>00:00</v>
      </c>
      <c r="CJ205" s="29"/>
      <c r="CK205" s="31" t="str">
        <f t="shared" si="159"/>
        <v/>
      </c>
      <c r="CL205" s="27"/>
      <c r="CM205" s="27"/>
      <c r="CN205" s="28" t="str">
        <f>IFERROR(VLOOKUP(CL205,Horarios!$H:$I,2,0),"")</f>
        <v/>
      </c>
      <c r="CO205" s="28" t="str">
        <f>IFERROR(VLOOKUP(CM205,Horarios!$H:$I,2,0),"")</f>
        <v/>
      </c>
      <c r="CP205" s="28" t="str">
        <f t="shared" si="160"/>
        <v>00:00</v>
      </c>
      <c r="CQ205" s="29"/>
      <c r="CR205" s="27"/>
      <c r="CS205" s="27"/>
      <c r="CT205" s="28" t="str">
        <f>IFERROR(VLOOKUP(CR205,Horarios!$H:$I,2,0),"")</f>
        <v/>
      </c>
      <c r="CU205" s="28" t="str">
        <f>IFERROR(VLOOKUP(CS205,Horarios!$H:$I,2,0),"")</f>
        <v/>
      </c>
      <c r="CV205" s="28" t="str">
        <f t="shared" si="161"/>
        <v>00:00</v>
      </c>
      <c r="CW205" s="29"/>
      <c r="CX205" s="27"/>
      <c r="CY205" s="27"/>
      <c r="CZ205" s="28" t="str">
        <f>IFERROR(VLOOKUP(CX205,Horarios!$H:$I,2,0),"")</f>
        <v/>
      </c>
      <c r="DA205" s="28" t="str">
        <f>IFERROR(VLOOKUP(CY205,Horarios!$H:$I,2,0),"")</f>
        <v/>
      </c>
      <c r="DB205" s="28" t="str">
        <f t="shared" si="162"/>
        <v>00:00</v>
      </c>
      <c r="DC205" s="29"/>
      <c r="DD205" s="27"/>
      <c r="DE205" s="27"/>
      <c r="DF205" s="28" t="str">
        <f>IFERROR(VLOOKUP(DD205,Horarios!$H:$I,2,0),"")</f>
        <v/>
      </c>
      <c r="DG205" s="28" t="str">
        <f>IFERROR(VLOOKUP(DE205,Horarios!$H:$I,2,0),"")</f>
        <v/>
      </c>
      <c r="DH205" s="28" t="str">
        <f t="shared" si="163"/>
        <v>00:00</v>
      </c>
      <c r="DI205" s="29"/>
      <c r="DJ205" s="27"/>
      <c r="DK205" s="27"/>
      <c r="DL205" s="28" t="str">
        <f>IFERROR(VLOOKUP(DJ205,Horarios!$H:$I,2,0),"")</f>
        <v/>
      </c>
      <c r="DM205" s="28" t="str">
        <f>IFERROR(VLOOKUP(DK205,Horarios!$H:$I,2,0),"")</f>
        <v/>
      </c>
      <c r="DN205" s="28" t="str">
        <f t="shared" si="164"/>
        <v>00:00</v>
      </c>
      <c r="DO205" s="29"/>
      <c r="DP205" s="27"/>
      <c r="DQ205" s="27"/>
      <c r="DR205" s="28" t="str">
        <f>IFERROR(VLOOKUP(DP205,Horarios!$H:$I,2,0),"")</f>
        <v/>
      </c>
      <c r="DS205" s="28" t="str">
        <f>IFERROR(VLOOKUP(DQ205,Horarios!$H:$I,2,0),"")</f>
        <v/>
      </c>
      <c r="DT205" s="28" t="str">
        <f t="shared" si="165"/>
        <v>00:00</v>
      </c>
      <c r="DU205" s="29"/>
      <c r="DV205" s="27"/>
      <c r="DW205" s="27"/>
      <c r="DX205" s="28" t="str">
        <f>IFERROR(VLOOKUP(DV205,Horarios!$H:$I,2,0),"")</f>
        <v/>
      </c>
      <c r="DY205" s="28" t="str">
        <f>IFERROR(VLOOKUP(DW205,Horarios!$H:$I,2,0),"")</f>
        <v/>
      </c>
      <c r="DZ205" s="28" t="str">
        <f t="shared" si="166"/>
        <v>00:00</v>
      </c>
      <c r="EA205" s="29"/>
      <c r="EB205" s="31" t="str">
        <f t="shared" si="167"/>
        <v/>
      </c>
      <c r="EC205" s="27"/>
      <c r="ED205" s="27"/>
      <c r="EE205" s="28" t="str">
        <f>IFERROR(VLOOKUP(EC205,Horarios!$H:$I,2,0),"")</f>
        <v/>
      </c>
      <c r="EF205" s="28" t="str">
        <f>IFERROR(VLOOKUP(ED205,Horarios!$H:$I,2,0),"")</f>
        <v/>
      </c>
      <c r="EG205" s="28" t="str">
        <f t="shared" si="168"/>
        <v>00:00</v>
      </c>
      <c r="EH205" s="29"/>
      <c r="EI205" s="27"/>
      <c r="EJ205" s="27"/>
      <c r="EK205" s="28" t="str">
        <f>IFERROR(VLOOKUP(EI205,Horarios!$H:$I,2,0),"")</f>
        <v/>
      </c>
      <c r="EL205" s="28" t="str">
        <f>IFERROR(VLOOKUP(EJ205,Horarios!$H:$I,2,0),"")</f>
        <v/>
      </c>
      <c r="EM205" s="28" t="str">
        <f t="shared" si="169"/>
        <v>00:00</v>
      </c>
      <c r="EN205" s="29"/>
      <c r="EO205" s="27"/>
      <c r="EP205" s="27"/>
      <c r="EQ205" s="28" t="str">
        <f>IFERROR(VLOOKUP(EO205,Horarios!$H:$I,2,0),"")</f>
        <v/>
      </c>
      <c r="ER205" s="28" t="str">
        <f>IFERROR(VLOOKUP(EP205,Horarios!$H:$I,2,0),"")</f>
        <v/>
      </c>
      <c r="ES205" s="28" t="str">
        <f t="shared" si="170"/>
        <v>00:00</v>
      </c>
      <c r="ET205" s="29"/>
      <c r="EU205" s="27"/>
      <c r="EV205" s="27"/>
      <c r="EW205" s="28" t="str">
        <f>IFERROR(VLOOKUP(EU205,Horarios!$H:$I,2,0),"")</f>
        <v/>
      </c>
      <c r="EX205" s="28" t="str">
        <f>IFERROR(VLOOKUP(EV205,Horarios!$H:$I,2,0),"")</f>
        <v/>
      </c>
      <c r="EY205" s="28" t="str">
        <f t="shared" si="171"/>
        <v>00:00</v>
      </c>
      <c r="EZ205" s="29"/>
      <c r="FA205" s="27"/>
      <c r="FB205" s="27"/>
      <c r="FC205" s="28" t="str">
        <f>IFERROR(VLOOKUP(FA205,Horarios!$H:$I,2,0),"")</f>
        <v/>
      </c>
      <c r="FD205" s="28" t="str">
        <f>IFERROR(VLOOKUP(FB205,Horarios!$H:$I,2,0),"")</f>
        <v/>
      </c>
      <c r="FE205" s="28" t="str">
        <f t="shared" si="172"/>
        <v>00:00</v>
      </c>
      <c r="FF205" s="29"/>
      <c r="FG205" s="27"/>
      <c r="FH205" s="27"/>
      <c r="FI205" s="28" t="str">
        <f>IFERROR(VLOOKUP(FG205,Horarios!$H:$I,2,0),"")</f>
        <v/>
      </c>
      <c r="FJ205" s="28" t="str">
        <f>IFERROR(VLOOKUP(FH205,Horarios!$H:$I,2,0),"")</f>
        <v/>
      </c>
      <c r="FK205" s="28" t="str">
        <f t="shared" si="173"/>
        <v>00:00</v>
      </c>
      <c r="FL205" s="29"/>
      <c r="FM205" s="27"/>
      <c r="FN205" s="27"/>
      <c r="FO205" s="28" t="str">
        <f>IFERROR(VLOOKUP(FM205,Horarios!$H:$I,2,0),"")</f>
        <v/>
      </c>
      <c r="FP205" s="28" t="str">
        <f>IFERROR(VLOOKUP(FN205,Horarios!$H:$I,2,0),"")</f>
        <v/>
      </c>
      <c r="FQ205" s="28" t="str">
        <f t="shared" si="174"/>
        <v>00:00</v>
      </c>
      <c r="FR205" s="29"/>
      <c r="FS205" s="31" t="str">
        <f t="shared" si="175"/>
        <v/>
      </c>
      <c r="FT205" s="27"/>
      <c r="FU205" s="27"/>
      <c r="FV205" s="28" t="str">
        <f>IFERROR(VLOOKUP(FT205,Horarios!$H:$I,2,0),"")</f>
        <v/>
      </c>
      <c r="FW205" s="28" t="str">
        <f>IFERROR(VLOOKUP(FU205,Horarios!$H:$I,2,0),"")</f>
        <v/>
      </c>
      <c r="FX205" s="28" t="str">
        <f t="shared" si="176"/>
        <v>00:00</v>
      </c>
      <c r="FY205" s="29"/>
      <c r="FZ205" s="27"/>
      <c r="GA205" s="27"/>
      <c r="GB205" s="28" t="str">
        <f>IFERROR(VLOOKUP(FZ205,Horarios!$H:$I,2,0),"")</f>
        <v/>
      </c>
      <c r="GC205" s="28" t="str">
        <f>IFERROR(VLOOKUP(GA205,Horarios!$H:$I,2,0),"")</f>
        <v/>
      </c>
      <c r="GD205" s="28" t="str">
        <f t="shared" si="177"/>
        <v>00:00</v>
      </c>
      <c r="GE205" s="29"/>
      <c r="GF205" s="27"/>
      <c r="GG205" s="27"/>
      <c r="GH205" s="28" t="str">
        <f>IFERROR(VLOOKUP(GF205,Horarios!$H:$I,2,0),"")</f>
        <v/>
      </c>
      <c r="GI205" s="28" t="str">
        <f>IFERROR(VLOOKUP(GG205,Horarios!$H:$I,2,0),"")</f>
        <v/>
      </c>
      <c r="GJ205" s="28" t="str">
        <f t="shared" si="178"/>
        <v>00:00</v>
      </c>
      <c r="GK205" s="29"/>
      <c r="GL205" s="27"/>
      <c r="GM205" s="27"/>
      <c r="GN205" s="28" t="str">
        <f>IFERROR(VLOOKUP(GL205,Horarios!$H:$I,2,0),"")</f>
        <v/>
      </c>
      <c r="GO205" s="28" t="str">
        <f>IFERROR(VLOOKUP(GM205,Horarios!$H:$I,2,0),"")</f>
        <v/>
      </c>
      <c r="GP205" s="28" t="str">
        <f t="shared" si="179"/>
        <v>00:00</v>
      </c>
      <c r="GQ205" s="29"/>
      <c r="GR205" s="27"/>
      <c r="GS205" s="27"/>
      <c r="GT205" s="28" t="str">
        <f>IFERROR(VLOOKUP(GR205,Horarios!$H:$I,2,0),"")</f>
        <v/>
      </c>
      <c r="GU205" s="28" t="str">
        <f>IFERROR(VLOOKUP(GS205,Horarios!$H:$I,2,0),"")</f>
        <v/>
      </c>
      <c r="GV205" s="28" t="str">
        <f t="shared" si="180"/>
        <v>00:00</v>
      </c>
      <c r="GW205" s="29"/>
      <c r="GX205" s="27"/>
      <c r="GY205" s="27"/>
      <c r="GZ205" s="28" t="str">
        <f>IFERROR(VLOOKUP(GX205,Horarios!$H:$I,2,0),"")</f>
        <v/>
      </c>
      <c r="HA205" s="28" t="str">
        <f>IFERROR(VLOOKUP(GY205,Horarios!$H:$I,2,0),"")</f>
        <v/>
      </c>
      <c r="HB205" s="28" t="str">
        <f t="shared" si="181"/>
        <v>00:00</v>
      </c>
      <c r="HC205" s="29"/>
      <c r="HD205" s="27"/>
      <c r="HE205" s="27"/>
      <c r="HF205" s="28" t="str">
        <f>IFERROR(VLOOKUP(HD205,Horarios!$H:$I,2,0),"")</f>
        <v/>
      </c>
      <c r="HG205" s="28" t="str">
        <f>IFERROR(VLOOKUP(HE205,Horarios!$H:$I,2,0),"")</f>
        <v/>
      </c>
      <c r="HH205" s="28" t="str">
        <f t="shared" si="182"/>
        <v>00:00</v>
      </c>
      <c r="HI205" s="29"/>
      <c r="HJ205" s="31" t="str">
        <f t="shared" si="183"/>
        <v/>
      </c>
      <c r="HK205" s="27"/>
      <c r="HL205" s="27"/>
      <c r="HM205" s="28" t="str">
        <f>IFERROR(VLOOKUP(HK205,Horarios!$H:$I,2,0),"")</f>
        <v/>
      </c>
      <c r="HN205" s="28" t="str">
        <f>IFERROR(VLOOKUP(HL205,Horarios!$H:$I,2,0),"")</f>
        <v/>
      </c>
      <c r="HO205" s="28" t="str">
        <f t="shared" si="184"/>
        <v>00:00</v>
      </c>
      <c r="HP205" s="29"/>
      <c r="HQ205" s="27"/>
      <c r="HR205" s="27"/>
      <c r="HS205" s="28" t="str">
        <f>IFERROR(VLOOKUP(HQ205,Horarios!$H:$I,2,0),"")</f>
        <v/>
      </c>
      <c r="HT205" s="28" t="str">
        <f>IFERROR(VLOOKUP(HR205,Horarios!$H:$I,2,0),"")</f>
        <v/>
      </c>
      <c r="HU205" s="28" t="str">
        <f t="shared" si="185"/>
        <v>00:00</v>
      </c>
      <c r="HV205" s="29"/>
      <c r="HW205" s="27"/>
      <c r="HX205" s="27"/>
      <c r="HY205" s="28" t="str">
        <f>IFERROR(VLOOKUP(HW205,Horarios!$H:$I,2,0),"")</f>
        <v/>
      </c>
      <c r="HZ205" s="28" t="str">
        <f>IFERROR(VLOOKUP(HX205,Horarios!$H:$I,2,0),"")</f>
        <v/>
      </c>
      <c r="IA205" s="28" t="str">
        <f t="shared" si="186"/>
        <v>00:00</v>
      </c>
      <c r="IB205" s="29"/>
      <c r="IC205" s="27"/>
      <c r="ID205" s="27"/>
      <c r="IE205" s="28" t="str">
        <f>IFERROR(VLOOKUP(IC205,Horarios!$H:$I,2,0),"")</f>
        <v/>
      </c>
      <c r="IF205" s="28" t="str">
        <f>IFERROR(VLOOKUP(ID205,Horarios!$H:$I,2,0),"")</f>
        <v/>
      </c>
      <c r="IG205" s="28" t="str">
        <f t="shared" si="187"/>
        <v>00:00</v>
      </c>
      <c r="IH205" s="29"/>
      <c r="II205" s="27"/>
      <c r="IJ205" s="27"/>
      <c r="IK205" s="28" t="str">
        <f>IFERROR(VLOOKUP(II205,Horarios!$H:$I,2,0),"")</f>
        <v/>
      </c>
      <c r="IL205" s="28" t="str">
        <f>IFERROR(VLOOKUP(IJ205,Horarios!$H:$I,2,0),"")</f>
        <v/>
      </c>
      <c r="IM205" s="28" t="str">
        <f t="shared" si="188"/>
        <v>00:00</v>
      </c>
      <c r="IN205" s="29"/>
      <c r="IO205" s="27"/>
      <c r="IP205" s="27"/>
      <c r="IQ205" s="28" t="str">
        <f>IFERROR(VLOOKUP(IO205,Horarios!$H:$I,2,0),"")</f>
        <v/>
      </c>
      <c r="IR205" s="28" t="str">
        <f>IFERROR(VLOOKUP(IP205,Horarios!$H:$I,2,0),"")</f>
        <v/>
      </c>
      <c r="IS205" s="28" t="str">
        <f t="shared" si="189"/>
        <v>00:00</v>
      </c>
      <c r="IT205" s="29"/>
      <c r="IU205" s="27"/>
      <c r="IV205" s="27"/>
      <c r="IW205" s="28" t="str">
        <f>IFERROR(VLOOKUP(IU205,Horarios!$H:$I,2,0),"")</f>
        <v/>
      </c>
      <c r="IX205" s="28" t="str">
        <f>IFERROR(VLOOKUP(IV205,Horarios!$H:$I,2,0),"")</f>
        <v/>
      </c>
      <c r="IY205" s="28" t="str">
        <f t="shared" si="190"/>
        <v>00:00</v>
      </c>
      <c r="IZ205" s="29"/>
      <c r="JA205" s="31" t="str">
        <f t="shared" si="191"/>
        <v/>
      </c>
    </row>
    <row r="206" spans="1:261" s="24" customFormat="1" ht="17.399999999999999" x14ac:dyDescent="0.25">
      <c r="A206" s="25"/>
      <c r="B206" s="26" t="str">
        <f>IFERROR(VLOOKUP(A206,BaseNombres!A:B,2,0),"")</f>
        <v/>
      </c>
      <c r="C206" s="26" t="str">
        <f>IFERROR(VLOOKUP(A206,BaseNombres!A:C,3,0),"")</f>
        <v/>
      </c>
      <c r="D206" s="27"/>
      <c r="E206" s="27"/>
      <c r="F206" s="28" t="str">
        <f>IFERROR(VLOOKUP(D206,Horarios!$H:$I,2,0),"")</f>
        <v/>
      </c>
      <c r="G206" s="28" t="str">
        <f>IFERROR(VLOOKUP(E206,Horarios!$H:$I,2,0),"")</f>
        <v/>
      </c>
      <c r="H206" s="28" t="str">
        <f t="shared" si="144"/>
        <v>00:00</v>
      </c>
      <c r="I206" s="29"/>
      <c r="J206" s="27"/>
      <c r="K206" s="27"/>
      <c r="L206" s="28" t="str">
        <f>IFERROR(VLOOKUP(J206,Horarios!$H:$I,2,0),"")</f>
        <v/>
      </c>
      <c r="M206" s="28" t="str">
        <f>IFERROR(VLOOKUP(K206,Horarios!$H:$I,2,0),"")</f>
        <v/>
      </c>
      <c r="N206" s="28" t="str">
        <f t="shared" si="145"/>
        <v>00:00</v>
      </c>
      <c r="O206" s="29"/>
      <c r="P206" s="27"/>
      <c r="Q206" s="27"/>
      <c r="R206" s="28" t="str">
        <f>IFERROR(VLOOKUP(P206,Horarios!$H:$I,2,0),"")</f>
        <v/>
      </c>
      <c r="S206" s="28" t="str">
        <f>IFERROR(VLOOKUP(Q206,Horarios!$H:$I,2,0),"")</f>
        <v/>
      </c>
      <c r="T206" s="28" t="str">
        <f t="shared" si="146"/>
        <v>00:00</v>
      </c>
      <c r="U206" s="29"/>
      <c r="V206" s="27"/>
      <c r="W206" s="27"/>
      <c r="X206" s="28" t="str">
        <f>IFERROR(VLOOKUP(V206,Horarios!$H:$I,2,0),"")</f>
        <v/>
      </c>
      <c r="Y206" s="28" t="str">
        <f>IFERROR(VLOOKUP(W206,Horarios!$H:$I,2,0),"")</f>
        <v/>
      </c>
      <c r="Z206" s="28" t="str">
        <f t="shared" si="147"/>
        <v>00:00</v>
      </c>
      <c r="AA206" s="29"/>
      <c r="AB206" s="27"/>
      <c r="AC206" s="27"/>
      <c r="AD206" s="28" t="str">
        <f>IFERROR(VLOOKUP(AB206,Horarios!$H:$I,2,0),"")</f>
        <v/>
      </c>
      <c r="AE206" s="28" t="str">
        <f>IFERROR(VLOOKUP(AC206,Horarios!$H:$I,2,0),"")</f>
        <v/>
      </c>
      <c r="AF206" s="28" t="str">
        <f t="shared" si="148"/>
        <v>00:00</v>
      </c>
      <c r="AG206" s="29"/>
      <c r="AH206" s="27"/>
      <c r="AI206" s="27"/>
      <c r="AJ206" s="28" t="str">
        <f>IFERROR(VLOOKUP(AH206,Horarios!$H:$I,2,0),"")</f>
        <v/>
      </c>
      <c r="AK206" s="28" t="str">
        <f>IFERROR(VLOOKUP(AI206,Horarios!$H:$I,2,0),"")</f>
        <v/>
      </c>
      <c r="AL206" s="28" t="str">
        <f t="shared" si="149"/>
        <v>00:00</v>
      </c>
      <c r="AM206" s="29"/>
      <c r="AN206" s="27"/>
      <c r="AO206" s="27"/>
      <c r="AP206" s="28" t="str">
        <f>IFERROR(VLOOKUP(AN206,Horarios!$H:$I,2,0),"")</f>
        <v/>
      </c>
      <c r="AQ206" s="28" t="str">
        <f>IFERROR(VLOOKUP(AO206,Horarios!$H:$I,2,0),"")</f>
        <v/>
      </c>
      <c r="AR206" s="28" t="str">
        <f t="shared" si="150"/>
        <v>00:00</v>
      </c>
      <c r="AS206" s="29"/>
      <c r="AT206" s="31" t="str">
        <f t="shared" si="151"/>
        <v/>
      </c>
      <c r="AU206" s="27"/>
      <c r="AV206" s="27"/>
      <c r="AW206" s="28" t="str">
        <f>IFERROR(VLOOKUP(AU206,Horarios!$H:$I,2,0),"")</f>
        <v/>
      </c>
      <c r="AX206" s="28" t="str">
        <f>IFERROR(VLOOKUP(AV206,Horarios!$H:$I,2,0),"")</f>
        <v/>
      </c>
      <c r="AY206" s="28" t="str">
        <f t="shared" si="152"/>
        <v>00:00</v>
      </c>
      <c r="AZ206" s="29"/>
      <c r="BA206" s="27"/>
      <c r="BB206" s="27"/>
      <c r="BC206" s="28" t="str">
        <f>IFERROR(VLOOKUP(BA206,Horarios!$H:$I,2,0),"")</f>
        <v/>
      </c>
      <c r="BD206" s="28" t="str">
        <f>IFERROR(VLOOKUP(BB206,Horarios!$H:$I,2,0),"")</f>
        <v/>
      </c>
      <c r="BE206" s="28" t="str">
        <f t="shared" si="153"/>
        <v>00:00</v>
      </c>
      <c r="BF206" s="29"/>
      <c r="BG206" s="27"/>
      <c r="BH206" s="27"/>
      <c r="BI206" s="28" t="str">
        <f>IFERROR(VLOOKUP(BG206,Horarios!$H:$I,2,0),"")</f>
        <v/>
      </c>
      <c r="BJ206" s="28" t="str">
        <f>IFERROR(VLOOKUP(BH206,Horarios!$H:$I,2,0),"")</f>
        <v/>
      </c>
      <c r="BK206" s="28" t="str">
        <f t="shared" si="154"/>
        <v>00:00</v>
      </c>
      <c r="BL206" s="29"/>
      <c r="BM206" s="27"/>
      <c r="BN206" s="27"/>
      <c r="BO206" s="28" t="str">
        <f>IFERROR(VLOOKUP(BM206,Horarios!$H:$I,2,0),"")</f>
        <v/>
      </c>
      <c r="BP206" s="28" t="str">
        <f>IFERROR(VLOOKUP(BN206,Horarios!$H:$I,2,0),"")</f>
        <v/>
      </c>
      <c r="BQ206" s="28" t="str">
        <f t="shared" si="155"/>
        <v>00:00</v>
      </c>
      <c r="BR206" s="29"/>
      <c r="BS206" s="27"/>
      <c r="BT206" s="27"/>
      <c r="BU206" s="28" t="str">
        <f>IFERROR(VLOOKUP(BS206,Horarios!$H:$I,2,0),"")</f>
        <v/>
      </c>
      <c r="BV206" s="28" t="str">
        <f>IFERROR(VLOOKUP(BT206,Horarios!$H:$I,2,0),"")</f>
        <v/>
      </c>
      <c r="BW206" s="28" t="str">
        <f t="shared" si="156"/>
        <v>00:00</v>
      </c>
      <c r="BX206" s="29"/>
      <c r="BY206" s="27"/>
      <c r="BZ206" s="27"/>
      <c r="CA206" s="28" t="str">
        <f>IFERROR(VLOOKUP(BY206,Horarios!$H:$I,2,0),"")</f>
        <v/>
      </c>
      <c r="CB206" s="28" t="str">
        <f>IFERROR(VLOOKUP(BZ206,Horarios!$H:$I,2,0),"")</f>
        <v/>
      </c>
      <c r="CC206" s="28" t="str">
        <f t="shared" si="157"/>
        <v>00:00</v>
      </c>
      <c r="CD206" s="29"/>
      <c r="CE206" s="27"/>
      <c r="CF206" s="27"/>
      <c r="CG206" s="28" t="str">
        <f>IFERROR(VLOOKUP(CE206,Horarios!$H:$I,2,0),"")</f>
        <v/>
      </c>
      <c r="CH206" s="28" t="str">
        <f>IFERROR(VLOOKUP(CF206,Horarios!$H:$I,2,0),"")</f>
        <v/>
      </c>
      <c r="CI206" s="28" t="str">
        <f t="shared" si="158"/>
        <v>00:00</v>
      </c>
      <c r="CJ206" s="29"/>
      <c r="CK206" s="31" t="str">
        <f t="shared" si="159"/>
        <v/>
      </c>
      <c r="CL206" s="27"/>
      <c r="CM206" s="27"/>
      <c r="CN206" s="28" t="str">
        <f>IFERROR(VLOOKUP(CL206,Horarios!$H:$I,2,0),"")</f>
        <v/>
      </c>
      <c r="CO206" s="28" t="str">
        <f>IFERROR(VLOOKUP(CM206,Horarios!$H:$I,2,0),"")</f>
        <v/>
      </c>
      <c r="CP206" s="28" t="str">
        <f t="shared" si="160"/>
        <v>00:00</v>
      </c>
      <c r="CQ206" s="29"/>
      <c r="CR206" s="27"/>
      <c r="CS206" s="27"/>
      <c r="CT206" s="28" t="str">
        <f>IFERROR(VLOOKUP(CR206,Horarios!$H:$I,2,0),"")</f>
        <v/>
      </c>
      <c r="CU206" s="28" t="str">
        <f>IFERROR(VLOOKUP(CS206,Horarios!$H:$I,2,0),"")</f>
        <v/>
      </c>
      <c r="CV206" s="28" t="str">
        <f t="shared" si="161"/>
        <v>00:00</v>
      </c>
      <c r="CW206" s="29"/>
      <c r="CX206" s="27"/>
      <c r="CY206" s="27"/>
      <c r="CZ206" s="28" t="str">
        <f>IFERROR(VLOOKUP(CX206,Horarios!$H:$I,2,0),"")</f>
        <v/>
      </c>
      <c r="DA206" s="28" t="str">
        <f>IFERROR(VLOOKUP(CY206,Horarios!$H:$I,2,0),"")</f>
        <v/>
      </c>
      <c r="DB206" s="28" t="str">
        <f t="shared" si="162"/>
        <v>00:00</v>
      </c>
      <c r="DC206" s="29"/>
      <c r="DD206" s="27"/>
      <c r="DE206" s="27"/>
      <c r="DF206" s="28" t="str">
        <f>IFERROR(VLOOKUP(DD206,Horarios!$H:$I,2,0),"")</f>
        <v/>
      </c>
      <c r="DG206" s="28" t="str">
        <f>IFERROR(VLOOKUP(DE206,Horarios!$H:$I,2,0),"")</f>
        <v/>
      </c>
      <c r="DH206" s="28" t="str">
        <f t="shared" si="163"/>
        <v>00:00</v>
      </c>
      <c r="DI206" s="29"/>
      <c r="DJ206" s="27"/>
      <c r="DK206" s="27"/>
      <c r="DL206" s="28" t="str">
        <f>IFERROR(VLOOKUP(DJ206,Horarios!$H:$I,2,0),"")</f>
        <v/>
      </c>
      <c r="DM206" s="28" t="str">
        <f>IFERROR(VLOOKUP(DK206,Horarios!$H:$I,2,0),"")</f>
        <v/>
      </c>
      <c r="DN206" s="28" t="str">
        <f t="shared" si="164"/>
        <v>00:00</v>
      </c>
      <c r="DO206" s="29"/>
      <c r="DP206" s="27"/>
      <c r="DQ206" s="27"/>
      <c r="DR206" s="28" t="str">
        <f>IFERROR(VLOOKUP(DP206,Horarios!$H:$I,2,0),"")</f>
        <v/>
      </c>
      <c r="DS206" s="28" t="str">
        <f>IFERROR(VLOOKUP(DQ206,Horarios!$H:$I,2,0),"")</f>
        <v/>
      </c>
      <c r="DT206" s="28" t="str">
        <f t="shared" si="165"/>
        <v>00:00</v>
      </c>
      <c r="DU206" s="29"/>
      <c r="DV206" s="27"/>
      <c r="DW206" s="27"/>
      <c r="DX206" s="28" t="str">
        <f>IFERROR(VLOOKUP(DV206,Horarios!$H:$I,2,0),"")</f>
        <v/>
      </c>
      <c r="DY206" s="28" t="str">
        <f>IFERROR(VLOOKUP(DW206,Horarios!$H:$I,2,0),"")</f>
        <v/>
      </c>
      <c r="DZ206" s="28" t="str">
        <f t="shared" si="166"/>
        <v>00:00</v>
      </c>
      <c r="EA206" s="29"/>
      <c r="EB206" s="31" t="str">
        <f t="shared" si="167"/>
        <v/>
      </c>
      <c r="EC206" s="27"/>
      <c r="ED206" s="27"/>
      <c r="EE206" s="28" t="str">
        <f>IFERROR(VLOOKUP(EC206,Horarios!$H:$I,2,0),"")</f>
        <v/>
      </c>
      <c r="EF206" s="28" t="str">
        <f>IFERROR(VLOOKUP(ED206,Horarios!$H:$I,2,0),"")</f>
        <v/>
      </c>
      <c r="EG206" s="28" t="str">
        <f t="shared" si="168"/>
        <v>00:00</v>
      </c>
      <c r="EH206" s="29"/>
      <c r="EI206" s="27"/>
      <c r="EJ206" s="27"/>
      <c r="EK206" s="28" t="str">
        <f>IFERROR(VLOOKUP(EI206,Horarios!$H:$I,2,0),"")</f>
        <v/>
      </c>
      <c r="EL206" s="28" t="str">
        <f>IFERROR(VLOOKUP(EJ206,Horarios!$H:$I,2,0),"")</f>
        <v/>
      </c>
      <c r="EM206" s="28" t="str">
        <f t="shared" si="169"/>
        <v>00:00</v>
      </c>
      <c r="EN206" s="29"/>
      <c r="EO206" s="27"/>
      <c r="EP206" s="27"/>
      <c r="EQ206" s="28" t="str">
        <f>IFERROR(VLOOKUP(EO206,Horarios!$H:$I,2,0),"")</f>
        <v/>
      </c>
      <c r="ER206" s="28" t="str">
        <f>IFERROR(VLOOKUP(EP206,Horarios!$H:$I,2,0),"")</f>
        <v/>
      </c>
      <c r="ES206" s="28" t="str">
        <f t="shared" si="170"/>
        <v>00:00</v>
      </c>
      <c r="ET206" s="29"/>
      <c r="EU206" s="27"/>
      <c r="EV206" s="27"/>
      <c r="EW206" s="28" t="str">
        <f>IFERROR(VLOOKUP(EU206,Horarios!$H:$I,2,0),"")</f>
        <v/>
      </c>
      <c r="EX206" s="28" t="str">
        <f>IFERROR(VLOOKUP(EV206,Horarios!$H:$I,2,0),"")</f>
        <v/>
      </c>
      <c r="EY206" s="28" t="str">
        <f t="shared" si="171"/>
        <v>00:00</v>
      </c>
      <c r="EZ206" s="29"/>
      <c r="FA206" s="27"/>
      <c r="FB206" s="27"/>
      <c r="FC206" s="28" t="str">
        <f>IFERROR(VLOOKUP(FA206,Horarios!$H:$I,2,0),"")</f>
        <v/>
      </c>
      <c r="FD206" s="28" t="str">
        <f>IFERROR(VLOOKUP(FB206,Horarios!$H:$I,2,0),"")</f>
        <v/>
      </c>
      <c r="FE206" s="28" t="str">
        <f t="shared" si="172"/>
        <v>00:00</v>
      </c>
      <c r="FF206" s="29"/>
      <c r="FG206" s="27"/>
      <c r="FH206" s="27"/>
      <c r="FI206" s="28" t="str">
        <f>IFERROR(VLOOKUP(FG206,Horarios!$H:$I,2,0),"")</f>
        <v/>
      </c>
      <c r="FJ206" s="28" t="str">
        <f>IFERROR(VLOOKUP(FH206,Horarios!$H:$I,2,0),"")</f>
        <v/>
      </c>
      <c r="FK206" s="28" t="str">
        <f t="shared" si="173"/>
        <v>00:00</v>
      </c>
      <c r="FL206" s="29"/>
      <c r="FM206" s="27"/>
      <c r="FN206" s="27"/>
      <c r="FO206" s="28" t="str">
        <f>IFERROR(VLOOKUP(FM206,Horarios!$H:$I,2,0),"")</f>
        <v/>
      </c>
      <c r="FP206" s="28" t="str">
        <f>IFERROR(VLOOKUP(FN206,Horarios!$H:$I,2,0),"")</f>
        <v/>
      </c>
      <c r="FQ206" s="28" t="str">
        <f t="shared" si="174"/>
        <v>00:00</v>
      </c>
      <c r="FR206" s="29"/>
      <c r="FS206" s="31" t="str">
        <f t="shared" si="175"/>
        <v/>
      </c>
      <c r="FT206" s="27"/>
      <c r="FU206" s="27"/>
      <c r="FV206" s="28" t="str">
        <f>IFERROR(VLOOKUP(FT206,Horarios!$H:$I,2,0),"")</f>
        <v/>
      </c>
      <c r="FW206" s="28" t="str">
        <f>IFERROR(VLOOKUP(FU206,Horarios!$H:$I,2,0),"")</f>
        <v/>
      </c>
      <c r="FX206" s="28" t="str">
        <f t="shared" si="176"/>
        <v>00:00</v>
      </c>
      <c r="FY206" s="29"/>
      <c r="FZ206" s="27"/>
      <c r="GA206" s="27"/>
      <c r="GB206" s="28" t="str">
        <f>IFERROR(VLOOKUP(FZ206,Horarios!$H:$I,2,0),"")</f>
        <v/>
      </c>
      <c r="GC206" s="28" t="str">
        <f>IFERROR(VLOOKUP(GA206,Horarios!$H:$I,2,0),"")</f>
        <v/>
      </c>
      <c r="GD206" s="28" t="str">
        <f t="shared" si="177"/>
        <v>00:00</v>
      </c>
      <c r="GE206" s="29"/>
      <c r="GF206" s="27"/>
      <c r="GG206" s="27"/>
      <c r="GH206" s="28" t="str">
        <f>IFERROR(VLOOKUP(GF206,Horarios!$H:$I,2,0),"")</f>
        <v/>
      </c>
      <c r="GI206" s="28" t="str">
        <f>IFERROR(VLOOKUP(GG206,Horarios!$H:$I,2,0),"")</f>
        <v/>
      </c>
      <c r="GJ206" s="28" t="str">
        <f t="shared" si="178"/>
        <v>00:00</v>
      </c>
      <c r="GK206" s="29"/>
      <c r="GL206" s="27"/>
      <c r="GM206" s="27"/>
      <c r="GN206" s="28" t="str">
        <f>IFERROR(VLOOKUP(GL206,Horarios!$H:$I,2,0),"")</f>
        <v/>
      </c>
      <c r="GO206" s="28" t="str">
        <f>IFERROR(VLOOKUP(GM206,Horarios!$H:$I,2,0),"")</f>
        <v/>
      </c>
      <c r="GP206" s="28" t="str">
        <f t="shared" si="179"/>
        <v>00:00</v>
      </c>
      <c r="GQ206" s="29"/>
      <c r="GR206" s="27"/>
      <c r="GS206" s="27"/>
      <c r="GT206" s="28" t="str">
        <f>IFERROR(VLOOKUP(GR206,Horarios!$H:$I,2,0),"")</f>
        <v/>
      </c>
      <c r="GU206" s="28" t="str">
        <f>IFERROR(VLOOKUP(GS206,Horarios!$H:$I,2,0),"")</f>
        <v/>
      </c>
      <c r="GV206" s="28" t="str">
        <f t="shared" si="180"/>
        <v>00:00</v>
      </c>
      <c r="GW206" s="29"/>
      <c r="GX206" s="27"/>
      <c r="GY206" s="27"/>
      <c r="GZ206" s="28" t="str">
        <f>IFERROR(VLOOKUP(GX206,Horarios!$H:$I,2,0),"")</f>
        <v/>
      </c>
      <c r="HA206" s="28" t="str">
        <f>IFERROR(VLOOKUP(GY206,Horarios!$H:$I,2,0),"")</f>
        <v/>
      </c>
      <c r="HB206" s="28" t="str">
        <f t="shared" si="181"/>
        <v>00:00</v>
      </c>
      <c r="HC206" s="29"/>
      <c r="HD206" s="27"/>
      <c r="HE206" s="27"/>
      <c r="HF206" s="28" t="str">
        <f>IFERROR(VLOOKUP(HD206,Horarios!$H:$I,2,0),"")</f>
        <v/>
      </c>
      <c r="HG206" s="28" t="str">
        <f>IFERROR(VLOOKUP(HE206,Horarios!$H:$I,2,0),"")</f>
        <v/>
      </c>
      <c r="HH206" s="28" t="str">
        <f t="shared" si="182"/>
        <v>00:00</v>
      </c>
      <c r="HI206" s="29"/>
      <c r="HJ206" s="31" t="str">
        <f t="shared" si="183"/>
        <v/>
      </c>
      <c r="HK206" s="27"/>
      <c r="HL206" s="27"/>
      <c r="HM206" s="28" t="str">
        <f>IFERROR(VLOOKUP(HK206,Horarios!$H:$I,2,0),"")</f>
        <v/>
      </c>
      <c r="HN206" s="28" t="str">
        <f>IFERROR(VLOOKUP(HL206,Horarios!$H:$I,2,0),"")</f>
        <v/>
      </c>
      <c r="HO206" s="28" t="str">
        <f t="shared" si="184"/>
        <v>00:00</v>
      </c>
      <c r="HP206" s="29"/>
      <c r="HQ206" s="27"/>
      <c r="HR206" s="27"/>
      <c r="HS206" s="28" t="str">
        <f>IFERROR(VLOOKUP(HQ206,Horarios!$H:$I,2,0),"")</f>
        <v/>
      </c>
      <c r="HT206" s="28" t="str">
        <f>IFERROR(VLOOKUP(HR206,Horarios!$H:$I,2,0),"")</f>
        <v/>
      </c>
      <c r="HU206" s="28" t="str">
        <f t="shared" si="185"/>
        <v>00:00</v>
      </c>
      <c r="HV206" s="29"/>
      <c r="HW206" s="27"/>
      <c r="HX206" s="27"/>
      <c r="HY206" s="28" t="str">
        <f>IFERROR(VLOOKUP(HW206,Horarios!$H:$I,2,0),"")</f>
        <v/>
      </c>
      <c r="HZ206" s="28" t="str">
        <f>IFERROR(VLOOKUP(HX206,Horarios!$H:$I,2,0),"")</f>
        <v/>
      </c>
      <c r="IA206" s="28" t="str">
        <f t="shared" si="186"/>
        <v>00:00</v>
      </c>
      <c r="IB206" s="29"/>
      <c r="IC206" s="27"/>
      <c r="ID206" s="27"/>
      <c r="IE206" s="28" t="str">
        <f>IFERROR(VLOOKUP(IC206,Horarios!$H:$I,2,0),"")</f>
        <v/>
      </c>
      <c r="IF206" s="28" t="str">
        <f>IFERROR(VLOOKUP(ID206,Horarios!$H:$I,2,0),"")</f>
        <v/>
      </c>
      <c r="IG206" s="28" t="str">
        <f t="shared" si="187"/>
        <v>00:00</v>
      </c>
      <c r="IH206" s="29"/>
      <c r="II206" s="27"/>
      <c r="IJ206" s="27"/>
      <c r="IK206" s="28" t="str">
        <f>IFERROR(VLOOKUP(II206,Horarios!$H:$I,2,0),"")</f>
        <v/>
      </c>
      <c r="IL206" s="28" t="str">
        <f>IFERROR(VLOOKUP(IJ206,Horarios!$H:$I,2,0),"")</f>
        <v/>
      </c>
      <c r="IM206" s="28" t="str">
        <f t="shared" si="188"/>
        <v>00:00</v>
      </c>
      <c r="IN206" s="29"/>
      <c r="IO206" s="27"/>
      <c r="IP206" s="27"/>
      <c r="IQ206" s="28" t="str">
        <f>IFERROR(VLOOKUP(IO206,Horarios!$H:$I,2,0),"")</f>
        <v/>
      </c>
      <c r="IR206" s="28" t="str">
        <f>IFERROR(VLOOKUP(IP206,Horarios!$H:$I,2,0),"")</f>
        <v/>
      </c>
      <c r="IS206" s="28" t="str">
        <f t="shared" si="189"/>
        <v>00:00</v>
      </c>
      <c r="IT206" s="29"/>
      <c r="IU206" s="27"/>
      <c r="IV206" s="27"/>
      <c r="IW206" s="28" t="str">
        <f>IFERROR(VLOOKUP(IU206,Horarios!$H:$I,2,0),"")</f>
        <v/>
      </c>
      <c r="IX206" s="28" t="str">
        <f>IFERROR(VLOOKUP(IV206,Horarios!$H:$I,2,0),"")</f>
        <v/>
      </c>
      <c r="IY206" s="28" t="str">
        <f t="shared" si="190"/>
        <v>00:00</v>
      </c>
      <c r="IZ206" s="29"/>
      <c r="JA206" s="31" t="str">
        <f t="shared" si="191"/>
        <v/>
      </c>
    </row>
    <row r="207" spans="1:261" s="24" customFormat="1" ht="17.399999999999999" x14ac:dyDescent="0.25">
      <c r="A207" s="25"/>
      <c r="B207" s="26" t="str">
        <f>IFERROR(VLOOKUP(A207,BaseNombres!A:B,2,0),"")</f>
        <v/>
      </c>
      <c r="C207" s="26" t="str">
        <f>IFERROR(VLOOKUP(A207,BaseNombres!A:C,3,0),"")</f>
        <v/>
      </c>
      <c r="D207" s="27"/>
      <c r="E207" s="27"/>
      <c r="F207" s="28" t="str">
        <f>IFERROR(VLOOKUP(D207,Horarios!$H:$I,2,0),"")</f>
        <v/>
      </c>
      <c r="G207" s="28" t="str">
        <f>IFERROR(VLOOKUP(E207,Horarios!$H:$I,2,0),"")</f>
        <v/>
      </c>
      <c r="H207" s="28" t="str">
        <f t="shared" si="144"/>
        <v>00:00</v>
      </c>
      <c r="I207" s="29"/>
      <c r="J207" s="27"/>
      <c r="K207" s="27"/>
      <c r="L207" s="28" t="str">
        <f>IFERROR(VLOOKUP(J207,Horarios!$H:$I,2,0),"")</f>
        <v/>
      </c>
      <c r="M207" s="28" t="str">
        <f>IFERROR(VLOOKUP(K207,Horarios!$H:$I,2,0),"")</f>
        <v/>
      </c>
      <c r="N207" s="28" t="str">
        <f t="shared" si="145"/>
        <v>00:00</v>
      </c>
      <c r="O207" s="29"/>
      <c r="P207" s="27"/>
      <c r="Q207" s="27"/>
      <c r="R207" s="28" t="str">
        <f>IFERROR(VLOOKUP(P207,Horarios!$H:$I,2,0),"")</f>
        <v/>
      </c>
      <c r="S207" s="28" t="str">
        <f>IFERROR(VLOOKUP(Q207,Horarios!$H:$I,2,0),"")</f>
        <v/>
      </c>
      <c r="T207" s="28" t="str">
        <f t="shared" si="146"/>
        <v>00:00</v>
      </c>
      <c r="U207" s="29"/>
      <c r="V207" s="27"/>
      <c r="W207" s="27"/>
      <c r="X207" s="28" t="str">
        <f>IFERROR(VLOOKUP(V207,Horarios!$H:$I,2,0),"")</f>
        <v/>
      </c>
      <c r="Y207" s="28" t="str">
        <f>IFERROR(VLOOKUP(W207,Horarios!$H:$I,2,0),"")</f>
        <v/>
      </c>
      <c r="Z207" s="28" t="str">
        <f t="shared" si="147"/>
        <v>00:00</v>
      </c>
      <c r="AA207" s="29"/>
      <c r="AB207" s="27"/>
      <c r="AC207" s="27"/>
      <c r="AD207" s="28" t="str">
        <f>IFERROR(VLOOKUP(AB207,Horarios!$H:$I,2,0),"")</f>
        <v/>
      </c>
      <c r="AE207" s="28" t="str">
        <f>IFERROR(VLOOKUP(AC207,Horarios!$H:$I,2,0),"")</f>
        <v/>
      </c>
      <c r="AF207" s="28" t="str">
        <f t="shared" si="148"/>
        <v>00:00</v>
      </c>
      <c r="AG207" s="29"/>
      <c r="AH207" s="27"/>
      <c r="AI207" s="27"/>
      <c r="AJ207" s="28" t="str">
        <f>IFERROR(VLOOKUP(AH207,Horarios!$H:$I,2,0),"")</f>
        <v/>
      </c>
      <c r="AK207" s="28" t="str">
        <f>IFERROR(VLOOKUP(AI207,Horarios!$H:$I,2,0),"")</f>
        <v/>
      </c>
      <c r="AL207" s="28" t="str">
        <f t="shared" si="149"/>
        <v>00:00</v>
      </c>
      <c r="AM207" s="29"/>
      <c r="AN207" s="27"/>
      <c r="AO207" s="27"/>
      <c r="AP207" s="28" t="str">
        <f>IFERROR(VLOOKUP(AN207,Horarios!$H:$I,2,0),"")</f>
        <v/>
      </c>
      <c r="AQ207" s="28" t="str">
        <f>IFERROR(VLOOKUP(AO207,Horarios!$H:$I,2,0),"")</f>
        <v/>
      </c>
      <c r="AR207" s="28" t="str">
        <f t="shared" si="150"/>
        <v>00:00</v>
      </c>
      <c r="AS207" s="29"/>
      <c r="AT207" s="31" t="str">
        <f t="shared" si="151"/>
        <v/>
      </c>
      <c r="AU207" s="27"/>
      <c r="AV207" s="27"/>
      <c r="AW207" s="28" t="str">
        <f>IFERROR(VLOOKUP(AU207,Horarios!$H:$I,2,0),"")</f>
        <v/>
      </c>
      <c r="AX207" s="28" t="str">
        <f>IFERROR(VLOOKUP(AV207,Horarios!$H:$I,2,0),"")</f>
        <v/>
      </c>
      <c r="AY207" s="28" t="str">
        <f t="shared" si="152"/>
        <v>00:00</v>
      </c>
      <c r="AZ207" s="29"/>
      <c r="BA207" s="27"/>
      <c r="BB207" s="27"/>
      <c r="BC207" s="28" t="str">
        <f>IFERROR(VLOOKUP(BA207,Horarios!$H:$I,2,0),"")</f>
        <v/>
      </c>
      <c r="BD207" s="28" t="str">
        <f>IFERROR(VLOOKUP(BB207,Horarios!$H:$I,2,0),"")</f>
        <v/>
      </c>
      <c r="BE207" s="28" t="str">
        <f t="shared" si="153"/>
        <v>00:00</v>
      </c>
      <c r="BF207" s="29"/>
      <c r="BG207" s="27"/>
      <c r="BH207" s="27"/>
      <c r="BI207" s="28" t="str">
        <f>IFERROR(VLOOKUP(BG207,Horarios!$H:$I,2,0),"")</f>
        <v/>
      </c>
      <c r="BJ207" s="28" t="str">
        <f>IFERROR(VLOOKUP(BH207,Horarios!$H:$I,2,0),"")</f>
        <v/>
      </c>
      <c r="BK207" s="28" t="str">
        <f t="shared" si="154"/>
        <v>00:00</v>
      </c>
      <c r="BL207" s="29"/>
      <c r="BM207" s="27"/>
      <c r="BN207" s="27"/>
      <c r="BO207" s="28" t="str">
        <f>IFERROR(VLOOKUP(BM207,Horarios!$H:$I,2,0),"")</f>
        <v/>
      </c>
      <c r="BP207" s="28" t="str">
        <f>IFERROR(VLOOKUP(BN207,Horarios!$H:$I,2,0),"")</f>
        <v/>
      </c>
      <c r="BQ207" s="28" t="str">
        <f t="shared" si="155"/>
        <v>00:00</v>
      </c>
      <c r="BR207" s="29"/>
      <c r="BS207" s="27"/>
      <c r="BT207" s="27"/>
      <c r="BU207" s="28" t="str">
        <f>IFERROR(VLOOKUP(BS207,Horarios!$H:$I,2,0),"")</f>
        <v/>
      </c>
      <c r="BV207" s="28" t="str">
        <f>IFERROR(VLOOKUP(BT207,Horarios!$H:$I,2,0),"")</f>
        <v/>
      </c>
      <c r="BW207" s="28" t="str">
        <f t="shared" si="156"/>
        <v>00:00</v>
      </c>
      <c r="BX207" s="29"/>
      <c r="BY207" s="27"/>
      <c r="BZ207" s="27"/>
      <c r="CA207" s="28" t="str">
        <f>IFERROR(VLOOKUP(BY207,Horarios!$H:$I,2,0),"")</f>
        <v/>
      </c>
      <c r="CB207" s="28" t="str">
        <f>IFERROR(VLOOKUP(BZ207,Horarios!$H:$I,2,0),"")</f>
        <v/>
      </c>
      <c r="CC207" s="28" t="str">
        <f t="shared" si="157"/>
        <v>00:00</v>
      </c>
      <c r="CD207" s="29"/>
      <c r="CE207" s="27"/>
      <c r="CF207" s="27"/>
      <c r="CG207" s="28" t="str">
        <f>IFERROR(VLOOKUP(CE207,Horarios!$H:$I,2,0),"")</f>
        <v/>
      </c>
      <c r="CH207" s="28" t="str">
        <f>IFERROR(VLOOKUP(CF207,Horarios!$H:$I,2,0),"")</f>
        <v/>
      </c>
      <c r="CI207" s="28" t="str">
        <f t="shared" si="158"/>
        <v>00:00</v>
      </c>
      <c r="CJ207" s="29"/>
      <c r="CK207" s="31" t="str">
        <f t="shared" si="159"/>
        <v/>
      </c>
      <c r="CL207" s="27"/>
      <c r="CM207" s="27"/>
      <c r="CN207" s="28" t="str">
        <f>IFERROR(VLOOKUP(CL207,Horarios!$H:$I,2,0),"")</f>
        <v/>
      </c>
      <c r="CO207" s="28" t="str">
        <f>IFERROR(VLOOKUP(CM207,Horarios!$H:$I,2,0),"")</f>
        <v/>
      </c>
      <c r="CP207" s="28" t="str">
        <f t="shared" si="160"/>
        <v>00:00</v>
      </c>
      <c r="CQ207" s="29"/>
      <c r="CR207" s="27"/>
      <c r="CS207" s="27"/>
      <c r="CT207" s="28" t="str">
        <f>IFERROR(VLOOKUP(CR207,Horarios!$H:$I,2,0),"")</f>
        <v/>
      </c>
      <c r="CU207" s="28" t="str">
        <f>IFERROR(VLOOKUP(CS207,Horarios!$H:$I,2,0),"")</f>
        <v/>
      </c>
      <c r="CV207" s="28" t="str">
        <f t="shared" si="161"/>
        <v>00:00</v>
      </c>
      <c r="CW207" s="29"/>
      <c r="CX207" s="27"/>
      <c r="CY207" s="27"/>
      <c r="CZ207" s="28" t="str">
        <f>IFERROR(VLOOKUP(CX207,Horarios!$H:$I,2,0),"")</f>
        <v/>
      </c>
      <c r="DA207" s="28" t="str">
        <f>IFERROR(VLOOKUP(CY207,Horarios!$H:$I,2,0),"")</f>
        <v/>
      </c>
      <c r="DB207" s="28" t="str">
        <f t="shared" si="162"/>
        <v>00:00</v>
      </c>
      <c r="DC207" s="29"/>
      <c r="DD207" s="27"/>
      <c r="DE207" s="27"/>
      <c r="DF207" s="28" t="str">
        <f>IFERROR(VLOOKUP(DD207,Horarios!$H:$I,2,0),"")</f>
        <v/>
      </c>
      <c r="DG207" s="28" t="str">
        <f>IFERROR(VLOOKUP(DE207,Horarios!$H:$I,2,0),"")</f>
        <v/>
      </c>
      <c r="DH207" s="28" t="str">
        <f t="shared" si="163"/>
        <v>00:00</v>
      </c>
      <c r="DI207" s="29"/>
      <c r="DJ207" s="27"/>
      <c r="DK207" s="27"/>
      <c r="DL207" s="28" t="str">
        <f>IFERROR(VLOOKUP(DJ207,Horarios!$H:$I,2,0),"")</f>
        <v/>
      </c>
      <c r="DM207" s="28" t="str">
        <f>IFERROR(VLOOKUP(DK207,Horarios!$H:$I,2,0),"")</f>
        <v/>
      </c>
      <c r="DN207" s="28" t="str">
        <f t="shared" si="164"/>
        <v>00:00</v>
      </c>
      <c r="DO207" s="29"/>
      <c r="DP207" s="27"/>
      <c r="DQ207" s="27"/>
      <c r="DR207" s="28" t="str">
        <f>IFERROR(VLOOKUP(DP207,Horarios!$H:$I,2,0),"")</f>
        <v/>
      </c>
      <c r="DS207" s="28" t="str">
        <f>IFERROR(VLOOKUP(DQ207,Horarios!$H:$I,2,0),"")</f>
        <v/>
      </c>
      <c r="DT207" s="28" t="str">
        <f t="shared" si="165"/>
        <v>00:00</v>
      </c>
      <c r="DU207" s="29"/>
      <c r="DV207" s="27"/>
      <c r="DW207" s="27"/>
      <c r="DX207" s="28" t="str">
        <f>IFERROR(VLOOKUP(DV207,Horarios!$H:$I,2,0),"")</f>
        <v/>
      </c>
      <c r="DY207" s="28" t="str">
        <f>IFERROR(VLOOKUP(DW207,Horarios!$H:$I,2,0),"")</f>
        <v/>
      </c>
      <c r="DZ207" s="28" t="str">
        <f t="shared" si="166"/>
        <v>00:00</v>
      </c>
      <c r="EA207" s="29"/>
      <c r="EB207" s="31" t="str">
        <f t="shared" si="167"/>
        <v/>
      </c>
      <c r="EC207" s="27"/>
      <c r="ED207" s="27"/>
      <c r="EE207" s="28" t="str">
        <f>IFERROR(VLOOKUP(EC207,Horarios!$H:$I,2,0),"")</f>
        <v/>
      </c>
      <c r="EF207" s="28" t="str">
        <f>IFERROR(VLOOKUP(ED207,Horarios!$H:$I,2,0),"")</f>
        <v/>
      </c>
      <c r="EG207" s="28" t="str">
        <f t="shared" si="168"/>
        <v>00:00</v>
      </c>
      <c r="EH207" s="29"/>
      <c r="EI207" s="27"/>
      <c r="EJ207" s="27"/>
      <c r="EK207" s="28" t="str">
        <f>IFERROR(VLOOKUP(EI207,Horarios!$H:$I,2,0),"")</f>
        <v/>
      </c>
      <c r="EL207" s="28" t="str">
        <f>IFERROR(VLOOKUP(EJ207,Horarios!$H:$I,2,0),"")</f>
        <v/>
      </c>
      <c r="EM207" s="28" t="str">
        <f t="shared" si="169"/>
        <v>00:00</v>
      </c>
      <c r="EN207" s="29"/>
      <c r="EO207" s="27"/>
      <c r="EP207" s="27"/>
      <c r="EQ207" s="28" t="str">
        <f>IFERROR(VLOOKUP(EO207,Horarios!$H:$I,2,0),"")</f>
        <v/>
      </c>
      <c r="ER207" s="28" t="str">
        <f>IFERROR(VLOOKUP(EP207,Horarios!$H:$I,2,0),"")</f>
        <v/>
      </c>
      <c r="ES207" s="28" t="str">
        <f t="shared" si="170"/>
        <v>00:00</v>
      </c>
      <c r="ET207" s="29"/>
      <c r="EU207" s="27"/>
      <c r="EV207" s="27"/>
      <c r="EW207" s="28" t="str">
        <f>IFERROR(VLOOKUP(EU207,Horarios!$H:$I,2,0),"")</f>
        <v/>
      </c>
      <c r="EX207" s="28" t="str">
        <f>IFERROR(VLOOKUP(EV207,Horarios!$H:$I,2,0),"")</f>
        <v/>
      </c>
      <c r="EY207" s="28" t="str">
        <f t="shared" si="171"/>
        <v>00:00</v>
      </c>
      <c r="EZ207" s="29"/>
      <c r="FA207" s="27"/>
      <c r="FB207" s="27"/>
      <c r="FC207" s="28" t="str">
        <f>IFERROR(VLOOKUP(FA207,Horarios!$H:$I,2,0),"")</f>
        <v/>
      </c>
      <c r="FD207" s="28" t="str">
        <f>IFERROR(VLOOKUP(FB207,Horarios!$H:$I,2,0),"")</f>
        <v/>
      </c>
      <c r="FE207" s="28" t="str">
        <f t="shared" si="172"/>
        <v>00:00</v>
      </c>
      <c r="FF207" s="29"/>
      <c r="FG207" s="27"/>
      <c r="FH207" s="27"/>
      <c r="FI207" s="28" t="str">
        <f>IFERROR(VLOOKUP(FG207,Horarios!$H:$I,2,0),"")</f>
        <v/>
      </c>
      <c r="FJ207" s="28" t="str">
        <f>IFERROR(VLOOKUP(FH207,Horarios!$H:$I,2,0),"")</f>
        <v/>
      </c>
      <c r="FK207" s="28" t="str">
        <f t="shared" si="173"/>
        <v>00:00</v>
      </c>
      <c r="FL207" s="29"/>
      <c r="FM207" s="27"/>
      <c r="FN207" s="27"/>
      <c r="FO207" s="28" t="str">
        <f>IFERROR(VLOOKUP(FM207,Horarios!$H:$I,2,0),"")</f>
        <v/>
      </c>
      <c r="FP207" s="28" t="str">
        <f>IFERROR(VLOOKUP(FN207,Horarios!$H:$I,2,0),"")</f>
        <v/>
      </c>
      <c r="FQ207" s="28" t="str">
        <f t="shared" si="174"/>
        <v>00:00</v>
      </c>
      <c r="FR207" s="29"/>
      <c r="FS207" s="31" t="str">
        <f t="shared" si="175"/>
        <v/>
      </c>
      <c r="FT207" s="27"/>
      <c r="FU207" s="27"/>
      <c r="FV207" s="28" t="str">
        <f>IFERROR(VLOOKUP(FT207,Horarios!$H:$I,2,0),"")</f>
        <v/>
      </c>
      <c r="FW207" s="28" t="str">
        <f>IFERROR(VLOOKUP(FU207,Horarios!$H:$I,2,0),"")</f>
        <v/>
      </c>
      <c r="FX207" s="28" t="str">
        <f t="shared" si="176"/>
        <v>00:00</v>
      </c>
      <c r="FY207" s="29"/>
      <c r="FZ207" s="27"/>
      <c r="GA207" s="27"/>
      <c r="GB207" s="28" t="str">
        <f>IFERROR(VLOOKUP(FZ207,Horarios!$H:$I,2,0),"")</f>
        <v/>
      </c>
      <c r="GC207" s="28" t="str">
        <f>IFERROR(VLOOKUP(GA207,Horarios!$H:$I,2,0),"")</f>
        <v/>
      </c>
      <c r="GD207" s="28" t="str">
        <f t="shared" si="177"/>
        <v>00:00</v>
      </c>
      <c r="GE207" s="29"/>
      <c r="GF207" s="27"/>
      <c r="GG207" s="27"/>
      <c r="GH207" s="28" t="str">
        <f>IFERROR(VLOOKUP(GF207,Horarios!$H:$I,2,0),"")</f>
        <v/>
      </c>
      <c r="GI207" s="28" t="str">
        <f>IFERROR(VLOOKUP(GG207,Horarios!$H:$I,2,0),"")</f>
        <v/>
      </c>
      <c r="GJ207" s="28" t="str">
        <f t="shared" si="178"/>
        <v>00:00</v>
      </c>
      <c r="GK207" s="29"/>
      <c r="GL207" s="27"/>
      <c r="GM207" s="27"/>
      <c r="GN207" s="28" t="str">
        <f>IFERROR(VLOOKUP(GL207,Horarios!$H:$I,2,0),"")</f>
        <v/>
      </c>
      <c r="GO207" s="28" t="str">
        <f>IFERROR(VLOOKUP(GM207,Horarios!$H:$I,2,0),"")</f>
        <v/>
      </c>
      <c r="GP207" s="28" t="str">
        <f t="shared" si="179"/>
        <v>00:00</v>
      </c>
      <c r="GQ207" s="29"/>
      <c r="GR207" s="27"/>
      <c r="GS207" s="27"/>
      <c r="GT207" s="28" t="str">
        <f>IFERROR(VLOOKUP(GR207,Horarios!$H:$I,2,0),"")</f>
        <v/>
      </c>
      <c r="GU207" s="28" t="str">
        <f>IFERROR(VLOOKUP(GS207,Horarios!$H:$I,2,0),"")</f>
        <v/>
      </c>
      <c r="GV207" s="28" t="str">
        <f t="shared" si="180"/>
        <v>00:00</v>
      </c>
      <c r="GW207" s="29"/>
      <c r="GX207" s="27"/>
      <c r="GY207" s="27"/>
      <c r="GZ207" s="28" t="str">
        <f>IFERROR(VLOOKUP(GX207,Horarios!$H:$I,2,0),"")</f>
        <v/>
      </c>
      <c r="HA207" s="28" t="str">
        <f>IFERROR(VLOOKUP(GY207,Horarios!$H:$I,2,0),"")</f>
        <v/>
      </c>
      <c r="HB207" s="28" t="str">
        <f t="shared" si="181"/>
        <v>00:00</v>
      </c>
      <c r="HC207" s="29"/>
      <c r="HD207" s="27"/>
      <c r="HE207" s="27"/>
      <c r="HF207" s="28" t="str">
        <f>IFERROR(VLOOKUP(HD207,Horarios!$H:$I,2,0),"")</f>
        <v/>
      </c>
      <c r="HG207" s="28" t="str">
        <f>IFERROR(VLOOKUP(HE207,Horarios!$H:$I,2,0),"")</f>
        <v/>
      </c>
      <c r="HH207" s="28" t="str">
        <f t="shared" si="182"/>
        <v>00:00</v>
      </c>
      <c r="HI207" s="29"/>
      <c r="HJ207" s="31" t="str">
        <f t="shared" si="183"/>
        <v/>
      </c>
      <c r="HK207" s="27"/>
      <c r="HL207" s="27"/>
      <c r="HM207" s="28" t="str">
        <f>IFERROR(VLOOKUP(HK207,Horarios!$H:$I,2,0),"")</f>
        <v/>
      </c>
      <c r="HN207" s="28" t="str">
        <f>IFERROR(VLOOKUP(HL207,Horarios!$H:$I,2,0),"")</f>
        <v/>
      </c>
      <c r="HO207" s="28" t="str">
        <f t="shared" si="184"/>
        <v>00:00</v>
      </c>
      <c r="HP207" s="29"/>
      <c r="HQ207" s="27"/>
      <c r="HR207" s="27"/>
      <c r="HS207" s="28" t="str">
        <f>IFERROR(VLOOKUP(HQ207,Horarios!$H:$I,2,0),"")</f>
        <v/>
      </c>
      <c r="HT207" s="28" t="str">
        <f>IFERROR(VLOOKUP(HR207,Horarios!$H:$I,2,0),"")</f>
        <v/>
      </c>
      <c r="HU207" s="28" t="str">
        <f t="shared" si="185"/>
        <v>00:00</v>
      </c>
      <c r="HV207" s="29"/>
      <c r="HW207" s="27"/>
      <c r="HX207" s="27"/>
      <c r="HY207" s="28" t="str">
        <f>IFERROR(VLOOKUP(HW207,Horarios!$H:$I,2,0),"")</f>
        <v/>
      </c>
      <c r="HZ207" s="28" t="str">
        <f>IFERROR(VLOOKUP(HX207,Horarios!$H:$I,2,0),"")</f>
        <v/>
      </c>
      <c r="IA207" s="28" t="str">
        <f t="shared" si="186"/>
        <v>00:00</v>
      </c>
      <c r="IB207" s="29"/>
      <c r="IC207" s="27"/>
      <c r="ID207" s="27"/>
      <c r="IE207" s="28" t="str">
        <f>IFERROR(VLOOKUP(IC207,Horarios!$H:$I,2,0),"")</f>
        <v/>
      </c>
      <c r="IF207" s="28" t="str">
        <f>IFERROR(VLOOKUP(ID207,Horarios!$H:$I,2,0),"")</f>
        <v/>
      </c>
      <c r="IG207" s="28" t="str">
        <f t="shared" si="187"/>
        <v>00:00</v>
      </c>
      <c r="IH207" s="29"/>
      <c r="II207" s="27"/>
      <c r="IJ207" s="27"/>
      <c r="IK207" s="28" t="str">
        <f>IFERROR(VLOOKUP(II207,Horarios!$H:$I,2,0),"")</f>
        <v/>
      </c>
      <c r="IL207" s="28" t="str">
        <f>IFERROR(VLOOKUP(IJ207,Horarios!$H:$I,2,0),"")</f>
        <v/>
      </c>
      <c r="IM207" s="28" t="str">
        <f t="shared" si="188"/>
        <v>00:00</v>
      </c>
      <c r="IN207" s="29"/>
      <c r="IO207" s="27"/>
      <c r="IP207" s="27"/>
      <c r="IQ207" s="28" t="str">
        <f>IFERROR(VLOOKUP(IO207,Horarios!$H:$I,2,0),"")</f>
        <v/>
      </c>
      <c r="IR207" s="28" t="str">
        <f>IFERROR(VLOOKUP(IP207,Horarios!$H:$I,2,0),"")</f>
        <v/>
      </c>
      <c r="IS207" s="28" t="str">
        <f t="shared" si="189"/>
        <v>00:00</v>
      </c>
      <c r="IT207" s="29"/>
      <c r="IU207" s="27"/>
      <c r="IV207" s="27"/>
      <c r="IW207" s="28" t="str">
        <f>IFERROR(VLOOKUP(IU207,Horarios!$H:$I,2,0),"")</f>
        <v/>
      </c>
      <c r="IX207" s="28" t="str">
        <f>IFERROR(VLOOKUP(IV207,Horarios!$H:$I,2,0),"")</f>
        <v/>
      </c>
      <c r="IY207" s="28" t="str">
        <f t="shared" si="190"/>
        <v>00:00</v>
      </c>
      <c r="IZ207" s="29"/>
      <c r="JA207" s="31" t="str">
        <f t="shared" si="191"/>
        <v/>
      </c>
    </row>
    <row r="208" spans="1:261" s="24" customFormat="1" ht="17.399999999999999" x14ac:dyDescent="0.25">
      <c r="A208" s="25"/>
      <c r="B208" s="26" t="str">
        <f>IFERROR(VLOOKUP(A208,BaseNombres!A:B,2,0),"")</f>
        <v/>
      </c>
      <c r="C208" s="26" t="str">
        <f>IFERROR(VLOOKUP(A208,BaseNombres!A:C,3,0),"")</f>
        <v/>
      </c>
      <c r="D208" s="27"/>
      <c r="E208" s="27"/>
      <c r="F208" s="28" t="str">
        <f>IFERROR(VLOOKUP(D208,Horarios!$H:$I,2,0),"")</f>
        <v/>
      </c>
      <c r="G208" s="28" t="str">
        <f>IFERROR(VLOOKUP(E208,Horarios!$H:$I,2,0),"")</f>
        <v/>
      </c>
      <c r="H208" s="28" t="str">
        <f t="shared" si="144"/>
        <v>00:00</v>
      </c>
      <c r="I208" s="29"/>
      <c r="J208" s="27"/>
      <c r="K208" s="27"/>
      <c r="L208" s="28" t="str">
        <f>IFERROR(VLOOKUP(J208,Horarios!$H:$I,2,0),"")</f>
        <v/>
      </c>
      <c r="M208" s="28" t="str">
        <f>IFERROR(VLOOKUP(K208,Horarios!$H:$I,2,0),"")</f>
        <v/>
      </c>
      <c r="N208" s="28" t="str">
        <f t="shared" si="145"/>
        <v>00:00</v>
      </c>
      <c r="O208" s="29"/>
      <c r="P208" s="27"/>
      <c r="Q208" s="27"/>
      <c r="R208" s="28" t="str">
        <f>IFERROR(VLOOKUP(P208,Horarios!$H:$I,2,0),"")</f>
        <v/>
      </c>
      <c r="S208" s="28" t="str">
        <f>IFERROR(VLOOKUP(Q208,Horarios!$H:$I,2,0),"")</f>
        <v/>
      </c>
      <c r="T208" s="28" t="str">
        <f t="shared" si="146"/>
        <v>00:00</v>
      </c>
      <c r="U208" s="29"/>
      <c r="V208" s="27"/>
      <c r="W208" s="27"/>
      <c r="X208" s="28" t="str">
        <f>IFERROR(VLOOKUP(V208,Horarios!$H:$I,2,0),"")</f>
        <v/>
      </c>
      <c r="Y208" s="28" t="str">
        <f>IFERROR(VLOOKUP(W208,Horarios!$H:$I,2,0),"")</f>
        <v/>
      </c>
      <c r="Z208" s="28" t="str">
        <f t="shared" si="147"/>
        <v>00:00</v>
      </c>
      <c r="AA208" s="29"/>
      <c r="AB208" s="27"/>
      <c r="AC208" s="27"/>
      <c r="AD208" s="28" t="str">
        <f>IFERROR(VLOOKUP(AB208,Horarios!$H:$I,2,0),"")</f>
        <v/>
      </c>
      <c r="AE208" s="28" t="str">
        <f>IFERROR(VLOOKUP(AC208,Horarios!$H:$I,2,0),"")</f>
        <v/>
      </c>
      <c r="AF208" s="28" t="str">
        <f t="shared" si="148"/>
        <v>00:00</v>
      </c>
      <c r="AG208" s="29"/>
      <c r="AH208" s="27"/>
      <c r="AI208" s="27"/>
      <c r="AJ208" s="28" t="str">
        <f>IFERROR(VLOOKUP(AH208,Horarios!$H:$I,2,0),"")</f>
        <v/>
      </c>
      <c r="AK208" s="28" t="str">
        <f>IFERROR(VLOOKUP(AI208,Horarios!$H:$I,2,0),"")</f>
        <v/>
      </c>
      <c r="AL208" s="28" t="str">
        <f t="shared" si="149"/>
        <v>00:00</v>
      </c>
      <c r="AM208" s="29"/>
      <c r="AN208" s="27"/>
      <c r="AO208" s="27"/>
      <c r="AP208" s="28" t="str">
        <f>IFERROR(VLOOKUP(AN208,Horarios!$H:$I,2,0),"")</f>
        <v/>
      </c>
      <c r="AQ208" s="28" t="str">
        <f>IFERROR(VLOOKUP(AO208,Horarios!$H:$I,2,0),"")</f>
        <v/>
      </c>
      <c r="AR208" s="28" t="str">
        <f t="shared" si="150"/>
        <v>00:00</v>
      </c>
      <c r="AS208" s="29"/>
      <c r="AT208" s="31" t="str">
        <f t="shared" si="151"/>
        <v/>
      </c>
      <c r="AU208" s="27"/>
      <c r="AV208" s="27"/>
      <c r="AW208" s="28" t="str">
        <f>IFERROR(VLOOKUP(AU208,Horarios!$H:$I,2,0),"")</f>
        <v/>
      </c>
      <c r="AX208" s="28" t="str">
        <f>IFERROR(VLOOKUP(AV208,Horarios!$H:$I,2,0),"")</f>
        <v/>
      </c>
      <c r="AY208" s="28" t="str">
        <f t="shared" si="152"/>
        <v>00:00</v>
      </c>
      <c r="AZ208" s="29"/>
      <c r="BA208" s="27"/>
      <c r="BB208" s="27"/>
      <c r="BC208" s="28" t="str">
        <f>IFERROR(VLOOKUP(BA208,Horarios!$H:$I,2,0),"")</f>
        <v/>
      </c>
      <c r="BD208" s="28" t="str">
        <f>IFERROR(VLOOKUP(BB208,Horarios!$H:$I,2,0),"")</f>
        <v/>
      </c>
      <c r="BE208" s="28" t="str">
        <f t="shared" si="153"/>
        <v>00:00</v>
      </c>
      <c r="BF208" s="29"/>
      <c r="BG208" s="27"/>
      <c r="BH208" s="27"/>
      <c r="BI208" s="28" t="str">
        <f>IFERROR(VLOOKUP(BG208,Horarios!$H:$I,2,0),"")</f>
        <v/>
      </c>
      <c r="BJ208" s="28" t="str">
        <f>IFERROR(VLOOKUP(BH208,Horarios!$H:$I,2,0),"")</f>
        <v/>
      </c>
      <c r="BK208" s="28" t="str">
        <f t="shared" si="154"/>
        <v>00:00</v>
      </c>
      <c r="BL208" s="29"/>
      <c r="BM208" s="27"/>
      <c r="BN208" s="27"/>
      <c r="BO208" s="28" t="str">
        <f>IFERROR(VLOOKUP(BM208,Horarios!$H:$I,2,0),"")</f>
        <v/>
      </c>
      <c r="BP208" s="28" t="str">
        <f>IFERROR(VLOOKUP(BN208,Horarios!$H:$I,2,0),"")</f>
        <v/>
      </c>
      <c r="BQ208" s="28" t="str">
        <f t="shared" si="155"/>
        <v>00:00</v>
      </c>
      <c r="BR208" s="29"/>
      <c r="BS208" s="27"/>
      <c r="BT208" s="27"/>
      <c r="BU208" s="28" t="str">
        <f>IFERROR(VLOOKUP(BS208,Horarios!$H:$I,2,0),"")</f>
        <v/>
      </c>
      <c r="BV208" s="28" t="str">
        <f>IFERROR(VLOOKUP(BT208,Horarios!$H:$I,2,0),"")</f>
        <v/>
      </c>
      <c r="BW208" s="28" t="str">
        <f t="shared" si="156"/>
        <v>00:00</v>
      </c>
      <c r="BX208" s="29"/>
      <c r="BY208" s="27"/>
      <c r="BZ208" s="27"/>
      <c r="CA208" s="28" t="str">
        <f>IFERROR(VLOOKUP(BY208,Horarios!$H:$I,2,0),"")</f>
        <v/>
      </c>
      <c r="CB208" s="28" t="str">
        <f>IFERROR(VLOOKUP(BZ208,Horarios!$H:$I,2,0),"")</f>
        <v/>
      </c>
      <c r="CC208" s="28" t="str">
        <f t="shared" si="157"/>
        <v>00:00</v>
      </c>
      <c r="CD208" s="29"/>
      <c r="CE208" s="27"/>
      <c r="CF208" s="27"/>
      <c r="CG208" s="28" t="str">
        <f>IFERROR(VLOOKUP(CE208,Horarios!$H:$I,2,0),"")</f>
        <v/>
      </c>
      <c r="CH208" s="28" t="str">
        <f>IFERROR(VLOOKUP(CF208,Horarios!$H:$I,2,0),"")</f>
        <v/>
      </c>
      <c r="CI208" s="28" t="str">
        <f t="shared" si="158"/>
        <v>00:00</v>
      </c>
      <c r="CJ208" s="29"/>
      <c r="CK208" s="31" t="str">
        <f t="shared" si="159"/>
        <v/>
      </c>
      <c r="CL208" s="27"/>
      <c r="CM208" s="27"/>
      <c r="CN208" s="28" t="str">
        <f>IFERROR(VLOOKUP(CL208,Horarios!$H:$I,2,0),"")</f>
        <v/>
      </c>
      <c r="CO208" s="28" t="str">
        <f>IFERROR(VLOOKUP(CM208,Horarios!$H:$I,2,0),"")</f>
        <v/>
      </c>
      <c r="CP208" s="28" t="str">
        <f t="shared" si="160"/>
        <v>00:00</v>
      </c>
      <c r="CQ208" s="29"/>
      <c r="CR208" s="27"/>
      <c r="CS208" s="27"/>
      <c r="CT208" s="28" t="str">
        <f>IFERROR(VLOOKUP(CR208,Horarios!$H:$I,2,0),"")</f>
        <v/>
      </c>
      <c r="CU208" s="28" t="str">
        <f>IFERROR(VLOOKUP(CS208,Horarios!$H:$I,2,0),"")</f>
        <v/>
      </c>
      <c r="CV208" s="28" t="str">
        <f t="shared" si="161"/>
        <v>00:00</v>
      </c>
      <c r="CW208" s="29"/>
      <c r="CX208" s="27"/>
      <c r="CY208" s="27"/>
      <c r="CZ208" s="28" t="str">
        <f>IFERROR(VLOOKUP(CX208,Horarios!$H:$I,2,0),"")</f>
        <v/>
      </c>
      <c r="DA208" s="28" t="str">
        <f>IFERROR(VLOOKUP(CY208,Horarios!$H:$I,2,0),"")</f>
        <v/>
      </c>
      <c r="DB208" s="28" t="str">
        <f t="shared" si="162"/>
        <v>00:00</v>
      </c>
      <c r="DC208" s="29"/>
      <c r="DD208" s="27"/>
      <c r="DE208" s="27"/>
      <c r="DF208" s="28" t="str">
        <f>IFERROR(VLOOKUP(DD208,Horarios!$H:$I,2,0),"")</f>
        <v/>
      </c>
      <c r="DG208" s="28" t="str">
        <f>IFERROR(VLOOKUP(DE208,Horarios!$H:$I,2,0),"")</f>
        <v/>
      </c>
      <c r="DH208" s="28" t="str">
        <f t="shared" si="163"/>
        <v>00:00</v>
      </c>
      <c r="DI208" s="29"/>
      <c r="DJ208" s="27"/>
      <c r="DK208" s="27"/>
      <c r="DL208" s="28" t="str">
        <f>IFERROR(VLOOKUP(DJ208,Horarios!$H:$I,2,0),"")</f>
        <v/>
      </c>
      <c r="DM208" s="28" t="str">
        <f>IFERROR(VLOOKUP(DK208,Horarios!$H:$I,2,0),"")</f>
        <v/>
      </c>
      <c r="DN208" s="28" t="str">
        <f t="shared" si="164"/>
        <v>00:00</v>
      </c>
      <c r="DO208" s="29"/>
      <c r="DP208" s="27"/>
      <c r="DQ208" s="27"/>
      <c r="DR208" s="28" t="str">
        <f>IFERROR(VLOOKUP(DP208,Horarios!$H:$I,2,0),"")</f>
        <v/>
      </c>
      <c r="DS208" s="28" t="str">
        <f>IFERROR(VLOOKUP(DQ208,Horarios!$H:$I,2,0),"")</f>
        <v/>
      </c>
      <c r="DT208" s="28" t="str">
        <f t="shared" si="165"/>
        <v>00:00</v>
      </c>
      <c r="DU208" s="29"/>
      <c r="DV208" s="27"/>
      <c r="DW208" s="27"/>
      <c r="DX208" s="28" t="str">
        <f>IFERROR(VLOOKUP(DV208,Horarios!$H:$I,2,0),"")</f>
        <v/>
      </c>
      <c r="DY208" s="28" t="str">
        <f>IFERROR(VLOOKUP(DW208,Horarios!$H:$I,2,0),"")</f>
        <v/>
      </c>
      <c r="DZ208" s="28" t="str">
        <f t="shared" si="166"/>
        <v>00:00</v>
      </c>
      <c r="EA208" s="29"/>
      <c r="EB208" s="31" t="str">
        <f t="shared" si="167"/>
        <v/>
      </c>
      <c r="EC208" s="27"/>
      <c r="ED208" s="27"/>
      <c r="EE208" s="28" t="str">
        <f>IFERROR(VLOOKUP(EC208,Horarios!$H:$I,2,0),"")</f>
        <v/>
      </c>
      <c r="EF208" s="28" t="str">
        <f>IFERROR(VLOOKUP(ED208,Horarios!$H:$I,2,0),"")</f>
        <v/>
      </c>
      <c r="EG208" s="28" t="str">
        <f t="shared" si="168"/>
        <v>00:00</v>
      </c>
      <c r="EH208" s="29"/>
      <c r="EI208" s="27"/>
      <c r="EJ208" s="27"/>
      <c r="EK208" s="28" t="str">
        <f>IFERROR(VLOOKUP(EI208,Horarios!$H:$I,2,0),"")</f>
        <v/>
      </c>
      <c r="EL208" s="28" t="str">
        <f>IFERROR(VLOOKUP(EJ208,Horarios!$H:$I,2,0),"")</f>
        <v/>
      </c>
      <c r="EM208" s="28" t="str">
        <f t="shared" si="169"/>
        <v>00:00</v>
      </c>
      <c r="EN208" s="29"/>
      <c r="EO208" s="27"/>
      <c r="EP208" s="27"/>
      <c r="EQ208" s="28" t="str">
        <f>IFERROR(VLOOKUP(EO208,Horarios!$H:$I,2,0),"")</f>
        <v/>
      </c>
      <c r="ER208" s="28" t="str">
        <f>IFERROR(VLOOKUP(EP208,Horarios!$H:$I,2,0),"")</f>
        <v/>
      </c>
      <c r="ES208" s="28" t="str">
        <f t="shared" si="170"/>
        <v>00:00</v>
      </c>
      <c r="ET208" s="29"/>
      <c r="EU208" s="27"/>
      <c r="EV208" s="27"/>
      <c r="EW208" s="28" t="str">
        <f>IFERROR(VLOOKUP(EU208,Horarios!$H:$I,2,0),"")</f>
        <v/>
      </c>
      <c r="EX208" s="28" t="str">
        <f>IFERROR(VLOOKUP(EV208,Horarios!$H:$I,2,0),"")</f>
        <v/>
      </c>
      <c r="EY208" s="28" t="str">
        <f t="shared" si="171"/>
        <v>00:00</v>
      </c>
      <c r="EZ208" s="29"/>
      <c r="FA208" s="27"/>
      <c r="FB208" s="27"/>
      <c r="FC208" s="28" t="str">
        <f>IFERROR(VLOOKUP(FA208,Horarios!$H:$I,2,0),"")</f>
        <v/>
      </c>
      <c r="FD208" s="28" t="str">
        <f>IFERROR(VLOOKUP(FB208,Horarios!$H:$I,2,0),"")</f>
        <v/>
      </c>
      <c r="FE208" s="28" t="str">
        <f t="shared" si="172"/>
        <v>00:00</v>
      </c>
      <c r="FF208" s="29"/>
      <c r="FG208" s="27"/>
      <c r="FH208" s="27"/>
      <c r="FI208" s="28" t="str">
        <f>IFERROR(VLOOKUP(FG208,Horarios!$H:$I,2,0),"")</f>
        <v/>
      </c>
      <c r="FJ208" s="28" t="str">
        <f>IFERROR(VLOOKUP(FH208,Horarios!$H:$I,2,0),"")</f>
        <v/>
      </c>
      <c r="FK208" s="28" t="str">
        <f t="shared" si="173"/>
        <v>00:00</v>
      </c>
      <c r="FL208" s="29"/>
      <c r="FM208" s="27"/>
      <c r="FN208" s="27"/>
      <c r="FO208" s="28" t="str">
        <f>IFERROR(VLOOKUP(FM208,Horarios!$H:$I,2,0),"")</f>
        <v/>
      </c>
      <c r="FP208" s="28" t="str">
        <f>IFERROR(VLOOKUP(FN208,Horarios!$H:$I,2,0),"")</f>
        <v/>
      </c>
      <c r="FQ208" s="28" t="str">
        <f t="shared" si="174"/>
        <v>00:00</v>
      </c>
      <c r="FR208" s="29"/>
      <c r="FS208" s="31" t="str">
        <f t="shared" si="175"/>
        <v/>
      </c>
      <c r="FT208" s="27"/>
      <c r="FU208" s="27"/>
      <c r="FV208" s="28" t="str">
        <f>IFERROR(VLOOKUP(FT208,Horarios!$H:$I,2,0),"")</f>
        <v/>
      </c>
      <c r="FW208" s="28" t="str">
        <f>IFERROR(VLOOKUP(FU208,Horarios!$H:$I,2,0),"")</f>
        <v/>
      </c>
      <c r="FX208" s="28" t="str">
        <f t="shared" si="176"/>
        <v>00:00</v>
      </c>
      <c r="FY208" s="29"/>
      <c r="FZ208" s="27"/>
      <c r="GA208" s="27"/>
      <c r="GB208" s="28" t="str">
        <f>IFERROR(VLOOKUP(FZ208,Horarios!$H:$I,2,0),"")</f>
        <v/>
      </c>
      <c r="GC208" s="28" t="str">
        <f>IFERROR(VLOOKUP(GA208,Horarios!$H:$I,2,0),"")</f>
        <v/>
      </c>
      <c r="GD208" s="28" t="str">
        <f t="shared" si="177"/>
        <v>00:00</v>
      </c>
      <c r="GE208" s="29"/>
      <c r="GF208" s="27"/>
      <c r="GG208" s="27"/>
      <c r="GH208" s="28" t="str">
        <f>IFERROR(VLOOKUP(GF208,Horarios!$H:$I,2,0),"")</f>
        <v/>
      </c>
      <c r="GI208" s="28" t="str">
        <f>IFERROR(VLOOKUP(GG208,Horarios!$H:$I,2,0),"")</f>
        <v/>
      </c>
      <c r="GJ208" s="28" t="str">
        <f t="shared" si="178"/>
        <v>00:00</v>
      </c>
      <c r="GK208" s="29"/>
      <c r="GL208" s="27"/>
      <c r="GM208" s="27"/>
      <c r="GN208" s="28" t="str">
        <f>IFERROR(VLOOKUP(GL208,Horarios!$H:$I,2,0),"")</f>
        <v/>
      </c>
      <c r="GO208" s="28" t="str">
        <f>IFERROR(VLOOKUP(GM208,Horarios!$H:$I,2,0),"")</f>
        <v/>
      </c>
      <c r="GP208" s="28" t="str">
        <f t="shared" si="179"/>
        <v>00:00</v>
      </c>
      <c r="GQ208" s="29"/>
      <c r="GR208" s="27"/>
      <c r="GS208" s="27"/>
      <c r="GT208" s="28" t="str">
        <f>IFERROR(VLOOKUP(GR208,Horarios!$H:$I,2,0),"")</f>
        <v/>
      </c>
      <c r="GU208" s="28" t="str">
        <f>IFERROR(VLOOKUP(GS208,Horarios!$H:$I,2,0),"")</f>
        <v/>
      </c>
      <c r="GV208" s="28" t="str">
        <f t="shared" si="180"/>
        <v>00:00</v>
      </c>
      <c r="GW208" s="29"/>
      <c r="GX208" s="27"/>
      <c r="GY208" s="27"/>
      <c r="GZ208" s="28" t="str">
        <f>IFERROR(VLOOKUP(GX208,Horarios!$H:$I,2,0),"")</f>
        <v/>
      </c>
      <c r="HA208" s="28" t="str">
        <f>IFERROR(VLOOKUP(GY208,Horarios!$H:$I,2,0),"")</f>
        <v/>
      </c>
      <c r="HB208" s="28" t="str">
        <f t="shared" si="181"/>
        <v>00:00</v>
      </c>
      <c r="HC208" s="29"/>
      <c r="HD208" s="27"/>
      <c r="HE208" s="27"/>
      <c r="HF208" s="28" t="str">
        <f>IFERROR(VLOOKUP(HD208,Horarios!$H:$I,2,0),"")</f>
        <v/>
      </c>
      <c r="HG208" s="28" t="str">
        <f>IFERROR(VLOOKUP(HE208,Horarios!$H:$I,2,0),"")</f>
        <v/>
      </c>
      <c r="HH208" s="28" t="str">
        <f t="shared" si="182"/>
        <v>00:00</v>
      </c>
      <c r="HI208" s="29"/>
      <c r="HJ208" s="31" t="str">
        <f t="shared" si="183"/>
        <v/>
      </c>
      <c r="HK208" s="27"/>
      <c r="HL208" s="27"/>
      <c r="HM208" s="28" t="str">
        <f>IFERROR(VLOOKUP(HK208,Horarios!$H:$I,2,0),"")</f>
        <v/>
      </c>
      <c r="HN208" s="28" t="str">
        <f>IFERROR(VLOOKUP(HL208,Horarios!$H:$I,2,0),"")</f>
        <v/>
      </c>
      <c r="HO208" s="28" t="str">
        <f t="shared" si="184"/>
        <v>00:00</v>
      </c>
      <c r="HP208" s="29"/>
      <c r="HQ208" s="27"/>
      <c r="HR208" s="27"/>
      <c r="HS208" s="28" t="str">
        <f>IFERROR(VLOOKUP(HQ208,Horarios!$H:$I,2,0),"")</f>
        <v/>
      </c>
      <c r="HT208" s="28" t="str">
        <f>IFERROR(VLOOKUP(HR208,Horarios!$H:$I,2,0),"")</f>
        <v/>
      </c>
      <c r="HU208" s="28" t="str">
        <f t="shared" si="185"/>
        <v>00:00</v>
      </c>
      <c r="HV208" s="29"/>
      <c r="HW208" s="27"/>
      <c r="HX208" s="27"/>
      <c r="HY208" s="28" t="str">
        <f>IFERROR(VLOOKUP(HW208,Horarios!$H:$I,2,0),"")</f>
        <v/>
      </c>
      <c r="HZ208" s="28" t="str">
        <f>IFERROR(VLOOKUP(HX208,Horarios!$H:$I,2,0),"")</f>
        <v/>
      </c>
      <c r="IA208" s="28" t="str">
        <f t="shared" si="186"/>
        <v>00:00</v>
      </c>
      <c r="IB208" s="29"/>
      <c r="IC208" s="27"/>
      <c r="ID208" s="27"/>
      <c r="IE208" s="28" t="str">
        <f>IFERROR(VLOOKUP(IC208,Horarios!$H:$I,2,0),"")</f>
        <v/>
      </c>
      <c r="IF208" s="28" t="str">
        <f>IFERROR(VLOOKUP(ID208,Horarios!$H:$I,2,0),"")</f>
        <v/>
      </c>
      <c r="IG208" s="28" t="str">
        <f t="shared" si="187"/>
        <v>00:00</v>
      </c>
      <c r="IH208" s="29"/>
      <c r="II208" s="27"/>
      <c r="IJ208" s="27"/>
      <c r="IK208" s="28" t="str">
        <f>IFERROR(VLOOKUP(II208,Horarios!$H:$I,2,0),"")</f>
        <v/>
      </c>
      <c r="IL208" s="28" t="str">
        <f>IFERROR(VLOOKUP(IJ208,Horarios!$H:$I,2,0),"")</f>
        <v/>
      </c>
      <c r="IM208" s="28" t="str">
        <f t="shared" si="188"/>
        <v>00:00</v>
      </c>
      <c r="IN208" s="29"/>
      <c r="IO208" s="27"/>
      <c r="IP208" s="27"/>
      <c r="IQ208" s="28" t="str">
        <f>IFERROR(VLOOKUP(IO208,Horarios!$H:$I,2,0),"")</f>
        <v/>
      </c>
      <c r="IR208" s="28" t="str">
        <f>IFERROR(VLOOKUP(IP208,Horarios!$H:$I,2,0),"")</f>
        <v/>
      </c>
      <c r="IS208" s="28" t="str">
        <f t="shared" si="189"/>
        <v>00:00</v>
      </c>
      <c r="IT208" s="29"/>
      <c r="IU208" s="27"/>
      <c r="IV208" s="27"/>
      <c r="IW208" s="28" t="str">
        <f>IFERROR(VLOOKUP(IU208,Horarios!$H:$I,2,0),"")</f>
        <v/>
      </c>
      <c r="IX208" s="28" t="str">
        <f>IFERROR(VLOOKUP(IV208,Horarios!$H:$I,2,0),"")</f>
        <v/>
      </c>
      <c r="IY208" s="28" t="str">
        <f t="shared" si="190"/>
        <v>00:00</v>
      </c>
      <c r="IZ208" s="29"/>
      <c r="JA208" s="31" t="str">
        <f t="shared" si="191"/>
        <v/>
      </c>
    </row>
    <row r="209" spans="1:261" s="24" customFormat="1" ht="17.399999999999999" x14ac:dyDescent="0.25">
      <c r="A209" s="25"/>
      <c r="B209" s="26" t="str">
        <f>IFERROR(VLOOKUP(A209,BaseNombres!A:B,2,0),"")</f>
        <v/>
      </c>
      <c r="C209" s="26" t="str">
        <f>IFERROR(VLOOKUP(A209,BaseNombres!A:C,3,0),"")</f>
        <v/>
      </c>
      <c r="D209" s="27"/>
      <c r="E209" s="27"/>
      <c r="F209" s="28" t="str">
        <f>IFERROR(VLOOKUP(D209,Horarios!$H:$I,2,0),"")</f>
        <v/>
      </c>
      <c r="G209" s="28" t="str">
        <f>IFERROR(VLOOKUP(E209,Horarios!$H:$I,2,0),"")</f>
        <v/>
      </c>
      <c r="H209" s="28" t="str">
        <f t="shared" si="144"/>
        <v>00:00</v>
      </c>
      <c r="I209" s="29"/>
      <c r="J209" s="27"/>
      <c r="K209" s="27"/>
      <c r="L209" s="28" t="str">
        <f>IFERROR(VLOOKUP(J209,Horarios!$H:$I,2,0),"")</f>
        <v/>
      </c>
      <c r="M209" s="28" t="str">
        <f>IFERROR(VLOOKUP(K209,Horarios!$H:$I,2,0),"")</f>
        <v/>
      </c>
      <c r="N209" s="28" t="str">
        <f t="shared" si="145"/>
        <v>00:00</v>
      </c>
      <c r="O209" s="29"/>
      <c r="P209" s="27"/>
      <c r="Q209" s="27"/>
      <c r="R209" s="28" t="str">
        <f>IFERROR(VLOOKUP(P209,Horarios!$H:$I,2,0),"")</f>
        <v/>
      </c>
      <c r="S209" s="28" t="str">
        <f>IFERROR(VLOOKUP(Q209,Horarios!$H:$I,2,0),"")</f>
        <v/>
      </c>
      <c r="T209" s="28" t="str">
        <f t="shared" si="146"/>
        <v>00:00</v>
      </c>
      <c r="U209" s="29"/>
      <c r="V209" s="27"/>
      <c r="W209" s="27"/>
      <c r="X209" s="28" t="str">
        <f>IFERROR(VLOOKUP(V209,Horarios!$H:$I,2,0),"")</f>
        <v/>
      </c>
      <c r="Y209" s="28" t="str">
        <f>IFERROR(VLOOKUP(W209,Horarios!$H:$I,2,0),"")</f>
        <v/>
      </c>
      <c r="Z209" s="28" t="str">
        <f t="shared" si="147"/>
        <v>00:00</v>
      </c>
      <c r="AA209" s="29"/>
      <c r="AB209" s="27"/>
      <c r="AC209" s="27"/>
      <c r="AD209" s="28" t="str">
        <f>IFERROR(VLOOKUP(AB209,Horarios!$H:$I,2,0),"")</f>
        <v/>
      </c>
      <c r="AE209" s="28" t="str">
        <f>IFERROR(VLOOKUP(AC209,Horarios!$H:$I,2,0),"")</f>
        <v/>
      </c>
      <c r="AF209" s="28" t="str">
        <f t="shared" si="148"/>
        <v>00:00</v>
      </c>
      <c r="AG209" s="29"/>
      <c r="AH209" s="27"/>
      <c r="AI209" s="27"/>
      <c r="AJ209" s="28" t="str">
        <f>IFERROR(VLOOKUP(AH209,Horarios!$H:$I,2,0),"")</f>
        <v/>
      </c>
      <c r="AK209" s="28" t="str">
        <f>IFERROR(VLOOKUP(AI209,Horarios!$H:$I,2,0),"")</f>
        <v/>
      </c>
      <c r="AL209" s="28" t="str">
        <f t="shared" si="149"/>
        <v>00:00</v>
      </c>
      <c r="AM209" s="29"/>
      <c r="AN209" s="27"/>
      <c r="AO209" s="27"/>
      <c r="AP209" s="28" t="str">
        <f>IFERROR(VLOOKUP(AN209,Horarios!$H:$I,2,0),"")</f>
        <v/>
      </c>
      <c r="AQ209" s="28" t="str">
        <f>IFERROR(VLOOKUP(AO209,Horarios!$H:$I,2,0),"")</f>
        <v/>
      </c>
      <c r="AR209" s="28" t="str">
        <f t="shared" si="150"/>
        <v>00:00</v>
      </c>
      <c r="AS209" s="29"/>
      <c r="AT209" s="31" t="str">
        <f t="shared" si="151"/>
        <v/>
      </c>
      <c r="AU209" s="27"/>
      <c r="AV209" s="27"/>
      <c r="AW209" s="28" t="str">
        <f>IFERROR(VLOOKUP(AU209,Horarios!$H:$I,2,0),"")</f>
        <v/>
      </c>
      <c r="AX209" s="28" t="str">
        <f>IFERROR(VLOOKUP(AV209,Horarios!$H:$I,2,0),"")</f>
        <v/>
      </c>
      <c r="AY209" s="28" t="str">
        <f t="shared" si="152"/>
        <v>00:00</v>
      </c>
      <c r="AZ209" s="29"/>
      <c r="BA209" s="27"/>
      <c r="BB209" s="27"/>
      <c r="BC209" s="28" t="str">
        <f>IFERROR(VLOOKUP(BA209,Horarios!$H:$I,2,0),"")</f>
        <v/>
      </c>
      <c r="BD209" s="28" t="str">
        <f>IFERROR(VLOOKUP(BB209,Horarios!$H:$I,2,0),"")</f>
        <v/>
      </c>
      <c r="BE209" s="28" t="str">
        <f t="shared" si="153"/>
        <v>00:00</v>
      </c>
      <c r="BF209" s="29"/>
      <c r="BG209" s="27"/>
      <c r="BH209" s="27"/>
      <c r="BI209" s="28" t="str">
        <f>IFERROR(VLOOKUP(BG209,Horarios!$H:$I,2,0),"")</f>
        <v/>
      </c>
      <c r="BJ209" s="28" t="str">
        <f>IFERROR(VLOOKUP(BH209,Horarios!$H:$I,2,0),"")</f>
        <v/>
      </c>
      <c r="BK209" s="28" t="str">
        <f t="shared" si="154"/>
        <v>00:00</v>
      </c>
      <c r="BL209" s="29"/>
      <c r="BM209" s="27"/>
      <c r="BN209" s="27"/>
      <c r="BO209" s="28" t="str">
        <f>IFERROR(VLOOKUP(BM209,Horarios!$H:$I,2,0),"")</f>
        <v/>
      </c>
      <c r="BP209" s="28" t="str">
        <f>IFERROR(VLOOKUP(BN209,Horarios!$H:$I,2,0),"")</f>
        <v/>
      </c>
      <c r="BQ209" s="28" t="str">
        <f t="shared" si="155"/>
        <v>00:00</v>
      </c>
      <c r="BR209" s="29"/>
      <c r="BS209" s="27"/>
      <c r="BT209" s="27"/>
      <c r="BU209" s="28" t="str">
        <f>IFERROR(VLOOKUP(BS209,Horarios!$H:$I,2,0),"")</f>
        <v/>
      </c>
      <c r="BV209" s="28" t="str">
        <f>IFERROR(VLOOKUP(BT209,Horarios!$H:$I,2,0),"")</f>
        <v/>
      </c>
      <c r="BW209" s="28" t="str">
        <f t="shared" si="156"/>
        <v>00:00</v>
      </c>
      <c r="BX209" s="29"/>
      <c r="BY209" s="27"/>
      <c r="BZ209" s="27"/>
      <c r="CA209" s="28" t="str">
        <f>IFERROR(VLOOKUP(BY209,Horarios!$H:$I,2,0),"")</f>
        <v/>
      </c>
      <c r="CB209" s="28" t="str">
        <f>IFERROR(VLOOKUP(BZ209,Horarios!$H:$I,2,0),"")</f>
        <v/>
      </c>
      <c r="CC209" s="28" t="str">
        <f t="shared" si="157"/>
        <v>00:00</v>
      </c>
      <c r="CD209" s="29"/>
      <c r="CE209" s="27"/>
      <c r="CF209" s="27"/>
      <c r="CG209" s="28" t="str">
        <f>IFERROR(VLOOKUP(CE209,Horarios!$H:$I,2,0),"")</f>
        <v/>
      </c>
      <c r="CH209" s="28" t="str">
        <f>IFERROR(VLOOKUP(CF209,Horarios!$H:$I,2,0),"")</f>
        <v/>
      </c>
      <c r="CI209" s="28" t="str">
        <f t="shared" si="158"/>
        <v>00:00</v>
      </c>
      <c r="CJ209" s="29"/>
      <c r="CK209" s="31" t="str">
        <f t="shared" si="159"/>
        <v/>
      </c>
      <c r="CL209" s="27"/>
      <c r="CM209" s="27"/>
      <c r="CN209" s="28" t="str">
        <f>IFERROR(VLOOKUP(CL209,Horarios!$H:$I,2,0),"")</f>
        <v/>
      </c>
      <c r="CO209" s="28" t="str">
        <f>IFERROR(VLOOKUP(CM209,Horarios!$H:$I,2,0),"")</f>
        <v/>
      </c>
      <c r="CP209" s="28" t="str">
        <f t="shared" si="160"/>
        <v>00:00</v>
      </c>
      <c r="CQ209" s="29"/>
      <c r="CR209" s="27"/>
      <c r="CS209" s="27"/>
      <c r="CT209" s="28" t="str">
        <f>IFERROR(VLOOKUP(CR209,Horarios!$H:$I,2,0),"")</f>
        <v/>
      </c>
      <c r="CU209" s="28" t="str">
        <f>IFERROR(VLOOKUP(CS209,Horarios!$H:$I,2,0),"")</f>
        <v/>
      </c>
      <c r="CV209" s="28" t="str">
        <f t="shared" si="161"/>
        <v>00:00</v>
      </c>
      <c r="CW209" s="29"/>
      <c r="CX209" s="27"/>
      <c r="CY209" s="27"/>
      <c r="CZ209" s="28" t="str">
        <f>IFERROR(VLOOKUP(CX209,Horarios!$H:$I,2,0),"")</f>
        <v/>
      </c>
      <c r="DA209" s="28" t="str">
        <f>IFERROR(VLOOKUP(CY209,Horarios!$H:$I,2,0),"")</f>
        <v/>
      </c>
      <c r="DB209" s="28" t="str">
        <f t="shared" si="162"/>
        <v>00:00</v>
      </c>
      <c r="DC209" s="29"/>
      <c r="DD209" s="27"/>
      <c r="DE209" s="27"/>
      <c r="DF209" s="28" t="str">
        <f>IFERROR(VLOOKUP(DD209,Horarios!$H:$I,2,0),"")</f>
        <v/>
      </c>
      <c r="DG209" s="28" t="str">
        <f>IFERROR(VLOOKUP(DE209,Horarios!$H:$I,2,0),"")</f>
        <v/>
      </c>
      <c r="DH209" s="28" t="str">
        <f t="shared" si="163"/>
        <v>00:00</v>
      </c>
      <c r="DI209" s="29"/>
      <c r="DJ209" s="27"/>
      <c r="DK209" s="27"/>
      <c r="DL209" s="28" t="str">
        <f>IFERROR(VLOOKUP(DJ209,Horarios!$H:$I,2,0),"")</f>
        <v/>
      </c>
      <c r="DM209" s="28" t="str">
        <f>IFERROR(VLOOKUP(DK209,Horarios!$H:$I,2,0),"")</f>
        <v/>
      </c>
      <c r="DN209" s="28" t="str">
        <f t="shared" si="164"/>
        <v>00:00</v>
      </c>
      <c r="DO209" s="29"/>
      <c r="DP209" s="27"/>
      <c r="DQ209" s="27"/>
      <c r="DR209" s="28" t="str">
        <f>IFERROR(VLOOKUP(DP209,Horarios!$H:$I,2,0),"")</f>
        <v/>
      </c>
      <c r="DS209" s="28" t="str">
        <f>IFERROR(VLOOKUP(DQ209,Horarios!$H:$I,2,0),"")</f>
        <v/>
      </c>
      <c r="DT209" s="28" t="str">
        <f t="shared" si="165"/>
        <v>00:00</v>
      </c>
      <c r="DU209" s="29"/>
      <c r="DV209" s="27"/>
      <c r="DW209" s="27"/>
      <c r="DX209" s="28" t="str">
        <f>IFERROR(VLOOKUP(DV209,Horarios!$H:$I,2,0),"")</f>
        <v/>
      </c>
      <c r="DY209" s="28" t="str">
        <f>IFERROR(VLOOKUP(DW209,Horarios!$H:$I,2,0),"")</f>
        <v/>
      </c>
      <c r="DZ209" s="28" t="str">
        <f t="shared" si="166"/>
        <v>00:00</v>
      </c>
      <c r="EA209" s="29"/>
      <c r="EB209" s="31" t="str">
        <f t="shared" si="167"/>
        <v/>
      </c>
      <c r="EC209" s="27"/>
      <c r="ED209" s="27"/>
      <c r="EE209" s="28" t="str">
        <f>IFERROR(VLOOKUP(EC209,Horarios!$H:$I,2,0),"")</f>
        <v/>
      </c>
      <c r="EF209" s="28" t="str">
        <f>IFERROR(VLOOKUP(ED209,Horarios!$H:$I,2,0),"")</f>
        <v/>
      </c>
      <c r="EG209" s="28" t="str">
        <f t="shared" si="168"/>
        <v>00:00</v>
      </c>
      <c r="EH209" s="29"/>
      <c r="EI209" s="27"/>
      <c r="EJ209" s="27"/>
      <c r="EK209" s="28" t="str">
        <f>IFERROR(VLOOKUP(EI209,Horarios!$H:$I,2,0),"")</f>
        <v/>
      </c>
      <c r="EL209" s="28" t="str">
        <f>IFERROR(VLOOKUP(EJ209,Horarios!$H:$I,2,0),"")</f>
        <v/>
      </c>
      <c r="EM209" s="28" t="str">
        <f t="shared" si="169"/>
        <v>00:00</v>
      </c>
      <c r="EN209" s="29"/>
      <c r="EO209" s="27"/>
      <c r="EP209" s="27"/>
      <c r="EQ209" s="28" t="str">
        <f>IFERROR(VLOOKUP(EO209,Horarios!$H:$I,2,0),"")</f>
        <v/>
      </c>
      <c r="ER209" s="28" t="str">
        <f>IFERROR(VLOOKUP(EP209,Horarios!$H:$I,2,0),"")</f>
        <v/>
      </c>
      <c r="ES209" s="28" t="str">
        <f t="shared" si="170"/>
        <v>00:00</v>
      </c>
      <c r="ET209" s="29"/>
      <c r="EU209" s="27"/>
      <c r="EV209" s="27"/>
      <c r="EW209" s="28" t="str">
        <f>IFERROR(VLOOKUP(EU209,Horarios!$H:$I,2,0),"")</f>
        <v/>
      </c>
      <c r="EX209" s="28" t="str">
        <f>IFERROR(VLOOKUP(EV209,Horarios!$H:$I,2,0),"")</f>
        <v/>
      </c>
      <c r="EY209" s="28" t="str">
        <f t="shared" si="171"/>
        <v>00:00</v>
      </c>
      <c r="EZ209" s="29"/>
      <c r="FA209" s="27"/>
      <c r="FB209" s="27"/>
      <c r="FC209" s="28" t="str">
        <f>IFERROR(VLOOKUP(FA209,Horarios!$H:$I,2,0),"")</f>
        <v/>
      </c>
      <c r="FD209" s="28" t="str">
        <f>IFERROR(VLOOKUP(FB209,Horarios!$H:$I,2,0),"")</f>
        <v/>
      </c>
      <c r="FE209" s="28" t="str">
        <f t="shared" si="172"/>
        <v>00:00</v>
      </c>
      <c r="FF209" s="29"/>
      <c r="FG209" s="27"/>
      <c r="FH209" s="27"/>
      <c r="FI209" s="28" t="str">
        <f>IFERROR(VLOOKUP(FG209,Horarios!$H:$I,2,0),"")</f>
        <v/>
      </c>
      <c r="FJ209" s="28" t="str">
        <f>IFERROR(VLOOKUP(FH209,Horarios!$H:$I,2,0),"")</f>
        <v/>
      </c>
      <c r="FK209" s="28" t="str">
        <f t="shared" si="173"/>
        <v>00:00</v>
      </c>
      <c r="FL209" s="29"/>
      <c r="FM209" s="27"/>
      <c r="FN209" s="27"/>
      <c r="FO209" s="28" t="str">
        <f>IFERROR(VLOOKUP(FM209,Horarios!$H:$I,2,0),"")</f>
        <v/>
      </c>
      <c r="FP209" s="28" t="str">
        <f>IFERROR(VLOOKUP(FN209,Horarios!$H:$I,2,0),"")</f>
        <v/>
      </c>
      <c r="FQ209" s="28" t="str">
        <f t="shared" si="174"/>
        <v>00:00</v>
      </c>
      <c r="FR209" s="29"/>
      <c r="FS209" s="31" t="str">
        <f t="shared" si="175"/>
        <v/>
      </c>
      <c r="FT209" s="27"/>
      <c r="FU209" s="27"/>
      <c r="FV209" s="28" t="str">
        <f>IFERROR(VLOOKUP(FT209,Horarios!$H:$I,2,0),"")</f>
        <v/>
      </c>
      <c r="FW209" s="28" t="str">
        <f>IFERROR(VLOOKUP(FU209,Horarios!$H:$I,2,0),"")</f>
        <v/>
      </c>
      <c r="FX209" s="28" t="str">
        <f t="shared" si="176"/>
        <v>00:00</v>
      </c>
      <c r="FY209" s="29"/>
      <c r="FZ209" s="27"/>
      <c r="GA209" s="27"/>
      <c r="GB209" s="28" t="str">
        <f>IFERROR(VLOOKUP(FZ209,Horarios!$H:$I,2,0),"")</f>
        <v/>
      </c>
      <c r="GC209" s="28" t="str">
        <f>IFERROR(VLOOKUP(GA209,Horarios!$H:$I,2,0),"")</f>
        <v/>
      </c>
      <c r="GD209" s="28" t="str">
        <f t="shared" si="177"/>
        <v>00:00</v>
      </c>
      <c r="GE209" s="29"/>
      <c r="GF209" s="27"/>
      <c r="GG209" s="27"/>
      <c r="GH209" s="28" t="str">
        <f>IFERROR(VLOOKUP(GF209,Horarios!$H:$I,2,0),"")</f>
        <v/>
      </c>
      <c r="GI209" s="28" t="str">
        <f>IFERROR(VLOOKUP(GG209,Horarios!$H:$I,2,0),"")</f>
        <v/>
      </c>
      <c r="GJ209" s="28" t="str">
        <f t="shared" si="178"/>
        <v>00:00</v>
      </c>
      <c r="GK209" s="29"/>
      <c r="GL209" s="27"/>
      <c r="GM209" s="27"/>
      <c r="GN209" s="28" t="str">
        <f>IFERROR(VLOOKUP(GL209,Horarios!$H:$I,2,0),"")</f>
        <v/>
      </c>
      <c r="GO209" s="28" t="str">
        <f>IFERROR(VLOOKUP(GM209,Horarios!$H:$I,2,0),"")</f>
        <v/>
      </c>
      <c r="GP209" s="28" t="str">
        <f t="shared" si="179"/>
        <v>00:00</v>
      </c>
      <c r="GQ209" s="29"/>
      <c r="GR209" s="27"/>
      <c r="GS209" s="27"/>
      <c r="GT209" s="28" t="str">
        <f>IFERROR(VLOOKUP(GR209,Horarios!$H:$I,2,0),"")</f>
        <v/>
      </c>
      <c r="GU209" s="28" t="str">
        <f>IFERROR(VLOOKUP(GS209,Horarios!$H:$I,2,0),"")</f>
        <v/>
      </c>
      <c r="GV209" s="28" t="str">
        <f t="shared" si="180"/>
        <v>00:00</v>
      </c>
      <c r="GW209" s="29"/>
      <c r="GX209" s="27"/>
      <c r="GY209" s="27"/>
      <c r="GZ209" s="28" t="str">
        <f>IFERROR(VLOOKUP(GX209,Horarios!$H:$I,2,0),"")</f>
        <v/>
      </c>
      <c r="HA209" s="28" t="str">
        <f>IFERROR(VLOOKUP(GY209,Horarios!$H:$I,2,0),"")</f>
        <v/>
      </c>
      <c r="HB209" s="28" t="str">
        <f t="shared" si="181"/>
        <v>00:00</v>
      </c>
      <c r="HC209" s="29"/>
      <c r="HD209" s="27"/>
      <c r="HE209" s="27"/>
      <c r="HF209" s="28" t="str">
        <f>IFERROR(VLOOKUP(HD209,Horarios!$H:$I,2,0),"")</f>
        <v/>
      </c>
      <c r="HG209" s="28" t="str">
        <f>IFERROR(VLOOKUP(HE209,Horarios!$H:$I,2,0),"")</f>
        <v/>
      </c>
      <c r="HH209" s="28" t="str">
        <f t="shared" si="182"/>
        <v>00:00</v>
      </c>
      <c r="HI209" s="29"/>
      <c r="HJ209" s="31" t="str">
        <f t="shared" si="183"/>
        <v/>
      </c>
      <c r="HK209" s="27"/>
      <c r="HL209" s="27"/>
      <c r="HM209" s="28" t="str">
        <f>IFERROR(VLOOKUP(HK209,Horarios!$H:$I,2,0),"")</f>
        <v/>
      </c>
      <c r="HN209" s="28" t="str">
        <f>IFERROR(VLOOKUP(HL209,Horarios!$H:$I,2,0),"")</f>
        <v/>
      </c>
      <c r="HO209" s="28" t="str">
        <f t="shared" si="184"/>
        <v>00:00</v>
      </c>
      <c r="HP209" s="29"/>
      <c r="HQ209" s="27"/>
      <c r="HR209" s="27"/>
      <c r="HS209" s="28" t="str">
        <f>IFERROR(VLOOKUP(HQ209,Horarios!$H:$I,2,0),"")</f>
        <v/>
      </c>
      <c r="HT209" s="28" t="str">
        <f>IFERROR(VLOOKUP(HR209,Horarios!$H:$I,2,0),"")</f>
        <v/>
      </c>
      <c r="HU209" s="28" t="str">
        <f t="shared" si="185"/>
        <v>00:00</v>
      </c>
      <c r="HV209" s="29"/>
      <c r="HW209" s="27"/>
      <c r="HX209" s="27"/>
      <c r="HY209" s="28" t="str">
        <f>IFERROR(VLOOKUP(HW209,Horarios!$H:$I,2,0),"")</f>
        <v/>
      </c>
      <c r="HZ209" s="28" t="str">
        <f>IFERROR(VLOOKUP(HX209,Horarios!$H:$I,2,0),"")</f>
        <v/>
      </c>
      <c r="IA209" s="28" t="str">
        <f t="shared" si="186"/>
        <v>00:00</v>
      </c>
      <c r="IB209" s="29"/>
      <c r="IC209" s="27"/>
      <c r="ID209" s="27"/>
      <c r="IE209" s="28" t="str">
        <f>IFERROR(VLOOKUP(IC209,Horarios!$H:$I,2,0),"")</f>
        <v/>
      </c>
      <c r="IF209" s="28" t="str">
        <f>IFERROR(VLOOKUP(ID209,Horarios!$H:$I,2,0),"")</f>
        <v/>
      </c>
      <c r="IG209" s="28" t="str">
        <f t="shared" si="187"/>
        <v>00:00</v>
      </c>
      <c r="IH209" s="29"/>
      <c r="II209" s="27"/>
      <c r="IJ209" s="27"/>
      <c r="IK209" s="28" t="str">
        <f>IFERROR(VLOOKUP(II209,Horarios!$H:$I,2,0),"")</f>
        <v/>
      </c>
      <c r="IL209" s="28" t="str">
        <f>IFERROR(VLOOKUP(IJ209,Horarios!$H:$I,2,0),"")</f>
        <v/>
      </c>
      <c r="IM209" s="28" t="str">
        <f t="shared" si="188"/>
        <v>00:00</v>
      </c>
      <c r="IN209" s="29"/>
      <c r="IO209" s="27"/>
      <c r="IP209" s="27"/>
      <c r="IQ209" s="28" t="str">
        <f>IFERROR(VLOOKUP(IO209,Horarios!$H:$I,2,0),"")</f>
        <v/>
      </c>
      <c r="IR209" s="28" t="str">
        <f>IFERROR(VLOOKUP(IP209,Horarios!$H:$I,2,0),"")</f>
        <v/>
      </c>
      <c r="IS209" s="28" t="str">
        <f t="shared" si="189"/>
        <v>00:00</v>
      </c>
      <c r="IT209" s="29"/>
      <c r="IU209" s="27"/>
      <c r="IV209" s="27"/>
      <c r="IW209" s="28" t="str">
        <f>IFERROR(VLOOKUP(IU209,Horarios!$H:$I,2,0),"")</f>
        <v/>
      </c>
      <c r="IX209" s="28" t="str">
        <f>IFERROR(VLOOKUP(IV209,Horarios!$H:$I,2,0),"")</f>
        <v/>
      </c>
      <c r="IY209" s="28" t="str">
        <f t="shared" si="190"/>
        <v>00:00</v>
      </c>
      <c r="IZ209" s="29"/>
      <c r="JA209" s="31" t="str">
        <f t="shared" si="191"/>
        <v/>
      </c>
    </row>
    <row r="210" spans="1:261" s="24" customFormat="1" ht="17.399999999999999" x14ac:dyDescent="0.25">
      <c r="A210" s="25"/>
      <c r="B210" s="26" t="str">
        <f>IFERROR(VLOOKUP(A210,BaseNombres!A:B,2,0),"")</f>
        <v/>
      </c>
      <c r="C210" s="26" t="str">
        <f>IFERROR(VLOOKUP(A210,BaseNombres!A:C,3,0),"")</f>
        <v/>
      </c>
      <c r="D210" s="27"/>
      <c r="E210" s="27"/>
      <c r="F210" s="28" t="str">
        <f>IFERROR(VLOOKUP(D210,Horarios!$H:$I,2,0),"")</f>
        <v/>
      </c>
      <c r="G210" s="28" t="str">
        <f>IFERROR(VLOOKUP(E210,Horarios!$H:$I,2,0),"")</f>
        <v/>
      </c>
      <c r="H210" s="28" t="str">
        <f t="shared" si="144"/>
        <v>00:00</v>
      </c>
      <c r="I210" s="29"/>
      <c r="J210" s="27"/>
      <c r="K210" s="27"/>
      <c r="L210" s="28" t="str">
        <f>IFERROR(VLOOKUP(J210,Horarios!$H:$I,2,0),"")</f>
        <v/>
      </c>
      <c r="M210" s="28" t="str">
        <f>IFERROR(VLOOKUP(K210,Horarios!$H:$I,2,0),"")</f>
        <v/>
      </c>
      <c r="N210" s="28" t="str">
        <f t="shared" si="145"/>
        <v>00:00</v>
      </c>
      <c r="O210" s="29"/>
      <c r="P210" s="27"/>
      <c r="Q210" s="27"/>
      <c r="R210" s="28" t="str">
        <f>IFERROR(VLOOKUP(P210,Horarios!$H:$I,2,0),"")</f>
        <v/>
      </c>
      <c r="S210" s="28" t="str">
        <f>IFERROR(VLOOKUP(Q210,Horarios!$H:$I,2,0),"")</f>
        <v/>
      </c>
      <c r="T210" s="28" t="str">
        <f t="shared" si="146"/>
        <v>00:00</v>
      </c>
      <c r="U210" s="29"/>
      <c r="V210" s="27"/>
      <c r="W210" s="27"/>
      <c r="X210" s="28" t="str">
        <f>IFERROR(VLOOKUP(V210,Horarios!$H:$I,2,0),"")</f>
        <v/>
      </c>
      <c r="Y210" s="28" t="str">
        <f>IFERROR(VLOOKUP(W210,Horarios!$H:$I,2,0),"")</f>
        <v/>
      </c>
      <c r="Z210" s="28" t="str">
        <f t="shared" si="147"/>
        <v>00:00</v>
      </c>
      <c r="AA210" s="29"/>
      <c r="AB210" s="27"/>
      <c r="AC210" s="27"/>
      <c r="AD210" s="28" t="str">
        <f>IFERROR(VLOOKUP(AB210,Horarios!$H:$I,2,0),"")</f>
        <v/>
      </c>
      <c r="AE210" s="28" t="str">
        <f>IFERROR(VLOOKUP(AC210,Horarios!$H:$I,2,0),"")</f>
        <v/>
      </c>
      <c r="AF210" s="28" t="str">
        <f t="shared" si="148"/>
        <v>00:00</v>
      </c>
      <c r="AG210" s="29"/>
      <c r="AH210" s="27"/>
      <c r="AI210" s="27"/>
      <c r="AJ210" s="28" t="str">
        <f>IFERROR(VLOOKUP(AH210,Horarios!$H:$I,2,0),"")</f>
        <v/>
      </c>
      <c r="AK210" s="28" t="str">
        <f>IFERROR(VLOOKUP(AI210,Horarios!$H:$I,2,0),"")</f>
        <v/>
      </c>
      <c r="AL210" s="28" t="str">
        <f t="shared" si="149"/>
        <v>00:00</v>
      </c>
      <c r="AM210" s="29"/>
      <c r="AN210" s="27"/>
      <c r="AO210" s="27"/>
      <c r="AP210" s="28" t="str">
        <f>IFERROR(VLOOKUP(AN210,Horarios!$H:$I,2,0),"")</f>
        <v/>
      </c>
      <c r="AQ210" s="28" t="str">
        <f>IFERROR(VLOOKUP(AO210,Horarios!$H:$I,2,0),"")</f>
        <v/>
      </c>
      <c r="AR210" s="28" t="str">
        <f t="shared" si="150"/>
        <v>00:00</v>
      </c>
      <c r="AS210" s="29"/>
      <c r="AT210" s="31" t="str">
        <f t="shared" si="151"/>
        <v/>
      </c>
      <c r="AU210" s="27"/>
      <c r="AV210" s="27"/>
      <c r="AW210" s="28" t="str">
        <f>IFERROR(VLOOKUP(AU210,Horarios!$H:$I,2,0),"")</f>
        <v/>
      </c>
      <c r="AX210" s="28" t="str">
        <f>IFERROR(VLOOKUP(AV210,Horarios!$H:$I,2,0),"")</f>
        <v/>
      </c>
      <c r="AY210" s="28" t="str">
        <f t="shared" si="152"/>
        <v>00:00</v>
      </c>
      <c r="AZ210" s="29"/>
      <c r="BA210" s="27"/>
      <c r="BB210" s="27"/>
      <c r="BC210" s="28" t="str">
        <f>IFERROR(VLOOKUP(BA210,Horarios!$H:$I,2,0),"")</f>
        <v/>
      </c>
      <c r="BD210" s="28" t="str">
        <f>IFERROR(VLOOKUP(BB210,Horarios!$H:$I,2,0),"")</f>
        <v/>
      </c>
      <c r="BE210" s="28" t="str">
        <f t="shared" si="153"/>
        <v>00:00</v>
      </c>
      <c r="BF210" s="29"/>
      <c r="BG210" s="27"/>
      <c r="BH210" s="27"/>
      <c r="BI210" s="28" t="str">
        <f>IFERROR(VLOOKUP(BG210,Horarios!$H:$I,2,0),"")</f>
        <v/>
      </c>
      <c r="BJ210" s="28" t="str">
        <f>IFERROR(VLOOKUP(BH210,Horarios!$H:$I,2,0),"")</f>
        <v/>
      </c>
      <c r="BK210" s="28" t="str">
        <f t="shared" si="154"/>
        <v>00:00</v>
      </c>
      <c r="BL210" s="29"/>
      <c r="BM210" s="27"/>
      <c r="BN210" s="27"/>
      <c r="BO210" s="28" t="str">
        <f>IFERROR(VLOOKUP(BM210,Horarios!$H:$I,2,0),"")</f>
        <v/>
      </c>
      <c r="BP210" s="28" t="str">
        <f>IFERROR(VLOOKUP(BN210,Horarios!$H:$I,2,0),"")</f>
        <v/>
      </c>
      <c r="BQ210" s="28" t="str">
        <f t="shared" si="155"/>
        <v>00:00</v>
      </c>
      <c r="BR210" s="29"/>
      <c r="BS210" s="27"/>
      <c r="BT210" s="27"/>
      <c r="BU210" s="28" t="str">
        <f>IFERROR(VLOOKUP(BS210,Horarios!$H:$I,2,0),"")</f>
        <v/>
      </c>
      <c r="BV210" s="28" t="str">
        <f>IFERROR(VLOOKUP(BT210,Horarios!$H:$I,2,0),"")</f>
        <v/>
      </c>
      <c r="BW210" s="28" t="str">
        <f t="shared" si="156"/>
        <v>00:00</v>
      </c>
      <c r="BX210" s="29"/>
      <c r="BY210" s="27"/>
      <c r="BZ210" s="27"/>
      <c r="CA210" s="28" t="str">
        <f>IFERROR(VLOOKUP(BY210,Horarios!$H:$I,2,0),"")</f>
        <v/>
      </c>
      <c r="CB210" s="28" t="str">
        <f>IFERROR(VLOOKUP(BZ210,Horarios!$H:$I,2,0),"")</f>
        <v/>
      </c>
      <c r="CC210" s="28" t="str">
        <f t="shared" si="157"/>
        <v>00:00</v>
      </c>
      <c r="CD210" s="29"/>
      <c r="CE210" s="27"/>
      <c r="CF210" s="27"/>
      <c r="CG210" s="28" t="str">
        <f>IFERROR(VLOOKUP(CE210,Horarios!$H:$I,2,0),"")</f>
        <v/>
      </c>
      <c r="CH210" s="28" t="str">
        <f>IFERROR(VLOOKUP(CF210,Horarios!$H:$I,2,0),"")</f>
        <v/>
      </c>
      <c r="CI210" s="28" t="str">
        <f t="shared" si="158"/>
        <v>00:00</v>
      </c>
      <c r="CJ210" s="29"/>
      <c r="CK210" s="31" t="str">
        <f t="shared" si="159"/>
        <v/>
      </c>
      <c r="CL210" s="27"/>
      <c r="CM210" s="27"/>
      <c r="CN210" s="28" t="str">
        <f>IFERROR(VLOOKUP(CL210,Horarios!$H:$I,2,0),"")</f>
        <v/>
      </c>
      <c r="CO210" s="28" t="str">
        <f>IFERROR(VLOOKUP(CM210,Horarios!$H:$I,2,0),"")</f>
        <v/>
      </c>
      <c r="CP210" s="28" t="str">
        <f t="shared" si="160"/>
        <v>00:00</v>
      </c>
      <c r="CQ210" s="29"/>
      <c r="CR210" s="27"/>
      <c r="CS210" s="27"/>
      <c r="CT210" s="28" t="str">
        <f>IFERROR(VLOOKUP(CR210,Horarios!$H:$I,2,0),"")</f>
        <v/>
      </c>
      <c r="CU210" s="28" t="str">
        <f>IFERROR(VLOOKUP(CS210,Horarios!$H:$I,2,0),"")</f>
        <v/>
      </c>
      <c r="CV210" s="28" t="str">
        <f t="shared" si="161"/>
        <v>00:00</v>
      </c>
      <c r="CW210" s="29"/>
      <c r="CX210" s="27"/>
      <c r="CY210" s="27"/>
      <c r="CZ210" s="28" t="str">
        <f>IFERROR(VLOOKUP(CX210,Horarios!$H:$I,2,0),"")</f>
        <v/>
      </c>
      <c r="DA210" s="28" t="str">
        <f>IFERROR(VLOOKUP(CY210,Horarios!$H:$I,2,0),"")</f>
        <v/>
      </c>
      <c r="DB210" s="28" t="str">
        <f t="shared" si="162"/>
        <v>00:00</v>
      </c>
      <c r="DC210" s="29"/>
      <c r="DD210" s="27"/>
      <c r="DE210" s="27"/>
      <c r="DF210" s="28" t="str">
        <f>IFERROR(VLOOKUP(DD210,Horarios!$H:$I,2,0),"")</f>
        <v/>
      </c>
      <c r="DG210" s="28" t="str">
        <f>IFERROR(VLOOKUP(DE210,Horarios!$H:$I,2,0),"")</f>
        <v/>
      </c>
      <c r="DH210" s="28" t="str">
        <f t="shared" si="163"/>
        <v>00:00</v>
      </c>
      <c r="DI210" s="29"/>
      <c r="DJ210" s="27"/>
      <c r="DK210" s="27"/>
      <c r="DL210" s="28" t="str">
        <f>IFERROR(VLOOKUP(DJ210,Horarios!$H:$I,2,0),"")</f>
        <v/>
      </c>
      <c r="DM210" s="28" t="str">
        <f>IFERROR(VLOOKUP(DK210,Horarios!$H:$I,2,0),"")</f>
        <v/>
      </c>
      <c r="DN210" s="28" t="str">
        <f t="shared" si="164"/>
        <v>00:00</v>
      </c>
      <c r="DO210" s="29"/>
      <c r="DP210" s="27"/>
      <c r="DQ210" s="27"/>
      <c r="DR210" s="28" t="str">
        <f>IFERROR(VLOOKUP(DP210,Horarios!$H:$I,2,0),"")</f>
        <v/>
      </c>
      <c r="DS210" s="28" t="str">
        <f>IFERROR(VLOOKUP(DQ210,Horarios!$H:$I,2,0),"")</f>
        <v/>
      </c>
      <c r="DT210" s="28" t="str">
        <f t="shared" si="165"/>
        <v>00:00</v>
      </c>
      <c r="DU210" s="29"/>
      <c r="DV210" s="27"/>
      <c r="DW210" s="27"/>
      <c r="DX210" s="28" t="str">
        <f>IFERROR(VLOOKUP(DV210,Horarios!$H:$I,2,0),"")</f>
        <v/>
      </c>
      <c r="DY210" s="28" t="str">
        <f>IFERROR(VLOOKUP(DW210,Horarios!$H:$I,2,0),"")</f>
        <v/>
      </c>
      <c r="DZ210" s="28" t="str">
        <f t="shared" si="166"/>
        <v>00:00</v>
      </c>
      <c r="EA210" s="29"/>
      <c r="EB210" s="31" t="str">
        <f t="shared" si="167"/>
        <v/>
      </c>
      <c r="EC210" s="27"/>
      <c r="ED210" s="27"/>
      <c r="EE210" s="28" t="str">
        <f>IFERROR(VLOOKUP(EC210,Horarios!$H:$I,2,0),"")</f>
        <v/>
      </c>
      <c r="EF210" s="28" t="str">
        <f>IFERROR(VLOOKUP(ED210,Horarios!$H:$I,2,0),"")</f>
        <v/>
      </c>
      <c r="EG210" s="28" t="str">
        <f t="shared" si="168"/>
        <v>00:00</v>
      </c>
      <c r="EH210" s="29"/>
      <c r="EI210" s="27"/>
      <c r="EJ210" s="27"/>
      <c r="EK210" s="28" t="str">
        <f>IFERROR(VLOOKUP(EI210,Horarios!$H:$I,2,0),"")</f>
        <v/>
      </c>
      <c r="EL210" s="28" t="str">
        <f>IFERROR(VLOOKUP(EJ210,Horarios!$H:$I,2,0),"")</f>
        <v/>
      </c>
      <c r="EM210" s="28" t="str">
        <f t="shared" si="169"/>
        <v>00:00</v>
      </c>
      <c r="EN210" s="29"/>
      <c r="EO210" s="27"/>
      <c r="EP210" s="27"/>
      <c r="EQ210" s="28" t="str">
        <f>IFERROR(VLOOKUP(EO210,Horarios!$H:$I,2,0),"")</f>
        <v/>
      </c>
      <c r="ER210" s="28" t="str">
        <f>IFERROR(VLOOKUP(EP210,Horarios!$H:$I,2,0),"")</f>
        <v/>
      </c>
      <c r="ES210" s="28" t="str">
        <f t="shared" si="170"/>
        <v>00:00</v>
      </c>
      <c r="ET210" s="29"/>
      <c r="EU210" s="27"/>
      <c r="EV210" s="27"/>
      <c r="EW210" s="28" t="str">
        <f>IFERROR(VLOOKUP(EU210,Horarios!$H:$I,2,0),"")</f>
        <v/>
      </c>
      <c r="EX210" s="28" t="str">
        <f>IFERROR(VLOOKUP(EV210,Horarios!$H:$I,2,0),"")</f>
        <v/>
      </c>
      <c r="EY210" s="28" t="str">
        <f t="shared" si="171"/>
        <v>00:00</v>
      </c>
      <c r="EZ210" s="29"/>
      <c r="FA210" s="27"/>
      <c r="FB210" s="27"/>
      <c r="FC210" s="28" t="str">
        <f>IFERROR(VLOOKUP(FA210,Horarios!$H:$I,2,0),"")</f>
        <v/>
      </c>
      <c r="FD210" s="28" t="str">
        <f>IFERROR(VLOOKUP(FB210,Horarios!$H:$I,2,0),"")</f>
        <v/>
      </c>
      <c r="FE210" s="28" t="str">
        <f t="shared" si="172"/>
        <v>00:00</v>
      </c>
      <c r="FF210" s="29"/>
      <c r="FG210" s="27"/>
      <c r="FH210" s="27"/>
      <c r="FI210" s="28" t="str">
        <f>IFERROR(VLOOKUP(FG210,Horarios!$H:$I,2,0),"")</f>
        <v/>
      </c>
      <c r="FJ210" s="28" t="str">
        <f>IFERROR(VLOOKUP(FH210,Horarios!$H:$I,2,0),"")</f>
        <v/>
      </c>
      <c r="FK210" s="28" t="str">
        <f t="shared" si="173"/>
        <v>00:00</v>
      </c>
      <c r="FL210" s="29"/>
      <c r="FM210" s="27"/>
      <c r="FN210" s="27"/>
      <c r="FO210" s="28" t="str">
        <f>IFERROR(VLOOKUP(FM210,Horarios!$H:$I,2,0),"")</f>
        <v/>
      </c>
      <c r="FP210" s="28" t="str">
        <f>IFERROR(VLOOKUP(FN210,Horarios!$H:$I,2,0),"")</f>
        <v/>
      </c>
      <c r="FQ210" s="28" t="str">
        <f t="shared" si="174"/>
        <v>00:00</v>
      </c>
      <c r="FR210" s="29"/>
      <c r="FS210" s="31" t="str">
        <f t="shared" si="175"/>
        <v/>
      </c>
      <c r="FT210" s="27"/>
      <c r="FU210" s="27"/>
      <c r="FV210" s="28" t="str">
        <f>IFERROR(VLOOKUP(FT210,Horarios!$H:$I,2,0),"")</f>
        <v/>
      </c>
      <c r="FW210" s="28" t="str">
        <f>IFERROR(VLOOKUP(FU210,Horarios!$H:$I,2,0),"")</f>
        <v/>
      </c>
      <c r="FX210" s="28" t="str">
        <f t="shared" si="176"/>
        <v>00:00</v>
      </c>
      <c r="FY210" s="29"/>
      <c r="FZ210" s="27"/>
      <c r="GA210" s="27"/>
      <c r="GB210" s="28" t="str">
        <f>IFERROR(VLOOKUP(FZ210,Horarios!$H:$I,2,0),"")</f>
        <v/>
      </c>
      <c r="GC210" s="28" t="str">
        <f>IFERROR(VLOOKUP(GA210,Horarios!$H:$I,2,0),"")</f>
        <v/>
      </c>
      <c r="GD210" s="28" t="str">
        <f t="shared" si="177"/>
        <v>00:00</v>
      </c>
      <c r="GE210" s="29"/>
      <c r="GF210" s="27"/>
      <c r="GG210" s="27"/>
      <c r="GH210" s="28" t="str">
        <f>IFERROR(VLOOKUP(GF210,Horarios!$H:$I,2,0),"")</f>
        <v/>
      </c>
      <c r="GI210" s="28" t="str">
        <f>IFERROR(VLOOKUP(GG210,Horarios!$H:$I,2,0),"")</f>
        <v/>
      </c>
      <c r="GJ210" s="28" t="str">
        <f t="shared" si="178"/>
        <v>00:00</v>
      </c>
      <c r="GK210" s="29"/>
      <c r="GL210" s="27"/>
      <c r="GM210" s="27"/>
      <c r="GN210" s="28" t="str">
        <f>IFERROR(VLOOKUP(GL210,Horarios!$H:$I,2,0),"")</f>
        <v/>
      </c>
      <c r="GO210" s="28" t="str">
        <f>IFERROR(VLOOKUP(GM210,Horarios!$H:$I,2,0),"")</f>
        <v/>
      </c>
      <c r="GP210" s="28" t="str">
        <f t="shared" si="179"/>
        <v>00:00</v>
      </c>
      <c r="GQ210" s="29"/>
      <c r="GR210" s="27"/>
      <c r="GS210" s="27"/>
      <c r="GT210" s="28" t="str">
        <f>IFERROR(VLOOKUP(GR210,Horarios!$H:$I,2,0),"")</f>
        <v/>
      </c>
      <c r="GU210" s="28" t="str">
        <f>IFERROR(VLOOKUP(GS210,Horarios!$H:$I,2,0),"")</f>
        <v/>
      </c>
      <c r="GV210" s="28" t="str">
        <f t="shared" si="180"/>
        <v>00:00</v>
      </c>
      <c r="GW210" s="29"/>
      <c r="GX210" s="27"/>
      <c r="GY210" s="27"/>
      <c r="GZ210" s="28" t="str">
        <f>IFERROR(VLOOKUP(GX210,Horarios!$H:$I,2,0),"")</f>
        <v/>
      </c>
      <c r="HA210" s="28" t="str">
        <f>IFERROR(VLOOKUP(GY210,Horarios!$H:$I,2,0),"")</f>
        <v/>
      </c>
      <c r="HB210" s="28" t="str">
        <f t="shared" si="181"/>
        <v>00:00</v>
      </c>
      <c r="HC210" s="29"/>
      <c r="HD210" s="27"/>
      <c r="HE210" s="27"/>
      <c r="HF210" s="28" t="str">
        <f>IFERROR(VLOOKUP(HD210,Horarios!$H:$I,2,0),"")</f>
        <v/>
      </c>
      <c r="HG210" s="28" t="str">
        <f>IFERROR(VLOOKUP(HE210,Horarios!$H:$I,2,0),"")</f>
        <v/>
      </c>
      <c r="HH210" s="28" t="str">
        <f t="shared" si="182"/>
        <v>00:00</v>
      </c>
      <c r="HI210" s="29"/>
      <c r="HJ210" s="31" t="str">
        <f t="shared" si="183"/>
        <v/>
      </c>
      <c r="HK210" s="27"/>
      <c r="HL210" s="27"/>
      <c r="HM210" s="28" t="str">
        <f>IFERROR(VLOOKUP(HK210,Horarios!$H:$I,2,0),"")</f>
        <v/>
      </c>
      <c r="HN210" s="28" t="str">
        <f>IFERROR(VLOOKUP(HL210,Horarios!$H:$I,2,0),"")</f>
        <v/>
      </c>
      <c r="HO210" s="28" t="str">
        <f t="shared" si="184"/>
        <v>00:00</v>
      </c>
      <c r="HP210" s="29"/>
      <c r="HQ210" s="27"/>
      <c r="HR210" s="27"/>
      <c r="HS210" s="28" t="str">
        <f>IFERROR(VLOOKUP(HQ210,Horarios!$H:$I,2,0),"")</f>
        <v/>
      </c>
      <c r="HT210" s="28" t="str">
        <f>IFERROR(VLOOKUP(HR210,Horarios!$H:$I,2,0),"")</f>
        <v/>
      </c>
      <c r="HU210" s="28" t="str">
        <f t="shared" si="185"/>
        <v>00:00</v>
      </c>
      <c r="HV210" s="29"/>
      <c r="HW210" s="27"/>
      <c r="HX210" s="27"/>
      <c r="HY210" s="28" t="str">
        <f>IFERROR(VLOOKUP(HW210,Horarios!$H:$I,2,0),"")</f>
        <v/>
      </c>
      <c r="HZ210" s="28" t="str">
        <f>IFERROR(VLOOKUP(HX210,Horarios!$H:$I,2,0),"")</f>
        <v/>
      </c>
      <c r="IA210" s="28" t="str">
        <f t="shared" si="186"/>
        <v>00:00</v>
      </c>
      <c r="IB210" s="29"/>
      <c r="IC210" s="27"/>
      <c r="ID210" s="27"/>
      <c r="IE210" s="28" t="str">
        <f>IFERROR(VLOOKUP(IC210,Horarios!$H:$I,2,0),"")</f>
        <v/>
      </c>
      <c r="IF210" s="28" t="str">
        <f>IFERROR(VLOOKUP(ID210,Horarios!$H:$I,2,0),"")</f>
        <v/>
      </c>
      <c r="IG210" s="28" t="str">
        <f t="shared" si="187"/>
        <v>00:00</v>
      </c>
      <c r="IH210" s="29"/>
      <c r="II210" s="27"/>
      <c r="IJ210" s="27"/>
      <c r="IK210" s="28" t="str">
        <f>IFERROR(VLOOKUP(II210,Horarios!$H:$I,2,0),"")</f>
        <v/>
      </c>
      <c r="IL210" s="28" t="str">
        <f>IFERROR(VLOOKUP(IJ210,Horarios!$H:$I,2,0),"")</f>
        <v/>
      </c>
      <c r="IM210" s="28" t="str">
        <f t="shared" si="188"/>
        <v>00:00</v>
      </c>
      <c r="IN210" s="29"/>
      <c r="IO210" s="27"/>
      <c r="IP210" s="27"/>
      <c r="IQ210" s="28" t="str">
        <f>IFERROR(VLOOKUP(IO210,Horarios!$H:$I,2,0),"")</f>
        <v/>
      </c>
      <c r="IR210" s="28" t="str">
        <f>IFERROR(VLOOKUP(IP210,Horarios!$H:$I,2,0),"")</f>
        <v/>
      </c>
      <c r="IS210" s="28" t="str">
        <f t="shared" si="189"/>
        <v>00:00</v>
      </c>
      <c r="IT210" s="29"/>
      <c r="IU210" s="27"/>
      <c r="IV210" s="27"/>
      <c r="IW210" s="28" t="str">
        <f>IFERROR(VLOOKUP(IU210,Horarios!$H:$I,2,0),"")</f>
        <v/>
      </c>
      <c r="IX210" s="28" t="str">
        <f>IFERROR(VLOOKUP(IV210,Horarios!$H:$I,2,0),"")</f>
        <v/>
      </c>
      <c r="IY210" s="28" t="str">
        <f t="shared" si="190"/>
        <v>00:00</v>
      </c>
      <c r="IZ210" s="29"/>
      <c r="JA210" s="31" t="str">
        <f t="shared" si="191"/>
        <v/>
      </c>
    </row>
    <row r="211" spans="1:261" s="24" customFormat="1" ht="17.399999999999999" x14ac:dyDescent="0.25">
      <c r="A211" s="25"/>
      <c r="B211" s="26" t="str">
        <f>IFERROR(VLOOKUP(A211,BaseNombres!A:B,2,0),"")</f>
        <v/>
      </c>
      <c r="C211" s="26" t="str">
        <f>IFERROR(VLOOKUP(A211,BaseNombres!A:C,3,0),"")</f>
        <v/>
      </c>
      <c r="D211" s="27"/>
      <c r="E211" s="27"/>
      <c r="F211" s="28" t="str">
        <f>IFERROR(VLOOKUP(D211,Horarios!$H:$I,2,0),"")</f>
        <v/>
      </c>
      <c r="G211" s="28" t="str">
        <f>IFERROR(VLOOKUP(E211,Horarios!$H:$I,2,0),"")</f>
        <v/>
      </c>
      <c r="H211" s="28" t="str">
        <f t="shared" si="144"/>
        <v>00:00</v>
      </c>
      <c r="I211" s="29"/>
      <c r="J211" s="27"/>
      <c r="K211" s="27"/>
      <c r="L211" s="28" t="str">
        <f>IFERROR(VLOOKUP(J211,Horarios!$H:$I,2,0),"")</f>
        <v/>
      </c>
      <c r="M211" s="28" t="str">
        <f>IFERROR(VLOOKUP(K211,Horarios!$H:$I,2,0),"")</f>
        <v/>
      </c>
      <c r="N211" s="28" t="str">
        <f t="shared" si="145"/>
        <v>00:00</v>
      </c>
      <c r="O211" s="29"/>
      <c r="P211" s="27"/>
      <c r="Q211" s="27"/>
      <c r="R211" s="28" t="str">
        <f>IFERROR(VLOOKUP(P211,Horarios!$H:$I,2,0),"")</f>
        <v/>
      </c>
      <c r="S211" s="28" t="str">
        <f>IFERROR(VLOOKUP(Q211,Horarios!$H:$I,2,0),"")</f>
        <v/>
      </c>
      <c r="T211" s="28" t="str">
        <f t="shared" si="146"/>
        <v>00:00</v>
      </c>
      <c r="U211" s="29"/>
      <c r="V211" s="27"/>
      <c r="W211" s="27"/>
      <c r="X211" s="28" t="str">
        <f>IFERROR(VLOOKUP(V211,Horarios!$H:$I,2,0),"")</f>
        <v/>
      </c>
      <c r="Y211" s="28" t="str">
        <f>IFERROR(VLOOKUP(W211,Horarios!$H:$I,2,0),"")</f>
        <v/>
      </c>
      <c r="Z211" s="28" t="str">
        <f t="shared" si="147"/>
        <v>00:00</v>
      </c>
      <c r="AA211" s="29"/>
      <c r="AB211" s="27"/>
      <c r="AC211" s="27"/>
      <c r="AD211" s="28" t="str">
        <f>IFERROR(VLOOKUP(AB211,Horarios!$H:$I,2,0),"")</f>
        <v/>
      </c>
      <c r="AE211" s="28" t="str">
        <f>IFERROR(VLOOKUP(AC211,Horarios!$H:$I,2,0),"")</f>
        <v/>
      </c>
      <c r="AF211" s="28" t="str">
        <f t="shared" si="148"/>
        <v>00:00</v>
      </c>
      <c r="AG211" s="29"/>
      <c r="AH211" s="27"/>
      <c r="AI211" s="27"/>
      <c r="AJ211" s="28" t="str">
        <f>IFERROR(VLOOKUP(AH211,Horarios!$H:$I,2,0),"")</f>
        <v/>
      </c>
      <c r="AK211" s="28" t="str">
        <f>IFERROR(VLOOKUP(AI211,Horarios!$H:$I,2,0),"")</f>
        <v/>
      </c>
      <c r="AL211" s="28" t="str">
        <f t="shared" si="149"/>
        <v>00:00</v>
      </c>
      <c r="AM211" s="29"/>
      <c r="AN211" s="27"/>
      <c r="AO211" s="27"/>
      <c r="AP211" s="28" t="str">
        <f>IFERROR(VLOOKUP(AN211,Horarios!$H:$I,2,0),"")</f>
        <v/>
      </c>
      <c r="AQ211" s="28" t="str">
        <f>IFERROR(VLOOKUP(AO211,Horarios!$H:$I,2,0),"")</f>
        <v/>
      </c>
      <c r="AR211" s="28" t="str">
        <f t="shared" si="150"/>
        <v>00:00</v>
      </c>
      <c r="AS211" s="29"/>
      <c r="AT211" s="31" t="str">
        <f t="shared" si="151"/>
        <v/>
      </c>
      <c r="AU211" s="27"/>
      <c r="AV211" s="27"/>
      <c r="AW211" s="28" t="str">
        <f>IFERROR(VLOOKUP(AU211,Horarios!$H:$I,2,0),"")</f>
        <v/>
      </c>
      <c r="AX211" s="28" t="str">
        <f>IFERROR(VLOOKUP(AV211,Horarios!$H:$I,2,0),"")</f>
        <v/>
      </c>
      <c r="AY211" s="28" t="str">
        <f t="shared" si="152"/>
        <v>00:00</v>
      </c>
      <c r="AZ211" s="29"/>
      <c r="BA211" s="27"/>
      <c r="BB211" s="27"/>
      <c r="BC211" s="28" t="str">
        <f>IFERROR(VLOOKUP(BA211,Horarios!$H:$I,2,0),"")</f>
        <v/>
      </c>
      <c r="BD211" s="28" t="str">
        <f>IFERROR(VLOOKUP(BB211,Horarios!$H:$I,2,0),"")</f>
        <v/>
      </c>
      <c r="BE211" s="28" t="str">
        <f t="shared" si="153"/>
        <v>00:00</v>
      </c>
      <c r="BF211" s="29"/>
      <c r="BG211" s="27"/>
      <c r="BH211" s="27"/>
      <c r="BI211" s="28" t="str">
        <f>IFERROR(VLOOKUP(BG211,Horarios!$H:$I,2,0),"")</f>
        <v/>
      </c>
      <c r="BJ211" s="28" t="str">
        <f>IFERROR(VLOOKUP(BH211,Horarios!$H:$I,2,0),"")</f>
        <v/>
      </c>
      <c r="BK211" s="28" t="str">
        <f t="shared" si="154"/>
        <v>00:00</v>
      </c>
      <c r="BL211" s="29"/>
      <c r="BM211" s="27"/>
      <c r="BN211" s="27"/>
      <c r="BO211" s="28" t="str">
        <f>IFERROR(VLOOKUP(BM211,Horarios!$H:$I,2,0),"")</f>
        <v/>
      </c>
      <c r="BP211" s="28" t="str">
        <f>IFERROR(VLOOKUP(BN211,Horarios!$H:$I,2,0),"")</f>
        <v/>
      </c>
      <c r="BQ211" s="28" t="str">
        <f t="shared" si="155"/>
        <v>00:00</v>
      </c>
      <c r="BR211" s="29"/>
      <c r="BS211" s="27"/>
      <c r="BT211" s="27"/>
      <c r="BU211" s="28" t="str">
        <f>IFERROR(VLOOKUP(BS211,Horarios!$H:$I,2,0),"")</f>
        <v/>
      </c>
      <c r="BV211" s="28" t="str">
        <f>IFERROR(VLOOKUP(BT211,Horarios!$H:$I,2,0),"")</f>
        <v/>
      </c>
      <c r="BW211" s="28" t="str">
        <f t="shared" si="156"/>
        <v>00:00</v>
      </c>
      <c r="BX211" s="29"/>
      <c r="BY211" s="27"/>
      <c r="BZ211" s="27"/>
      <c r="CA211" s="28" t="str">
        <f>IFERROR(VLOOKUP(BY211,Horarios!$H:$I,2,0),"")</f>
        <v/>
      </c>
      <c r="CB211" s="28" t="str">
        <f>IFERROR(VLOOKUP(BZ211,Horarios!$H:$I,2,0),"")</f>
        <v/>
      </c>
      <c r="CC211" s="28" t="str">
        <f t="shared" si="157"/>
        <v>00:00</v>
      </c>
      <c r="CD211" s="29"/>
      <c r="CE211" s="27"/>
      <c r="CF211" s="27"/>
      <c r="CG211" s="28" t="str">
        <f>IFERROR(VLOOKUP(CE211,Horarios!$H:$I,2,0),"")</f>
        <v/>
      </c>
      <c r="CH211" s="28" t="str">
        <f>IFERROR(VLOOKUP(CF211,Horarios!$H:$I,2,0),"")</f>
        <v/>
      </c>
      <c r="CI211" s="28" t="str">
        <f t="shared" si="158"/>
        <v>00:00</v>
      </c>
      <c r="CJ211" s="29"/>
      <c r="CK211" s="31" t="str">
        <f t="shared" si="159"/>
        <v/>
      </c>
      <c r="CL211" s="27"/>
      <c r="CM211" s="27"/>
      <c r="CN211" s="28" t="str">
        <f>IFERROR(VLOOKUP(CL211,Horarios!$H:$I,2,0),"")</f>
        <v/>
      </c>
      <c r="CO211" s="28" t="str">
        <f>IFERROR(VLOOKUP(CM211,Horarios!$H:$I,2,0),"")</f>
        <v/>
      </c>
      <c r="CP211" s="28" t="str">
        <f t="shared" si="160"/>
        <v>00:00</v>
      </c>
      <c r="CQ211" s="29"/>
      <c r="CR211" s="27"/>
      <c r="CS211" s="27"/>
      <c r="CT211" s="28" t="str">
        <f>IFERROR(VLOOKUP(CR211,Horarios!$H:$I,2,0),"")</f>
        <v/>
      </c>
      <c r="CU211" s="28" t="str">
        <f>IFERROR(VLOOKUP(CS211,Horarios!$H:$I,2,0),"")</f>
        <v/>
      </c>
      <c r="CV211" s="28" t="str">
        <f t="shared" si="161"/>
        <v>00:00</v>
      </c>
      <c r="CW211" s="29"/>
      <c r="CX211" s="27"/>
      <c r="CY211" s="27"/>
      <c r="CZ211" s="28" t="str">
        <f>IFERROR(VLOOKUP(CX211,Horarios!$H:$I,2,0),"")</f>
        <v/>
      </c>
      <c r="DA211" s="28" t="str">
        <f>IFERROR(VLOOKUP(CY211,Horarios!$H:$I,2,0),"")</f>
        <v/>
      </c>
      <c r="DB211" s="28" t="str">
        <f t="shared" si="162"/>
        <v>00:00</v>
      </c>
      <c r="DC211" s="29"/>
      <c r="DD211" s="27"/>
      <c r="DE211" s="27"/>
      <c r="DF211" s="28" t="str">
        <f>IFERROR(VLOOKUP(DD211,Horarios!$H:$I,2,0),"")</f>
        <v/>
      </c>
      <c r="DG211" s="28" t="str">
        <f>IFERROR(VLOOKUP(DE211,Horarios!$H:$I,2,0),"")</f>
        <v/>
      </c>
      <c r="DH211" s="28" t="str">
        <f t="shared" si="163"/>
        <v>00:00</v>
      </c>
      <c r="DI211" s="29"/>
      <c r="DJ211" s="27"/>
      <c r="DK211" s="27"/>
      <c r="DL211" s="28" t="str">
        <f>IFERROR(VLOOKUP(DJ211,Horarios!$H:$I,2,0),"")</f>
        <v/>
      </c>
      <c r="DM211" s="28" t="str">
        <f>IFERROR(VLOOKUP(DK211,Horarios!$H:$I,2,0),"")</f>
        <v/>
      </c>
      <c r="DN211" s="28" t="str">
        <f t="shared" si="164"/>
        <v>00:00</v>
      </c>
      <c r="DO211" s="29"/>
      <c r="DP211" s="27"/>
      <c r="DQ211" s="27"/>
      <c r="DR211" s="28" t="str">
        <f>IFERROR(VLOOKUP(DP211,Horarios!$H:$I,2,0),"")</f>
        <v/>
      </c>
      <c r="DS211" s="28" t="str">
        <f>IFERROR(VLOOKUP(DQ211,Horarios!$H:$I,2,0),"")</f>
        <v/>
      </c>
      <c r="DT211" s="28" t="str">
        <f t="shared" si="165"/>
        <v>00:00</v>
      </c>
      <c r="DU211" s="29"/>
      <c r="DV211" s="27"/>
      <c r="DW211" s="27"/>
      <c r="DX211" s="28" t="str">
        <f>IFERROR(VLOOKUP(DV211,Horarios!$H:$I,2,0),"")</f>
        <v/>
      </c>
      <c r="DY211" s="28" t="str">
        <f>IFERROR(VLOOKUP(DW211,Horarios!$H:$I,2,0),"")</f>
        <v/>
      </c>
      <c r="DZ211" s="28" t="str">
        <f t="shared" si="166"/>
        <v>00:00</v>
      </c>
      <c r="EA211" s="29"/>
      <c r="EB211" s="31" t="str">
        <f t="shared" si="167"/>
        <v/>
      </c>
      <c r="EC211" s="27"/>
      <c r="ED211" s="27"/>
      <c r="EE211" s="28" t="str">
        <f>IFERROR(VLOOKUP(EC211,Horarios!$H:$I,2,0),"")</f>
        <v/>
      </c>
      <c r="EF211" s="28" t="str">
        <f>IFERROR(VLOOKUP(ED211,Horarios!$H:$I,2,0),"")</f>
        <v/>
      </c>
      <c r="EG211" s="28" t="str">
        <f t="shared" si="168"/>
        <v>00:00</v>
      </c>
      <c r="EH211" s="29"/>
      <c r="EI211" s="27"/>
      <c r="EJ211" s="27"/>
      <c r="EK211" s="28" t="str">
        <f>IFERROR(VLOOKUP(EI211,Horarios!$H:$I,2,0),"")</f>
        <v/>
      </c>
      <c r="EL211" s="28" t="str">
        <f>IFERROR(VLOOKUP(EJ211,Horarios!$H:$I,2,0),"")</f>
        <v/>
      </c>
      <c r="EM211" s="28" t="str">
        <f t="shared" si="169"/>
        <v>00:00</v>
      </c>
      <c r="EN211" s="29"/>
      <c r="EO211" s="27"/>
      <c r="EP211" s="27"/>
      <c r="EQ211" s="28" t="str">
        <f>IFERROR(VLOOKUP(EO211,Horarios!$H:$I,2,0),"")</f>
        <v/>
      </c>
      <c r="ER211" s="28" t="str">
        <f>IFERROR(VLOOKUP(EP211,Horarios!$H:$I,2,0),"")</f>
        <v/>
      </c>
      <c r="ES211" s="28" t="str">
        <f t="shared" si="170"/>
        <v>00:00</v>
      </c>
      <c r="ET211" s="29"/>
      <c r="EU211" s="27"/>
      <c r="EV211" s="27"/>
      <c r="EW211" s="28" t="str">
        <f>IFERROR(VLOOKUP(EU211,Horarios!$H:$I,2,0),"")</f>
        <v/>
      </c>
      <c r="EX211" s="28" t="str">
        <f>IFERROR(VLOOKUP(EV211,Horarios!$H:$I,2,0),"")</f>
        <v/>
      </c>
      <c r="EY211" s="28" t="str">
        <f t="shared" si="171"/>
        <v>00:00</v>
      </c>
      <c r="EZ211" s="29"/>
      <c r="FA211" s="27"/>
      <c r="FB211" s="27"/>
      <c r="FC211" s="28" t="str">
        <f>IFERROR(VLOOKUP(FA211,Horarios!$H:$I,2,0),"")</f>
        <v/>
      </c>
      <c r="FD211" s="28" t="str">
        <f>IFERROR(VLOOKUP(FB211,Horarios!$H:$I,2,0),"")</f>
        <v/>
      </c>
      <c r="FE211" s="28" t="str">
        <f t="shared" si="172"/>
        <v>00:00</v>
      </c>
      <c r="FF211" s="29"/>
      <c r="FG211" s="27"/>
      <c r="FH211" s="27"/>
      <c r="FI211" s="28" t="str">
        <f>IFERROR(VLOOKUP(FG211,Horarios!$H:$I,2,0),"")</f>
        <v/>
      </c>
      <c r="FJ211" s="28" t="str">
        <f>IFERROR(VLOOKUP(FH211,Horarios!$H:$I,2,0),"")</f>
        <v/>
      </c>
      <c r="FK211" s="28" t="str">
        <f t="shared" si="173"/>
        <v>00:00</v>
      </c>
      <c r="FL211" s="29"/>
      <c r="FM211" s="27"/>
      <c r="FN211" s="27"/>
      <c r="FO211" s="28" t="str">
        <f>IFERROR(VLOOKUP(FM211,Horarios!$H:$I,2,0),"")</f>
        <v/>
      </c>
      <c r="FP211" s="28" t="str">
        <f>IFERROR(VLOOKUP(FN211,Horarios!$H:$I,2,0),"")</f>
        <v/>
      </c>
      <c r="FQ211" s="28" t="str">
        <f t="shared" si="174"/>
        <v>00:00</v>
      </c>
      <c r="FR211" s="29"/>
      <c r="FS211" s="31" t="str">
        <f t="shared" si="175"/>
        <v/>
      </c>
      <c r="FT211" s="27"/>
      <c r="FU211" s="27"/>
      <c r="FV211" s="28" t="str">
        <f>IFERROR(VLOOKUP(FT211,Horarios!$H:$I,2,0),"")</f>
        <v/>
      </c>
      <c r="FW211" s="28" t="str">
        <f>IFERROR(VLOOKUP(FU211,Horarios!$H:$I,2,0),"")</f>
        <v/>
      </c>
      <c r="FX211" s="28" t="str">
        <f t="shared" si="176"/>
        <v>00:00</v>
      </c>
      <c r="FY211" s="29"/>
      <c r="FZ211" s="27"/>
      <c r="GA211" s="27"/>
      <c r="GB211" s="28" t="str">
        <f>IFERROR(VLOOKUP(FZ211,Horarios!$H:$I,2,0),"")</f>
        <v/>
      </c>
      <c r="GC211" s="28" t="str">
        <f>IFERROR(VLOOKUP(GA211,Horarios!$H:$I,2,0),"")</f>
        <v/>
      </c>
      <c r="GD211" s="28" t="str">
        <f t="shared" si="177"/>
        <v>00:00</v>
      </c>
      <c r="GE211" s="29"/>
      <c r="GF211" s="27"/>
      <c r="GG211" s="27"/>
      <c r="GH211" s="28" t="str">
        <f>IFERROR(VLOOKUP(GF211,Horarios!$H:$I,2,0),"")</f>
        <v/>
      </c>
      <c r="GI211" s="28" t="str">
        <f>IFERROR(VLOOKUP(GG211,Horarios!$H:$I,2,0),"")</f>
        <v/>
      </c>
      <c r="GJ211" s="28" t="str">
        <f t="shared" si="178"/>
        <v>00:00</v>
      </c>
      <c r="GK211" s="29"/>
      <c r="GL211" s="27"/>
      <c r="GM211" s="27"/>
      <c r="GN211" s="28" t="str">
        <f>IFERROR(VLOOKUP(GL211,Horarios!$H:$I,2,0),"")</f>
        <v/>
      </c>
      <c r="GO211" s="28" t="str">
        <f>IFERROR(VLOOKUP(GM211,Horarios!$H:$I,2,0),"")</f>
        <v/>
      </c>
      <c r="GP211" s="28" t="str">
        <f t="shared" si="179"/>
        <v>00:00</v>
      </c>
      <c r="GQ211" s="29"/>
      <c r="GR211" s="27"/>
      <c r="GS211" s="27"/>
      <c r="GT211" s="28" t="str">
        <f>IFERROR(VLOOKUP(GR211,Horarios!$H:$I,2,0),"")</f>
        <v/>
      </c>
      <c r="GU211" s="28" t="str">
        <f>IFERROR(VLOOKUP(GS211,Horarios!$H:$I,2,0),"")</f>
        <v/>
      </c>
      <c r="GV211" s="28" t="str">
        <f t="shared" si="180"/>
        <v>00:00</v>
      </c>
      <c r="GW211" s="29"/>
      <c r="GX211" s="27"/>
      <c r="GY211" s="27"/>
      <c r="GZ211" s="28" t="str">
        <f>IFERROR(VLOOKUP(GX211,Horarios!$H:$I,2,0),"")</f>
        <v/>
      </c>
      <c r="HA211" s="28" t="str">
        <f>IFERROR(VLOOKUP(GY211,Horarios!$H:$I,2,0),"")</f>
        <v/>
      </c>
      <c r="HB211" s="28" t="str">
        <f t="shared" si="181"/>
        <v>00:00</v>
      </c>
      <c r="HC211" s="29"/>
      <c r="HD211" s="27"/>
      <c r="HE211" s="27"/>
      <c r="HF211" s="28" t="str">
        <f>IFERROR(VLOOKUP(HD211,Horarios!$H:$I,2,0),"")</f>
        <v/>
      </c>
      <c r="HG211" s="28" t="str">
        <f>IFERROR(VLOOKUP(HE211,Horarios!$H:$I,2,0),"")</f>
        <v/>
      </c>
      <c r="HH211" s="28" t="str">
        <f t="shared" si="182"/>
        <v>00:00</v>
      </c>
      <c r="HI211" s="29"/>
      <c r="HJ211" s="31" t="str">
        <f t="shared" si="183"/>
        <v/>
      </c>
      <c r="HK211" s="27"/>
      <c r="HL211" s="27"/>
      <c r="HM211" s="28" t="str">
        <f>IFERROR(VLOOKUP(HK211,Horarios!$H:$I,2,0),"")</f>
        <v/>
      </c>
      <c r="HN211" s="28" t="str">
        <f>IFERROR(VLOOKUP(HL211,Horarios!$H:$I,2,0),"")</f>
        <v/>
      </c>
      <c r="HO211" s="28" t="str">
        <f t="shared" si="184"/>
        <v>00:00</v>
      </c>
      <c r="HP211" s="29"/>
      <c r="HQ211" s="27"/>
      <c r="HR211" s="27"/>
      <c r="HS211" s="28" t="str">
        <f>IFERROR(VLOOKUP(HQ211,Horarios!$H:$I,2,0),"")</f>
        <v/>
      </c>
      <c r="HT211" s="28" t="str">
        <f>IFERROR(VLOOKUP(HR211,Horarios!$H:$I,2,0),"")</f>
        <v/>
      </c>
      <c r="HU211" s="28" t="str">
        <f t="shared" si="185"/>
        <v>00:00</v>
      </c>
      <c r="HV211" s="29"/>
      <c r="HW211" s="27"/>
      <c r="HX211" s="27"/>
      <c r="HY211" s="28" t="str">
        <f>IFERROR(VLOOKUP(HW211,Horarios!$H:$I,2,0),"")</f>
        <v/>
      </c>
      <c r="HZ211" s="28" t="str">
        <f>IFERROR(VLOOKUP(HX211,Horarios!$H:$I,2,0),"")</f>
        <v/>
      </c>
      <c r="IA211" s="28" t="str">
        <f t="shared" si="186"/>
        <v>00:00</v>
      </c>
      <c r="IB211" s="29"/>
      <c r="IC211" s="27"/>
      <c r="ID211" s="27"/>
      <c r="IE211" s="28" t="str">
        <f>IFERROR(VLOOKUP(IC211,Horarios!$H:$I,2,0),"")</f>
        <v/>
      </c>
      <c r="IF211" s="28" t="str">
        <f>IFERROR(VLOOKUP(ID211,Horarios!$H:$I,2,0),"")</f>
        <v/>
      </c>
      <c r="IG211" s="28" t="str">
        <f t="shared" si="187"/>
        <v>00:00</v>
      </c>
      <c r="IH211" s="29"/>
      <c r="II211" s="27"/>
      <c r="IJ211" s="27"/>
      <c r="IK211" s="28" t="str">
        <f>IFERROR(VLOOKUP(II211,Horarios!$H:$I,2,0),"")</f>
        <v/>
      </c>
      <c r="IL211" s="28" t="str">
        <f>IFERROR(VLOOKUP(IJ211,Horarios!$H:$I,2,0),"")</f>
        <v/>
      </c>
      <c r="IM211" s="28" t="str">
        <f t="shared" si="188"/>
        <v>00:00</v>
      </c>
      <c r="IN211" s="29"/>
      <c r="IO211" s="27"/>
      <c r="IP211" s="27"/>
      <c r="IQ211" s="28" t="str">
        <f>IFERROR(VLOOKUP(IO211,Horarios!$H:$I,2,0),"")</f>
        <v/>
      </c>
      <c r="IR211" s="28" t="str">
        <f>IFERROR(VLOOKUP(IP211,Horarios!$H:$I,2,0),"")</f>
        <v/>
      </c>
      <c r="IS211" s="28" t="str">
        <f t="shared" si="189"/>
        <v>00:00</v>
      </c>
      <c r="IT211" s="29"/>
      <c r="IU211" s="27"/>
      <c r="IV211" s="27"/>
      <c r="IW211" s="28" t="str">
        <f>IFERROR(VLOOKUP(IU211,Horarios!$H:$I,2,0),"")</f>
        <v/>
      </c>
      <c r="IX211" s="28" t="str">
        <f>IFERROR(VLOOKUP(IV211,Horarios!$H:$I,2,0),"")</f>
        <v/>
      </c>
      <c r="IY211" s="28" t="str">
        <f t="shared" si="190"/>
        <v>00:00</v>
      </c>
      <c r="IZ211" s="29"/>
      <c r="JA211" s="31" t="str">
        <f t="shared" si="191"/>
        <v/>
      </c>
    </row>
    <row r="212" spans="1:261" s="24" customFormat="1" ht="17.399999999999999" x14ac:dyDescent="0.25">
      <c r="A212" s="25"/>
      <c r="B212" s="26" t="str">
        <f>IFERROR(VLOOKUP(A212,BaseNombres!A:B,2,0),"")</f>
        <v/>
      </c>
      <c r="C212" s="26" t="str">
        <f>IFERROR(VLOOKUP(A212,BaseNombres!A:C,3,0),"")</f>
        <v/>
      </c>
      <c r="D212" s="27"/>
      <c r="E212" s="27"/>
      <c r="F212" s="28" t="str">
        <f>IFERROR(VLOOKUP(D212,Horarios!$H:$I,2,0),"")</f>
        <v/>
      </c>
      <c r="G212" s="28" t="str">
        <f>IFERROR(VLOOKUP(E212,Horarios!$H:$I,2,0),"")</f>
        <v/>
      </c>
      <c r="H212" s="28" t="str">
        <f t="shared" si="144"/>
        <v>00:00</v>
      </c>
      <c r="I212" s="29"/>
      <c r="J212" s="27"/>
      <c r="K212" s="27"/>
      <c r="L212" s="28" t="str">
        <f>IFERROR(VLOOKUP(J212,Horarios!$H:$I,2,0),"")</f>
        <v/>
      </c>
      <c r="M212" s="28" t="str">
        <f>IFERROR(VLOOKUP(K212,Horarios!$H:$I,2,0),"")</f>
        <v/>
      </c>
      <c r="N212" s="28" t="str">
        <f t="shared" si="145"/>
        <v>00:00</v>
      </c>
      <c r="O212" s="29"/>
      <c r="P212" s="27"/>
      <c r="Q212" s="27"/>
      <c r="R212" s="28" t="str">
        <f>IFERROR(VLOOKUP(P212,Horarios!$H:$I,2,0),"")</f>
        <v/>
      </c>
      <c r="S212" s="28" t="str">
        <f>IFERROR(VLOOKUP(Q212,Horarios!$H:$I,2,0),"")</f>
        <v/>
      </c>
      <c r="T212" s="28" t="str">
        <f t="shared" si="146"/>
        <v>00:00</v>
      </c>
      <c r="U212" s="29"/>
      <c r="V212" s="27"/>
      <c r="W212" s="27"/>
      <c r="X212" s="28" t="str">
        <f>IFERROR(VLOOKUP(V212,Horarios!$H:$I,2,0),"")</f>
        <v/>
      </c>
      <c r="Y212" s="28" t="str">
        <f>IFERROR(VLOOKUP(W212,Horarios!$H:$I,2,0),"")</f>
        <v/>
      </c>
      <c r="Z212" s="28" t="str">
        <f t="shared" si="147"/>
        <v>00:00</v>
      </c>
      <c r="AA212" s="29"/>
      <c r="AB212" s="27"/>
      <c r="AC212" s="27"/>
      <c r="AD212" s="28" t="str">
        <f>IFERROR(VLOOKUP(AB212,Horarios!$H:$I,2,0),"")</f>
        <v/>
      </c>
      <c r="AE212" s="28" t="str">
        <f>IFERROR(VLOOKUP(AC212,Horarios!$H:$I,2,0),"")</f>
        <v/>
      </c>
      <c r="AF212" s="28" t="str">
        <f t="shared" si="148"/>
        <v>00:00</v>
      </c>
      <c r="AG212" s="29"/>
      <c r="AH212" s="27"/>
      <c r="AI212" s="27"/>
      <c r="AJ212" s="28" t="str">
        <f>IFERROR(VLOOKUP(AH212,Horarios!$H:$I,2,0),"")</f>
        <v/>
      </c>
      <c r="AK212" s="28" t="str">
        <f>IFERROR(VLOOKUP(AI212,Horarios!$H:$I,2,0),"")</f>
        <v/>
      </c>
      <c r="AL212" s="28" t="str">
        <f t="shared" si="149"/>
        <v>00:00</v>
      </c>
      <c r="AM212" s="29"/>
      <c r="AN212" s="27"/>
      <c r="AO212" s="27"/>
      <c r="AP212" s="28" t="str">
        <f>IFERROR(VLOOKUP(AN212,Horarios!$H:$I,2,0),"")</f>
        <v/>
      </c>
      <c r="AQ212" s="28" t="str">
        <f>IFERROR(VLOOKUP(AO212,Horarios!$H:$I,2,0),"")</f>
        <v/>
      </c>
      <c r="AR212" s="28" t="str">
        <f t="shared" si="150"/>
        <v>00:00</v>
      </c>
      <c r="AS212" s="29"/>
      <c r="AT212" s="31" t="str">
        <f t="shared" si="151"/>
        <v/>
      </c>
      <c r="AU212" s="27"/>
      <c r="AV212" s="27"/>
      <c r="AW212" s="28" t="str">
        <f>IFERROR(VLOOKUP(AU212,Horarios!$H:$I,2,0),"")</f>
        <v/>
      </c>
      <c r="AX212" s="28" t="str">
        <f>IFERROR(VLOOKUP(AV212,Horarios!$H:$I,2,0),"")</f>
        <v/>
      </c>
      <c r="AY212" s="28" t="str">
        <f t="shared" si="152"/>
        <v>00:00</v>
      </c>
      <c r="AZ212" s="29"/>
      <c r="BA212" s="27"/>
      <c r="BB212" s="27"/>
      <c r="BC212" s="28" t="str">
        <f>IFERROR(VLOOKUP(BA212,Horarios!$H:$I,2,0),"")</f>
        <v/>
      </c>
      <c r="BD212" s="28" t="str">
        <f>IFERROR(VLOOKUP(BB212,Horarios!$H:$I,2,0),"")</f>
        <v/>
      </c>
      <c r="BE212" s="28" t="str">
        <f t="shared" si="153"/>
        <v>00:00</v>
      </c>
      <c r="BF212" s="29"/>
      <c r="BG212" s="27"/>
      <c r="BH212" s="27"/>
      <c r="BI212" s="28" t="str">
        <f>IFERROR(VLOOKUP(BG212,Horarios!$H:$I,2,0),"")</f>
        <v/>
      </c>
      <c r="BJ212" s="28" t="str">
        <f>IFERROR(VLOOKUP(BH212,Horarios!$H:$I,2,0),"")</f>
        <v/>
      </c>
      <c r="BK212" s="28" t="str">
        <f t="shared" si="154"/>
        <v>00:00</v>
      </c>
      <c r="BL212" s="29"/>
      <c r="BM212" s="27"/>
      <c r="BN212" s="27"/>
      <c r="BO212" s="28" t="str">
        <f>IFERROR(VLOOKUP(BM212,Horarios!$H:$I,2,0),"")</f>
        <v/>
      </c>
      <c r="BP212" s="28" t="str">
        <f>IFERROR(VLOOKUP(BN212,Horarios!$H:$I,2,0),"")</f>
        <v/>
      </c>
      <c r="BQ212" s="28" t="str">
        <f t="shared" si="155"/>
        <v>00:00</v>
      </c>
      <c r="BR212" s="29"/>
      <c r="BS212" s="27"/>
      <c r="BT212" s="27"/>
      <c r="BU212" s="28" t="str">
        <f>IFERROR(VLOOKUP(BS212,Horarios!$H:$I,2,0),"")</f>
        <v/>
      </c>
      <c r="BV212" s="28" t="str">
        <f>IFERROR(VLOOKUP(BT212,Horarios!$H:$I,2,0),"")</f>
        <v/>
      </c>
      <c r="BW212" s="28" t="str">
        <f t="shared" si="156"/>
        <v>00:00</v>
      </c>
      <c r="BX212" s="29"/>
      <c r="BY212" s="27"/>
      <c r="BZ212" s="27"/>
      <c r="CA212" s="28" t="str">
        <f>IFERROR(VLOOKUP(BY212,Horarios!$H:$I,2,0),"")</f>
        <v/>
      </c>
      <c r="CB212" s="28" t="str">
        <f>IFERROR(VLOOKUP(BZ212,Horarios!$H:$I,2,0),"")</f>
        <v/>
      </c>
      <c r="CC212" s="28" t="str">
        <f t="shared" si="157"/>
        <v>00:00</v>
      </c>
      <c r="CD212" s="29"/>
      <c r="CE212" s="27"/>
      <c r="CF212" s="27"/>
      <c r="CG212" s="28" t="str">
        <f>IFERROR(VLOOKUP(CE212,Horarios!$H:$I,2,0),"")</f>
        <v/>
      </c>
      <c r="CH212" s="28" t="str">
        <f>IFERROR(VLOOKUP(CF212,Horarios!$H:$I,2,0),"")</f>
        <v/>
      </c>
      <c r="CI212" s="28" t="str">
        <f t="shared" si="158"/>
        <v>00:00</v>
      </c>
      <c r="CJ212" s="29"/>
      <c r="CK212" s="31" t="str">
        <f t="shared" si="159"/>
        <v/>
      </c>
      <c r="CL212" s="27"/>
      <c r="CM212" s="27"/>
      <c r="CN212" s="28" t="str">
        <f>IFERROR(VLOOKUP(CL212,Horarios!$H:$I,2,0),"")</f>
        <v/>
      </c>
      <c r="CO212" s="28" t="str">
        <f>IFERROR(VLOOKUP(CM212,Horarios!$H:$I,2,0),"")</f>
        <v/>
      </c>
      <c r="CP212" s="28" t="str">
        <f t="shared" si="160"/>
        <v>00:00</v>
      </c>
      <c r="CQ212" s="29"/>
      <c r="CR212" s="27"/>
      <c r="CS212" s="27"/>
      <c r="CT212" s="28" t="str">
        <f>IFERROR(VLOOKUP(CR212,Horarios!$H:$I,2,0),"")</f>
        <v/>
      </c>
      <c r="CU212" s="28" t="str">
        <f>IFERROR(VLOOKUP(CS212,Horarios!$H:$I,2,0),"")</f>
        <v/>
      </c>
      <c r="CV212" s="28" t="str">
        <f t="shared" si="161"/>
        <v>00:00</v>
      </c>
      <c r="CW212" s="29"/>
      <c r="CX212" s="27"/>
      <c r="CY212" s="27"/>
      <c r="CZ212" s="28" t="str">
        <f>IFERROR(VLOOKUP(CX212,Horarios!$H:$I,2,0),"")</f>
        <v/>
      </c>
      <c r="DA212" s="28" t="str">
        <f>IFERROR(VLOOKUP(CY212,Horarios!$H:$I,2,0),"")</f>
        <v/>
      </c>
      <c r="DB212" s="28" t="str">
        <f t="shared" si="162"/>
        <v>00:00</v>
      </c>
      <c r="DC212" s="29"/>
      <c r="DD212" s="27"/>
      <c r="DE212" s="27"/>
      <c r="DF212" s="28" t="str">
        <f>IFERROR(VLOOKUP(DD212,Horarios!$H:$I,2,0),"")</f>
        <v/>
      </c>
      <c r="DG212" s="28" t="str">
        <f>IFERROR(VLOOKUP(DE212,Horarios!$H:$I,2,0),"")</f>
        <v/>
      </c>
      <c r="DH212" s="28" t="str">
        <f t="shared" si="163"/>
        <v>00:00</v>
      </c>
      <c r="DI212" s="29"/>
      <c r="DJ212" s="27"/>
      <c r="DK212" s="27"/>
      <c r="DL212" s="28" t="str">
        <f>IFERROR(VLOOKUP(DJ212,Horarios!$H:$I,2,0),"")</f>
        <v/>
      </c>
      <c r="DM212" s="28" t="str">
        <f>IFERROR(VLOOKUP(DK212,Horarios!$H:$I,2,0),"")</f>
        <v/>
      </c>
      <c r="DN212" s="28" t="str">
        <f t="shared" si="164"/>
        <v>00:00</v>
      </c>
      <c r="DO212" s="29"/>
      <c r="DP212" s="27"/>
      <c r="DQ212" s="27"/>
      <c r="DR212" s="28" t="str">
        <f>IFERROR(VLOOKUP(DP212,Horarios!$H:$I,2,0),"")</f>
        <v/>
      </c>
      <c r="DS212" s="28" t="str">
        <f>IFERROR(VLOOKUP(DQ212,Horarios!$H:$I,2,0),"")</f>
        <v/>
      </c>
      <c r="DT212" s="28" t="str">
        <f t="shared" si="165"/>
        <v>00:00</v>
      </c>
      <c r="DU212" s="29"/>
      <c r="DV212" s="27"/>
      <c r="DW212" s="27"/>
      <c r="DX212" s="28" t="str">
        <f>IFERROR(VLOOKUP(DV212,Horarios!$H:$I,2,0),"")</f>
        <v/>
      </c>
      <c r="DY212" s="28" t="str">
        <f>IFERROR(VLOOKUP(DW212,Horarios!$H:$I,2,0),"")</f>
        <v/>
      </c>
      <c r="DZ212" s="28" t="str">
        <f t="shared" si="166"/>
        <v>00:00</v>
      </c>
      <c r="EA212" s="29"/>
      <c r="EB212" s="31" t="str">
        <f t="shared" si="167"/>
        <v/>
      </c>
      <c r="EC212" s="27"/>
      <c r="ED212" s="27"/>
      <c r="EE212" s="28" t="str">
        <f>IFERROR(VLOOKUP(EC212,Horarios!$H:$I,2,0),"")</f>
        <v/>
      </c>
      <c r="EF212" s="28" t="str">
        <f>IFERROR(VLOOKUP(ED212,Horarios!$H:$I,2,0),"")</f>
        <v/>
      </c>
      <c r="EG212" s="28" t="str">
        <f t="shared" si="168"/>
        <v>00:00</v>
      </c>
      <c r="EH212" s="29"/>
      <c r="EI212" s="27"/>
      <c r="EJ212" s="27"/>
      <c r="EK212" s="28" t="str">
        <f>IFERROR(VLOOKUP(EI212,Horarios!$H:$I,2,0),"")</f>
        <v/>
      </c>
      <c r="EL212" s="28" t="str">
        <f>IFERROR(VLOOKUP(EJ212,Horarios!$H:$I,2,0),"")</f>
        <v/>
      </c>
      <c r="EM212" s="28" t="str">
        <f t="shared" si="169"/>
        <v>00:00</v>
      </c>
      <c r="EN212" s="29"/>
      <c r="EO212" s="27"/>
      <c r="EP212" s="27"/>
      <c r="EQ212" s="28" t="str">
        <f>IFERROR(VLOOKUP(EO212,Horarios!$H:$I,2,0),"")</f>
        <v/>
      </c>
      <c r="ER212" s="28" t="str">
        <f>IFERROR(VLOOKUP(EP212,Horarios!$H:$I,2,0),"")</f>
        <v/>
      </c>
      <c r="ES212" s="28" t="str">
        <f t="shared" si="170"/>
        <v>00:00</v>
      </c>
      <c r="ET212" s="29"/>
      <c r="EU212" s="27"/>
      <c r="EV212" s="27"/>
      <c r="EW212" s="28" t="str">
        <f>IFERROR(VLOOKUP(EU212,Horarios!$H:$I,2,0),"")</f>
        <v/>
      </c>
      <c r="EX212" s="28" t="str">
        <f>IFERROR(VLOOKUP(EV212,Horarios!$H:$I,2,0),"")</f>
        <v/>
      </c>
      <c r="EY212" s="28" t="str">
        <f t="shared" si="171"/>
        <v>00:00</v>
      </c>
      <c r="EZ212" s="29"/>
      <c r="FA212" s="27"/>
      <c r="FB212" s="27"/>
      <c r="FC212" s="28" t="str">
        <f>IFERROR(VLOOKUP(FA212,Horarios!$H:$I,2,0),"")</f>
        <v/>
      </c>
      <c r="FD212" s="28" t="str">
        <f>IFERROR(VLOOKUP(FB212,Horarios!$H:$I,2,0),"")</f>
        <v/>
      </c>
      <c r="FE212" s="28" t="str">
        <f t="shared" si="172"/>
        <v>00:00</v>
      </c>
      <c r="FF212" s="29"/>
      <c r="FG212" s="27"/>
      <c r="FH212" s="27"/>
      <c r="FI212" s="28" t="str">
        <f>IFERROR(VLOOKUP(FG212,Horarios!$H:$I,2,0),"")</f>
        <v/>
      </c>
      <c r="FJ212" s="28" t="str">
        <f>IFERROR(VLOOKUP(FH212,Horarios!$H:$I,2,0),"")</f>
        <v/>
      </c>
      <c r="FK212" s="28" t="str">
        <f t="shared" si="173"/>
        <v>00:00</v>
      </c>
      <c r="FL212" s="29"/>
      <c r="FM212" s="27"/>
      <c r="FN212" s="27"/>
      <c r="FO212" s="28" t="str">
        <f>IFERROR(VLOOKUP(FM212,Horarios!$H:$I,2,0),"")</f>
        <v/>
      </c>
      <c r="FP212" s="28" t="str">
        <f>IFERROR(VLOOKUP(FN212,Horarios!$H:$I,2,0),"")</f>
        <v/>
      </c>
      <c r="FQ212" s="28" t="str">
        <f t="shared" si="174"/>
        <v>00:00</v>
      </c>
      <c r="FR212" s="29"/>
      <c r="FS212" s="31" t="str">
        <f t="shared" si="175"/>
        <v/>
      </c>
      <c r="FT212" s="27"/>
      <c r="FU212" s="27"/>
      <c r="FV212" s="28" t="str">
        <f>IFERROR(VLOOKUP(FT212,Horarios!$H:$I,2,0),"")</f>
        <v/>
      </c>
      <c r="FW212" s="28" t="str">
        <f>IFERROR(VLOOKUP(FU212,Horarios!$H:$I,2,0),"")</f>
        <v/>
      </c>
      <c r="FX212" s="28" t="str">
        <f t="shared" si="176"/>
        <v>00:00</v>
      </c>
      <c r="FY212" s="29"/>
      <c r="FZ212" s="27"/>
      <c r="GA212" s="27"/>
      <c r="GB212" s="28" t="str">
        <f>IFERROR(VLOOKUP(FZ212,Horarios!$H:$I,2,0),"")</f>
        <v/>
      </c>
      <c r="GC212" s="28" t="str">
        <f>IFERROR(VLOOKUP(GA212,Horarios!$H:$I,2,0),"")</f>
        <v/>
      </c>
      <c r="GD212" s="28" t="str">
        <f t="shared" si="177"/>
        <v>00:00</v>
      </c>
      <c r="GE212" s="29"/>
      <c r="GF212" s="27"/>
      <c r="GG212" s="27"/>
      <c r="GH212" s="28" t="str">
        <f>IFERROR(VLOOKUP(GF212,Horarios!$H:$I,2,0),"")</f>
        <v/>
      </c>
      <c r="GI212" s="28" t="str">
        <f>IFERROR(VLOOKUP(GG212,Horarios!$H:$I,2,0),"")</f>
        <v/>
      </c>
      <c r="GJ212" s="28" t="str">
        <f t="shared" si="178"/>
        <v>00:00</v>
      </c>
      <c r="GK212" s="29"/>
      <c r="GL212" s="27"/>
      <c r="GM212" s="27"/>
      <c r="GN212" s="28" t="str">
        <f>IFERROR(VLOOKUP(GL212,Horarios!$H:$I,2,0),"")</f>
        <v/>
      </c>
      <c r="GO212" s="28" t="str">
        <f>IFERROR(VLOOKUP(GM212,Horarios!$H:$I,2,0),"")</f>
        <v/>
      </c>
      <c r="GP212" s="28" t="str">
        <f t="shared" si="179"/>
        <v>00:00</v>
      </c>
      <c r="GQ212" s="29"/>
      <c r="GR212" s="27"/>
      <c r="GS212" s="27"/>
      <c r="GT212" s="28" t="str">
        <f>IFERROR(VLOOKUP(GR212,Horarios!$H:$I,2,0),"")</f>
        <v/>
      </c>
      <c r="GU212" s="28" t="str">
        <f>IFERROR(VLOOKUP(GS212,Horarios!$H:$I,2,0),"")</f>
        <v/>
      </c>
      <c r="GV212" s="28" t="str">
        <f t="shared" si="180"/>
        <v>00:00</v>
      </c>
      <c r="GW212" s="29"/>
      <c r="GX212" s="27"/>
      <c r="GY212" s="27"/>
      <c r="GZ212" s="28" t="str">
        <f>IFERROR(VLOOKUP(GX212,Horarios!$H:$I,2,0),"")</f>
        <v/>
      </c>
      <c r="HA212" s="28" t="str">
        <f>IFERROR(VLOOKUP(GY212,Horarios!$H:$I,2,0),"")</f>
        <v/>
      </c>
      <c r="HB212" s="28" t="str">
        <f t="shared" si="181"/>
        <v>00:00</v>
      </c>
      <c r="HC212" s="29"/>
      <c r="HD212" s="27"/>
      <c r="HE212" s="27"/>
      <c r="HF212" s="28" t="str">
        <f>IFERROR(VLOOKUP(HD212,Horarios!$H:$I,2,0),"")</f>
        <v/>
      </c>
      <c r="HG212" s="28" t="str">
        <f>IFERROR(VLOOKUP(HE212,Horarios!$H:$I,2,0),"")</f>
        <v/>
      </c>
      <c r="HH212" s="28" t="str">
        <f t="shared" si="182"/>
        <v>00:00</v>
      </c>
      <c r="HI212" s="29"/>
      <c r="HJ212" s="31" t="str">
        <f t="shared" si="183"/>
        <v/>
      </c>
      <c r="HK212" s="27"/>
      <c r="HL212" s="27"/>
      <c r="HM212" s="28" t="str">
        <f>IFERROR(VLOOKUP(HK212,Horarios!$H:$I,2,0),"")</f>
        <v/>
      </c>
      <c r="HN212" s="28" t="str">
        <f>IFERROR(VLOOKUP(HL212,Horarios!$H:$I,2,0),"")</f>
        <v/>
      </c>
      <c r="HO212" s="28" t="str">
        <f t="shared" si="184"/>
        <v>00:00</v>
      </c>
      <c r="HP212" s="29"/>
      <c r="HQ212" s="27"/>
      <c r="HR212" s="27"/>
      <c r="HS212" s="28" t="str">
        <f>IFERROR(VLOOKUP(HQ212,Horarios!$H:$I,2,0),"")</f>
        <v/>
      </c>
      <c r="HT212" s="28" t="str">
        <f>IFERROR(VLOOKUP(HR212,Horarios!$H:$I,2,0),"")</f>
        <v/>
      </c>
      <c r="HU212" s="28" t="str">
        <f t="shared" si="185"/>
        <v>00:00</v>
      </c>
      <c r="HV212" s="29"/>
      <c r="HW212" s="27"/>
      <c r="HX212" s="27"/>
      <c r="HY212" s="28" t="str">
        <f>IFERROR(VLOOKUP(HW212,Horarios!$H:$I,2,0),"")</f>
        <v/>
      </c>
      <c r="HZ212" s="28" t="str">
        <f>IFERROR(VLOOKUP(HX212,Horarios!$H:$I,2,0),"")</f>
        <v/>
      </c>
      <c r="IA212" s="28" t="str">
        <f t="shared" si="186"/>
        <v>00:00</v>
      </c>
      <c r="IB212" s="29"/>
      <c r="IC212" s="27"/>
      <c r="ID212" s="27"/>
      <c r="IE212" s="28" t="str">
        <f>IFERROR(VLOOKUP(IC212,Horarios!$H:$I,2,0),"")</f>
        <v/>
      </c>
      <c r="IF212" s="28" t="str">
        <f>IFERROR(VLOOKUP(ID212,Horarios!$H:$I,2,0),"")</f>
        <v/>
      </c>
      <c r="IG212" s="28" t="str">
        <f t="shared" si="187"/>
        <v>00:00</v>
      </c>
      <c r="IH212" s="29"/>
      <c r="II212" s="27"/>
      <c r="IJ212" s="27"/>
      <c r="IK212" s="28" t="str">
        <f>IFERROR(VLOOKUP(II212,Horarios!$H:$I,2,0),"")</f>
        <v/>
      </c>
      <c r="IL212" s="28" t="str">
        <f>IFERROR(VLOOKUP(IJ212,Horarios!$H:$I,2,0),"")</f>
        <v/>
      </c>
      <c r="IM212" s="28" t="str">
        <f t="shared" si="188"/>
        <v>00:00</v>
      </c>
      <c r="IN212" s="29"/>
      <c r="IO212" s="27"/>
      <c r="IP212" s="27"/>
      <c r="IQ212" s="28" t="str">
        <f>IFERROR(VLOOKUP(IO212,Horarios!$H:$I,2,0),"")</f>
        <v/>
      </c>
      <c r="IR212" s="28" t="str">
        <f>IFERROR(VLOOKUP(IP212,Horarios!$H:$I,2,0),"")</f>
        <v/>
      </c>
      <c r="IS212" s="28" t="str">
        <f t="shared" si="189"/>
        <v>00:00</v>
      </c>
      <c r="IT212" s="29"/>
      <c r="IU212" s="27"/>
      <c r="IV212" s="27"/>
      <c r="IW212" s="28" t="str">
        <f>IFERROR(VLOOKUP(IU212,Horarios!$H:$I,2,0),"")</f>
        <v/>
      </c>
      <c r="IX212" s="28" t="str">
        <f>IFERROR(VLOOKUP(IV212,Horarios!$H:$I,2,0),"")</f>
        <v/>
      </c>
      <c r="IY212" s="28" t="str">
        <f t="shared" si="190"/>
        <v>00:00</v>
      </c>
      <c r="IZ212" s="29"/>
      <c r="JA212" s="31" t="str">
        <f t="shared" si="191"/>
        <v/>
      </c>
    </row>
    <row r="213" spans="1:261" s="24" customFormat="1" ht="17.399999999999999" x14ac:dyDescent="0.25">
      <c r="A213" s="25"/>
      <c r="B213" s="26" t="str">
        <f>IFERROR(VLOOKUP(A213,BaseNombres!A:B,2,0),"")</f>
        <v/>
      </c>
      <c r="C213" s="26" t="str">
        <f>IFERROR(VLOOKUP(A213,BaseNombres!A:C,3,0),"")</f>
        <v/>
      </c>
      <c r="D213" s="27"/>
      <c r="E213" s="27"/>
      <c r="F213" s="28" t="str">
        <f>IFERROR(VLOOKUP(D213,Horarios!$H:$I,2,0),"")</f>
        <v/>
      </c>
      <c r="G213" s="28" t="str">
        <f>IFERROR(VLOOKUP(E213,Horarios!$H:$I,2,0),"")</f>
        <v/>
      </c>
      <c r="H213" s="28" t="str">
        <f t="shared" si="144"/>
        <v>00:00</v>
      </c>
      <c r="I213" s="29"/>
      <c r="J213" s="27"/>
      <c r="K213" s="27"/>
      <c r="L213" s="28" t="str">
        <f>IFERROR(VLOOKUP(J213,Horarios!$H:$I,2,0),"")</f>
        <v/>
      </c>
      <c r="M213" s="28" t="str">
        <f>IFERROR(VLOOKUP(K213,Horarios!$H:$I,2,0),"")</f>
        <v/>
      </c>
      <c r="N213" s="28" t="str">
        <f t="shared" si="145"/>
        <v>00:00</v>
      </c>
      <c r="O213" s="29"/>
      <c r="P213" s="27"/>
      <c r="Q213" s="27"/>
      <c r="R213" s="28" t="str">
        <f>IFERROR(VLOOKUP(P213,Horarios!$H:$I,2,0),"")</f>
        <v/>
      </c>
      <c r="S213" s="28" t="str">
        <f>IFERROR(VLOOKUP(Q213,Horarios!$H:$I,2,0),"")</f>
        <v/>
      </c>
      <c r="T213" s="28" t="str">
        <f t="shared" si="146"/>
        <v>00:00</v>
      </c>
      <c r="U213" s="29"/>
      <c r="V213" s="27"/>
      <c r="W213" s="27"/>
      <c r="X213" s="28" t="str">
        <f>IFERROR(VLOOKUP(V213,Horarios!$H:$I,2,0),"")</f>
        <v/>
      </c>
      <c r="Y213" s="28" t="str">
        <f>IFERROR(VLOOKUP(W213,Horarios!$H:$I,2,0),"")</f>
        <v/>
      </c>
      <c r="Z213" s="28" t="str">
        <f t="shared" si="147"/>
        <v>00:00</v>
      </c>
      <c r="AA213" s="29"/>
      <c r="AB213" s="27"/>
      <c r="AC213" s="27"/>
      <c r="AD213" s="28" t="str">
        <f>IFERROR(VLOOKUP(AB213,Horarios!$H:$I,2,0),"")</f>
        <v/>
      </c>
      <c r="AE213" s="28" t="str">
        <f>IFERROR(VLOOKUP(AC213,Horarios!$H:$I,2,0),"")</f>
        <v/>
      </c>
      <c r="AF213" s="28" t="str">
        <f t="shared" si="148"/>
        <v>00:00</v>
      </c>
      <c r="AG213" s="29"/>
      <c r="AH213" s="27"/>
      <c r="AI213" s="27"/>
      <c r="AJ213" s="28" t="str">
        <f>IFERROR(VLOOKUP(AH213,Horarios!$H:$I,2,0),"")</f>
        <v/>
      </c>
      <c r="AK213" s="28" t="str">
        <f>IFERROR(VLOOKUP(AI213,Horarios!$H:$I,2,0),"")</f>
        <v/>
      </c>
      <c r="AL213" s="28" t="str">
        <f t="shared" si="149"/>
        <v>00:00</v>
      </c>
      <c r="AM213" s="29"/>
      <c r="AN213" s="27"/>
      <c r="AO213" s="27"/>
      <c r="AP213" s="28" t="str">
        <f>IFERROR(VLOOKUP(AN213,Horarios!$H:$I,2,0),"")</f>
        <v/>
      </c>
      <c r="AQ213" s="28" t="str">
        <f>IFERROR(VLOOKUP(AO213,Horarios!$H:$I,2,0),"")</f>
        <v/>
      </c>
      <c r="AR213" s="28" t="str">
        <f t="shared" si="150"/>
        <v>00:00</v>
      </c>
      <c r="AS213" s="29"/>
      <c r="AT213" s="31" t="str">
        <f t="shared" si="151"/>
        <v/>
      </c>
      <c r="AU213" s="27"/>
      <c r="AV213" s="27"/>
      <c r="AW213" s="28" t="str">
        <f>IFERROR(VLOOKUP(AU213,Horarios!$H:$I,2,0),"")</f>
        <v/>
      </c>
      <c r="AX213" s="28" t="str">
        <f>IFERROR(VLOOKUP(AV213,Horarios!$H:$I,2,0),"")</f>
        <v/>
      </c>
      <c r="AY213" s="28" t="str">
        <f t="shared" si="152"/>
        <v>00:00</v>
      </c>
      <c r="AZ213" s="29"/>
      <c r="BA213" s="27"/>
      <c r="BB213" s="27"/>
      <c r="BC213" s="28" t="str">
        <f>IFERROR(VLOOKUP(BA213,Horarios!$H:$I,2,0),"")</f>
        <v/>
      </c>
      <c r="BD213" s="28" t="str">
        <f>IFERROR(VLOOKUP(BB213,Horarios!$H:$I,2,0),"")</f>
        <v/>
      </c>
      <c r="BE213" s="28" t="str">
        <f t="shared" si="153"/>
        <v>00:00</v>
      </c>
      <c r="BF213" s="29"/>
      <c r="BG213" s="27"/>
      <c r="BH213" s="27"/>
      <c r="BI213" s="28" t="str">
        <f>IFERROR(VLOOKUP(BG213,Horarios!$H:$I,2,0),"")</f>
        <v/>
      </c>
      <c r="BJ213" s="28" t="str">
        <f>IFERROR(VLOOKUP(BH213,Horarios!$H:$I,2,0),"")</f>
        <v/>
      </c>
      <c r="BK213" s="28" t="str">
        <f t="shared" si="154"/>
        <v>00:00</v>
      </c>
      <c r="BL213" s="29"/>
      <c r="BM213" s="27"/>
      <c r="BN213" s="27"/>
      <c r="BO213" s="28" t="str">
        <f>IFERROR(VLOOKUP(BM213,Horarios!$H:$I,2,0),"")</f>
        <v/>
      </c>
      <c r="BP213" s="28" t="str">
        <f>IFERROR(VLOOKUP(BN213,Horarios!$H:$I,2,0),"")</f>
        <v/>
      </c>
      <c r="BQ213" s="28" t="str">
        <f t="shared" si="155"/>
        <v>00:00</v>
      </c>
      <c r="BR213" s="29"/>
      <c r="BS213" s="27"/>
      <c r="BT213" s="27"/>
      <c r="BU213" s="28" t="str">
        <f>IFERROR(VLOOKUP(BS213,Horarios!$H:$I,2,0),"")</f>
        <v/>
      </c>
      <c r="BV213" s="28" t="str">
        <f>IFERROR(VLOOKUP(BT213,Horarios!$H:$I,2,0),"")</f>
        <v/>
      </c>
      <c r="BW213" s="28" t="str">
        <f t="shared" si="156"/>
        <v>00:00</v>
      </c>
      <c r="BX213" s="29"/>
      <c r="BY213" s="27"/>
      <c r="BZ213" s="27"/>
      <c r="CA213" s="28" t="str">
        <f>IFERROR(VLOOKUP(BY213,Horarios!$H:$I,2,0),"")</f>
        <v/>
      </c>
      <c r="CB213" s="28" t="str">
        <f>IFERROR(VLOOKUP(BZ213,Horarios!$H:$I,2,0),"")</f>
        <v/>
      </c>
      <c r="CC213" s="28" t="str">
        <f t="shared" si="157"/>
        <v>00:00</v>
      </c>
      <c r="CD213" s="29"/>
      <c r="CE213" s="27"/>
      <c r="CF213" s="27"/>
      <c r="CG213" s="28" t="str">
        <f>IFERROR(VLOOKUP(CE213,Horarios!$H:$I,2,0),"")</f>
        <v/>
      </c>
      <c r="CH213" s="28" t="str">
        <f>IFERROR(VLOOKUP(CF213,Horarios!$H:$I,2,0),"")</f>
        <v/>
      </c>
      <c r="CI213" s="28" t="str">
        <f t="shared" si="158"/>
        <v>00:00</v>
      </c>
      <c r="CJ213" s="29"/>
      <c r="CK213" s="31" t="str">
        <f t="shared" si="159"/>
        <v/>
      </c>
      <c r="CL213" s="27"/>
      <c r="CM213" s="27"/>
      <c r="CN213" s="28" t="str">
        <f>IFERROR(VLOOKUP(CL213,Horarios!$H:$I,2,0),"")</f>
        <v/>
      </c>
      <c r="CO213" s="28" t="str">
        <f>IFERROR(VLOOKUP(CM213,Horarios!$H:$I,2,0),"")</f>
        <v/>
      </c>
      <c r="CP213" s="28" t="str">
        <f t="shared" si="160"/>
        <v>00:00</v>
      </c>
      <c r="CQ213" s="29"/>
      <c r="CR213" s="27"/>
      <c r="CS213" s="27"/>
      <c r="CT213" s="28" t="str">
        <f>IFERROR(VLOOKUP(CR213,Horarios!$H:$I,2,0),"")</f>
        <v/>
      </c>
      <c r="CU213" s="28" t="str">
        <f>IFERROR(VLOOKUP(CS213,Horarios!$H:$I,2,0),"")</f>
        <v/>
      </c>
      <c r="CV213" s="28" t="str">
        <f t="shared" si="161"/>
        <v>00:00</v>
      </c>
      <c r="CW213" s="29"/>
      <c r="CX213" s="27"/>
      <c r="CY213" s="27"/>
      <c r="CZ213" s="28" t="str">
        <f>IFERROR(VLOOKUP(CX213,Horarios!$H:$I,2,0),"")</f>
        <v/>
      </c>
      <c r="DA213" s="28" t="str">
        <f>IFERROR(VLOOKUP(CY213,Horarios!$H:$I,2,0),"")</f>
        <v/>
      </c>
      <c r="DB213" s="28" t="str">
        <f t="shared" si="162"/>
        <v>00:00</v>
      </c>
      <c r="DC213" s="29"/>
      <c r="DD213" s="27"/>
      <c r="DE213" s="27"/>
      <c r="DF213" s="28" t="str">
        <f>IFERROR(VLOOKUP(DD213,Horarios!$H:$I,2,0),"")</f>
        <v/>
      </c>
      <c r="DG213" s="28" t="str">
        <f>IFERROR(VLOOKUP(DE213,Horarios!$H:$I,2,0),"")</f>
        <v/>
      </c>
      <c r="DH213" s="28" t="str">
        <f t="shared" si="163"/>
        <v>00:00</v>
      </c>
      <c r="DI213" s="29"/>
      <c r="DJ213" s="27"/>
      <c r="DK213" s="27"/>
      <c r="DL213" s="28" t="str">
        <f>IFERROR(VLOOKUP(DJ213,Horarios!$H:$I,2,0),"")</f>
        <v/>
      </c>
      <c r="DM213" s="28" t="str">
        <f>IFERROR(VLOOKUP(DK213,Horarios!$H:$I,2,0),"")</f>
        <v/>
      </c>
      <c r="DN213" s="28" t="str">
        <f t="shared" si="164"/>
        <v>00:00</v>
      </c>
      <c r="DO213" s="29"/>
      <c r="DP213" s="27"/>
      <c r="DQ213" s="27"/>
      <c r="DR213" s="28" t="str">
        <f>IFERROR(VLOOKUP(DP213,Horarios!$H:$I,2,0),"")</f>
        <v/>
      </c>
      <c r="DS213" s="28" t="str">
        <f>IFERROR(VLOOKUP(DQ213,Horarios!$H:$I,2,0),"")</f>
        <v/>
      </c>
      <c r="DT213" s="28" t="str">
        <f t="shared" si="165"/>
        <v>00:00</v>
      </c>
      <c r="DU213" s="29"/>
      <c r="DV213" s="27"/>
      <c r="DW213" s="27"/>
      <c r="DX213" s="28" t="str">
        <f>IFERROR(VLOOKUP(DV213,Horarios!$H:$I,2,0),"")</f>
        <v/>
      </c>
      <c r="DY213" s="28" t="str">
        <f>IFERROR(VLOOKUP(DW213,Horarios!$H:$I,2,0),"")</f>
        <v/>
      </c>
      <c r="DZ213" s="28" t="str">
        <f t="shared" si="166"/>
        <v>00:00</v>
      </c>
      <c r="EA213" s="29"/>
      <c r="EB213" s="31" t="str">
        <f t="shared" si="167"/>
        <v/>
      </c>
      <c r="EC213" s="27"/>
      <c r="ED213" s="27"/>
      <c r="EE213" s="28" t="str">
        <f>IFERROR(VLOOKUP(EC213,Horarios!$H:$I,2,0),"")</f>
        <v/>
      </c>
      <c r="EF213" s="28" t="str">
        <f>IFERROR(VLOOKUP(ED213,Horarios!$H:$I,2,0),"")</f>
        <v/>
      </c>
      <c r="EG213" s="28" t="str">
        <f t="shared" si="168"/>
        <v>00:00</v>
      </c>
      <c r="EH213" s="29"/>
      <c r="EI213" s="27"/>
      <c r="EJ213" s="27"/>
      <c r="EK213" s="28" t="str">
        <f>IFERROR(VLOOKUP(EI213,Horarios!$H:$I,2,0),"")</f>
        <v/>
      </c>
      <c r="EL213" s="28" t="str">
        <f>IFERROR(VLOOKUP(EJ213,Horarios!$H:$I,2,0),"")</f>
        <v/>
      </c>
      <c r="EM213" s="28" t="str">
        <f t="shared" si="169"/>
        <v>00:00</v>
      </c>
      <c r="EN213" s="29"/>
      <c r="EO213" s="27"/>
      <c r="EP213" s="27"/>
      <c r="EQ213" s="28" t="str">
        <f>IFERROR(VLOOKUP(EO213,Horarios!$H:$I,2,0),"")</f>
        <v/>
      </c>
      <c r="ER213" s="28" t="str">
        <f>IFERROR(VLOOKUP(EP213,Horarios!$H:$I,2,0),"")</f>
        <v/>
      </c>
      <c r="ES213" s="28" t="str">
        <f t="shared" si="170"/>
        <v>00:00</v>
      </c>
      <c r="ET213" s="29"/>
      <c r="EU213" s="27"/>
      <c r="EV213" s="27"/>
      <c r="EW213" s="28" t="str">
        <f>IFERROR(VLOOKUP(EU213,Horarios!$H:$I,2,0),"")</f>
        <v/>
      </c>
      <c r="EX213" s="28" t="str">
        <f>IFERROR(VLOOKUP(EV213,Horarios!$H:$I,2,0),"")</f>
        <v/>
      </c>
      <c r="EY213" s="28" t="str">
        <f t="shared" si="171"/>
        <v>00:00</v>
      </c>
      <c r="EZ213" s="29"/>
      <c r="FA213" s="27"/>
      <c r="FB213" s="27"/>
      <c r="FC213" s="28" t="str">
        <f>IFERROR(VLOOKUP(FA213,Horarios!$H:$I,2,0),"")</f>
        <v/>
      </c>
      <c r="FD213" s="28" t="str">
        <f>IFERROR(VLOOKUP(FB213,Horarios!$H:$I,2,0),"")</f>
        <v/>
      </c>
      <c r="FE213" s="28" t="str">
        <f t="shared" si="172"/>
        <v>00:00</v>
      </c>
      <c r="FF213" s="29"/>
      <c r="FG213" s="27"/>
      <c r="FH213" s="27"/>
      <c r="FI213" s="28" t="str">
        <f>IFERROR(VLOOKUP(FG213,Horarios!$H:$I,2,0),"")</f>
        <v/>
      </c>
      <c r="FJ213" s="28" t="str">
        <f>IFERROR(VLOOKUP(FH213,Horarios!$H:$I,2,0),"")</f>
        <v/>
      </c>
      <c r="FK213" s="28" t="str">
        <f t="shared" si="173"/>
        <v>00:00</v>
      </c>
      <c r="FL213" s="29"/>
      <c r="FM213" s="27"/>
      <c r="FN213" s="27"/>
      <c r="FO213" s="28" t="str">
        <f>IFERROR(VLOOKUP(FM213,Horarios!$H:$I,2,0),"")</f>
        <v/>
      </c>
      <c r="FP213" s="28" t="str">
        <f>IFERROR(VLOOKUP(FN213,Horarios!$H:$I,2,0),"")</f>
        <v/>
      </c>
      <c r="FQ213" s="28" t="str">
        <f t="shared" si="174"/>
        <v>00:00</v>
      </c>
      <c r="FR213" s="29"/>
      <c r="FS213" s="31" t="str">
        <f t="shared" si="175"/>
        <v/>
      </c>
      <c r="FT213" s="27"/>
      <c r="FU213" s="27"/>
      <c r="FV213" s="28" t="str">
        <f>IFERROR(VLOOKUP(FT213,Horarios!$H:$I,2,0),"")</f>
        <v/>
      </c>
      <c r="FW213" s="28" t="str">
        <f>IFERROR(VLOOKUP(FU213,Horarios!$H:$I,2,0),"")</f>
        <v/>
      </c>
      <c r="FX213" s="28" t="str">
        <f t="shared" si="176"/>
        <v>00:00</v>
      </c>
      <c r="FY213" s="29"/>
      <c r="FZ213" s="27"/>
      <c r="GA213" s="27"/>
      <c r="GB213" s="28" t="str">
        <f>IFERROR(VLOOKUP(FZ213,Horarios!$H:$I,2,0),"")</f>
        <v/>
      </c>
      <c r="GC213" s="28" t="str">
        <f>IFERROR(VLOOKUP(GA213,Horarios!$H:$I,2,0),"")</f>
        <v/>
      </c>
      <c r="GD213" s="28" t="str">
        <f t="shared" si="177"/>
        <v>00:00</v>
      </c>
      <c r="GE213" s="29"/>
      <c r="GF213" s="27"/>
      <c r="GG213" s="27"/>
      <c r="GH213" s="28" t="str">
        <f>IFERROR(VLOOKUP(GF213,Horarios!$H:$I,2,0),"")</f>
        <v/>
      </c>
      <c r="GI213" s="28" t="str">
        <f>IFERROR(VLOOKUP(GG213,Horarios!$H:$I,2,0),"")</f>
        <v/>
      </c>
      <c r="GJ213" s="28" t="str">
        <f t="shared" si="178"/>
        <v>00:00</v>
      </c>
      <c r="GK213" s="29"/>
      <c r="GL213" s="27"/>
      <c r="GM213" s="27"/>
      <c r="GN213" s="28" t="str">
        <f>IFERROR(VLOOKUP(GL213,Horarios!$H:$I,2,0),"")</f>
        <v/>
      </c>
      <c r="GO213" s="28" t="str">
        <f>IFERROR(VLOOKUP(GM213,Horarios!$H:$I,2,0),"")</f>
        <v/>
      </c>
      <c r="GP213" s="28" t="str">
        <f t="shared" si="179"/>
        <v>00:00</v>
      </c>
      <c r="GQ213" s="29"/>
      <c r="GR213" s="27"/>
      <c r="GS213" s="27"/>
      <c r="GT213" s="28" t="str">
        <f>IFERROR(VLOOKUP(GR213,Horarios!$H:$I,2,0),"")</f>
        <v/>
      </c>
      <c r="GU213" s="28" t="str">
        <f>IFERROR(VLOOKUP(GS213,Horarios!$H:$I,2,0),"")</f>
        <v/>
      </c>
      <c r="GV213" s="28" t="str">
        <f t="shared" si="180"/>
        <v>00:00</v>
      </c>
      <c r="GW213" s="29"/>
      <c r="GX213" s="27"/>
      <c r="GY213" s="27"/>
      <c r="GZ213" s="28" t="str">
        <f>IFERROR(VLOOKUP(GX213,Horarios!$H:$I,2,0),"")</f>
        <v/>
      </c>
      <c r="HA213" s="28" t="str">
        <f>IFERROR(VLOOKUP(GY213,Horarios!$H:$I,2,0),"")</f>
        <v/>
      </c>
      <c r="HB213" s="28" t="str">
        <f t="shared" si="181"/>
        <v>00:00</v>
      </c>
      <c r="HC213" s="29"/>
      <c r="HD213" s="27"/>
      <c r="HE213" s="27"/>
      <c r="HF213" s="28" t="str">
        <f>IFERROR(VLOOKUP(HD213,Horarios!$H:$I,2,0),"")</f>
        <v/>
      </c>
      <c r="HG213" s="28" t="str">
        <f>IFERROR(VLOOKUP(HE213,Horarios!$H:$I,2,0),"")</f>
        <v/>
      </c>
      <c r="HH213" s="28" t="str">
        <f t="shared" si="182"/>
        <v>00:00</v>
      </c>
      <c r="HI213" s="29"/>
      <c r="HJ213" s="31" t="str">
        <f t="shared" si="183"/>
        <v/>
      </c>
      <c r="HK213" s="27"/>
      <c r="HL213" s="27"/>
      <c r="HM213" s="28" t="str">
        <f>IFERROR(VLOOKUP(HK213,Horarios!$H:$I,2,0),"")</f>
        <v/>
      </c>
      <c r="HN213" s="28" t="str">
        <f>IFERROR(VLOOKUP(HL213,Horarios!$H:$I,2,0),"")</f>
        <v/>
      </c>
      <c r="HO213" s="28" t="str">
        <f t="shared" si="184"/>
        <v>00:00</v>
      </c>
      <c r="HP213" s="29"/>
      <c r="HQ213" s="27"/>
      <c r="HR213" s="27"/>
      <c r="HS213" s="28" t="str">
        <f>IFERROR(VLOOKUP(HQ213,Horarios!$H:$I,2,0),"")</f>
        <v/>
      </c>
      <c r="HT213" s="28" t="str">
        <f>IFERROR(VLOOKUP(HR213,Horarios!$H:$I,2,0),"")</f>
        <v/>
      </c>
      <c r="HU213" s="28" t="str">
        <f t="shared" si="185"/>
        <v>00:00</v>
      </c>
      <c r="HV213" s="29"/>
      <c r="HW213" s="27"/>
      <c r="HX213" s="27"/>
      <c r="HY213" s="28" t="str">
        <f>IFERROR(VLOOKUP(HW213,Horarios!$H:$I,2,0),"")</f>
        <v/>
      </c>
      <c r="HZ213" s="28" t="str">
        <f>IFERROR(VLOOKUP(HX213,Horarios!$H:$I,2,0),"")</f>
        <v/>
      </c>
      <c r="IA213" s="28" t="str">
        <f t="shared" si="186"/>
        <v>00:00</v>
      </c>
      <c r="IB213" s="29"/>
      <c r="IC213" s="27"/>
      <c r="ID213" s="27"/>
      <c r="IE213" s="28" t="str">
        <f>IFERROR(VLOOKUP(IC213,Horarios!$H:$I,2,0),"")</f>
        <v/>
      </c>
      <c r="IF213" s="28" t="str">
        <f>IFERROR(VLOOKUP(ID213,Horarios!$H:$I,2,0),"")</f>
        <v/>
      </c>
      <c r="IG213" s="28" t="str">
        <f t="shared" si="187"/>
        <v>00:00</v>
      </c>
      <c r="IH213" s="29"/>
      <c r="II213" s="27"/>
      <c r="IJ213" s="27"/>
      <c r="IK213" s="28" t="str">
        <f>IFERROR(VLOOKUP(II213,Horarios!$H:$I,2,0),"")</f>
        <v/>
      </c>
      <c r="IL213" s="28" t="str">
        <f>IFERROR(VLOOKUP(IJ213,Horarios!$H:$I,2,0),"")</f>
        <v/>
      </c>
      <c r="IM213" s="28" t="str">
        <f t="shared" si="188"/>
        <v>00:00</v>
      </c>
      <c r="IN213" s="29"/>
      <c r="IO213" s="27"/>
      <c r="IP213" s="27"/>
      <c r="IQ213" s="28" t="str">
        <f>IFERROR(VLOOKUP(IO213,Horarios!$H:$I,2,0),"")</f>
        <v/>
      </c>
      <c r="IR213" s="28" t="str">
        <f>IFERROR(VLOOKUP(IP213,Horarios!$H:$I,2,0),"")</f>
        <v/>
      </c>
      <c r="IS213" s="28" t="str">
        <f t="shared" si="189"/>
        <v>00:00</v>
      </c>
      <c r="IT213" s="29"/>
      <c r="IU213" s="27"/>
      <c r="IV213" s="27"/>
      <c r="IW213" s="28" t="str">
        <f>IFERROR(VLOOKUP(IU213,Horarios!$H:$I,2,0),"")</f>
        <v/>
      </c>
      <c r="IX213" s="28" t="str">
        <f>IFERROR(VLOOKUP(IV213,Horarios!$H:$I,2,0),"")</f>
        <v/>
      </c>
      <c r="IY213" s="28" t="str">
        <f t="shared" si="190"/>
        <v>00:00</v>
      </c>
      <c r="IZ213" s="29"/>
      <c r="JA213" s="31" t="str">
        <f t="shared" si="191"/>
        <v/>
      </c>
    </row>
    <row r="214" spans="1:261" s="24" customFormat="1" ht="17.399999999999999" x14ac:dyDescent="0.25">
      <c r="A214" s="25"/>
      <c r="B214" s="26" t="str">
        <f>IFERROR(VLOOKUP(A214,BaseNombres!A:B,2,0),"")</f>
        <v/>
      </c>
      <c r="C214" s="26" t="str">
        <f>IFERROR(VLOOKUP(A214,BaseNombres!A:C,3,0),"")</f>
        <v/>
      </c>
      <c r="D214" s="27"/>
      <c r="E214" s="27"/>
      <c r="F214" s="28" t="str">
        <f>IFERROR(VLOOKUP(D214,Horarios!$H:$I,2,0),"")</f>
        <v/>
      </c>
      <c r="G214" s="28" t="str">
        <f>IFERROR(VLOOKUP(E214,Horarios!$H:$I,2,0),"")</f>
        <v/>
      </c>
      <c r="H214" s="28" t="str">
        <f t="shared" si="144"/>
        <v>00:00</v>
      </c>
      <c r="I214" s="29"/>
      <c r="J214" s="27"/>
      <c r="K214" s="27"/>
      <c r="L214" s="28" t="str">
        <f>IFERROR(VLOOKUP(J214,Horarios!$H:$I,2,0),"")</f>
        <v/>
      </c>
      <c r="M214" s="28" t="str">
        <f>IFERROR(VLOOKUP(K214,Horarios!$H:$I,2,0),"")</f>
        <v/>
      </c>
      <c r="N214" s="28" t="str">
        <f t="shared" si="145"/>
        <v>00:00</v>
      </c>
      <c r="O214" s="29"/>
      <c r="P214" s="27"/>
      <c r="Q214" s="27"/>
      <c r="R214" s="28" t="str">
        <f>IFERROR(VLOOKUP(P214,Horarios!$H:$I,2,0),"")</f>
        <v/>
      </c>
      <c r="S214" s="28" t="str">
        <f>IFERROR(VLOOKUP(Q214,Horarios!$H:$I,2,0),"")</f>
        <v/>
      </c>
      <c r="T214" s="28" t="str">
        <f t="shared" si="146"/>
        <v>00:00</v>
      </c>
      <c r="U214" s="29"/>
      <c r="V214" s="27"/>
      <c r="W214" s="27"/>
      <c r="X214" s="28" t="str">
        <f>IFERROR(VLOOKUP(V214,Horarios!$H:$I,2,0),"")</f>
        <v/>
      </c>
      <c r="Y214" s="28" t="str">
        <f>IFERROR(VLOOKUP(W214,Horarios!$H:$I,2,0),"")</f>
        <v/>
      </c>
      <c r="Z214" s="28" t="str">
        <f t="shared" si="147"/>
        <v>00:00</v>
      </c>
      <c r="AA214" s="29"/>
      <c r="AB214" s="27"/>
      <c r="AC214" s="27"/>
      <c r="AD214" s="28" t="str">
        <f>IFERROR(VLOOKUP(AB214,Horarios!$H:$I,2,0),"")</f>
        <v/>
      </c>
      <c r="AE214" s="28" t="str">
        <f>IFERROR(VLOOKUP(AC214,Horarios!$H:$I,2,0),"")</f>
        <v/>
      </c>
      <c r="AF214" s="28" t="str">
        <f t="shared" si="148"/>
        <v>00:00</v>
      </c>
      <c r="AG214" s="29"/>
      <c r="AH214" s="27"/>
      <c r="AI214" s="27"/>
      <c r="AJ214" s="28" t="str">
        <f>IFERROR(VLOOKUP(AH214,Horarios!$H:$I,2,0),"")</f>
        <v/>
      </c>
      <c r="AK214" s="28" t="str">
        <f>IFERROR(VLOOKUP(AI214,Horarios!$H:$I,2,0),"")</f>
        <v/>
      </c>
      <c r="AL214" s="28" t="str">
        <f t="shared" si="149"/>
        <v>00:00</v>
      </c>
      <c r="AM214" s="29"/>
      <c r="AN214" s="27"/>
      <c r="AO214" s="27"/>
      <c r="AP214" s="28" t="str">
        <f>IFERROR(VLOOKUP(AN214,Horarios!$H:$I,2,0),"")</f>
        <v/>
      </c>
      <c r="AQ214" s="28" t="str">
        <f>IFERROR(VLOOKUP(AO214,Horarios!$H:$I,2,0),"")</f>
        <v/>
      </c>
      <c r="AR214" s="28" t="str">
        <f t="shared" si="150"/>
        <v>00:00</v>
      </c>
      <c r="AS214" s="29"/>
      <c r="AT214" s="31" t="str">
        <f t="shared" si="151"/>
        <v/>
      </c>
      <c r="AU214" s="27"/>
      <c r="AV214" s="27"/>
      <c r="AW214" s="28" t="str">
        <f>IFERROR(VLOOKUP(AU214,Horarios!$H:$I,2,0),"")</f>
        <v/>
      </c>
      <c r="AX214" s="28" t="str">
        <f>IFERROR(VLOOKUP(AV214,Horarios!$H:$I,2,0),"")</f>
        <v/>
      </c>
      <c r="AY214" s="28" t="str">
        <f t="shared" si="152"/>
        <v>00:00</v>
      </c>
      <c r="AZ214" s="29"/>
      <c r="BA214" s="27"/>
      <c r="BB214" s="27"/>
      <c r="BC214" s="28" t="str">
        <f>IFERROR(VLOOKUP(BA214,Horarios!$H:$I,2,0),"")</f>
        <v/>
      </c>
      <c r="BD214" s="28" t="str">
        <f>IFERROR(VLOOKUP(BB214,Horarios!$H:$I,2,0),"")</f>
        <v/>
      </c>
      <c r="BE214" s="28" t="str">
        <f t="shared" si="153"/>
        <v>00:00</v>
      </c>
      <c r="BF214" s="29"/>
      <c r="BG214" s="27"/>
      <c r="BH214" s="27"/>
      <c r="BI214" s="28" t="str">
        <f>IFERROR(VLOOKUP(BG214,Horarios!$H:$I,2,0),"")</f>
        <v/>
      </c>
      <c r="BJ214" s="28" t="str">
        <f>IFERROR(VLOOKUP(BH214,Horarios!$H:$I,2,0),"")</f>
        <v/>
      </c>
      <c r="BK214" s="28" t="str">
        <f t="shared" si="154"/>
        <v>00:00</v>
      </c>
      <c r="BL214" s="29"/>
      <c r="BM214" s="27"/>
      <c r="BN214" s="27"/>
      <c r="BO214" s="28" t="str">
        <f>IFERROR(VLOOKUP(BM214,Horarios!$H:$I,2,0),"")</f>
        <v/>
      </c>
      <c r="BP214" s="28" t="str">
        <f>IFERROR(VLOOKUP(BN214,Horarios!$H:$I,2,0),"")</f>
        <v/>
      </c>
      <c r="BQ214" s="28" t="str">
        <f t="shared" si="155"/>
        <v>00:00</v>
      </c>
      <c r="BR214" s="29"/>
      <c r="BS214" s="27"/>
      <c r="BT214" s="27"/>
      <c r="BU214" s="28" t="str">
        <f>IFERROR(VLOOKUP(BS214,Horarios!$H:$I,2,0),"")</f>
        <v/>
      </c>
      <c r="BV214" s="28" t="str">
        <f>IFERROR(VLOOKUP(BT214,Horarios!$H:$I,2,0),"")</f>
        <v/>
      </c>
      <c r="BW214" s="28" t="str">
        <f t="shared" si="156"/>
        <v>00:00</v>
      </c>
      <c r="BX214" s="29"/>
      <c r="BY214" s="27"/>
      <c r="BZ214" s="27"/>
      <c r="CA214" s="28" t="str">
        <f>IFERROR(VLOOKUP(BY214,Horarios!$H:$I,2,0),"")</f>
        <v/>
      </c>
      <c r="CB214" s="28" t="str">
        <f>IFERROR(VLOOKUP(BZ214,Horarios!$H:$I,2,0),"")</f>
        <v/>
      </c>
      <c r="CC214" s="28" t="str">
        <f t="shared" si="157"/>
        <v>00:00</v>
      </c>
      <c r="CD214" s="29"/>
      <c r="CE214" s="27"/>
      <c r="CF214" s="27"/>
      <c r="CG214" s="28" t="str">
        <f>IFERROR(VLOOKUP(CE214,Horarios!$H:$I,2,0),"")</f>
        <v/>
      </c>
      <c r="CH214" s="28" t="str">
        <f>IFERROR(VLOOKUP(CF214,Horarios!$H:$I,2,0),"")</f>
        <v/>
      </c>
      <c r="CI214" s="28" t="str">
        <f t="shared" si="158"/>
        <v>00:00</v>
      </c>
      <c r="CJ214" s="29"/>
      <c r="CK214" s="31" t="str">
        <f t="shared" si="159"/>
        <v/>
      </c>
      <c r="CL214" s="27"/>
      <c r="CM214" s="27"/>
      <c r="CN214" s="28" t="str">
        <f>IFERROR(VLOOKUP(CL214,Horarios!$H:$I,2,0),"")</f>
        <v/>
      </c>
      <c r="CO214" s="28" t="str">
        <f>IFERROR(VLOOKUP(CM214,Horarios!$H:$I,2,0),"")</f>
        <v/>
      </c>
      <c r="CP214" s="28" t="str">
        <f t="shared" si="160"/>
        <v>00:00</v>
      </c>
      <c r="CQ214" s="29"/>
      <c r="CR214" s="27"/>
      <c r="CS214" s="27"/>
      <c r="CT214" s="28" t="str">
        <f>IFERROR(VLOOKUP(CR214,Horarios!$H:$I,2,0),"")</f>
        <v/>
      </c>
      <c r="CU214" s="28" t="str">
        <f>IFERROR(VLOOKUP(CS214,Horarios!$H:$I,2,0),"")</f>
        <v/>
      </c>
      <c r="CV214" s="28" t="str">
        <f t="shared" si="161"/>
        <v>00:00</v>
      </c>
      <c r="CW214" s="29"/>
      <c r="CX214" s="27"/>
      <c r="CY214" s="27"/>
      <c r="CZ214" s="28" t="str">
        <f>IFERROR(VLOOKUP(CX214,Horarios!$H:$I,2,0),"")</f>
        <v/>
      </c>
      <c r="DA214" s="28" t="str">
        <f>IFERROR(VLOOKUP(CY214,Horarios!$H:$I,2,0),"")</f>
        <v/>
      </c>
      <c r="DB214" s="28" t="str">
        <f t="shared" si="162"/>
        <v>00:00</v>
      </c>
      <c r="DC214" s="29"/>
      <c r="DD214" s="27"/>
      <c r="DE214" s="27"/>
      <c r="DF214" s="28" t="str">
        <f>IFERROR(VLOOKUP(DD214,Horarios!$H:$I,2,0),"")</f>
        <v/>
      </c>
      <c r="DG214" s="28" t="str">
        <f>IFERROR(VLOOKUP(DE214,Horarios!$H:$I,2,0),"")</f>
        <v/>
      </c>
      <c r="DH214" s="28" t="str">
        <f t="shared" si="163"/>
        <v>00:00</v>
      </c>
      <c r="DI214" s="29"/>
      <c r="DJ214" s="27"/>
      <c r="DK214" s="27"/>
      <c r="DL214" s="28" t="str">
        <f>IFERROR(VLOOKUP(DJ214,Horarios!$H:$I,2,0),"")</f>
        <v/>
      </c>
      <c r="DM214" s="28" t="str">
        <f>IFERROR(VLOOKUP(DK214,Horarios!$H:$I,2,0),"")</f>
        <v/>
      </c>
      <c r="DN214" s="28" t="str">
        <f t="shared" si="164"/>
        <v>00:00</v>
      </c>
      <c r="DO214" s="29"/>
      <c r="DP214" s="27"/>
      <c r="DQ214" s="27"/>
      <c r="DR214" s="28" t="str">
        <f>IFERROR(VLOOKUP(DP214,Horarios!$H:$I,2,0),"")</f>
        <v/>
      </c>
      <c r="DS214" s="28" t="str">
        <f>IFERROR(VLOOKUP(DQ214,Horarios!$H:$I,2,0),"")</f>
        <v/>
      </c>
      <c r="DT214" s="28" t="str">
        <f t="shared" si="165"/>
        <v>00:00</v>
      </c>
      <c r="DU214" s="29"/>
      <c r="DV214" s="27"/>
      <c r="DW214" s="27"/>
      <c r="DX214" s="28" t="str">
        <f>IFERROR(VLOOKUP(DV214,Horarios!$H:$I,2,0),"")</f>
        <v/>
      </c>
      <c r="DY214" s="28" t="str">
        <f>IFERROR(VLOOKUP(DW214,Horarios!$H:$I,2,0),"")</f>
        <v/>
      </c>
      <c r="DZ214" s="28" t="str">
        <f t="shared" si="166"/>
        <v>00:00</v>
      </c>
      <c r="EA214" s="29"/>
      <c r="EB214" s="31" t="str">
        <f t="shared" si="167"/>
        <v/>
      </c>
      <c r="EC214" s="27"/>
      <c r="ED214" s="27"/>
      <c r="EE214" s="28" t="str">
        <f>IFERROR(VLOOKUP(EC214,Horarios!$H:$I,2,0),"")</f>
        <v/>
      </c>
      <c r="EF214" s="28" t="str">
        <f>IFERROR(VLOOKUP(ED214,Horarios!$H:$I,2,0),"")</f>
        <v/>
      </c>
      <c r="EG214" s="28" t="str">
        <f t="shared" si="168"/>
        <v>00:00</v>
      </c>
      <c r="EH214" s="29"/>
      <c r="EI214" s="27"/>
      <c r="EJ214" s="27"/>
      <c r="EK214" s="28" t="str">
        <f>IFERROR(VLOOKUP(EI214,Horarios!$H:$I,2,0),"")</f>
        <v/>
      </c>
      <c r="EL214" s="28" t="str">
        <f>IFERROR(VLOOKUP(EJ214,Horarios!$H:$I,2,0),"")</f>
        <v/>
      </c>
      <c r="EM214" s="28" t="str">
        <f t="shared" si="169"/>
        <v>00:00</v>
      </c>
      <c r="EN214" s="29"/>
      <c r="EO214" s="27"/>
      <c r="EP214" s="27"/>
      <c r="EQ214" s="28" t="str">
        <f>IFERROR(VLOOKUP(EO214,Horarios!$H:$I,2,0),"")</f>
        <v/>
      </c>
      <c r="ER214" s="28" t="str">
        <f>IFERROR(VLOOKUP(EP214,Horarios!$H:$I,2,0),"")</f>
        <v/>
      </c>
      <c r="ES214" s="28" t="str">
        <f t="shared" si="170"/>
        <v>00:00</v>
      </c>
      <c r="ET214" s="29"/>
      <c r="EU214" s="27"/>
      <c r="EV214" s="27"/>
      <c r="EW214" s="28" t="str">
        <f>IFERROR(VLOOKUP(EU214,Horarios!$H:$I,2,0),"")</f>
        <v/>
      </c>
      <c r="EX214" s="28" t="str">
        <f>IFERROR(VLOOKUP(EV214,Horarios!$H:$I,2,0),"")</f>
        <v/>
      </c>
      <c r="EY214" s="28" t="str">
        <f t="shared" si="171"/>
        <v>00:00</v>
      </c>
      <c r="EZ214" s="29"/>
      <c r="FA214" s="27"/>
      <c r="FB214" s="27"/>
      <c r="FC214" s="28" t="str">
        <f>IFERROR(VLOOKUP(FA214,Horarios!$H:$I,2,0),"")</f>
        <v/>
      </c>
      <c r="FD214" s="28" t="str">
        <f>IFERROR(VLOOKUP(FB214,Horarios!$H:$I,2,0),"")</f>
        <v/>
      </c>
      <c r="FE214" s="28" t="str">
        <f t="shared" si="172"/>
        <v>00:00</v>
      </c>
      <c r="FF214" s="29"/>
      <c r="FG214" s="27"/>
      <c r="FH214" s="27"/>
      <c r="FI214" s="28" t="str">
        <f>IFERROR(VLOOKUP(FG214,Horarios!$H:$I,2,0),"")</f>
        <v/>
      </c>
      <c r="FJ214" s="28" t="str">
        <f>IFERROR(VLOOKUP(FH214,Horarios!$H:$I,2,0),"")</f>
        <v/>
      </c>
      <c r="FK214" s="28" t="str">
        <f t="shared" si="173"/>
        <v>00:00</v>
      </c>
      <c r="FL214" s="29"/>
      <c r="FM214" s="27"/>
      <c r="FN214" s="27"/>
      <c r="FO214" s="28" t="str">
        <f>IFERROR(VLOOKUP(FM214,Horarios!$H:$I,2,0),"")</f>
        <v/>
      </c>
      <c r="FP214" s="28" t="str">
        <f>IFERROR(VLOOKUP(FN214,Horarios!$H:$I,2,0),"")</f>
        <v/>
      </c>
      <c r="FQ214" s="28" t="str">
        <f t="shared" si="174"/>
        <v>00:00</v>
      </c>
      <c r="FR214" s="29"/>
      <c r="FS214" s="31" t="str">
        <f t="shared" si="175"/>
        <v/>
      </c>
      <c r="FT214" s="27"/>
      <c r="FU214" s="27"/>
      <c r="FV214" s="28" t="str">
        <f>IFERROR(VLOOKUP(FT214,Horarios!$H:$I,2,0),"")</f>
        <v/>
      </c>
      <c r="FW214" s="28" t="str">
        <f>IFERROR(VLOOKUP(FU214,Horarios!$H:$I,2,0),"")</f>
        <v/>
      </c>
      <c r="FX214" s="28" t="str">
        <f t="shared" si="176"/>
        <v>00:00</v>
      </c>
      <c r="FY214" s="29"/>
      <c r="FZ214" s="27"/>
      <c r="GA214" s="27"/>
      <c r="GB214" s="28" t="str">
        <f>IFERROR(VLOOKUP(FZ214,Horarios!$H:$I,2,0),"")</f>
        <v/>
      </c>
      <c r="GC214" s="28" t="str">
        <f>IFERROR(VLOOKUP(GA214,Horarios!$H:$I,2,0),"")</f>
        <v/>
      </c>
      <c r="GD214" s="28" t="str">
        <f t="shared" si="177"/>
        <v>00:00</v>
      </c>
      <c r="GE214" s="29"/>
      <c r="GF214" s="27"/>
      <c r="GG214" s="27"/>
      <c r="GH214" s="28" t="str">
        <f>IFERROR(VLOOKUP(GF214,Horarios!$H:$I,2,0),"")</f>
        <v/>
      </c>
      <c r="GI214" s="28" t="str">
        <f>IFERROR(VLOOKUP(GG214,Horarios!$H:$I,2,0),"")</f>
        <v/>
      </c>
      <c r="GJ214" s="28" t="str">
        <f t="shared" si="178"/>
        <v>00:00</v>
      </c>
      <c r="GK214" s="29"/>
      <c r="GL214" s="27"/>
      <c r="GM214" s="27"/>
      <c r="GN214" s="28" t="str">
        <f>IFERROR(VLOOKUP(GL214,Horarios!$H:$I,2,0),"")</f>
        <v/>
      </c>
      <c r="GO214" s="28" t="str">
        <f>IFERROR(VLOOKUP(GM214,Horarios!$H:$I,2,0),"")</f>
        <v/>
      </c>
      <c r="GP214" s="28" t="str">
        <f t="shared" si="179"/>
        <v>00:00</v>
      </c>
      <c r="GQ214" s="29"/>
      <c r="GR214" s="27"/>
      <c r="GS214" s="27"/>
      <c r="GT214" s="28" t="str">
        <f>IFERROR(VLOOKUP(GR214,Horarios!$H:$I,2,0),"")</f>
        <v/>
      </c>
      <c r="GU214" s="28" t="str">
        <f>IFERROR(VLOOKUP(GS214,Horarios!$H:$I,2,0),"")</f>
        <v/>
      </c>
      <c r="GV214" s="28" t="str">
        <f t="shared" si="180"/>
        <v>00:00</v>
      </c>
      <c r="GW214" s="29"/>
      <c r="GX214" s="27"/>
      <c r="GY214" s="27"/>
      <c r="GZ214" s="28" t="str">
        <f>IFERROR(VLOOKUP(GX214,Horarios!$H:$I,2,0),"")</f>
        <v/>
      </c>
      <c r="HA214" s="28" t="str">
        <f>IFERROR(VLOOKUP(GY214,Horarios!$H:$I,2,0),"")</f>
        <v/>
      </c>
      <c r="HB214" s="28" t="str">
        <f t="shared" si="181"/>
        <v>00:00</v>
      </c>
      <c r="HC214" s="29"/>
      <c r="HD214" s="27"/>
      <c r="HE214" s="27"/>
      <c r="HF214" s="28" t="str">
        <f>IFERROR(VLOOKUP(HD214,Horarios!$H:$I,2,0),"")</f>
        <v/>
      </c>
      <c r="HG214" s="28" t="str">
        <f>IFERROR(VLOOKUP(HE214,Horarios!$H:$I,2,0),"")</f>
        <v/>
      </c>
      <c r="HH214" s="28" t="str">
        <f t="shared" si="182"/>
        <v>00:00</v>
      </c>
      <c r="HI214" s="29"/>
      <c r="HJ214" s="31" t="str">
        <f t="shared" si="183"/>
        <v/>
      </c>
      <c r="HK214" s="27"/>
      <c r="HL214" s="27"/>
      <c r="HM214" s="28" t="str">
        <f>IFERROR(VLOOKUP(HK214,Horarios!$H:$I,2,0),"")</f>
        <v/>
      </c>
      <c r="HN214" s="28" t="str">
        <f>IFERROR(VLOOKUP(HL214,Horarios!$H:$I,2,0),"")</f>
        <v/>
      </c>
      <c r="HO214" s="28" t="str">
        <f t="shared" si="184"/>
        <v>00:00</v>
      </c>
      <c r="HP214" s="29"/>
      <c r="HQ214" s="27"/>
      <c r="HR214" s="27"/>
      <c r="HS214" s="28" t="str">
        <f>IFERROR(VLOOKUP(HQ214,Horarios!$H:$I,2,0),"")</f>
        <v/>
      </c>
      <c r="HT214" s="28" t="str">
        <f>IFERROR(VLOOKUP(HR214,Horarios!$H:$I,2,0),"")</f>
        <v/>
      </c>
      <c r="HU214" s="28" t="str">
        <f t="shared" si="185"/>
        <v>00:00</v>
      </c>
      <c r="HV214" s="29"/>
      <c r="HW214" s="27"/>
      <c r="HX214" s="27"/>
      <c r="HY214" s="28" t="str">
        <f>IFERROR(VLOOKUP(HW214,Horarios!$H:$I,2,0),"")</f>
        <v/>
      </c>
      <c r="HZ214" s="28" t="str">
        <f>IFERROR(VLOOKUP(HX214,Horarios!$H:$I,2,0),"")</f>
        <v/>
      </c>
      <c r="IA214" s="28" t="str">
        <f t="shared" si="186"/>
        <v>00:00</v>
      </c>
      <c r="IB214" s="29"/>
      <c r="IC214" s="27"/>
      <c r="ID214" s="27"/>
      <c r="IE214" s="28" t="str">
        <f>IFERROR(VLOOKUP(IC214,Horarios!$H:$I,2,0),"")</f>
        <v/>
      </c>
      <c r="IF214" s="28" t="str">
        <f>IFERROR(VLOOKUP(ID214,Horarios!$H:$I,2,0),"")</f>
        <v/>
      </c>
      <c r="IG214" s="28" t="str">
        <f t="shared" si="187"/>
        <v>00:00</v>
      </c>
      <c r="IH214" s="29"/>
      <c r="II214" s="27"/>
      <c r="IJ214" s="27"/>
      <c r="IK214" s="28" t="str">
        <f>IFERROR(VLOOKUP(II214,Horarios!$H:$I,2,0),"")</f>
        <v/>
      </c>
      <c r="IL214" s="28" t="str">
        <f>IFERROR(VLOOKUP(IJ214,Horarios!$H:$I,2,0),"")</f>
        <v/>
      </c>
      <c r="IM214" s="28" t="str">
        <f t="shared" si="188"/>
        <v>00:00</v>
      </c>
      <c r="IN214" s="29"/>
      <c r="IO214" s="27"/>
      <c r="IP214" s="27"/>
      <c r="IQ214" s="28" t="str">
        <f>IFERROR(VLOOKUP(IO214,Horarios!$H:$I,2,0),"")</f>
        <v/>
      </c>
      <c r="IR214" s="28" t="str">
        <f>IFERROR(VLOOKUP(IP214,Horarios!$H:$I,2,0),"")</f>
        <v/>
      </c>
      <c r="IS214" s="28" t="str">
        <f t="shared" si="189"/>
        <v>00:00</v>
      </c>
      <c r="IT214" s="29"/>
      <c r="IU214" s="27"/>
      <c r="IV214" s="27"/>
      <c r="IW214" s="28" t="str">
        <f>IFERROR(VLOOKUP(IU214,Horarios!$H:$I,2,0),"")</f>
        <v/>
      </c>
      <c r="IX214" s="28" t="str">
        <f>IFERROR(VLOOKUP(IV214,Horarios!$H:$I,2,0),"")</f>
        <v/>
      </c>
      <c r="IY214" s="28" t="str">
        <f t="shared" si="190"/>
        <v>00:00</v>
      </c>
      <c r="IZ214" s="29"/>
      <c r="JA214" s="31" t="str">
        <f t="shared" si="191"/>
        <v/>
      </c>
    </row>
    <row r="215" spans="1:261" s="24" customFormat="1" ht="17.399999999999999" x14ac:dyDescent="0.25">
      <c r="A215" s="25"/>
      <c r="B215" s="26" t="str">
        <f>IFERROR(VLOOKUP(A215,BaseNombres!A:B,2,0),"")</f>
        <v/>
      </c>
      <c r="C215" s="26" t="str">
        <f>IFERROR(VLOOKUP(A215,BaseNombres!A:C,3,0),"")</f>
        <v/>
      </c>
      <c r="D215" s="27"/>
      <c r="E215" s="27"/>
      <c r="F215" s="28" t="str">
        <f>IFERROR(VLOOKUP(D215,Horarios!$H:$I,2,0),"")</f>
        <v/>
      </c>
      <c r="G215" s="28" t="str">
        <f>IFERROR(VLOOKUP(E215,Horarios!$H:$I,2,0),"")</f>
        <v/>
      </c>
      <c r="H215" s="28" t="str">
        <f t="shared" si="144"/>
        <v>00:00</v>
      </c>
      <c r="I215" s="29"/>
      <c r="J215" s="27"/>
      <c r="K215" s="27"/>
      <c r="L215" s="28" t="str">
        <f>IFERROR(VLOOKUP(J215,Horarios!$H:$I,2,0),"")</f>
        <v/>
      </c>
      <c r="M215" s="28" t="str">
        <f>IFERROR(VLOOKUP(K215,Horarios!$H:$I,2,0),"")</f>
        <v/>
      </c>
      <c r="N215" s="28" t="str">
        <f t="shared" si="145"/>
        <v>00:00</v>
      </c>
      <c r="O215" s="29"/>
      <c r="P215" s="27"/>
      <c r="Q215" s="27"/>
      <c r="R215" s="28" t="str">
        <f>IFERROR(VLOOKUP(P215,Horarios!$H:$I,2,0),"")</f>
        <v/>
      </c>
      <c r="S215" s="28" t="str">
        <f>IFERROR(VLOOKUP(Q215,Horarios!$H:$I,2,0),"")</f>
        <v/>
      </c>
      <c r="T215" s="28" t="str">
        <f t="shared" si="146"/>
        <v>00:00</v>
      </c>
      <c r="U215" s="29"/>
      <c r="V215" s="27"/>
      <c r="W215" s="27"/>
      <c r="X215" s="28" t="str">
        <f>IFERROR(VLOOKUP(V215,Horarios!$H:$I,2,0),"")</f>
        <v/>
      </c>
      <c r="Y215" s="28" t="str">
        <f>IFERROR(VLOOKUP(W215,Horarios!$H:$I,2,0),"")</f>
        <v/>
      </c>
      <c r="Z215" s="28" t="str">
        <f t="shared" si="147"/>
        <v>00:00</v>
      </c>
      <c r="AA215" s="29"/>
      <c r="AB215" s="27"/>
      <c r="AC215" s="27"/>
      <c r="AD215" s="28" t="str">
        <f>IFERROR(VLOOKUP(AB215,Horarios!$H:$I,2,0),"")</f>
        <v/>
      </c>
      <c r="AE215" s="28" t="str">
        <f>IFERROR(VLOOKUP(AC215,Horarios!$H:$I,2,0),"")</f>
        <v/>
      </c>
      <c r="AF215" s="28" t="str">
        <f t="shared" si="148"/>
        <v>00:00</v>
      </c>
      <c r="AG215" s="29"/>
      <c r="AH215" s="27"/>
      <c r="AI215" s="27"/>
      <c r="AJ215" s="28" t="str">
        <f>IFERROR(VLOOKUP(AH215,Horarios!$H:$I,2,0),"")</f>
        <v/>
      </c>
      <c r="AK215" s="28" t="str">
        <f>IFERROR(VLOOKUP(AI215,Horarios!$H:$I,2,0),"")</f>
        <v/>
      </c>
      <c r="AL215" s="28" t="str">
        <f t="shared" si="149"/>
        <v>00:00</v>
      </c>
      <c r="AM215" s="29"/>
      <c r="AN215" s="27"/>
      <c r="AO215" s="27"/>
      <c r="AP215" s="28" t="str">
        <f>IFERROR(VLOOKUP(AN215,Horarios!$H:$I,2,0),"")</f>
        <v/>
      </c>
      <c r="AQ215" s="28" t="str">
        <f>IFERROR(VLOOKUP(AO215,Horarios!$H:$I,2,0),"")</f>
        <v/>
      </c>
      <c r="AR215" s="28" t="str">
        <f t="shared" si="150"/>
        <v>00:00</v>
      </c>
      <c r="AS215" s="29"/>
      <c r="AT215" s="31" t="str">
        <f t="shared" si="151"/>
        <v/>
      </c>
      <c r="AU215" s="27"/>
      <c r="AV215" s="27"/>
      <c r="AW215" s="28" t="str">
        <f>IFERROR(VLOOKUP(AU215,Horarios!$H:$I,2,0),"")</f>
        <v/>
      </c>
      <c r="AX215" s="28" t="str">
        <f>IFERROR(VLOOKUP(AV215,Horarios!$H:$I,2,0),"")</f>
        <v/>
      </c>
      <c r="AY215" s="28" t="str">
        <f t="shared" si="152"/>
        <v>00:00</v>
      </c>
      <c r="AZ215" s="29"/>
      <c r="BA215" s="27"/>
      <c r="BB215" s="27"/>
      <c r="BC215" s="28" t="str">
        <f>IFERROR(VLOOKUP(BA215,Horarios!$H:$I,2,0),"")</f>
        <v/>
      </c>
      <c r="BD215" s="28" t="str">
        <f>IFERROR(VLOOKUP(BB215,Horarios!$H:$I,2,0),"")</f>
        <v/>
      </c>
      <c r="BE215" s="28" t="str">
        <f t="shared" si="153"/>
        <v>00:00</v>
      </c>
      <c r="BF215" s="29"/>
      <c r="BG215" s="27"/>
      <c r="BH215" s="27"/>
      <c r="BI215" s="28" t="str">
        <f>IFERROR(VLOOKUP(BG215,Horarios!$H:$I,2,0),"")</f>
        <v/>
      </c>
      <c r="BJ215" s="28" t="str">
        <f>IFERROR(VLOOKUP(BH215,Horarios!$H:$I,2,0),"")</f>
        <v/>
      </c>
      <c r="BK215" s="28" t="str">
        <f t="shared" si="154"/>
        <v>00:00</v>
      </c>
      <c r="BL215" s="29"/>
      <c r="BM215" s="27"/>
      <c r="BN215" s="27"/>
      <c r="BO215" s="28" t="str">
        <f>IFERROR(VLOOKUP(BM215,Horarios!$H:$I,2,0),"")</f>
        <v/>
      </c>
      <c r="BP215" s="28" t="str">
        <f>IFERROR(VLOOKUP(BN215,Horarios!$H:$I,2,0),"")</f>
        <v/>
      </c>
      <c r="BQ215" s="28" t="str">
        <f t="shared" si="155"/>
        <v>00:00</v>
      </c>
      <c r="BR215" s="29"/>
      <c r="BS215" s="27"/>
      <c r="BT215" s="27"/>
      <c r="BU215" s="28" t="str">
        <f>IFERROR(VLOOKUP(BS215,Horarios!$H:$I,2,0),"")</f>
        <v/>
      </c>
      <c r="BV215" s="28" t="str">
        <f>IFERROR(VLOOKUP(BT215,Horarios!$H:$I,2,0),"")</f>
        <v/>
      </c>
      <c r="BW215" s="28" t="str">
        <f t="shared" si="156"/>
        <v>00:00</v>
      </c>
      <c r="BX215" s="29"/>
      <c r="BY215" s="27"/>
      <c r="BZ215" s="27"/>
      <c r="CA215" s="28" t="str">
        <f>IFERROR(VLOOKUP(BY215,Horarios!$H:$I,2,0),"")</f>
        <v/>
      </c>
      <c r="CB215" s="28" t="str">
        <f>IFERROR(VLOOKUP(BZ215,Horarios!$H:$I,2,0),"")</f>
        <v/>
      </c>
      <c r="CC215" s="28" t="str">
        <f t="shared" si="157"/>
        <v>00:00</v>
      </c>
      <c r="CD215" s="29"/>
      <c r="CE215" s="27"/>
      <c r="CF215" s="27"/>
      <c r="CG215" s="28" t="str">
        <f>IFERROR(VLOOKUP(CE215,Horarios!$H:$I,2,0),"")</f>
        <v/>
      </c>
      <c r="CH215" s="28" t="str">
        <f>IFERROR(VLOOKUP(CF215,Horarios!$H:$I,2,0),"")</f>
        <v/>
      </c>
      <c r="CI215" s="28" t="str">
        <f t="shared" si="158"/>
        <v>00:00</v>
      </c>
      <c r="CJ215" s="29"/>
      <c r="CK215" s="31" t="str">
        <f t="shared" si="159"/>
        <v/>
      </c>
      <c r="CL215" s="27"/>
      <c r="CM215" s="27"/>
      <c r="CN215" s="28" t="str">
        <f>IFERROR(VLOOKUP(CL215,Horarios!$H:$I,2,0),"")</f>
        <v/>
      </c>
      <c r="CO215" s="28" t="str">
        <f>IFERROR(VLOOKUP(CM215,Horarios!$H:$I,2,0),"")</f>
        <v/>
      </c>
      <c r="CP215" s="28" t="str">
        <f t="shared" si="160"/>
        <v>00:00</v>
      </c>
      <c r="CQ215" s="29"/>
      <c r="CR215" s="27"/>
      <c r="CS215" s="27"/>
      <c r="CT215" s="28" t="str">
        <f>IFERROR(VLOOKUP(CR215,Horarios!$H:$I,2,0),"")</f>
        <v/>
      </c>
      <c r="CU215" s="28" t="str">
        <f>IFERROR(VLOOKUP(CS215,Horarios!$H:$I,2,0),"")</f>
        <v/>
      </c>
      <c r="CV215" s="28" t="str">
        <f t="shared" si="161"/>
        <v>00:00</v>
      </c>
      <c r="CW215" s="29"/>
      <c r="CX215" s="27"/>
      <c r="CY215" s="27"/>
      <c r="CZ215" s="28" t="str">
        <f>IFERROR(VLOOKUP(CX215,Horarios!$H:$I,2,0),"")</f>
        <v/>
      </c>
      <c r="DA215" s="28" t="str">
        <f>IFERROR(VLOOKUP(CY215,Horarios!$H:$I,2,0),"")</f>
        <v/>
      </c>
      <c r="DB215" s="28" t="str">
        <f t="shared" si="162"/>
        <v>00:00</v>
      </c>
      <c r="DC215" s="29"/>
      <c r="DD215" s="27"/>
      <c r="DE215" s="27"/>
      <c r="DF215" s="28" t="str">
        <f>IFERROR(VLOOKUP(DD215,Horarios!$H:$I,2,0),"")</f>
        <v/>
      </c>
      <c r="DG215" s="28" t="str">
        <f>IFERROR(VLOOKUP(DE215,Horarios!$H:$I,2,0),"")</f>
        <v/>
      </c>
      <c r="DH215" s="28" t="str">
        <f t="shared" si="163"/>
        <v>00:00</v>
      </c>
      <c r="DI215" s="29"/>
      <c r="DJ215" s="27"/>
      <c r="DK215" s="27"/>
      <c r="DL215" s="28" t="str">
        <f>IFERROR(VLOOKUP(DJ215,Horarios!$H:$I,2,0),"")</f>
        <v/>
      </c>
      <c r="DM215" s="28" t="str">
        <f>IFERROR(VLOOKUP(DK215,Horarios!$H:$I,2,0),"")</f>
        <v/>
      </c>
      <c r="DN215" s="28" t="str">
        <f t="shared" si="164"/>
        <v>00:00</v>
      </c>
      <c r="DO215" s="29"/>
      <c r="DP215" s="27"/>
      <c r="DQ215" s="27"/>
      <c r="DR215" s="28" t="str">
        <f>IFERROR(VLOOKUP(DP215,Horarios!$H:$I,2,0),"")</f>
        <v/>
      </c>
      <c r="DS215" s="28" t="str">
        <f>IFERROR(VLOOKUP(DQ215,Horarios!$H:$I,2,0),"")</f>
        <v/>
      </c>
      <c r="DT215" s="28" t="str">
        <f t="shared" si="165"/>
        <v>00:00</v>
      </c>
      <c r="DU215" s="29"/>
      <c r="DV215" s="27"/>
      <c r="DW215" s="27"/>
      <c r="DX215" s="28" t="str">
        <f>IFERROR(VLOOKUP(DV215,Horarios!$H:$I,2,0),"")</f>
        <v/>
      </c>
      <c r="DY215" s="28" t="str">
        <f>IFERROR(VLOOKUP(DW215,Horarios!$H:$I,2,0),"")</f>
        <v/>
      </c>
      <c r="DZ215" s="28" t="str">
        <f t="shared" si="166"/>
        <v>00:00</v>
      </c>
      <c r="EA215" s="29"/>
      <c r="EB215" s="31" t="str">
        <f t="shared" si="167"/>
        <v/>
      </c>
      <c r="EC215" s="27"/>
      <c r="ED215" s="27"/>
      <c r="EE215" s="28" t="str">
        <f>IFERROR(VLOOKUP(EC215,Horarios!$H:$I,2,0),"")</f>
        <v/>
      </c>
      <c r="EF215" s="28" t="str">
        <f>IFERROR(VLOOKUP(ED215,Horarios!$H:$I,2,0),"")</f>
        <v/>
      </c>
      <c r="EG215" s="28" t="str">
        <f t="shared" si="168"/>
        <v>00:00</v>
      </c>
      <c r="EH215" s="29"/>
      <c r="EI215" s="27"/>
      <c r="EJ215" s="27"/>
      <c r="EK215" s="28" t="str">
        <f>IFERROR(VLOOKUP(EI215,Horarios!$H:$I,2,0),"")</f>
        <v/>
      </c>
      <c r="EL215" s="28" t="str">
        <f>IFERROR(VLOOKUP(EJ215,Horarios!$H:$I,2,0),"")</f>
        <v/>
      </c>
      <c r="EM215" s="28" t="str">
        <f t="shared" si="169"/>
        <v>00:00</v>
      </c>
      <c r="EN215" s="29"/>
      <c r="EO215" s="27"/>
      <c r="EP215" s="27"/>
      <c r="EQ215" s="28" t="str">
        <f>IFERROR(VLOOKUP(EO215,Horarios!$H:$I,2,0),"")</f>
        <v/>
      </c>
      <c r="ER215" s="28" t="str">
        <f>IFERROR(VLOOKUP(EP215,Horarios!$H:$I,2,0),"")</f>
        <v/>
      </c>
      <c r="ES215" s="28" t="str">
        <f t="shared" si="170"/>
        <v>00:00</v>
      </c>
      <c r="ET215" s="29"/>
      <c r="EU215" s="27"/>
      <c r="EV215" s="27"/>
      <c r="EW215" s="28" t="str">
        <f>IFERROR(VLOOKUP(EU215,Horarios!$H:$I,2,0),"")</f>
        <v/>
      </c>
      <c r="EX215" s="28" t="str">
        <f>IFERROR(VLOOKUP(EV215,Horarios!$H:$I,2,0),"")</f>
        <v/>
      </c>
      <c r="EY215" s="28" t="str">
        <f t="shared" si="171"/>
        <v>00:00</v>
      </c>
      <c r="EZ215" s="29"/>
      <c r="FA215" s="27"/>
      <c r="FB215" s="27"/>
      <c r="FC215" s="28" t="str">
        <f>IFERROR(VLOOKUP(FA215,Horarios!$H:$I,2,0),"")</f>
        <v/>
      </c>
      <c r="FD215" s="28" t="str">
        <f>IFERROR(VLOOKUP(FB215,Horarios!$H:$I,2,0),"")</f>
        <v/>
      </c>
      <c r="FE215" s="28" t="str">
        <f t="shared" si="172"/>
        <v>00:00</v>
      </c>
      <c r="FF215" s="29"/>
      <c r="FG215" s="27"/>
      <c r="FH215" s="27"/>
      <c r="FI215" s="28" t="str">
        <f>IFERROR(VLOOKUP(FG215,Horarios!$H:$I,2,0),"")</f>
        <v/>
      </c>
      <c r="FJ215" s="28" t="str">
        <f>IFERROR(VLOOKUP(FH215,Horarios!$H:$I,2,0),"")</f>
        <v/>
      </c>
      <c r="FK215" s="28" t="str">
        <f t="shared" si="173"/>
        <v>00:00</v>
      </c>
      <c r="FL215" s="29"/>
      <c r="FM215" s="27"/>
      <c r="FN215" s="27"/>
      <c r="FO215" s="28" t="str">
        <f>IFERROR(VLOOKUP(FM215,Horarios!$H:$I,2,0),"")</f>
        <v/>
      </c>
      <c r="FP215" s="28" t="str">
        <f>IFERROR(VLOOKUP(FN215,Horarios!$H:$I,2,0),"")</f>
        <v/>
      </c>
      <c r="FQ215" s="28" t="str">
        <f t="shared" si="174"/>
        <v>00:00</v>
      </c>
      <c r="FR215" s="29"/>
      <c r="FS215" s="31" t="str">
        <f t="shared" si="175"/>
        <v/>
      </c>
      <c r="FT215" s="27"/>
      <c r="FU215" s="27"/>
      <c r="FV215" s="28" t="str">
        <f>IFERROR(VLOOKUP(FT215,Horarios!$H:$I,2,0),"")</f>
        <v/>
      </c>
      <c r="FW215" s="28" t="str">
        <f>IFERROR(VLOOKUP(FU215,Horarios!$H:$I,2,0),"")</f>
        <v/>
      </c>
      <c r="FX215" s="28" t="str">
        <f t="shared" si="176"/>
        <v>00:00</v>
      </c>
      <c r="FY215" s="29"/>
      <c r="FZ215" s="27"/>
      <c r="GA215" s="27"/>
      <c r="GB215" s="28" t="str">
        <f>IFERROR(VLOOKUP(FZ215,Horarios!$H:$I,2,0),"")</f>
        <v/>
      </c>
      <c r="GC215" s="28" t="str">
        <f>IFERROR(VLOOKUP(GA215,Horarios!$H:$I,2,0),"")</f>
        <v/>
      </c>
      <c r="GD215" s="28" t="str">
        <f t="shared" si="177"/>
        <v>00:00</v>
      </c>
      <c r="GE215" s="29"/>
      <c r="GF215" s="27"/>
      <c r="GG215" s="27"/>
      <c r="GH215" s="28" t="str">
        <f>IFERROR(VLOOKUP(GF215,Horarios!$H:$I,2,0),"")</f>
        <v/>
      </c>
      <c r="GI215" s="28" t="str">
        <f>IFERROR(VLOOKUP(GG215,Horarios!$H:$I,2,0),"")</f>
        <v/>
      </c>
      <c r="GJ215" s="28" t="str">
        <f t="shared" si="178"/>
        <v>00:00</v>
      </c>
      <c r="GK215" s="29"/>
      <c r="GL215" s="27"/>
      <c r="GM215" s="27"/>
      <c r="GN215" s="28" t="str">
        <f>IFERROR(VLOOKUP(GL215,Horarios!$H:$I,2,0),"")</f>
        <v/>
      </c>
      <c r="GO215" s="28" t="str">
        <f>IFERROR(VLOOKUP(GM215,Horarios!$H:$I,2,0),"")</f>
        <v/>
      </c>
      <c r="GP215" s="28" t="str">
        <f t="shared" si="179"/>
        <v>00:00</v>
      </c>
      <c r="GQ215" s="29"/>
      <c r="GR215" s="27"/>
      <c r="GS215" s="27"/>
      <c r="GT215" s="28" t="str">
        <f>IFERROR(VLOOKUP(GR215,Horarios!$H:$I,2,0),"")</f>
        <v/>
      </c>
      <c r="GU215" s="28" t="str">
        <f>IFERROR(VLOOKUP(GS215,Horarios!$H:$I,2,0),"")</f>
        <v/>
      </c>
      <c r="GV215" s="28" t="str">
        <f t="shared" si="180"/>
        <v>00:00</v>
      </c>
      <c r="GW215" s="29"/>
      <c r="GX215" s="27"/>
      <c r="GY215" s="27"/>
      <c r="GZ215" s="28" t="str">
        <f>IFERROR(VLOOKUP(GX215,Horarios!$H:$I,2,0),"")</f>
        <v/>
      </c>
      <c r="HA215" s="28" t="str">
        <f>IFERROR(VLOOKUP(GY215,Horarios!$H:$I,2,0),"")</f>
        <v/>
      </c>
      <c r="HB215" s="28" t="str">
        <f t="shared" si="181"/>
        <v>00:00</v>
      </c>
      <c r="HC215" s="29"/>
      <c r="HD215" s="27"/>
      <c r="HE215" s="27"/>
      <c r="HF215" s="28" t="str">
        <f>IFERROR(VLOOKUP(HD215,Horarios!$H:$I,2,0),"")</f>
        <v/>
      </c>
      <c r="HG215" s="28" t="str">
        <f>IFERROR(VLOOKUP(HE215,Horarios!$H:$I,2,0),"")</f>
        <v/>
      </c>
      <c r="HH215" s="28" t="str">
        <f t="shared" si="182"/>
        <v>00:00</v>
      </c>
      <c r="HI215" s="29"/>
      <c r="HJ215" s="31" t="str">
        <f t="shared" si="183"/>
        <v/>
      </c>
      <c r="HK215" s="27"/>
      <c r="HL215" s="27"/>
      <c r="HM215" s="28" t="str">
        <f>IFERROR(VLOOKUP(HK215,Horarios!$H:$I,2,0),"")</f>
        <v/>
      </c>
      <c r="HN215" s="28" t="str">
        <f>IFERROR(VLOOKUP(HL215,Horarios!$H:$I,2,0),"")</f>
        <v/>
      </c>
      <c r="HO215" s="28" t="str">
        <f t="shared" si="184"/>
        <v>00:00</v>
      </c>
      <c r="HP215" s="29"/>
      <c r="HQ215" s="27"/>
      <c r="HR215" s="27"/>
      <c r="HS215" s="28" t="str">
        <f>IFERROR(VLOOKUP(HQ215,Horarios!$H:$I,2,0),"")</f>
        <v/>
      </c>
      <c r="HT215" s="28" t="str">
        <f>IFERROR(VLOOKUP(HR215,Horarios!$H:$I,2,0),"")</f>
        <v/>
      </c>
      <c r="HU215" s="28" t="str">
        <f t="shared" si="185"/>
        <v>00:00</v>
      </c>
      <c r="HV215" s="29"/>
      <c r="HW215" s="27"/>
      <c r="HX215" s="27"/>
      <c r="HY215" s="28" t="str">
        <f>IFERROR(VLOOKUP(HW215,Horarios!$H:$I,2,0),"")</f>
        <v/>
      </c>
      <c r="HZ215" s="28" t="str">
        <f>IFERROR(VLOOKUP(HX215,Horarios!$H:$I,2,0),"")</f>
        <v/>
      </c>
      <c r="IA215" s="28" t="str">
        <f t="shared" si="186"/>
        <v>00:00</v>
      </c>
      <c r="IB215" s="29"/>
      <c r="IC215" s="27"/>
      <c r="ID215" s="27"/>
      <c r="IE215" s="28" t="str">
        <f>IFERROR(VLOOKUP(IC215,Horarios!$H:$I,2,0),"")</f>
        <v/>
      </c>
      <c r="IF215" s="28" t="str">
        <f>IFERROR(VLOOKUP(ID215,Horarios!$H:$I,2,0),"")</f>
        <v/>
      </c>
      <c r="IG215" s="28" t="str">
        <f t="shared" si="187"/>
        <v>00:00</v>
      </c>
      <c r="IH215" s="29"/>
      <c r="II215" s="27"/>
      <c r="IJ215" s="27"/>
      <c r="IK215" s="28" t="str">
        <f>IFERROR(VLOOKUP(II215,Horarios!$H:$I,2,0),"")</f>
        <v/>
      </c>
      <c r="IL215" s="28" t="str">
        <f>IFERROR(VLOOKUP(IJ215,Horarios!$H:$I,2,0),"")</f>
        <v/>
      </c>
      <c r="IM215" s="28" t="str">
        <f t="shared" si="188"/>
        <v>00:00</v>
      </c>
      <c r="IN215" s="29"/>
      <c r="IO215" s="27"/>
      <c r="IP215" s="27"/>
      <c r="IQ215" s="28" t="str">
        <f>IFERROR(VLOOKUP(IO215,Horarios!$H:$I,2,0),"")</f>
        <v/>
      </c>
      <c r="IR215" s="28" t="str">
        <f>IFERROR(VLOOKUP(IP215,Horarios!$H:$I,2,0),"")</f>
        <v/>
      </c>
      <c r="IS215" s="28" t="str">
        <f t="shared" si="189"/>
        <v>00:00</v>
      </c>
      <c r="IT215" s="29"/>
      <c r="IU215" s="27"/>
      <c r="IV215" s="27"/>
      <c r="IW215" s="28" t="str">
        <f>IFERROR(VLOOKUP(IU215,Horarios!$H:$I,2,0),"")</f>
        <v/>
      </c>
      <c r="IX215" s="28" t="str">
        <f>IFERROR(VLOOKUP(IV215,Horarios!$H:$I,2,0),"")</f>
        <v/>
      </c>
      <c r="IY215" s="28" t="str">
        <f t="shared" si="190"/>
        <v>00:00</v>
      </c>
      <c r="IZ215" s="29"/>
      <c r="JA215" s="31" t="str">
        <f t="shared" si="191"/>
        <v/>
      </c>
    </row>
    <row r="216" spans="1:261" s="24" customFormat="1" ht="17.399999999999999" x14ac:dyDescent="0.25">
      <c r="A216" s="25"/>
      <c r="B216" s="26" t="str">
        <f>IFERROR(VLOOKUP(A216,BaseNombres!A:B,2,0),"")</f>
        <v/>
      </c>
      <c r="C216" s="26" t="str">
        <f>IFERROR(VLOOKUP(A216,BaseNombres!A:C,3,0),"")</f>
        <v/>
      </c>
      <c r="D216" s="27"/>
      <c r="E216" s="27"/>
      <c r="F216" s="28" t="str">
        <f>IFERROR(VLOOKUP(D216,Horarios!$H:$I,2,0),"")</f>
        <v/>
      </c>
      <c r="G216" s="28" t="str">
        <f>IFERROR(VLOOKUP(E216,Horarios!$H:$I,2,0),"")</f>
        <v/>
      </c>
      <c r="H216" s="28" t="str">
        <f t="shared" si="144"/>
        <v>00:00</v>
      </c>
      <c r="I216" s="29"/>
      <c r="J216" s="27"/>
      <c r="K216" s="27"/>
      <c r="L216" s="28" t="str">
        <f>IFERROR(VLOOKUP(J216,Horarios!$H:$I,2,0),"")</f>
        <v/>
      </c>
      <c r="M216" s="28" t="str">
        <f>IFERROR(VLOOKUP(K216,Horarios!$H:$I,2,0),"")</f>
        <v/>
      </c>
      <c r="N216" s="28" t="str">
        <f t="shared" si="145"/>
        <v>00:00</v>
      </c>
      <c r="O216" s="29"/>
      <c r="P216" s="27"/>
      <c r="Q216" s="27"/>
      <c r="R216" s="28" t="str">
        <f>IFERROR(VLOOKUP(P216,Horarios!$H:$I,2,0),"")</f>
        <v/>
      </c>
      <c r="S216" s="28" t="str">
        <f>IFERROR(VLOOKUP(Q216,Horarios!$H:$I,2,0),"")</f>
        <v/>
      </c>
      <c r="T216" s="28" t="str">
        <f t="shared" si="146"/>
        <v>00:00</v>
      </c>
      <c r="U216" s="29"/>
      <c r="V216" s="27"/>
      <c r="W216" s="27"/>
      <c r="X216" s="28" t="str">
        <f>IFERROR(VLOOKUP(V216,Horarios!$H:$I,2,0),"")</f>
        <v/>
      </c>
      <c r="Y216" s="28" t="str">
        <f>IFERROR(VLOOKUP(W216,Horarios!$H:$I,2,0),"")</f>
        <v/>
      </c>
      <c r="Z216" s="28" t="str">
        <f t="shared" si="147"/>
        <v>00:00</v>
      </c>
      <c r="AA216" s="29"/>
      <c r="AB216" s="27"/>
      <c r="AC216" s="27"/>
      <c r="AD216" s="28" t="str">
        <f>IFERROR(VLOOKUP(AB216,Horarios!$H:$I,2,0),"")</f>
        <v/>
      </c>
      <c r="AE216" s="28" t="str">
        <f>IFERROR(VLOOKUP(AC216,Horarios!$H:$I,2,0),"")</f>
        <v/>
      </c>
      <c r="AF216" s="28" t="str">
        <f t="shared" si="148"/>
        <v>00:00</v>
      </c>
      <c r="AG216" s="29"/>
      <c r="AH216" s="27"/>
      <c r="AI216" s="27"/>
      <c r="AJ216" s="28" t="str">
        <f>IFERROR(VLOOKUP(AH216,Horarios!$H:$I,2,0),"")</f>
        <v/>
      </c>
      <c r="AK216" s="28" t="str">
        <f>IFERROR(VLOOKUP(AI216,Horarios!$H:$I,2,0),"")</f>
        <v/>
      </c>
      <c r="AL216" s="28" t="str">
        <f t="shared" si="149"/>
        <v>00:00</v>
      </c>
      <c r="AM216" s="29"/>
      <c r="AN216" s="27"/>
      <c r="AO216" s="27"/>
      <c r="AP216" s="28" t="str">
        <f>IFERROR(VLOOKUP(AN216,Horarios!$H:$I,2,0),"")</f>
        <v/>
      </c>
      <c r="AQ216" s="28" t="str">
        <f>IFERROR(VLOOKUP(AO216,Horarios!$H:$I,2,0),"")</f>
        <v/>
      </c>
      <c r="AR216" s="28" t="str">
        <f t="shared" si="150"/>
        <v>00:00</v>
      </c>
      <c r="AS216" s="29"/>
      <c r="AT216" s="31" t="str">
        <f t="shared" si="151"/>
        <v/>
      </c>
      <c r="AU216" s="27"/>
      <c r="AV216" s="27"/>
      <c r="AW216" s="28" t="str">
        <f>IFERROR(VLOOKUP(AU216,Horarios!$H:$I,2,0),"")</f>
        <v/>
      </c>
      <c r="AX216" s="28" t="str">
        <f>IFERROR(VLOOKUP(AV216,Horarios!$H:$I,2,0),"")</f>
        <v/>
      </c>
      <c r="AY216" s="28" t="str">
        <f t="shared" si="152"/>
        <v>00:00</v>
      </c>
      <c r="AZ216" s="29"/>
      <c r="BA216" s="27"/>
      <c r="BB216" s="27"/>
      <c r="BC216" s="28" t="str">
        <f>IFERROR(VLOOKUP(BA216,Horarios!$H:$I,2,0),"")</f>
        <v/>
      </c>
      <c r="BD216" s="28" t="str">
        <f>IFERROR(VLOOKUP(BB216,Horarios!$H:$I,2,0),"")</f>
        <v/>
      </c>
      <c r="BE216" s="28" t="str">
        <f t="shared" si="153"/>
        <v>00:00</v>
      </c>
      <c r="BF216" s="29"/>
      <c r="BG216" s="27"/>
      <c r="BH216" s="27"/>
      <c r="BI216" s="28" t="str">
        <f>IFERROR(VLOOKUP(BG216,Horarios!$H:$I,2,0),"")</f>
        <v/>
      </c>
      <c r="BJ216" s="28" t="str">
        <f>IFERROR(VLOOKUP(BH216,Horarios!$H:$I,2,0),"")</f>
        <v/>
      </c>
      <c r="BK216" s="28" t="str">
        <f t="shared" si="154"/>
        <v>00:00</v>
      </c>
      <c r="BL216" s="29"/>
      <c r="BM216" s="27"/>
      <c r="BN216" s="27"/>
      <c r="BO216" s="28" t="str">
        <f>IFERROR(VLOOKUP(BM216,Horarios!$H:$I,2,0),"")</f>
        <v/>
      </c>
      <c r="BP216" s="28" t="str">
        <f>IFERROR(VLOOKUP(BN216,Horarios!$H:$I,2,0),"")</f>
        <v/>
      </c>
      <c r="BQ216" s="28" t="str">
        <f t="shared" si="155"/>
        <v>00:00</v>
      </c>
      <c r="BR216" s="29"/>
      <c r="BS216" s="27"/>
      <c r="BT216" s="27"/>
      <c r="BU216" s="28" t="str">
        <f>IFERROR(VLOOKUP(BS216,Horarios!$H:$I,2,0),"")</f>
        <v/>
      </c>
      <c r="BV216" s="28" t="str">
        <f>IFERROR(VLOOKUP(BT216,Horarios!$H:$I,2,0),"")</f>
        <v/>
      </c>
      <c r="BW216" s="28" t="str">
        <f t="shared" si="156"/>
        <v>00:00</v>
      </c>
      <c r="BX216" s="29"/>
      <c r="BY216" s="27"/>
      <c r="BZ216" s="27"/>
      <c r="CA216" s="28" t="str">
        <f>IFERROR(VLOOKUP(BY216,Horarios!$H:$I,2,0),"")</f>
        <v/>
      </c>
      <c r="CB216" s="28" t="str">
        <f>IFERROR(VLOOKUP(BZ216,Horarios!$H:$I,2,0),"")</f>
        <v/>
      </c>
      <c r="CC216" s="28" t="str">
        <f t="shared" si="157"/>
        <v>00:00</v>
      </c>
      <c r="CD216" s="29"/>
      <c r="CE216" s="27"/>
      <c r="CF216" s="27"/>
      <c r="CG216" s="28" t="str">
        <f>IFERROR(VLOOKUP(CE216,Horarios!$H:$I,2,0),"")</f>
        <v/>
      </c>
      <c r="CH216" s="28" t="str">
        <f>IFERROR(VLOOKUP(CF216,Horarios!$H:$I,2,0),"")</f>
        <v/>
      </c>
      <c r="CI216" s="28" t="str">
        <f t="shared" si="158"/>
        <v>00:00</v>
      </c>
      <c r="CJ216" s="29"/>
      <c r="CK216" s="31" t="str">
        <f t="shared" si="159"/>
        <v/>
      </c>
      <c r="CL216" s="27"/>
      <c r="CM216" s="27"/>
      <c r="CN216" s="28" t="str">
        <f>IFERROR(VLOOKUP(CL216,Horarios!$H:$I,2,0),"")</f>
        <v/>
      </c>
      <c r="CO216" s="28" t="str">
        <f>IFERROR(VLOOKUP(CM216,Horarios!$H:$I,2,0),"")</f>
        <v/>
      </c>
      <c r="CP216" s="28" t="str">
        <f t="shared" si="160"/>
        <v>00:00</v>
      </c>
      <c r="CQ216" s="29"/>
      <c r="CR216" s="27"/>
      <c r="CS216" s="27"/>
      <c r="CT216" s="28" t="str">
        <f>IFERROR(VLOOKUP(CR216,Horarios!$H:$I,2,0),"")</f>
        <v/>
      </c>
      <c r="CU216" s="28" t="str">
        <f>IFERROR(VLOOKUP(CS216,Horarios!$H:$I,2,0),"")</f>
        <v/>
      </c>
      <c r="CV216" s="28" t="str">
        <f t="shared" si="161"/>
        <v>00:00</v>
      </c>
      <c r="CW216" s="29"/>
      <c r="CX216" s="27"/>
      <c r="CY216" s="27"/>
      <c r="CZ216" s="28" t="str">
        <f>IFERROR(VLOOKUP(CX216,Horarios!$H:$I,2,0),"")</f>
        <v/>
      </c>
      <c r="DA216" s="28" t="str">
        <f>IFERROR(VLOOKUP(CY216,Horarios!$H:$I,2,0),"")</f>
        <v/>
      </c>
      <c r="DB216" s="28" t="str">
        <f t="shared" si="162"/>
        <v>00:00</v>
      </c>
      <c r="DC216" s="29"/>
      <c r="DD216" s="27"/>
      <c r="DE216" s="27"/>
      <c r="DF216" s="28" t="str">
        <f>IFERROR(VLOOKUP(DD216,Horarios!$H:$I,2,0),"")</f>
        <v/>
      </c>
      <c r="DG216" s="28" t="str">
        <f>IFERROR(VLOOKUP(DE216,Horarios!$H:$I,2,0),"")</f>
        <v/>
      </c>
      <c r="DH216" s="28" t="str">
        <f t="shared" si="163"/>
        <v>00:00</v>
      </c>
      <c r="DI216" s="29"/>
      <c r="DJ216" s="27"/>
      <c r="DK216" s="27"/>
      <c r="DL216" s="28" t="str">
        <f>IFERROR(VLOOKUP(DJ216,Horarios!$H:$I,2,0),"")</f>
        <v/>
      </c>
      <c r="DM216" s="28" t="str">
        <f>IFERROR(VLOOKUP(DK216,Horarios!$H:$I,2,0),"")</f>
        <v/>
      </c>
      <c r="DN216" s="28" t="str">
        <f t="shared" si="164"/>
        <v>00:00</v>
      </c>
      <c r="DO216" s="29"/>
      <c r="DP216" s="27"/>
      <c r="DQ216" s="27"/>
      <c r="DR216" s="28" t="str">
        <f>IFERROR(VLOOKUP(DP216,Horarios!$H:$I,2,0),"")</f>
        <v/>
      </c>
      <c r="DS216" s="28" t="str">
        <f>IFERROR(VLOOKUP(DQ216,Horarios!$H:$I,2,0),"")</f>
        <v/>
      </c>
      <c r="DT216" s="28" t="str">
        <f t="shared" si="165"/>
        <v>00:00</v>
      </c>
      <c r="DU216" s="29"/>
      <c r="DV216" s="27"/>
      <c r="DW216" s="27"/>
      <c r="DX216" s="28" t="str">
        <f>IFERROR(VLOOKUP(DV216,Horarios!$H:$I,2,0),"")</f>
        <v/>
      </c>
      <c r="DY216" s="28" t="str">
        <f>IFERROR(VLOOKUP(DW216,Horarios!$H:$I,2,0),"")</f>
        <v/>
      </c>
      <c r="DZ216" s="28" t="str">
        <f t="shared" si="166"/>
        <v>00:00</v>
      </c>
      <c r="EA216" s="29"/>
      <c r="EB216" s="31" t="str">
        <f t="shared" si="167"/>
        <v/>
      </c>
      <c r="EC216" s="27"/>
      <c r="ED216" s="27"/>
      <c r="EE216" s="28" t="str">
        <f>IFERROR(VLOOKUP(EC216,Horarios!$H:$I,2,0),"")</f>
        <v/>
      </c>
      <c r="EF216" s="28" t="str">
        <f>IFERROR(VLOOKUP(ED216,Horarios!$H:$I,2,0),"")</f>
        <v/>
      </c>
      <c r="EG216" s="28" t="str">
        <f t="shared" si="168"/>
        <v>00:00</v>
      </c>
      <c r="EH216" s="29"/>
      <c r="EI216" s="27"/>
      <c r="EJ216" s="27"/>
      <c r="EK216" s="28" t="str">
        <f>IFERROR(VLOOKUP(EI216,Horarios!$H:$I,2,0),"")</f>
        <v/>
      </c>
      <c r="EL216" s="28" t="str">
        <f>IFERROR(VLOOKUP(EJ216,Horarios!$H:$I,2,0),"")</f>
        <v/>
      </c>
      <c r="EM216" s="28" t="str">
        <f t="shared" si="169"/>
        <v>00:00</v>
      </c>
      <c r="EN216" s="29"/>
      <c r="EO216" s="27"/>
      <c r="EP216" s="27"/>
      <c r="EQ216" s="28" t="str">
        <f>IFERROR(VLOOKUP(EO216,Horarios!$H:$I,2,0),"")</f>
        <v/>
      </c>
      <c r="ER216" s="28" t="str">
        <f>IFERROR(VLOOKUP(EP216,Horarios!$H:$I,2,0),"")</f>
        <v/>
      </c>
      <c r="ES216" s="28" t="str">
        <f t="shared" si="170"/>
        <v>00:00</v>
      </c>
      <c r="ET216" s="29"/>
      <c r="EU216" s="27"/>
      <c r="EV216" s="27"/>
      <c r="EW216" s="28" t="str">
        <f>IFERROR(VLOOKUP(EU216,Horarios!$H:$I,2,0),"")</f>
        <v/>
      </c>
      <c r="EX216" s="28" t="str">
        <f>IFERROR(VLOOKUP(EV216,Horarios!$H:$I,2,0),"")</f>
        <v/>
      </c>
      <c r="EY216" s="28" t="str">
        <f t="shared" si="171"/>
        <v>00:00</v>
      </c>
      <c r="EZ216" s="29"/>
      <c r="FA216" s="27"/>
      <c r="FB216" s="27"/>
      <c r="FC216" s="28" t="str">
        <f>IFERROR(VLOOKUP(FA216,Horarios!$H:$I,2,0),"")</f>
        <v/>
      </c>
      <c r="FD216" s="28" t="str">
        <f>IFERROR(VLOOKUP(FB216,Horarios!$H:$I,2,0),"")</f>
        <v/>
      </c>
      <c r="FE216" s="28" t="str">
        <f t="shared" si="172"/>
        <v>00:00</v>
      </c>
      <c r="FF216" s="29"/>
      <c r="FG216" s="27"/>
      <c r="FH216" s="27"/>
      <c r="FI216" s="28" t="str">
        <f>IFERROR(VLOOKUP(FG216,Horarios!$H:$I,2,0),"")</f>
        <v/>
      </c>
      <c r="FJ216" s="28" t="str">
        <f>IFERROR(VLOOKUP(FH216,Horarios!$H:$I,2,0),"")</f>
        <v/>
      </c>
      <c r="FK216" s="28" t="str">
        <f t="shared" si="173"/>
        <v>00:00</v>
      </c>
      <c r="FL216" s="29"/>
      <c r="FM216" s="27"/>
      <c r="FN216" s="27"/>
      <c r="FO216" s="28" t="str">
        <f>IFERROR(VLOOKUP(FM216,Horarios!$H:$I,2,0),"")</f>
        <v/>
      </c>
      <c r="FP216" s="28" t="str">
        <f>IFERROR(VLOOKUP(FN216,Horarios!$H:$I,2,0),"")</f>
        <v/>
      </c>
      <c r="FQ216" s="28" t="str">
        <f t="shared" si="174"/>
        <v>00:00</v>
      </c>
      <c r="FR216" s="29"/>
      <c r="FS216" s="31" t="str">
        <f t="shared" si="175"/>
        <v/>
      </c>
      <c r="FT216" s="27"/>
      <c r="FU216" s="27"/>
      <c r="FV216" s="28" t="str">
        <f>IFERROR(VLOOKUP(FT216,Horarios!$H:$I,2,0),"")</f>
        <v/>
      </c>
      <c r="FW216" s="28" t="str">
        <f>IFERROR(VLOOKUP(FU216,Horarios!$H:$I,2,0),"")</f>
        <v/>
      </c>
      <c r="FX216" s="28" t="str">
        <f t="shared" si="176"/>
        <v>00:00</v>
      </c>
      <c r="FY216" s="29"/>
      <c r="FZ216" s="27"/>
      <c r="GA216" s="27"/>
      <c r="GB216" s="28" t="str">
        <f>IFERROR(VLOOKUP(FZ216,Horarios!$H:$I,2,0),"")</f>
        <v/>
      </c>
      <c r="GC216" s="28" t="str">
        <f>IFERROR(VLOOKUP(GA216,Horarios!$H:$I,2,0),"")</f>
        <v/>
      </c>
      <c r="GD216" s="28" t="str">
        <f t="shared" si="177"/>
        <v>00:00</v>
      </c>
      <c r="GE216" s="29"/>
      <c r="GF216" s="27"/>
      <c r="GG216" s="27"/>
      <c r="GH216" s="28" t="str">
        <f>IFERROR(VLOOKUP(GF216,Horarios!$H:$I,2,0),"")</f>
        <v/>
      </c>
      <c r="GI216" s="28" t="str">
        <f>IFERROR(VLOOKUP(GG216,Horarios!$H:$I,2,0),"")</f>
        <v/>
      </c>
      <c r="GJ216" s="28" t="str">
        <f t="shared" si="178"/>
        <v>00:00</v>
      </c>
      <c r="GK216" s="29"/>
      <c r="GL216" s="27"/>
      <c r="GM216" s="27"/>
      <c r="GN216" s="28" t="str">
        <f>IFERROR(VLOOKUP(GL216,Horarios!$H:$I,2,0),"")</f>
        <v/>
      </c>
      <c r="GO216" s="28" t="str">
        <f>IFERROR(VLOOKUP(GM216,Horarios!$H:$I,2,0),"")</f>
        <v/>
      </c>
      <c r="GP216" s="28" t="str">
        <f t="shared" si="179"/>
        <v>00:00</v>
      </c>
      <c r="GQ216" s="29"/>
      <c r="GR216" s="27"/>
      <c r="GS216" s="27"/>
      <c r="GT216" s="28" t="str">
        <f>IFERROR(VLOOKUP(GR216,Horarios!$H:$I,2,0),"")</f>
        <v/>
      </c>
      <c r="GU216" s="28" t="str">
        <f>IFERROR(VLOOKUP(GS216,Horarios!$H:$I,2,0),"")</f>
        <v/>
      </c>
      <c r="GV216" s="28" t="str">
        <f t="shared" si="180"/>
        <v>00:00</v>
      </c>
      <c r="GW216" s="29"/>
      <c r="GX216" s="27"/>
      <c r="GY216" s="27"/>
      <c r="GZ216" s="28" t="str">
        <f>IFERROR(VLOOKUP(GX216,Horarios!$H:$I,2,0),"")</f>
        <v/>
      </c>
      <c r="HA216" s="28" t="str">
        <f>IFERROR(VLOOKUP(GY216,Horarios!$H:$I,2,0),"")</f>
        <v/>
      </c>
      <c r="HB216" s="28" t="str">
        <f t="shared" si="181"/>
        <v>00:00</v>
      </c>
      <c r="HC216" s="29"/>
      <c r="HD216" s="27"/>
      <c r="HE216" s="27"/>
      <c r="HF216" s="28" t="str">
        <f>IFERROR(VLOOKUP(HD216,Horarios!$H:$I,2,0),"")</f>
        <v/>
      </c>
      <c r="HG216" s="28" t="str">
        <f>IFERROR(VLOOKUP(HE216,Horarios!$H:$I,2,0),"")</f>
        <v/>
      </c>
      <c r="HH216" s="28" t="str">
        <f t="shared" si="182"/>
        <v>00:00</v>
      </c>
      <c r="HI216" s="29"/>
      <c r="HJ216" s="31" t="str">
        <f t="shared" si="183"/>
        <v/>
      </c>
      <c r="HK216" s="27"/>
      <c r="HL216" s="27"/>
      <c r="HM216" s="28" t="str">
        <f>IFERROR(VLOOKUP(HK216,Horarios!$H:$I,2,0),"")</f>
        <v/>
      </c>
      <c r="HN216" s="28" t="str">
        <f>IFERROR(VLOOKUP(HL216,Horarios!$H:$I,2,0),"")</f>
        <v/>
      </c>
      <c r="HO216" s="28" t="str">
        <f t="shared" si="184"/>
        <v>00:00</v>
      </c>
      <c r="HP216" s="29"/>
      <c r="HQ216" s="27"/>
      <c r="HR216" s="27"/>
      <c r="HS216" s="28" t="str">
        <f>IFERROR(VLOOKUP(HQ216,Horarios!$H:$I,2,0),"")</f>
        <v/>
      </c>
      <c r="HT216" s="28" t="str">
        <f>IFERROR(VLOOKUP(HR216,Horarios!$H:$I,2,0),"")</f>
        <v/>
      </c>
      <c r="HU216" s="28" t="str">
        <f t="shared" si="185"/>
        <v>00:00</v>
      </c>
      <c r="HV216" s="29"/>
      <c r="HW216" s="27"/>
      <c r="HX216" s="27"/>
      <c r="HY216" s="28" t="str">
        <f>IFERROR(VLOOKUP(HW216,Horarios!$H:$I,2,0),"")</f>
        <v/>
      </c>
      <c r="HZ216" s="28" t="str">
        <f>IFERROR(VLOOKUP(HX216,Horarios!$H:$I,2,0),"")</f>
        <v/>
      </c>
      <c r="IA216" s="28" t="str">
        <f t="shared" si="186"/>
        <v>00:00</v>
      </c>
      <c r="IB216" s="29"/>
      <c r="IC216" s="27"/>
      <c r="ID216" s="27"/>
      <c r="IE216" s="28" t="str">
        <f>IFERROR(VLOOKUP(IC216,Horarios!$H:$I,2,0),"")</f>
        <v/>
      </c>
      <c r="IF216" s="28" t="str">
        <f>IFERROR(VLOOKUP(ID216,Horarios!$H:$I,2,0),"")</f>
        <v/>
      </c>
      <c r="IG216" s="28" t="str">
        <f t="shared" si="187"/>
        <v>00:00</v>
      </c>
      <c r="IH216" s="29"/>
      <c r="II216" s="27"/>
      <c r="IJ216" s="27"/>
      <c r="IK216" s="28" t="str">
        <f>IFERROR(VLOOKUP(II216,Horarios!$H:$I,2,0),"")</f>
        <v/>
      </c>
      <c r="IL216" s="28" t="str">
        <f>IFERROR(VLOOKUP(IJ216,Horarios!$H:$I,2,0),"")</f>
        <v/>
      </c>
      <c r="IM216" s="28" t="str">
        <f t="shared" si="188"/>
        <v>00:00</v>
      </c>
      <c r="IN216" s="29"/>
      <c r="IO216" s="27"/>
      <c r="IP216" s="27"/>
      <c r="IQ216" s="28" t="str">
        <f>IFERROR(VLOOKUP(IO216,Horarios!$H:$I,2,0),"")</f>
        <v/>
      </c>
      <c r="IR216" s="28" t="str">
        <f>IFERROR(VLOOKUP(IP216,Horarios!$H:$I,2,0),"")</f>
        <v/>
      </c>
      <c r="IS216" s="28" t="str">
        <f t="shared" si="189"/>
        <v>00:00</v>
      </c>
      <c r="IT216" s="29"/>
      <c r="IU216" s="27"/>
      <c r="IV216" s="27"/>
      <c r="IW216" s="28" t="str">
        <f>IFERROR(VLOOKUP(IU216,Horarios!$H:$I,2,0),"")</f>
        <v/>
      </c>
      <c r="IX216" s="28" t="str">
        <f>IFERROR(VLOOKUP(IV216,Horarios!$H:$I,2,0),"")</f>
        <v/>
      </c>
      <c r="IY216" s="28" t="str">
        <f t="shared" si="190"/>
        <v>00:00</v>
      </c>
      <c r="IZ216" s="29"/>
      <c r="JA216" s="31" t="str">
        <f t="shared" si="191"/>
        <v/>
      </c>
    </row>
    <row r="217" spans="1:261" s="24" customFormat="1" ht="17.399999999999999" x14ac:dyDescent="0.25">
      <c r="A217" s="25"/>
      <c r="B217" s="26" t="str">
        <f>IFERROR(VLOOKUP(A217,BaseNombres!A:B,2,0),"")</f>
        <v/>
      </c>
      <c r="C217" s="26" t="str">
        <f>IFERROR(VLOOKUP(A217,BaseNombres!A:C,3,0),"")</f>
        <v/>
      </c>
      <c r="D217" s="27"/>
      <c r="E217" s="27"/>
      <c r="F217" s="28" t="str">
        <f>IFERROR(VLOOKUP(D217,Horarios!$H:$I,2,0),"")</f>
        <v/>
      </c>
      <c r="G217" s="28" t="str">
        <f>IFERROR(VLOOKUP(E217,Horarios!$H:$I,2,0),"")</f>
        <v/>
      </c>
      <c r="H217" s="28" t="str">
        <f t="shared" si="144"/>
        <v>00:00</v>
      </c>
      <c r="I217" s="29"/>
      <c r="J217" s="27"/>
      <c r="K217" s="27"/>
      <c r="L217" s="28" t="str">
        <f>IFERROR(VLOOKUP(J217,Horarios!$H:$I,2,0),"")</f>
        <v/>
      </c>
      <c r="M217" s="28" t="str">
        <f>IFERROR(VLOOKUP(K217,Horarios!$H:$I,2,0),"")</f>
        <v/>
      </c>
      <c r="N217" s="28" t="str">
        <f t="shared" si="145"/>
        <v>00:00</v>
      </c>
      <c r="O217" s="29"/>
      <c r="P217" s="27"/>
      <c r="Q217" s="27"/>
      <c r="R217" s="28" t="str">
        <f>IFERROR(VLOOKUP(P217,Horarios!$H:$I,2,0),"")</f>
        <v/>
      </c>
      <c r="S217" s="28" t="str">
        <f>IFERROR(VLOOKUP(Q217,Horarios!$H:$I,2,0),"")</f>
        <v/>
      </c>
      <c r="T217" s="28" t="str">
        <f t="shared" si="146"/>
        <v>00:00</v>
      </c>
      <c r="U217" s="29"/>
      <c r="V217" s="27"/>
      <c r="W217" s="27"/>
      <c r="X217" s="28" t="str">
        <f>IFERROR(VLOOKUP(V217,Horarios!$H:$I,2,0),"")</f>
        <v/>
      </c>
      <c r="Y217" s="28" t="str">
        <f>IFERROR(VLOOKUP(W217,Horarios!$H:$I,2,0),"")</f>
        <v/>
      </c>
      <c r="Z217" s="28" t="str">
        <f t="shared" si="147"/>
        <v>00:00</v>
      </c>
      <c r="AA217" s="29"/>
      <c r="AB217" s="27"/>
      <c r="AC217" s="27"/>
      <c r="AD217" s="28" t="str">
        <f>IFERROR(VLOOKUP(AB217,Horarios!$H:$I,2,0),"")</f>
        <v/>
      </c>
      <c r="AE217" s="28" t="str">
        <f>IFERROR(VLOOKUP(AC217,Horarios!$H:$I,2,0),"")</f>
        <v/>
      </c>
      <c r="AF217" s="28" t="str">
        <f t="shared" si="148"/>
        <v>00:00</v>
      </c>
      <c r="AG217" s="29"/>
      <c r="AH217" s="27"/>
      <c r="AI217" s="27"/>
      <c r="AJ217" s="28" t="str">
        <f>IFERROR(VLOOKUP(AH217,Horarios!$H:$I,2,0),"")</f>
        <v/>
      </c>
      <c r="AK217" s="28" t="str">
        <f>IFERROR(VLOOKUP(AI217,Horarios!$H:$I,2,0),"")</f>
        <v/>
      </c>
      <c r="AL217" s="28" t="str">
        <f t="shared" si="149"/>
        <v>00:00</v>
      </c>
      <c r="AM217" s="29"/>
      <c r="AN217" s="27"/>
      <c r="AO217" s="27"/>
      <c r="AP217" s="28" t="str">
        <f>IFERROR(VLOOKUP(AN217,Horarios!$H:$I,2,0),"")</f>
        <v/>
      </c>
      <c r="AQ217" s="28" t="str">
        <f>IFERROR(VLOOKUP(AO217,Horarios!$H:$I,2,0),"")</f>
        <v/>
      </c>
      <c r="AR217" s="28" t="str">
        <f t="shared" si="150"/>
        <v>00:00</v>
      </c>
      <c r="AS217" s="29"/>
      <c r="AT217" s="31" t="str">
        <f t="shared" si="151"/>
        <v/>
      </c>
      <c r="AU217" s="27"/>
      <c r="AV217" s="27"/>
      <c r="AW217" s="28" t="str">
        <f>IFERROR(VLOOKUP(AU217,Horarios!$H:$I,2,0),"")</f>
        <v/>
      </c>
      <c r="AX217" s="28" t="str">
        <f>IFERROR(VLOOKUP(AV217,Horarios!$H:$I,2,0),"")</f>
        <v/>
      </c>
      <c r="AY217" s="28" t="str">
        <f t="shared" si="152"/>
        <v>00:00</v>
      </c>
      <c r="AZ217" s="29"/>
      <c r="BA217" s="27"/>
      <c r="BB217" s="27"/>
      <c r="BC217" s="28" t="str">
        <f>IFERROR(VLOOKUP(BA217,Horarios!$H:$I,2,0),"")</f>
        <v/>
      </c>
      <c r="BD217" s="28" t="str">
        <f>IFERROR(VLOOKUP(BB217,Horarios!$H:$I,2,0),"")</f>
        <v/>
      </c>
      <c r="BE217" s="28" t="str">
        <f t="shared" si="153"/>
        <v>00:00</v>
      </c>
      <c r="BF217" s="29"/>
      <c r="BG217" s="27"/>
      <c r="BH217" s="27"/>
      <c r="BI217" s="28" t="str">
        <f>IFERROR(VLOOKUP(BG217,Horarios!$H:$I,2,0),"")</f>
        <v/>
      </c>
      <c r="BJ217" s="28" t="str">
        <f>IFERROR(VLOOKUP(BH217,Horarios!$H:$I,2,0),"")</f>
        <v/>
      </c>
      <c r="BK217" s="28" t="str">
        <f t="shared" si="154"/>
        <v>00:00</v>
      </c>
      <c r="BL217" s="29"/>
      <c r="BM217" s="27"/>
      <c r="BN217" s="27"/>
      <c r="BO217" s="28" t="str">
        <f>IFERROR(VLOOKUP(BM217,Horarios!$H:$I,2,0),"")</f>
        <v/>
      </c>
      <c r="BP217" s="28" t="str">
        <f>IFERROR(VLOOKUP(BN217,Horarios!$H:$I,2,0),"")</f>
        <v/>
      </c>
      <c r="BQ217" s="28" t="str">
        <f t="shared" si="155"/>
        <v>00:00</v>
      </c>
      <c r="BR217" s="29"/>
      <c r="BS217" s="27"/>
      <c r="BT217" s="27"/>
      <c r="BU217" s="28" t="str">
        <f>IFERROR(VLOOKUP(BS217,Horarios!$H:$I,2,0),"")</f>
        <v/>
      </c>
      <c r="BV217" s="28" t="str">
        <f>IFERROR(VLOOKUP(BT217,Horarios!$H:$I,2,0),"")</f>
        <v/>
      </c>
      <c r="BW217" s="28" t="str">
        <f t="shared" si="156"/>
        <v>00:00</v>
      </c>
      <c r="BX217" s="29"/>
      <c r="BY217" s="27"/>
      <c r="BZ217" s="27"/>
      <c r="CA217" s="28" t="str">
        <f>IFERROR(VLOOKUP(BY217,Horarios!$H:$I,2,0),"")</f>
        <v/>
      </c>
      <c r="CB217" s="28" t="str">
        <f>IFERROR(VLOOKUP(BZ217,Horarios!$H:$I,2,0),"")</f>
        <v/>
      </c>
      <c r="CC217" s="28" t="str">
        <f t="shared" si="157"/>
        <v>00:00</v>
      </c>
      <c r="CD217" s="29"/>
      <c r="CE217" s="27"/>
      <c r="CF217" s="27"/>
      <c r="CG217" s="28" t="str">
        <f>IFERROR(VLOOKUP(CE217,Horarios!$H:$I,2,0),"")</f>
        <v/>
      </c>
      <c r="CH217" s="28" t="str">
        <f>IFERROR(VLOOKUP(CF217,Horarios!$H:$I,2,0),"")</f>
        <v/>
      </c>
      <c r="CI217" s="28" t="str">
        <f t="shared" si="158"/>
        <v>00:00</v>
      </c>
      <c r="CJ217" s="29"/>
      <c r="CK217" s="31" t="str">
        <f t="shared" si="159"/>
        <v/>
      </c>
      <c r="CL217" s="27"/>
      <c r="CM217" s="27"/>
      <c r="CN217" s="28" t="str">
        <f>IFERROR(VLOOKUP(CL217,Horarios!$H:$I,2,0),"")</f>
        <v/>
      </c>
      <c r="CO217" s="28" t="str">
        <f>IFERROR(VLOOKUP(CM217,Horarios!$H:$I,2,0),"")</f>
        <v/>
      </c>
      <c r="CP217" s="28" t="str">
        <f t="shared" si="160"/>
        <v>00:00</v>
      </c>
      <c r="CQ217" s="29"/>
      <c r="CR217" s="27"/>
      <c r="CS217" s="27"/>
      <c r="CT217" s="28" t="str">
        <f>IFERROR(VLOOKUP(CR217,Horarios!$H:$I,2,0),"")</f>
        <v/>
      </c>
      <c r="CU217" s="28" t="str">
        <f>IFERROR(VLOOKUP(CS217,Horarios!$H:$I,2,0),"")</f>
        <v/>
      </c>
      <c r="CV217" s="28" t="str">
        <f t="shared" si="161"/>
        <v>00:00</v>
      </c>
      <c r="CW217" s="29"/>
      <c r="CX217" s="27"/>
      <c r="CY217" s="27"/>
      <c r="CZ217" s="28" t="str">
        <f>IFERROR(VLOOKUP(CX217,Horarios!$H:$I,2,0),"")</f>
        <v/>
      </c>
      <c r="DA217" s="28" t="str">
        <f>IFERROR(VLOOKUP(CY217,Horarios!$H:$I,2,0),"")</f>
        <v/>
      </c>
      <c r="DB217" s="28" t="str">
        <f t="shared" si="162"/>
        <v>00:00</v>
      </c>
      <c r="DC217" s="29"/>
      <c r="DD217" s="27"/>
      <c r="DE217" s="27"/>
      <c r="DF217" s="28" t="str">
        <f>IFERROR(VLOOKUP(DD217,Horarios!$H:$I,2,0),"")</f>
        <v/>
      </c>
      <c r="DG217" s="28" t="str">
        <f>IFERROR(VLOOKUP(DE217,Horarios!$H:$I,2,0),"")</f>
        <v/>
      </c>
      <c r="DH217" s="28" t="str">
        <f t="shared" si="163"/>
        <v>00:00</v>
      </c>
      <c r="DI217" s="29"/>
      <c r="DJ217" s="27"/>
      <c r="DK217" s="27"/>
      <c r="DL217" s="28" t="str">
        <f>IFERROR(VLOOKUP(DJ217,Horarios!$H:$I,2,0),"")</f>
        <v/>
      </c>
      <c r="DM217" s="28" t="str">
        <f>IFERROR(VLOOKUP(DK217,Horarios!$H:$I,2,0),"")</f>
        <v/>
      </c>
      <c r="DN217" s="28" t="str">
        <f t="shared" si="164"/>
        <v>00:00</v>
      </c>
      <c r="DO217" s="29"/>
      <c r="DP217" s="27"/>
      <c r="DQ217" s="27"/>
      <c r="DR217" s="28" t="str">
        <f>IFERROR(VLOOKUP(DP217,Horarios!$H:$I,2,0),"")</f>
        <v/>
      </c>
      <c r="DS217" s="28" t="str">
        <f>IFERROR(VLOOKUP(DQ217,Horarios!$H:$I,2,0),"")</f>
        <v/>
      </c>
      <c r="DT217" s="28" t="str">
        <f t="shared" si="165"/>
        <v>00:00</v>
      </c>
      <c r="DU217" s="29"/>
      <c r="DV217" s="27"/>
      <c r="DW217" s="27"/>
      <c r="DX217" s="28" t="str">
        <f>IFERROR(VLOOKUP(DV217,Horarios!$H:$I,2,0),"")</f>
        <v/>
      </c>
      <c r="DY217" s="28" t="str">
        <f>IFERROR(VLOOKUP(DW217,Horarios!$H:$I,2,0),"")</f>
        <v/>
      </c>
      <c r="DZ217" s="28" t="str">
        <f t="shared" si="166"/>
        <v>00:00</v>
      </c>
      <c r="EA217" s="29"/>
      <c r="EB217" s="31" t="str">
        <f t="shared" si="167"/>
        <v/>
      </c>
      <c r="EC217" s="27"/>
      <c r="ED217" s="27"/>
      <c r="EE217" s="28" t="str">
        <f>IFERROR(VLOOKUP(EC217,Horarios!$H:$I,2,0),"")</f>
        <v/>
      </c>
      <c r="EF217" s="28" t="str">
        <f>IFERROR(VLOOKUP(ED217,Horarios!$H:$I,2,0),"")</f>
        <v/>
      </c>
      <c r="EG217" s="28" t="str">
        <f t="shared" si="168"/>
        <v>00:00</v>
      </c>
      <c r="EH217" s="29"/>
      <c r="EI217" s="27"/>
      <c r="EJ217" s="27"/>
      <c r="EK217" s="28" t="str">
        <f>IFERROR(VLOOKUP(EI217,Horarios!$H:$I,2,0),"")</f>
        <v/>
      </c>
      <c r="EL217" s="28" t="str">
        <f>IFERROR(VLOOKUP(EJ217,Horarios!$H:$I,2,0),"")</f>
        <v/>
      </c>
      <c r="EM217" s="28" t="str">
        <f t="shared" si="169"/>
        <v>00:00</v>
      </c>
      <c r="EN217" s="29"/>
      <c r="EO217" s="27"/>
      <c r="EP217" s="27"/>
      <c r="EQ217" s="28" t="str">
        <f>IFERROR(VLOOKUP(EO217,Horarios!$H:$I,2,0),"")</f>
        <v/>
      </c>
      <c r="ER217" s="28" t="str">
        <f>IFERROR(VLOOKUP(EP217,Horarios!$H:$I,2,0),"")</f>
        <v/>
      </c>
      <c r="ES217" s="28" t="str">
        <f t="shared" si="170"/>
        <v>00:00</v>
      </c>
      <c r="ET217" s="29"/>
      <c r="EU217" s="27"/>
      <c r="EV217" s="27"/>
      <c r="EW217" s="28" t="str">
        <f>IFERROR(VLOOKUP(EU217,Horarios!$H:$I,2,0),"")</f>
        <v/>
      </c>
      <c r="EX217" s="28" t="str">
        <f>IFERROR(VLOOKUP(EV217,Horarios!$H:$I,2,0),"")</f>
        <v/>
      </c>
      <c r="EY217" s="28" t="str">
        <f t="shared" si="171"/>
        <v>00:00</v>
      </c>
      <c r="EZ217" s="29"/>
      <c r="FA217" s="27"/>
      <c r="FB217" s="27"/>
      <c r="FC217" s="28" t="str">
        <f>IFERROR(VLOOKUP(FA217,Horarios!$H:$I,2,0),"")</f>
        <v/>
      </c>
      <c r="FD217" s="28" t="str">
        <f>IFERROR(VLOOKUP(FB217,Horarios!$H:$I,2,0),"")</f>
        <v/>
      </c>
      <c r="FE217" s="28" t="str">
        <f t="shared" si="172"/>
        <v>00:00</v>
      </c>
      <c r="FF217" s="29"/>
      <c r="FG217" s="27"/>
      <c r="FH217" s="27"/>
      <c r="FI217" s="28" t="str">
        <f>IFERROR(VLOOKUP(FG217,Horarios!$H:$I,2,0),"")</f>
        <v/>
      </c>
      <c r="FJ217" s="28" t="str">
        <f>IFERROR(VLOOKUP(FH217,Horarios!$H:$I,2,0),"")</f>
        <v/>
      </c>
      <c r="FK217" s="28" t="str">
        <f t="shared" si="173"/>
        <v>00:00</v>
      </c>
      <c r="FL217" s="29"/>
      <c r="FM217" s="27"/>
      <c r="FN217" s="27"/>
      <c r="FO217" s="28" t="str">
        <f>IFERROR(VLOOKUP(FM217,Horarios!$H:$I,2,0),"")</f>
        <v/>
      </c>
      <c r="FP217" s="28" t="str">
        <f>IFERROR(VLOOKUP(FN217,Horarios!$H:$I,2,0),"")</f>
        <v/>
      </c>
      <c r="FQ217" s="28" t="str">
        <f t="shared" si="174"/>
        <v>00:00</v>
      </c>
      <c r="FR217" s="29"/>
      <c r="FS217" s="31" t="str">
        <f t="shared" si="175"/>
        <v/>
      </c>
      <c r="FT217" s="27"/>
      <c r="FU217" s="27"/>
      <c r="FV217" s="28" t="str">
        <f>IFERROR(VLOOKUP(FT217,Horarios!$H:$I,2,0),"")</f>
        <v/>
      </c>
      <c r="FW217" s="28" t="str">
        <f>IFERROR(VLOOKUP(FU217,Horarios!$H:$I,2,0),"")</f>
        <v/>
      </c>
      <c r="FX217" s="28" t="str">
        <f t="shared" si="176"/>
        <v>00:00</v>
      </c>
      <c r="FY217" s="29"/>
      <c r="FZ217" s="27"/>
      <c r="GA217" s="27"/>
      <c r="GB217" s="28" t="str">
        <f>IFERROR(VLOOKUP(FZ217,Horarios!$H:$I,2,0),"")</f>
        <v/>
      </c>
      <c r="GC217" s="28" t="str">
        <f>IFERROR(VLOOKUP(GA217,Horarios!$H:$I,2,0),"")</f>
        <v/>
      </c>
      <c r="GD217" s="28" t="str">
        <f t="shared" si="177"/>
        <v>00:00</v>
      </c>
      <c r="GE217" s="29"/>
      <c r="GF217" s="27"/>
      <c r="GG217" s="27"/>
      <c r="GH217" s="28" t="str">
        <f>IFERROR(VLOOKUP(GF217,Horarios!$H:$I,2,0),"")</f>
        <v/>
      </c>
      <c r="GI217" s="28" t="str">
        <f>IFERROR(VLOOKUP(GG217,Horarios!$H:$I,2,0),"")</f>
        <v/>
      </c>
      <c r="GJ217" s="28" t="str">
        <f t="shared" si="178"/>
        <v>00:00</v>
      </c>
      <c r="GK217" s="29"/>
      <c r="GL217" s="27"/>
      <c r="GM217" s="27"/>
      <c r="GN217" s="28" t="str">
        <f>IFERROR(VLOOKUP(GL217,Horarios!$H:$I,2,0),"")</f>
        <v/>
      </c>
      <c r="GO217" s="28" t="str">
        <f>IFERROR(VLOOKUP(GM217,Horarios!$H:$I,2,0),"")</f>
        <v/>
      </c>
      <c r="GP217" s="28" t="str">
        <f t="shared" si="179"/>
        <v>00:00</v>
      </c>
      <c r="GQ217" s="29"/>
      <c r="GR217" s="27"/>
      <c r="GS217" s="27"/>
      <c r="GT217" s="28" t="str">
        <f>IFERROR(VLOOKUP(GR217,Horarios!$H:$I,2,0),"")</f>
        <v/>
      </c>
      <c r="GU217" s="28" t="str">
        <f>IFERROR(VLOOKUP(GS217,Horarios!$H:$I,2,0),"")</f>
        <v/>
      </c>
      <c r="GV217" s="28" t="str">
        <f t="shared" si="180"/>
        <v>00:00</v>
      </c>
      <c r="GW217" s="29"/>
      <c r="GX217" s="27"/>
      <c r="GY217" s="27"/>
      <c r="GZ217" s="28" t="str">
        <f>IFERROR(VLOOKUP(GX217,Horarios!$H:$I,2,0),"")</f>
        <v/>
      </c>
      <c r="HA217" s="28" t="str">
        <f>IFERROR(VLOOKUP(GY217,Horarios!$H:$I,2,0),"")</f>
        <v/>
      </c>
      <c r="HB217" s="28" t="str">
        <f t="shared" si="181"/>
        <v>00:00</v>
      </c>
      <c r="HC217" s="29"/>
      <c r="HD217" s="27"/>
      <c r="HE217" s="27"/>
      <c r="HF217" s="28" t="str">
        <f>IFERROR(VLOOKUP(HD217,Horarios!$H:$I,2,0),"")</f>
        <v/>
      </c>
      <c r="HG217" s="28" t="str">
        <f>IFERROR(VLOOKUP(HE217,Horarios!$H:$I,2,0),"")</f>
        <v/>
      </c>
      <c r="HH217" s="28" t="str">
        <f t="shared" si="182"/>
        <v>00:00</v>
      </c>
      <c r="HI217" s="29"/>
      <c r="HJ217" s="31" t="str">
        <f t="shared" si="183"/>
        <v/>
      </c>
      <c r="HK217" s="27"/>
      <c r="HL217" s="27"/>
      <c r="HM217" s="28" t="str">
        <f>IFERROR(VLOOKUP(HK217,Horarios!$H:$I,2,0),"")</f>
        <v/>
      </c>
      <c r="HN217" s="28" t="str">
        <f>IFERROR(VLOOKUP(HL217,Horarios!$H:$I,2,0),"")</f>
        <v/>
      </c>
      <c r="HO217" s="28" t="str">
        <f t="shared" si="184"/>
        <v>00:00</v>
      </c>
      <c r="HP217" s="29"/>
      <c r="HQ217" s="27"/>
      <c r="HR217" s="27"/>
      <c r="HS217" s="28" t="str">
        <f>IFERROR(VLOOKUP(HQ217,Horarios!$H:$I,2,0),"")</f>
        <v/>
      </c>
      <c r="HT217" s="28" t="str">
        <f>IFERROR(VLOOKUP(HR217,Horarios!$H:$I,2,0),"")</f>
        <v/>
      </c>
      <c r="HU217" s="28" t="str">
        <f t="shared" si="185"/>
        <v>00:00</v>
      </c>
      <c r="HV217" s="29"/>
      <c r="HW217" s="27"/>
      <c r="HX217" s="27"/>
      <c r="HY217" s="28" t="str">
        <f>IFERROR(VLOOKUP(HW217,Horarios!$H:$I,2,0),"")</f>
        <v/>
      </c>
      <c r="HZ217" s="28" t="str">
        <f>IFERROR(VLOOKUP(HX217,Horarios!$H:$I,2,0),"")</f>
        <v/>
      </c>
      <c r="IA217" s="28" t="str">
        <f t="shared" si="186"/>
        <v>00:00</v>
      </c>
      <c r="IB217" s="29"/>
      <c r="IC217" s="27"/>
      <c r="ID217" s="27"/>
      <c r="IE217" s="28" t="str">
        <f>IFERROR(VLOOKUP(IC217,Horarios!$H:$I,2,0),"")</f>
        <v/>
      </c>
      <c r="IF217" s="28" t="str">
        <f>IFERROR(VLOOKUP(ID217,Horarios!$H:$I,2,0),"")</f>
        <v/>
      </c>
      <c r="IG217" s="28" t="str">
        <f t="shared" si="187"/>
        <v>00:00</v>
      </c>
      <c r="IH217" s="29"/>
      <c r="II217" s="27"/>
      <c r="IJ217" s="27"/>
      <c r="IK217" s="28" t="str">
        <f>IFERROR(VLOOKUP(II217,Horarios!$H:$I,2,0),"")</f>
        <v/>
      </c>
      <c r="IL217" s="28" t="str">
        <f>IFERROR(VLOOKUP(IJ217,Horarios!$H:$I,2,0),"")</f>
        <v/>
      </c>
      <c r="IM217" s="28" t="str">
        <f t="shared" si="188"/>
        <v>00:00</v>
      </c>
      <c r="IN217" s="29"/>
      <c r="IO217" s="27"/>
      <c r="IP217" s="27"/>
      <c r="IQ217" s="28" t="str">
        <f>IFERROR(VLOOKUP(IO217,Horarios!$H:$I,2,0),"")</f>
        <v/>
      </c>
      <c r="IR217" s="28" t="str">
        <f>IFERROR(VLOOKUP(IP217,Horarios!$H:$I,2,0),"")</f>
        <v/>
      </c>
      <c r="IS217" s="28" t="str">
        <f t="shared" si="189"/>
        <v>00:00</v>
      </c>
      <c r="IT217" s="29"/>
      <c r="IU217" s="27"/>
      <c r="IV217" s="27"/>
      <c r="IW217" s="28" t="str">
        <f>IFERROR(VLOOKUP(IU217,Horarios!$H:$I,2,0),"")</f>
        <v/>
      </c>
      <c r="IX217" s="28" t="str">
        <f>IFERROR(VLOOKUP(IV217,Horarios!$H:$I,2,0),"")</f>
        <v/>
      </c>
      <c r="IY217" s="28" t="str">
        <f t="shared" si="190"/>
        <v>00:00</v>
      </c>
      <c r="IZ217" s="29"/>
      <c r="JA217" s="31" t="str">
        <f t="shared" si="191"/>
        <v/>
      </c>
    </row>
    <row r="218" spans="1:261" s="24" customFormat="1" ht="17.399999999999999" x14ac:dyDescent="0.25">
      <c r="A218" s="25"/>
      <c r="B218" s="26" t="str">
        <f>IFERROR(VLOOKUP(A218,BaseNombres!A:B,2,0),"")</f>
        <v/>
      </c>
      <c r="C218" s="26" t="str">
        <f>IFERROR(VLOOKUP(A218,BaseNombres!A:C,3,0),"")</f>
        <v/>
      </c>
      <c r="D218" s="27"/>
      <c r="E218" s="27"/>
      <c r="F218" s="28" t="str">
        <f>IFERROR(VLOOKUP(D218,Horarios!$H:$I,2,0),"")</f>
        <v/>
      </c>
      <c r="G218" s="28" t="str">
        <f>IFERROR(VLOOKUP(E218,Horarios!$H:$I,2,0),"")</f>
        <v/>
      </c>
      <c r="H218" s="28" t="str">
        <f t="shared" si="144"/>
        <v>00:00</v>
      </c>
      <c r="I218" s="29"/>
      <c r="J218" s="27"/>
      <c r="K218" s="27"/>
      <c r="L218" s="28" t="str">
        <f>IFERROR(VLOOKUP(J218,Horarios!$H:$I,2,0),"")</f>
        <v/>
      </c>
      <c r="M218" s="28" t="str">
        <f>IFERROR(VLOOKUP(K218,Horarios!$H:$I,2,0),"")</f>
        <v/>
      </c>
      <c r="N218" s="28" t="str">
        <f t="shared" si="145"/>
        <v>00:00</v>
      </c>
      <c r="O218" s="29"/>
      <c r="P218" s="27"/>
      <c r="Q218" s="27"/>
      <c r="R218" s="28" t="str">
        <f>IFERROR(VLOOKUP(P218,Horarios!$H:$I,2,0),"")</f>
        <v/>
      </c>
      <c r="S218" s="28" t="str">
        <f>IFERROR(VLOOKUP(Q218,Horarios!$H:$I,2,0),"")</f>
        <v/>
      </c>
      <c r="T218" s="28" t="str">
        <f t="shared" si="146"/>
        <v>00:00</v>
      </c>
      <c r="U218" s="29"/>
      <c r="V218" s="27"/>
      <c r="W218" s="27"/>
      <c r="X218" s="28" t="str">
        <f>IFERROR(VLOOKUP(V218,Horarios!$H:$I,2,0),"")</f>
        <v/>
      </c>
      <c r="Y218" s="28" t="str">
        <f>IFERROR(VLOOKUP(W218,Horarios!$H:$I,2,0),"")</f>
        <v/>
      </c>
      <c r="Z218" s="28" t="str">
        <f t="shared" si="147"/>
        <v>00:00</v>
      </c>
      <c r="AA218" s="29"/>
      <c r="AB218" s="27"/>
      <c r="AC218" s="27"/>
      <c r="AD218" s="28" t="str">
        <f>IFERROR(VLOOKUP(AB218,Horarios!$H:$I,2,0),"")</f>
        <v/>
      </c>
      <c r="AE218" s="28" t="str">
        <f>IFERROR(VLOOKUP(AC218,Horarios!$H:$I,2,0),"")</f>
        <v/>
      </c>
      <c r="AF218" s="28" t="str">
        <f t="shared" si="148"/>
        <v>00:00</v>
      </c>
      <c r="AG218" s="29"/>
      <c r="AH218" s="27"/>
      <c r="AI218" s="27"/>
      <c r="AJ218" s="28" t="str">
        <f>IFERROR(VLOOKUP(AH218,Horarios!$H:$I,2,0),"")</f>
        <v/>
      </c>
      <c r="AK218" s="28" t="str">
        <f>IFERROR(VLOOKUP(AI218,Horarios!$H:$I,2,0),"")</f>
        <v/>
      </c>
      <c r="AL218" s="28" t="str">
        <f t="shared" si="149"/>
        <v>00:00</v>
      </c>
      <c r="AM218" s="29"/>
      <c r="AN218" s="27"/>
      <c r="AO218" s="27"/>
      <c r="AP218" s="28" t="str">
        <f>IFERROR(VLOOKUP(AN218,Horarios!$H:$I,2,0),"")</f>
        <v/>
      </c>
      <c r="AQ218" s="28" t="str">
        <f>IFERROR(VLOOKUP(AO218,Horarios!$H:$I,2,0),"")</f>
        <v/>
      </c>
      <c r="AR218" s="28" t="str">
        <f t="shared" si="150"/>
        <v>00:00</v>
      </c>
      <c r="AS218" s="29"/>
      <c r="AT218" s="31" t="str">
        <f t="shared" si="151"/>
        <v/>
      </c>
      <c r="AU218" s="27"/>
      <c r="AV218" s="27"/>
      <c r="AW218" s="28" t="str">
        <f>IFERROR(VLOOKUP(AU218,Horarios!$H:$I,2,0),"")</f>
        <v/>
      </c>
      <c r="AX218" s="28" t="str">
        <f>IFERROR(VLOOKUP(AV218,Horarios!$H:$I,2,0),"")</f>
        <v/>
      </c>
      <c r="AY218" s="28" t="str">
        <f t="shared" si="152"/>
        <v>00:00</v>
      </c>
      <c r="AZ218" s="29"/>
      <c r="BA218" s="27"/>
      <c r="BB218" s="27"/>
      <c r="BC218" s="28" t="str">
        <f>IFERROR(VLOOKUP(BA218,Horarios!$H:$I,2,0),"")</f>
        <v/>
      </c>
      <c r="BD218" s="28" t="str">
        <f>IFERROR(VLOOKUP(BB218,Horarios!$H:$I,2,0),"")</f>
        <v/>
      </c>
      <c r="BE218" s="28" t="str">
        <f t="shared" si="153"/>
        <v>00:00</v>
      </c>
      <c r="BF218" s="29"/>
      <c r="BG218" s="27"/>
      <c r="BH218" s="27"/>
      <c r="BI218" s="28" t="str">
        <f>IFERROR(VLOOKUP(BG218,Horarios!$H:$I,2,0),"")</f>
        <v/>
      </c>
      <c r="BJ218" s="28" t="str">
        <f>IFERROR(VLOOKUP(BH218,Horarios!$H:$I,2,0),"")</f>
        <v/>
      </c>
      <c r="BK218" s="28" t="str">
        <f t="shared" si="154"/>
        <v>00:00</v>
      </c>
      <c r="BL218" s="29"/>
      <c r="BM218" s="27"/>
      <c r="BN218" s="27"/>
      <c r="BO218" s="28" t="str">
        <f>IFERROR(VLOOKUP(BM218,Horarios!$H:$I,2,0),"")</f>
        <v/>
      </c>
      <c r="BP218" s="28" t="str">
        <f>IFERROR(VLOOKUP(BN218,Horarios!$H:$I,2,0),"")</f>
        <v/>
      </c>
      <c r="BQ218" s="28" t="str">
        <f t="shared" si="155"/>
        <v>00:00</v>
      </c>
      <c r="BR218" s="29"/>
      <c r="BS218" s="27"/>
      <c r="BT218" s="27"/>
      <c r="BU218" s="28" t="str">
        <f>IFERROR(VLOOKUP(BS218,Horarios!$H:$I,2,0),"")</f>
        <v/>
      </c>
      <c r="BV218" s="28" t="str">
        <f>IFERROR(VLOOKUP(BT218,Horarios!$H:$I,2,0),"")</f>
        <v/>
      </c>
      <c r="BW218" s="28" t="str">
        <f t="shared" si="156"/>
        <v>00:00</v>
      </c>
      <c r="BX218" s="29"/>
      <c r="BY218" s="27"/>
      <c r="BZ218" s="27"/>
      <c r="CA218" s="28" t="str">
        <f>IFERROR(VLOOKUP(BY218,Horarios!$H:$I,2,0),"")</f>
        <v/>
      </c>
      <c r="CB218" s="28" t="str">
        <f>IFERROR(VLOOKUP(BZ218,Horarios!$H:$I,2,0),"")</f>
        <v/>
      </c>
      <c r="CC218" s="28" t="str">
        <f t="shared" si="157"/>
        <v>00:00</v>
      </c>
      <c r="CD218" s="29"/>
      <c r="CE218" s="27"/>
      <c r="CF218" s="27"/>
      <c r="CG218" s="28" t="str">
        <f>IFERROR(VLOOKUP(CE218,Horarios!$H:$I,2,0),"")</f>
        <v/>
      </c>
      <c r="CH218" s="28" t="str">
        <f>IFERROR(VLOOKUP(CF218,Horarios!$H:$I,2,0),"")</f>
        <v/>
      </c>
      <c r="CI218" s="28" t="str">
        <f t="shared" si="158"/>
        <v>00:00</v>
      </c>
      <c r="CJ218" s="29"/>
      <c r="CK218" s="31" t="str">
        <f t="shared" si="159"/>
        <v/>
      </c>
      <c r="CL218" s="27"/>
      <c r="CM218" s="27"/>
      <c r="CN218" s="28" t="str">
        <f>IFERROR(VLOOKUP(CL218,Horarios!$H:$I,2,0),"")</f>
        <v/>
      </c>
      <c r="CO218" s="28" t="str">
        <f>IFERROR(VLOOKUP(CM218,Horarios!$H:$I,2,0),"")</f>
        <v/>
      </c>
      <c r="CP218" s="28" t="str">
        <f t="shared" si="160"/>
        <v>00:00</v>
      </c>
      <c r="CQ218" s="29"/>
      <c r="CR218" s="27"/>
      <c r="CS218" s="27"/>
      <c r="CT218" s="28" t="str">
        <f>IFERROR(VLOOKUP(CR218,Horarios!$H:$I,2,0),"")</f>
        <v/>
      </c>
      <c r="CU218" s="28" t="str">
        <f>IFERROR(VLOOKUP(CS218,Horarios!$H:$I,2,0),"")</f>
        <v/>
      </c>
      <c r="CV218" s="28" t="str">
        <f t="shared" si="161"/>
        <v>00:00</v>
      </c>
      <c r="CW218" s="29"/>
      <c r="CX218" s="27"/>
      <c r="CY218" s="27"/>
      <c r="CZ218" s="28" t="str">
        <f>IFERROR(VLOOKUP(CX218,Horarios!$H:$I,2,0),"")</f>
        <v/>
      </c>
      <c r="DA218" s="28" t="str">
        <f>IFERROR(VLOOKUP(CY218,Horarios!$H:$I,2,0),"")</f>
        <v/>
      </c>
      <c r="DB218" s="28" t="str">
        <f t="shared" si="162"/>
        <v>00:00</v>
      </c>
      <c r="DC218" s="29"/>
      <c r="DD218" s="27"/>
      <c r="DE218" s="27"/>
      <c r="DF218" s="28" t="str">
        <f>IFERROR(VLOOKUP(DD218,Horarios!$H:$I,2,0),"")</f>
        <v/>
      </c>
      <c r="DG218" s="28" t="str">
        <f>IFERROR(VLOOKUP(DE218,Horarios!$H:$I,2,0),"")</f>
        <v/>
      </c>
      <c r="DH218" s="28" t="str">
        <f t="shared" si="163"/>
        <v>00:00</v>
      </c>
      <c r="DI218" s="29"/>
      <c r="DJ218" s="27"/>
      <c r="DK218" s="27"/>
      <c r="DL218" s="28" t="str">
        <f>IFERROR(VLOOKUP(DJ218,Horarios!$H:$I,2,0),"")</f>
        <v/>
      </c>
      <c r="DM218" s="28" t="str">
        <f>IFERROR(VLOOKUP(DK218,Horarios!$H:$I,2,0),"")</f>
        <v/>
      </c>
      <c r="DN218" s="28" t="str">
        <f t="shared" si="164"/>
        <v>00:00</v>
      </c>
      <c r="DO218" s="29"/>
      <c r="DP218" s="27"/>
      <c r="DQ218" s="27"/>
      <c r="DR218" s="28" t="str">
        <f>IFERROR(VLOOKUP(DP218,Horarios!$H:$I,2,0),"")</f>
        <v/>
      </c>
      <c r="DS218" s="28" t="str">
        <f>IFERROR(VLOOKUP(DQ218,Horarios!$H:$I,2,0),"")</f>
        <v/>
      </c>
      <c r="DT218" s="28" t="str">
        <f t="shared" si="165"/>
        <v>00:00</v>
      </c>
      <c r="DU218" s="29"/>
      <c r="DV218" s="27"/>
      <c r="DW218" s="27"/>
      <c r="DX218" s="28" t="str">
        <f>IFERROR(VLOOKUP(DV218,Horarios!$H:$I,2,0),"")</f>
        <v/>
      </c>
      <c r="DY218" s="28" t="str">
        <f>IFERROR(VLOOKUP(DW218,Horarios!$H:$I,2,0),"")</f>
        <v/>
      </c>
      <c r="DZ218" s="28" t="str">
        <f t="shared" si="166"/>
        <v>00:00</v>
      </c>
      <c r="EA218" s="29"/>
      <c r="EB218" s="31" t="str">
        <f t="shared" si="167"/>
        <v/>
      </c>
      <c r="EC218" s="27"/>
      <c r="ED218" s="27"/>
      <c r="EE218" s="28" t="str">
        <f>IFERROR(VLOOKUP(EC218,Horarios!$H:$I,2,0),"")</f>
        <v/>
      </c>
      <c r="EF218" s="28" t="str">
        <f>IFERROR(VLOOKUP(ED218,Horarios!$H:$I,2,0),"")</f>
        <v/>
      </c>
      <c r="EG218" s="28" t="str">
        <f t="shared" si="168"/>
        <v>00:00</v>
      </c>
      <c r="EH218" s="29"/>
      <c r="EI218" s="27"/>
      <c r="EJ218" s="27"/>
      <c r="EK218" s="28" t="str">
        <f>IFERROR(VLOOKUP(EI218,Horarios!$H:$I,2,0),"")</f>
        <v/>
      </c>
      <c r="EL218" s="28" t="str">
        <f>IFERROR(VLOOKUP(EJ218,Horarios!$H:$I,2,0),"")</f>
        <v/>
      </c>
      <c r="EM218" s="28" t="str">
        <f t="shared" si="169"/>
        <v>00:00</v>
      </c>
      <c r="EN218" s="29"/>
      <c r="EO218" s="27"/>
      <c r="EP218" s="27"/>
      <c r="EQ218" s="28" t="str">
        <f>IFERROR(VLOOKUP(EO218,Horarios!$H:$I,2,0),"")</f>
        <v/>
      </c>
      <c r="ER218" s="28" t="str">
        <f>IFERROR(VLOOKUP(EP218,Horarios!$H:$I,2,0),"")</f>
        <v/>
      </c>
      <c r="ES218" s="28" t="str">
        <f t="shared" si="170"/>
        <v>00:00</v>
      </c>
      <c r="ET218" s="29"/>
      <c r="EU218" s="27"/>
      <c r="EV218" s="27"/>
      <c r="EW218" s="28" t="str">
        <f>IFERROR(VLOOKUP(EU218,Horarios!$H:$I,2,0),"")</f>
        <v/>
      </c>
      <c r="EX218" s="28" t="str">
        <f>IFERROR(VLOOKUP(EV218,Horarios!$H:$I,2,0),"")</f>
        <v/>
      </c>
      <c r="EY218" s="28" t="str">
        <f t="shared" si="171"/>
        <v>00:00</v>
      </c>
      <c r="EZ218" s="29"/>
      <c r="FA218" s="27"/>
      <c r="FB218" s="27"/>
      <c r="FC218" s="28" t="str">
        <f>IFERROR(VLOOKUP(FA218,Horarios!$H:$I,2,0),"")</f>
        <v/>
      </c>
      <c r="FD218" s="28" t="str">
        <f>IFERROR(VLOOKUP(FB218,Horarios!$H:$I,2,0),"")</f>
        <v/>
      </c>
      <c r="FE218" s="28" t="str">
        <f t="shared" si="172"/>
        <v>00:00</v>
      </c>
      <c r="FF218" s="29"/>
      <c r="FG218" s="27"/>
      <c r="FH218" s="27"/>
      <c r="FI218" s="28" t="str">
        <f>IFERROR(VLOOKUP(FG218,Horarios!$H:$I,2,0),"")</f>
        <v/>
      </c>
      <c r="FJ218" s="28" t="str">
        <f>IFERROR(VLOOKUP(FH218,Horarios!$H:$I,2,0),"")</f>
        <v/>
      </c>
      <c r="FK218" s="28" t="str">
        <f t="shared" si="173"/>
        <v>00:00</v>
      </c>
      <c r="FL218" s="29"/>
      <c r="FM218" s="27"/>
      <c r="FN218" s="27"/>
      <c r="FO218" s="28" t="str">
        <f>IFERROR(VLOOKUP(FM218,Horarios!$H:$I,2,0),"")</f>
        <v/>
      </c>
      <c r="FP218" s="28" t="str">
        <f>IFERROR(VLOOKUP(FN218,Horarios!$H:$I,2,0),"")</f>
        <v/>
      </c>
      <c r="FQ218" s="28" t="str">
        <f t="shared" si="174"/>
        <v>00:00</v>
      </c>
      <c r="FR218" s="29"/>
      <c r="FS218" s="31" t="str">
        <f t="shared" si="175"/>
        <v/>
      </c>
      <c r="FT218" s="27"/>
      <c r="FU218" s="27"/>
      <c r="FV218" s="28" t="str">
        <f>IFERROR(VLOOKUP(FT218,Horarios!$H:$I,2,0),"")</f>
        <v/>
      </c>
      <c r="FW218" s="28" t="str">
        <f>IFERROR(VLOOKUP(FU218,Horarios!$H:$I,2,0),"")</f>
        <v/>
      </c>
      <c r="FX218" s="28" t="str">
        <f t="shared" si="176"/>
        <v>00:00</v>
      </c>
      <c r="FY218" s="29"/>
      <c r="FZ218" s="27"/>
      <c r="GA218" s="27"/>
      <c r="GB218" s="28" t="str">
        <f>IFERROR(VLOOKUP(FZ218,Horarios!$H:$I,2,0),"")</f>
        <v/>
      </c>
      <c r="GC218" s="28" t="str">
        <f>IFERROR(VLOOKUP(GA218,Horarios!$H:$I,2,0),"")</f>
        <v/>
      </c>
      <c r="GD218" s="28" t="str">
        <f t="shared" si="177"/>
        <v>00:00</v>
      </c>
      <c r="GE218" s="29"/>
      <c r="GF218" s="27"/>
      <c r="GG218" s="27"/>
      <c r="GH218" s="28" t="str">
        <f>IFERROR(VLOOKUP(GF218,Horarios!$H:$I,2,0),"")</f>
        <v/>
      </c>
      <c r="GI218" s="28" t="str">
        <f>IFERROR(VLOOKUP(GG218,Horarios!$H:$I,2,0),"")</f>
        <v/>
      </c>
      <c r="GJ218" s="28" t="str">
        <f t="shared" si="178"/>
        <v>00:00</v>
      </c>
      <c r="GK218" s="29"/>
      <c r="GL218" s="27"/>
      <c r="GM218" s="27"/>
      <c r="GN218" s="28" t="str">
        <f>IFERROR(VLOOKUP(GL218,Horarios!$H:$I,2,0),"")</f>
        <v/>
      </c>
      <c r="GO218" s="28" t="str">
        <f>IFERROR(VLOOKUP(GM218,Horarios!$H:$I,2,0),"")</f>
        <v/>
      </c>
      <c r="GP218" s="28" t="str">
        <f t="shared" si="179"/>
        <v>00:00</v>
      </c>
      <c r="GQ218" s="29"/>
      <c r="GR218" s="27"/>
      <c r="GS218" s="27"/>
      <c r="GT218" s="28" t="str">
        <f>IFERROR(VLOOKUP(GR218,Horarios!$H:$I,2,0),"")</f>
        <v/>
      </c>
      <c r="GU218" s="28" t="str">
        <f>IFERROR(VLOOKUP(GS218,Horarios!$H:$I,2,0),"")</f>
        <v/>
      </c>
      <c r="GV218" s="28" t="str">
        <f t="shared" si="180"/>
        <v>00:00</v>
      </c>
      <c r="GW218" s="29"/>
      <c r="GX218" s="27"/>
      <c r="GY218" s="27"/>
      <c r="GZ218" s="28" t="str">
        <f>IFERROR(VLOOKUP(GX218,Horarios!$H:$I,2,0),"")</f>
        <v/>
      </c>
      <c r="HA218" s="28" t="str">
        <f>IFERROR(VLOOKUP(GY218,Horarios!$H:$I,2,0),"")</f>
        <v/>
      </c>
      <c r="HB218" s="28" t="str">
        <f t="shared" si="181"/>
        <v>00:00</v>
      </c>
      <c r="HC218" s="29"/>
      <c r="HD218" s="27"/>
      <c r="HE218" s="27"/>
      <c r="HF218" s="28" t="str">
        <f>IFERROR(VLOOKUP(HD218,Horarios!$H:$I,2,0),"")</f>
        <v/>
      </c>
      <c r="HG218" s="28" t="str">
        <f>IFERROR(VLOOKUP(HE218,Horarios!$H:$I,2,0),"")</f>
        <v/>
      </c>
      <c r="HH218" s="28" t="str">
        <f t="shared" si="182"/>
        <v>00:00</v>
      </c>
      <c r="HI218" s="29"/>
      <c r="HJ218" s="31" t="str">
        <f t="shared" si="183"/>
        <v/>
      </c>
      <c r="HK218" s="27"/>
      <c r="HL218" s="27"/>
      <c r="HM218" s="28" t="str">
        <f>IFERROR(VLOOKUP(HK218,Horarios!$H:$I,2,0),"")</f>
        <v/>
      </c>
      <c r="HN218" s="28" t="str">
        <f>IFERROR(VLOOKUP(HL218,Horarios!$H:$I,2,0),"")</f>
        <v/>
      </c>
      <c r="HO218" s="28" t="str">
        <f t="shared" si="184"/>
        <v>00:00</v>
      </c>
      <c r="HP218" s="29"/>
      <c r="HQ218" s="27"/>
      <c r="HR218" s="27"/>
      <c r="HS218" s="28" t="str">
        <f>IFERROR(VLOOKUP(HQ218,Horarios!$H:$I,2,0),"")</f>
        <v/>
      </c>
      <c r="HT218" s="28" t="str">
        <f>IFERROR(VLOOKUP(HR218,Horarios!$H:$I,2,0),"")</f>
        <v/>
      </c>
      <c r="HU218" s="28" t="str">
        <f t="shared" si="185"/>
        <v>00:00</v>
      </c>
      <c r="HV218" s="29"/>
      <c r="HW218" s="27"/>
      <c r="HX218" s="27"/>
      <c r="HY218" s="28" t="str">
        <f>IFERROR(VLOOKUP(HW218,Horarios!$H:$I,2,0),"")</f>
        <v/>
      </c>
      <c r="HZ218" s="28" t="str">
        <f>IFERROR(VLOOKUP(HX218,Horarios!$H:$I,2,0),"")</f>
        <v/>
      </c>
      <c r="IA218" s="28" t="str">
        <f t="shared" si="186"/>
        <v>00:00</v>
      </c>
      <c r="IB218" s="29"/>
      <c r="IC218" s="27"/>
      <c r="ID218" s="27"/>
      <c r="IE218" s="28" t="str">
        <f>IFERROR(VLOOKUP(IC218,Horarios!$H:$I,2,0),"")</f>
        <v/>
      </c>
      <c r="IF218" s="28" t="str">
        <f>IFERROR(VLOOKUP(ID218,Horarios!$H:$I,2,0),"")</f>
        <v/>
      </c>
      <c r="IG218" s="28" t="str">
        <f t="shared" si="187"/>
        <v>00:00</v>
      </c>
      <c r="IH218" s="29"/>
      <c r="II218" s="27"/>
      <c r="IJ218" s="27"/>
      <c r="IK218" s="28" t="str">
        <f>IFERROR(VLOOKUP(II218,Horarios!$H:$I,2,0),"")</f>
        <v/>
      </c>
      <c r="IL218" s="28" t="str">
        <f>IFERROR(VLOOKUP(IJ218,Horarios!$H:$I,2,0),"")</f>
        <v/>
      </c>
      <c r="IM218" s="28" t="str">
        <f t="shared" si="188"/>
        <v>00:00</v>
      </c>
      <c r="IN218" s="29"/>
      <c r="IO218" s="27"/>
      <c r="IP218" s="27"/>
      <c r="IQ218" s="28" t="str">
        <f>IFERROR(VLOOKUP(IO218,Horarios!$H:$I,2,0),"")</f>
        <v/>
      </c>
      <c r="IR218" s="28" t="str">
        <f>IFERROR(VLOOKUP(IP218,Horarios!$H:$I,2,0),"")</f>
        <v/>
      </c>
      <c r="IS218" s="28" t="str">
        <f t="shared" si="189"/>
        <v>00:00</v>
      </c>
      <c r="IT218" s="29"/>
      <c r="IU218" s="27"/>
      <c r="IV218" s="27"/>
      <c r="IW218" s="28" t="str">
        <f>IFERROR(VLOOKUP(IU218,Horarios!$H:$I,2,0),"")</f>
        <v/>
      </c>
      <c r="IX218" s="28" t="str">
        <f>IFERROR(VLOOKUP(IV218,Horarios!$H:$I,2,0),"")</f>
        <v/>
      </c>
      <c r="IY218" s="28" t="str">
        <f t="shared" si="190"/>
        <v>00:00</v>
      </c>
      <c r="IZ218" s="29"/>
      <c r="JA218" s="31" t="str">
        <f t="shared" si="191"/>
        <v/>
      </c>
    </row>
    <row r="219" spans="1:261" s="24" customFormat="1" ht="17.399999999999999" x14ac:dyDescent="0.25">
      <c r="A219" s="25"/>
      <c r="B219" s="26" t="str">
        <f>IFERROR(VLOOKUP(A219,BaseNombres!A:B,2,0),"")</f>
        <v/>
      </c>
      <c r="C219" s="26" t="str">
        <f>IFERROR(VLOOKUP(A219,BaseNombres!A:C,3,0),"")</f>
        <v/>
      </c>
      <c r="D219" s="27"/>
      <c r="E219" s="27"/>
      <c r="F219" s="28" t="str">
        <f>IFERROR(VLOOKUP(D219,Horarios!$H:$I,2,0),"")</f>
        <v/>
      </c>
      <c r="G219" s="28" t="str">
        <f>IFERROR(VLOOKUP(E219,Horarios!$H:$I,2,0),"")</f>
        <v/>
      </c>
      <c r="H219" s="28" t="str">
        <f t="shared" si="144"/>
        <v>00:00</v>
      </c>
      <c r="I219" s="29"/>
      <c r="J219" s="27"/>
      <c r="K219" s="27"/>
      <c r="L219" s="28" t="str">
        <f>IFERROR(VLOOKUP(J219,Horarios!$H:$I,2,0),"")</f>
        <v/>
      </c>
      <c r="M219" s="28" t="str">
        <f>IFERROR(VLOOKUP(K219,Horarios!$H:$I,2,0),"")</f>
        <v/>
      </c>
      <c r="N219" s="28" t="str">
        <f t="shared" si="145"/>
        <v>00:00</v>
      </c>
      <c r="O219" s="29"/>
      <c r="P219" s="27"/>
      <c r="Q219" s="27"/>
      <c r="R219" s="28" t="str">
        <f>IFERROR(VLOOKUP(P219,Horarios!$H:$I,2,0),"")</f>
        <v/>
      </c>
      <c r="S219" s="28" t="str">
        <f>IFERROR(VLOOKUP(Q219,Horarios!$H:$I,2,0),"")</f>
        <v/>
      </c>
      <c r="T219" s="28" t="str">
        <f t="shared" si="146"/>
        <v>00:00</v>
      </c>
      <c r="U219" s="29"/>
      <c r="V219" s="27"/>
      <c r="W219" s="27"/>
      <c r="X219" s="28" t="str">
        <f>IFERROR(VLOOKUP(V219,Horarios!$H:$I,2,0),"")</f>
        <v/>
      </c>
      <c r="Y219" s="28" t="str">
        <f>IFERROR(VLOOKUP(W219,Horarios!$H:$I,2,0),"")</f>
        <v/>
      </c>
      <c r="Z219" s="28" t="str">
        <f t="shared" si="147"/>
        <v>00:00</v>
      </c>
      <c r="AA219" s="29"/>
      <c r="AB219" s="27"/>
      <c r="AC219" s="27"/>
      <c r="AD219" s="28" t="str">
        <f>IFERROR(VLOOKUP(AB219,Horarios!$H:$I,2,0),"")</f>
        <v/>
      </c>
      <c r="AE219" s="28" t="str">
        <f>IFERROR(VLOOKUP(AC219,Horarios!$H:$I,2,0),"")</f>
        <v/>
      </c>
      <c r="AF219" s="28" t="str">
        <f t="shared" si="148"/>
        <v>00:00</v>
      </c>
      <c r="AG219" s="29"/>
      <c r="AH219" s="27"/>
      <c r="AI219" s="27"/>
      <c r="AJ219" s="28" t="str">
        <f>IFERROR(VLOOKUP(AH219,Horarios!$H:$I,2,0),"")</f>
        <v/>
      </c>
      <c r="AK219" s="28" t="str">
        <f>IFERROR(VLOOKUP(AI219,Horarios!$H:$I,2,0),"")</f>
        <v/>
      </c>
      <c r="AL219" s="28" t="str">
        <f t="shared" si="149"/>
        <v>00:00</v>
      </c>
      <c r="AM219" s="29"/>
      <c r="AN219" s="27"/>
      <c r="AO219" s="27"/>
      <c r="AP219" s="28" t="str">
        <f>IFERROR(VLOOKUP(AN219,Horarios!$H:$I,2,0),"")</f>
        <v/>
      </c>
      <c r="AQ219" s="28" t="str">
        <f>IFERROR(VLOOKUP(AO219,Horarios!$H:$I,2,0),"")</f>
        <v/>
      </c>
      <c r="AR219" s="28" t="str">
        <f t="shared" si="150"/>
        <v>00:00</v>
      </c>
      <c r="AS219" s="29"/>
      <c r="AT219" s="31" t="str">
        <f t="shared" si="151"/>
        <v/>
      </c>
      <c r="AU219" s="27"/>
      <c r="AV219" s="27"/>
      <c r="AW219" s="28" t="str">
        <f>IFERROR(VLOOKUP(AU219,Horarios!$H:$I,2,0),"")</f>
        <v/>
      </c>
      <c r="AX219" s="28" t="str">
        <f>IFERROR(VLOOKUP(AV219,Horarios!$H:$I,2,0),"")</f>
        <v/>
      </c>
      <c r="AY219" s="28" t="str">
        <f t="shared" si="152"/>
        <v>00:00</v>
      </c>
      <c r="AZ219" s="29"/>
      <c r="BA219" s="27"/>
      <c r="BB219" s="27"/>
      <c r="BC219" s="28" t="str">
        <f>IFERROR(VLOOKUP(BA219,Horarios!$H:$I,2,0),"")</f>
        <v/>
      </c>
      <c r="BD219" s="28" t="str">
        <f>IFERROR(VLOOKUP(BB219,Horarios!$H:$I,2,0),"")</f>
        <v/>
      </c>
      <c r="BE219" s="28" t="str">
        <f t="shared" si="153"/>
        <v>00:00</v>
      </c>
      <c r="BF219" s="29"/>
      <c r="BG219" s="27"/>
      <c r="BH219" s="27"/>
      <c r="BI219" s="28" t="str">
        <f>IFERROR(VLOOKUP(BG219,Horarios!$H:$I,2,0),"")</f>
        <v/>
      </c>
      <c r="BJ219" s="28" t="str">
        <f>IFERROR(VLOOKUP(BH219,Horarios!$H:$I,2,0),"")</f>
        <v/>
      </c>
      <c r="BK219" s="28" t="str">
        <f t="shared" si="154"/>
        <v>00:00</v>
      </c>
      <c r="BL219" s="29"/>
      <c r="BM219" s="27"/>
      <c r="BN219" s="27"/>
      <c r="BO219" s="28" t="str">
        <f>IFERROR(VLOOKUP(BM219,Horarios!$H:$I,2,0),"")</f>
        <v/>
      </c>
      <c r="BP219" s="28" t="str">
        <f>IFERROR(VLOOKUP(BN219,Horarios!$H:$I,2,0),"")</f>
        <v/>
      </c>
      <c r="BQ219" s="28" t="str">
        <f t="shared" si="155"/>
        <v>00:00</v>
      </c>
      <c r="BR219" s="29"/>
      <c r="BS219" s="27"/>
      <c r="BT219" s="27"/>
      <c r="BU219" s="28" t="str">
        <f>IFERROR(VLOOKUP(BS219,Horarios!$H:$I,2,0),"")</f>
        <v/>
      </c>
      <c r="BV219" s="28" t="str">
        <f>IFERROR(VLOOKUP(BT219,Horarios!$H:$I,2,0),"")</f>
        <v/>
      </c>
      <c r="BW219" s="28" t="str">
        <f t="shared" si="156"/>
        <v>00:00</v>
      </c>
      <c r="BX219" s="29"/>
      <c r="BY219" s="27"/>
      <c r="BZ219" s="27"/>
      <c r="CA219" s="28" t="str">
        <f>IFERROR(VLOOKUP(BY219,Horarios!$H:$I,2,0),"")</f>
        <v/>
      </c>
      <c r="CB219" s="28" t="str">
        <f>IFERROR(VLOOKUP(BZ219,Horarios!$H:$I,2,0),"")</f>
        <v/>
      </c>
      <c r="CC219" s="28" t="str">
        <f t="shared" si="157"/>
        <v>00:00</v>
      </c>
      <c r="CD219" s="29"/>
      <c r="CE219" s="27"/>
      <c r="CF219" s="27"/>
      <c r="CG219" s="28" t="str">
        <f>IFERROR(VLOOKUP(CE219,Horarios!$H:$I,2,0),"")</f>
        <v/>
      </c>
      <c r="CH219" s="28" t="str">
        <f>IFERROR(VLOOKUP(CF219,Horarios!$H:$I,2,0),"")</f>
        <v/>
      </c>
      <c r="CI219" s="28" t="str">
        <f t="shared" si="158"/>
        <v>00:00</v>
      </c>
      <c r="CJ219" s="29"/>
      <c r="CK219" s="31" t="str">
        <f t="shared" si="159"/>
        <v/>
      </c>
      <c r="CL219" s="27"/>
      <c r="CM219" s="27"/>
      <c r="CN219" s="28" t="str">
        <f>IFERROR(VLOOKUP(CL219,Horarios!$H:$I,2,0),"")</f>
        <v/>
      </c>
      <c r="CO219" s="28" t="str">
        <f>IFERROR(VLOOKUP(CM219,Horarios!$H:$I,2,0),"")</f>
        <v/>
      </c>
      <c r="CP219" s="28" t="str">
        <f t="shared" si="160"/>
        <v>00:00</v>
      </c>
      <c r="CQ219" s="29"/>
      <c r="CR219" s="27"/>
      <c r="CS219" s="27"/>
      <c r="CT219" s="28" t="str">
        <f>IFERROR(VLOOKUP(CR219,Horarios!$H:$I,2,0),"")</f>
        <v/>
      </c>
      <c r="CU219" s="28" t="str">
        <f>IFERROR(VLOOKUP(CS219,Horarios!$H:$I,2,0),"")</f>
        <v/>
      </c>
      <c r="CV219" s="28" t="str">
        <f t="shared" si="161"/>
        <v>00:00</v>
      </c>
      <c r="CW219" s="29"/>
      <c r="CX219" s="27"/>
      <c r="CY219" s="27"/>
      <c r="CZ219" s="28" t="str">
        <f>IFERROR(VLOOKUP(CX219,Horarios!$H:$I,2,0),"")</f>
        <v/>
      </c>
      <c r="DA219" s="28" t="str">
        <f>IFERROR(VLOOKUP(CY219,Horarios!$H:$I,2,0),"")</f>
        <v/>
      </c>
      <c r="DB219" s="28" t="str">
        <f t="shared" si="162"/>
        <v>00:00</v>
      </c>
      <c r="DC219" s="29"/>
      <c r="DD219" s="27"/>
      <c r="DE219" s="27"/>
      <c r="DF219" s="28" t="str">
        <f>IFERROR(VLOOKUP(DD219,Horarios!$H:$I,2,0),"")</f>
        <v/>
      </c>
      <c r="DG219" s="28" t="str">
        <f>IFERROR(VLOOKUP(DE219,Horarios!$H:$I,2,0),"")</f>
        <v/>
      </c>
      <c r="DH219" s="28" t="str">
        <f t="shared" si="163"/>
        <v>00:00</v>
      </c>
      <c r="DI219" s="29"/>
      <c r="DJ219" s="27"/>
      <c r="DK219" s="27"/>
      <c r="DL219" s="28" t="str">
        <f>IFERROR(VLOOKUP(DJ219,Horarios!$H:$I,2,0),"")</f>
        <v/>
      </c>
      <c r="DM219" s="28" t="str">
        <f>IFERROR(VLOOKUP(DK219,Horarios!$H:$I,2,0),"")</f>
        <v/>
      </c>
      <c r="DN219" s="28" t="str">
        <f t="shared" si="164"/>
        <v>00:00</v>
      </c>
      <c r="DO219" s="29"/>
      <c r="DP219" s="27"/>
      <c r="DQ219" s="27"/>
      <c r="DR219" s="28" t="str">
        <f>IFERROR(VLOOKUP(DP219,Horarios!$H:$I,2,0),"")</f>
        <v/>
      </c>
      <c r="DS219" s="28" t="str">
        <f>IFERROR(VLOOKUP(DQ219,Horarios!$H:$I,2,0),"")</f>
        <v/>
      </c>
      <c r="DT219" s="28" t="str">
        <f t="shared" si="165"/>
        <v>00:00</v>
      </c>
      <c r="DU219" s="29"/>
      <c r="DV219" s="27"/>
      <c r="DW219" s="27"/>
      <c r="DX219" s="28" t="str">
        <f>IFERROR(VLOOKUP(DV219,Horarios!$H:$I,2,0),"")</f>
        <v/>
      </c>
      <c r="DY219" s="28" t="str">
        <f>IFERROR(VLOOKUP(DW219,Horarios!$H:$I,2,0),"")</f>
        <v/>
      </c>
      <c r="DZ219" s="28" t="str">
        <f t="shared" si="166"/>
        <v>00:00</v>
      </c>
      <c r="EA219" s="29"/>
      <c r="EB219" s="31" t="str">
        <f t="shared" si="167"/>
        <v/>
      </c>
      <c r="EC219" s="27"/>
      <c r="ED219" s="27"/>
      <c r="EE219" s="28" t="str">
        <f>IFERROR(VLOOKUP(EC219,Horarios!$H:$I,2,0),"")</f>
        <v/>
      </c>
      <c r="EF219" s="28" t="str">
        <f>IFERROR(VLOOKUP(ED219,Horarios!$H:$I,2,0),"")</f>
        <v/>
      </c>
      <c r="EG219" s="28" t="str">
        <f t="shared" si="168"/>
        <v>00:00</v>
      </c>
      <c r="EH219" s="29"/>
      <c r="EI219" s="27"/>
      <c r="EJ219" s="27"/>
      <c r="EK219" s="28" t="str">
        <f>IFERROR(VLOOKUP(EI219,Horarios!$H:$I,2,0),"")</f>
        <v/>
      </c>
      <c r="EL219" s="28" t="str">
        <f>IFERROR(VLOOKUP(EJ219,Horarios!$H:$I,2,0),"")</f>
        <v/>
      </c>
      <c r="EM219" s="28" t="str">
        <f t="shared" si="169"/>
        <v>00:00</v>
      </c>
      <c r="EN219" s="29"/>
      <c r="EO219" s="27"/>
      <c r="EP219" s="27"/>
      <c r="EQ219" s="28" t="str">
        <f>IFERROR(VLOOKUP(EO219,Horarios!$H:$I,2,0),"")</f>
        <v/>
      </c>
      <c r="ER219" s="28" t="str">
        <f>IFERROR(VLOOKUP(EP219,Horarios!$H:$I,2,0),"")</f>
        <v/>
      </c>
      <c r="ES219" s="28" t="str">
        <f t="shared" si="170"/>
        <v>00:00</v>
      </c>
      <c r="ET219" s="29"/>
      <c r="EU219" s="27"/>
      <c r="EV219" s="27"/>
      <c r="EW219" s="28" t="str">
        <f>IFERROR(VLOOKUP(EU219,Horarios!$H:$I,2,0),"")</f>
        <v/>
      </c>
      <c r="EX219" s="28" t="str">
        <f>IFERROR(VLOOKUP(EV219,Horarios!$H:$I,2,0),"")</f>
        <v/>
      </c>
      <c r="EY219" s="28" t="str">
        <f t="shared" si="171"/>
        <v>00:00</v>
      </c>
      <c r="EZ219" s="29"/>
      <c r="FA219" s="27"/>
      <c r="FB219" s="27"/>
      <c r="FC219" s="28" t="str">
        <f>IFERROR(VLOOKUP(FA219,Horarios!$H:$I,2,0),"")</f>
        <v/>
      </c>
      <c r="FD219" s="28" t="str">
        <f>IFERROR(VLOOKUP(FB219,Horarios!$H:$I,2,0),"")</f>
        <v/>
      </c>
      <c r="FE219" s="28" t="str">
        <f t="shared" si="172"/>
        <v>00:00</v>
      </c>
      <c r="FF219" s="29"/>
      <c r="FG219" s="27"/>
      <c r="FH219" s="27"/>
      <c r="FI219" s="28" t="str">
        <f>IFERROR(VLOOKUP(FG219,Horarios!$H:$I,2,0),"")</f>
        <v/>
      </c>
      <c r="FJ219" s="28" t="str">
        <f>IFERROR(VLOOKUP(FH219,Horarios!$H:$I,2,0),"")</f>
        <v/>
      </c>
      <c r="FK219" s="28" t="str">
        <f t="shared" si="173"/>
        <v>00:00</v>
      </c>
      <c r="FL219" s="29"/>
      <c r="FM219" s="27"/>
      <c r="FN219" s="27"/>
      <c r="FO219" s="28" t="str">
        <f>IFERROR(VLOOKUP(FM219,Horarios!$H:$I,2,0),"")</f>
        <v/>
      </c>
      <c r="FP219" s="28" t="str">
        <f>IFERROR(VLOOKUP(FN219,Horarios!$H:$I,2,0),"")</f>
        <v/>
      </c>
      <c r="FQ219" s="28" t="str">
        <f t="shared" si="174"/>
        <v>00:00</v>
      </c>
      <c r="FR219" s="29"/>
      <c r="FS219" s="31" t="str">
        <f t="shared" si="175"/>
        <v/>
      </c>
      <c r="FT219" s="27"/>
      <c r="FU219" s="27"/>
      <c r="FV219" s="28" t="str">
        <f>IFERROR(VLOOKUP(FT219,Horarios!$H:$I,2,0),"")</f>
        <v/>
      </c>
      <c r="FW219" s="28" t="str">
        <f>IFERROR(VLOOKUP(FU219,Horarios!$H:$I,2,0),"")</f>
        <v/>
      </c>
      <c r="FX219" s="28" t="str">
        <f t="shared" si="176"/>
        <v>00:00</v>
      </c>
      <c r="FY219" s="29"/>
      <c r="FZ219" s="27"/>
      <c r="GA219" s="27"/>
      <c r="GB219" s="28" t="str">
        <f>IFERROR(VLOOKUP(FZ219,Horarios!$H:$I,2,0),"")</f>
        <v/>
      </c>
      <c r="GC219" s="28" t="str">
        <f>IFERROR(VLOOKUP(GA219,Horarios!$H:$I,2,0),"")</f>
        <v/>
      </c>
      <c r="GD219" s="28" t="str">
        <f t="shared" si="177"/>
        <v>00:00</v>
      </c>
      <c r="GE219" s="29"/>
      <c r="GF219" s="27"/>
      <c r="GG219" s="27"/>
      <c r="GH219" s="28" t="str">
        <f>IFERROR(VLOOKUP(GF219,Horarios!$H:$I,2,0),"")</f>
        <v/>
      </c>
      <c r="GI219" s="28" t="str">
        <f>IFERROR(VLOOKUP(GG219,Horarios!$H:$I,2,0),"")</f>
        <v/>
      </c>
      <c r="GJ219" s="28" t="str">
        <f t="shared" si="178"/>
        <v>00:00</v>
      </c>
      <c r="GK219" s="29"/>
      <c r="GL219" s="27"/>
      <c r="GM219" s="27"/>
      <c r="GN219" s="28" t="str">
        <f>IFERROR(VLOOKUP(GL219,Horarios!$H:$I,2,0),"")</f>
        <v/>
      </c>
      <c r="GO219" s="28" t="str">
        <f>IFERROR(VLOOKUP(GM219,Horarios!$H:$I,2,0),"")</f>
        <v/>
      </c>
      <c r="GP219" s="28" t="str">
        <f t="shared" si="179"/>
        <v>00:00</v>
      </c>
      <c r="GQ219" s="29"/>
      <c r="GR219" s="27"/>
      <c r="GS219" s="27"/>
      <c r="GT219" s="28" t="str">
        <f>IFERROR(VLOOKUP(GR219,Horarios!$H:$I,2,0),"")</f>
        <v/>
      </c>
      <c r="GU219" s="28" t="str">
        <f>IFERROR(VLOOKUP(GS219,Horarios!$H:$I,2,0),"")</f>
        <v/>
      </c>
      <c r="GV219" s="28" t="str">
        <f t="shared" si="180"/>
        <v>00:00</v>
      </c>
      <c r="GW219" s="29"/>
      <c r="GX219" s="27"/>
      <c r="GY219" s="27"/>
      <c r="GZ219" s="28" t="str">
        <f>IFERROR(VLOOKUP(GX219,Horarios!$H:$I,2,0),"")</f>
        <v/>
      </c>
      <c r="HA219" s="28" t="str">
        <f>IFERROR(VLOOKUP(GY219,Horarios!$H:$I,2,0),"")</f>
        <v/>
      </c>
      <c r="HB219" s="28" t="str">
        <f t="shared" si="181"/>
        <v>00:00</v>
      </c>
      <c r="HC219" s="29"/>
      <c r="HD219" s="27"/>
      <c r="HE219" s="27"/>
      <c r="HF219" s="28" t="str">
        <f>IFERROR(VLOOKUP(HD219,Horarios!$H:$I,2,0),"")</f>
        <v/>
      </c>
      <c r="HG219" s="28" t="str">
        <f>IFERROR(VLOOKUP(HE219,Horarios!$H:$I,2,0),"")</f>
        <v/>
      </c>
      <c r="HH219" s="28" t="str">
        <f t="shared" si="182"/>
        <v>00:00</v>
      </c>
      <c r="HI219" s="29"/>
      <c r="HJ219" s="31" t="str">
        <f t="shared" si="183"/>
        <v/>
      </c>
      <c r="HK219" s="27"/>
      <c r="HL219" s="27"/>
      <c r="HM219" s="28" t="str">
        <f>IFERROR(VLOOKUP(HK219,Horarios!$H:$I,2,0),"")</f>
        <v/>
      </c>
      <c r="HN219" s="28" t="str">
        <f>IFERROR(VLOOKUP(HL219,Horarios!$H:$I,2,0),"")</f>
        <v/>
      </c>
      <c r="HO219" s="28" t="str">
        <f t="shared" si="184"/>
        <v>00:00</v>
      </c>
      <c r="HP219" s="29"/>
      <c r="HQ219" s="27"/>
      <c r="HR219" s="27"/>
      <c r="HS219" s="28" t="str">
        <f>IFERROR(VLOOKUP(HQ219,Horarios!$H:$I,2,0),"")</f>
        <v/>
      </c>
      <c r="HT219" s="28" t="str">
        <f>IFERROR(VLOOKUP(HR219,Horarios!$H:$I,2,0),"")</f>
        <v/>
      </c>
      <c r="HU219" s="28" t="str">
        <f t="shared" si="185"/>
        <v>00:00</v>
      </c>
      <c r="HV219" s="29"/>
      <c r="HW219" s="27"/>
      <c r="HX219" s="27"/>
      <c r="HY219" s="28" t="str">
        <f>IFERROR(VLOOKUP(HW219,Horarios!$H:$I,2,0),"")</f>
        <v/>
      </c>
      <c r="HZ219" s="28" t="str">
        <f>IFERROR(VLOOKUP(HX219,Horarios!$H:$I,2,0),"")</f>
        <v/>
      </c>
      <c r="IA219" s="28" t="str">
        <f t="shared" si="186"/>
        <v>00:00</v>
      </c>
      <c r="IB219" s="29"/>
      <c r="IC219" s="27"/>
      <c r="ID219" s="27"/>
      <c r="IE219" s="28" t="str">
        <f>IFERROR(VLOOKUP(IC219,Horarios!$H:$I,2,0),"")</f>
        <v/>
      </c>
      <c r="IF219" s="28" t="str">
        <f>IFERROR(VLOOKUP(ID219,Horarios!$H:$I,2,0),"")</f>
        <v/>
      </c>
      <c r="IG219" s="28" t="str">
        <f t="shared" si="187"/>
        <v>00:00</v>
      </c>
      <c r="IH219" s="29"/>
      <c r="II219" s="27"/>
      <c r="IJ219" s="27"/>
      <c r="IK219" s="28" t="str">
        <f>IFERROR(VLOOKUP(II219,Horarios!$H:$I,2,0),"")</f>
        <v/>
      </c>
      <c r="IL219" s="28" t="str">
        <f>IFERROR(VLOOKUP(IJ219,Horarios!$H:$I,2,0),"")</f>
        <v/>
      </c>
      <c r="IM219" s="28" t="str">
        <f t="shared" si="188"/>
        <v>00:00</v>
      </c>
      <c r="IN219" s="29"/>
      <c r="IO219" s="27"/>
      <c r="IP219" s="27"/>
      <c r="IQ219" s="28" t="str">
        <f>IFERROR(VLOOKUP(IO219,Horarios!$H:$I,2,0),"")</f>
        <v/>
      </c>
      <c r="IR219" s="28" t="str">
        <f>IFERROR(VLOOKUP(IP219,Horarios!$H:$I,2,0),"")</f>
        <v/>
      </c>
      <c r="IS219" s="28" t="str">
        <f t="shared" si="189"/>
        <v>00:00</v>
      </c>
      <c r="IT219" s="29"/>
      <c r="IU219" s="27"/>
      <c r="IV219" s="27"/>
      <c r="IW219" s="28" t="str">
        <f>IFERROR(VLOOKUP(IU219,Horarios!$H:$I,2,0),"")</f>
        <v/>
      </c>
      <c r="IX219" s="28" t="str">
        <f>IFERROR(VLOOKUP(IV219,Horarios!$H:$I,2,0),"")</f>
        <v/>
      </c>
      <c r="IY219" s="28" t="str">
        <f t="shared" si="190"/>
        <v>00:00</v>
      </c>
      <c r="IZ219" s="29"/>
      <c r="JA219" s="31" t="str">
        <f t="shared" si="191"/>
        <v/>
      </c>
    </row>
    <row r="220" spans="1:261" s="24" customFormat="1" ht="17.399999999999999" x14ac:dyDescent="0.25">
      <c r="A220" s="25"/>
      <c r="B220" s="26" t="str">
        <f>IFERROR(VLOOKUP(A220,BaseNombres!A:B,2,0),"")</f>
        <v/>
      </c>
      <c r="C220" s="26" t="str">
        <f>IFERROR(VLOOKUP(A220,BaseNombres!A:C,3,0),"")</f>
        <v/>
      </c>
      <c r="D220" s="27"/>
      <c r="E220" s="27"/>
      <c r="F220" s="28" t="str">
        <f>IFERROR(VLOOKUP(D220,Horarios!$H:$I,2,0),"")</f>
        <v/>
      </c>
      <c r="G220" s="28" t="str">
        <f>IFERROR(VLOOKUP(E220,Horarios!$H:$I,2,0),"")</f>
        <v/>
      </c>
      <c r="H220" s="28" t="str">
        <f t="shared" si="144"/>
        <v>00:00</v>
      </c>
      <c r="I220" s="29"/>
      <c r="J220" s="27"/>
      <c r="K220" s="27"/>
      <c r="L220" s="28" t="str">
        <f>IFERROR(VLOOKUP(J220,Horarios!$H:$I,2,0),"")</f>
        <v/>
      </c>
      <c r="M220" s="28" t="str">
        <f>IFERROR(VLOOKUP(K220,Horarios!$H:$I,2,0),"")</f>
        <v/>
      </c>
      <c r="N220" s="28" t="str">
        <f t="shared" si="145"/>
        <v>00:00</v>
      </c>
      <c r="O220" s="29"/>
      <c r="P220" s="27"/>
      <c r="Q220" s="27"/>
      <c r="R220" s="28" t="str">
        <f>IFERROR(VLOOKUP(P220,Horarios!$H:$I,2,0),"")</f>
        <v/>
      </c>
      <c r="S220" s="28" t="str">
        <f>IFERROR(VLOOKUP(Q220,Horarios!$H:$I,2,0),"")</f>
        <v/>
      </c>
      <c r="T220" s="28" t="str">
        <f t="shared" si="146"/>
        <v>00:00</v>
      </c>
      <c r="U220" s="29"/>
      <c r="V220" s="27"/>
      <c r="W220" s="27"/>
      <c r="X220" s="28" t="str">
        <f>IFERROR(VLOOKUP(V220,Horarios!$H:$I,2,0),"")</f>
        <v/>
      </c>
      <c r="Y220" s="28" t="str">
        <f>IFERROR(VLOOKUP(W220,Horarios!$H:$I,2,0),"")</f>
        <v/>
      </c>
      <c r="Z220" s="28" t="str">
        <f t="shared" si="147"/>
        <v>00:00</v>
      </c>
      <c r="AA220" s="29"/>
      <c r="AB220" s="27"/>
      <c r="AC220" s="27"/>
      <c r="AD220" s="28" t="str">
        <f>IFERROR(VLOOKUP(AB220,Horarios!$H:$I,2,0),"")</f>
        <v/>
      </c>
      <c r="AE220" s="28" t="str">
        <f>IFERROR(VLOOKUP(AC220,Horarios!$H:$I,2,0),"")</f>
        <v/>
      </c>
      <c r="AF220" s="28" t="str">
        <f t="shared" si="148"/>
        <v>00:00</v>
      </c>
      <c r="AG220" s="29"/>
      <c r="AH220" s="27"/>
      <c r="AI220" s="27"/>
      <c r="AJ220" s="28" t="str">
        <f>IFERROR(VLOOKUP(AH220,Horarios!$H:$I,2,0),"")</f>
        <v/>
      </c>
      <c r="AK220" s="28" t="str">
        <f>IFERROR(VLOOKUP(AI220,Horarios!$H:$I,2,0),"")</f>
        <v/>
      </c>
      <c r="AL220" s="28" t="str">
        <f t="shared" si="149"/>
        <v>00:00</v>
      </c>
      <c r="AM220" s="29"/>
      <c r="AN220" s="27"/>
      <c r="AO220" s="27"/>
      <c r="AP220" s="28" t="str">
        <f>IFERROR(VLOOKUP(AN220,Horarios!$H:$I,2,0),"")</f>
        <v/>
      </c>
      <c r="AQ220" s="28" t="str">
        <f>IFERROR(VLOOKUP(AO220,Horarios!$H:$I,2,0),"")</f>
        <v/>
      </c>
      <c r="AR220" s="28" t="str">
        <f t="shared" si="150"/>
        <v>00:00</v>
      </c>
      <c r="AS220" s="29"/>
      <c r="AT220" s="31" t="str">
        <f t="shared" si="151"/>
        <v/>
      </c>
      <c r="AU220" s="27"/>
      <c r="AV220" s="27"/>
      <c r="AW220" s="28" t="str">
        <f>IFERROR(VLOOKUP(AU220,Horarios!$H:$I,2,0),"")</f>
        <v/>
      </c>
      <c r="AX220" s="28" t="str">
        <f>IFERROR(VLOOKUP(AV220,Horarios!$H:$I,2,0),"")</f>
        <v/>
      </c>
      <c r="AY220" s="28" t="str">
        <f t="shared" si="152"/>
        <v>00:00</v>
      </c>
      <c r="AZ220" s="29"/>
      <c r="BA220" s="27"/>
      <c r="BB220" s="27"/>
      <c r="BC220" s="28" t="str">
        <f>IFERROR(VLOOKUP(BA220,Horarios!$H:$I,2,0),"")</f>
        <v/>
      </c>
      <c r="BD220" s="28" t="str">
        <f>IFERROR(VLOOKUP(BB220,Horarios!$H:$I,2,0),"")</f>
        <v/>
      </c>
      <c r="BE220" s="28" t="str">
        <f t="shared" si="153"/>
        <v>00:00</v>
      </c>
      <c r="BF220" s="29"/>
      <c r="BG220" s="27"/>
      <c r="BH220" s="27"/>
      <c r="BI220" s="28" t="str">
        <f>IFERROR(VLOOKUP(BG220,Horarios!$H:$I,2,0),"")</f>
        <v/>
      </c>
      <c r="BJ220" s="28" t="str">
        <f>IFERROR(VLOOKUP(BH220,Horarios!$H:$I,2,0),"")</f>
        <v/>
      </c>
      <c r="BK220" s="28" t="str">
        <f t="shared" si="154"/>
        <v>00:00</v>
      </c>
      <c r="BL220" s="29"/>
      <c r="BM220" s="27"/>
      <c r="BN220" s="27"/>
      <c r="BO220" s="28" t="str">
        <f>IFERROR(VLOOKUP(BM220,Horarios!$H:$I,2,0),"")</f>
        <v/>
      </c>
      <c r="BP220" s="28" t="str">
        <f>IFERROR(VLOOKUP(BN220,Horarios!$H:$I,2,0),"")</f>
        <v/>
      </c>
      <c r="BQ220" s="28" t="str">
        <f t="shared" si="155"/>
        <v>00:00</v>
      </c>
      <c r="BR220" s="29"/>
      <c r="BS220" s="27"/>
      <c r="BT220" s="27"/>
      <c r="BU220" s="28" t="str">
        <f>IFERROR(VLOOKUP(BS220,Horarios!$H:$I,2,0),"")</f>
        <v/>
      </c>
      <c r="BV220" s="28" t="str">
        <f>IFERROR(VLOOKUP(BT220,Horarios!$H:$I,2,0),"")</f>
        <v/>
      </c>
      <c r="BW220" s="28" t="str">
        <f t="shared" si="156"/>
        <v>00:00</v>
      </c>
      <c r="BX220" s="29"/>
      <c r="BY220" s="27"/>
      <c r="BZ220" s="27"/>
      <c r="CA220" s="28" t="str">
        <f>IFERROR(VLOOKUP(BY220,Horarios!$H:$I,2,0),"")</f>
        <v/>
      </c>
      <c r="CB220" s="28" t="str">
        <f>IFERROR(VLOOKUP(BZ220,Horarios!$H:$I,2,0),"")</f>
        <v/>
      </c>
      <c r="CC220" s="28" t="str">
        <f t="shared" si="157"/>
        <v>00:00</v>
      </c>
      <c r="CD220" s="29"/>
      <c r="CE220" s="27"/>
      <c r="CF220" s="27"/>
      <c r="CG220" s="28" t="str">
        <f>IFERROR(VLOOKUP(CE220,Horarios!$H:$I,2,0),"")</f>
        <v/>
      </c>
      <c r="CH220" s="28" t="str">
        <f>IFERROR(VLOOKUP(CF220,Horarios!$H:$I,2,0),"")</f>
        <v/>
      </c>
      <c r="CI220" s="28" t="str">
        <f t="shared" si="158"/>
        <v>00:00</v>
      </c>
      <c r="CJ220" s="29"/>
      <c r="CK220" s="31" t="str">
        <f t="shared" si="159"/>
        <v/>
      </c>
      <c r="CL220" s="27"/>
      <c r="CM220" s="27"/>
      <c r="CN220" s="28" t="str">
        <f>IFERROR(VLOOKUP(CL220,Horarios!$H:$I,2,0),"")</f>
        <v/>
      </c>
      <c r="CO220" s="28" t="str">
        <f>IFERROR(VLOOKUP(CM220,Horarios!$H:$I,2,0),"")</f>
        <v/>
      </c>
      <c r="CP220" s="28" t="str">
        <f t="shared" si="160"/>
        <v>00:00</v>
      </c>
      <c r="CQ220" s="29"/>
      <c r="CR220" s="27"/>
      <c r="CS220" s="27"/>
      <c r="CT220" s="28" t="str">
        <f>IFERROR(VLOOKUP(CR220,Horarios!$H:$I,2,0),"")</f>
        <v/>
      </c>
      <c r="CU220" s="28" t="str">
        <f>IFERROR(VLOOKUP(CS220,Horarios!$H:$I,2,0),"")</f>
        <v/>
      </c>
      <c r="CV220" s="28" t="str">
        <f t="shared" si="161"/>
        <v>00:00</v>
      </c>
      <c r="CW220" s="29"/>
      <c r="CX220" s="27"/>
      <c r="CY220" s="27"/>
      <c r="CZ220" s="28" t="str">
        <f>IFERROR(VLOOKUP(CX220,Horarios!$H:$I,2,0),"")</f>
        <v/>
      </c>
      <c r="DA220" s="28" t="str">
        <f>IFERROR(VLOOKUP(CY220,Horarios!$H:$I,2,0),"")</f>
        <v/>
      </c>
      <c r="DB220" s="28" t="str">
        <f t="shared" si="162"/>
        <v>00:00</v>
      </c>
      <c r="DC220" s="29"/>
      <c r="DD220" s="27"/>
      <c r="DE220" s="27"/>
      <c r="DF220" s="28" t="str">
        <f>IFERROR(VLOOKUP(DD220,Horarios!$H:$I,2,0),"")</f>
        <v/>
      </c>
      <c r="DG220" s="28" t="str">
        <f>IFERROR(VLOOKUP(DE220,Horarios!$H:$I,2,0),"")</f>
        <v/>
      </c>
      <c r="DH220" s="28" t="str">
        <f t="shared" si="163"/>
        <v>00:00</v>
      </c>
      <c r="DI220" s="29"/>
      <c r="DJ220" s="27"/>
      <c r="DK220" s="27"/>
      <c r="DL220" s="28" t="str">
        <f>IFERROR(VLOOKUP(DJ220,Horarios!$H:$I,2,0),"")</f>
        <v/>
      </c>
      <c r="DM220" s="28" t="str">
        <f>IFERROR(VLOOKUP(DK220,Horarios!$H:$I,2,0),"")</f>
        <v/>
      </c>
      <c r="DN220" s="28" t="str">
        <f t="shared" si="164"/>
        <v>00:00</v>
      </c>
      <c r="DO220" s="29"/>
      <c r="DP220" s="27"/>
      <c r="DQ220" s="27"/>
      <c r="DR220" s="28" t="str">
        <f>IFERROR(VLOOKUP(DP220,Horarios!$H:$I,2,0),"")</f>
        <v/>
      </c>
      <c r="DS220" s="28" t="str">
        <f>IFERROR(VLOOKUP(DQ220,Horarios!$H:$I,2,0),"")</f>
        <v/>
      </c>
      <c r="DT220" s="28" t="str">
        <f t="shared" si="165"/>
        <v>00:00</v>
      </c>
      <c r="DU220" s="29"/>
      <c r="DV220" s="27"/>
      <c r="DW220" s="27"/>
      <c r="DX220" s="28" t="str">
        <f>IFERROR(VLOOKUP(DV220,Horarios!$H:$I,2,0),"")</f>
        <v/>
      </c>
      <c r="DY220" s="28" t="str">
        <f>IFERROR(VLOOKUP(DW220,Horarios!$H:$I,2,0),"")</f>
        <v/>
      </c>
      <c r="DZ220" s="28" t="str">
        <f t="shared" si="166"/>
        <v>00:00</v>
      </c>
      <c r="EA220" s="29"/>
      <c r="EB220" s="31" t="str">
        <f t="shared" si="167"/>
        <v/>
      </c>
      <c r="EC220" s="27"/>
      <c r="ED220" s="27"/>
      <c r="EE220" s="28" t="str">
        <f>IFERROR(VLOOKUP(EC220,Horarios!$H:$I,2,0),"")</f>
        <v/>
      </c>
      <c r="EF220" s="28" t="str">
        <f>IFERROR(VLOOKUP(ED220,Horarios!$H:$I,2,0),"")</f>
        <v/>
      </c>
      <c r="EG220" s="28" t="str">
        <f t="shared" si="168"/>
        <v>00:00</v>
      </c>
      <c r="EH220" s="29"/>
      <c r="EI220" s="27"/>
      <c r="EJ220" s="27"/>
      <c r="EK220" s="28" t="str">
        <f>IFERROR(VLOOKUP(EI220,Horarios!$H:$I,2,0),"")</f>
        <v/>
      </c>
      <c r="EL220" s="28" t="str">
        <f>IFERROR(VLOOKUP(EJ220,Horarios!$H:$I,2,0),"")</f>
        <v/>
      </c>
      <c r="EM220" s="28" t="str">
        <f t="shared" si="169"/>
        <v>00:00</v>
      </c>
      <c r="EN220" s="29"/>
      <c r="EO220" s="27"/>
      <c r="EP220" s="27"/>
      <c r="EQ220" s="28" t="str">
        <f>IFERROR(VLOOKUP(EO220,Horarios!$H:$I,2,0),"")</f>
        <v/>
      </c>
      <c r="ER220" s="28" t="str">
        <f>IFERROR(VLOOKUP(EP220,Horarios!$H:$I,2,0),"")</f>
        <v/>
      </c>
      <c r="ES220" s="28" t="str">
        <f t="shared" si="170"/>
        <v>00:00</v>
      </c>
      <c r="ET220" s="29"/>
      <c r="EU220" s="27"/>
      <c r="EV220" s="27"/>
      <c r="EW220" s="28" t="str">
        <f>IFERROR(VLOOKUP(EU220,Horarios!$H:$I,2,0),"")</f>
        <v/>
      </c>
      <c r="EX220" s="28" t="str">
        <f>IFERROR(VLOOKUP(EV220,Horarios!$H:$I,2,0),"")</f>
        <v/>
      </c>
      <c r="EY220" s="28" t="str">
        <f t="shared" si="171"/>
        <v>00:00</v>
      </c>
      <c r="EZ220" s="29"/>
      <c r="FA220" s="27"/>
      <c r="FB220" s="27"/>
      <c r="FC220" s="28" t="str">
        <f>IFERROR(VLOOKUP(FA220,Horarios!$H:$I,2,0),"")</f>
        <v/>
      </c>
      <c r="FD220" s="28" t="str">
        <f>IFERROR(VLOOKUP(FB220,Horarios!$H:$I,2,0),"")</f>
        <v/>
      </c>
      <c r="FE220" s="28" t="str">
        <f t="shared" si="172"/>
        <v>00:00</v>
      </c>
      <c r="FF220" s="29"/>
      <c r="FG220" s="27"/>
      <c r="FH220" s="27"/>
      <c r="FI220" s="28" t="str">
        <f>IFERROR(VLOOKUP(FG220,Horarios!$H:$I,2,0),"")</f>
        <v/>
      </c>
      <c r="FJ220" s="28" t="str">
        <f>IFERROR(VLOOKUP(FH220,Horarios!$H:$I,2,0),"")</f>
        <v/>
      </c>
      <c r="FK220" s="28" t="str">
        <f t="shared" si="173"/>
        <v>00:00</v>
      </c>
      <c r="FL220" s="29"/>
      <c r="FM220" s="27"/>
      <c r="FN220" s="27"/>
      <c r="FO220" s="28" t="str">
        <f>IFERROR(VLOOKUP(FM220,Horarios!$H:$I,2,0),"")</f>
        <v/>
      </c>
      <c r="FP220" s="28" t="str">
        <f>IFERROR(VLOOKUP(FN220,Horarios!$H:$I,2,0),"")</f>
        <v/>
      </c>
      <c r="FQ220" s="28" t="str">
        <f t="shared" si="174"/>
        <v>00:00</v>
      </c>
      <c r="FR220" s="29"/>
      <c r="FS220" s="31" t="str">
        <f t="shared" si="175"/>
        <v/>
      </c>
      <c r="FT220" s="27"/>
      <c r="FU220" s="27"/>
      <c r="FV220" s="28" t="str">
        <f>IFERROR(VLOOKUP(FT220,Horarios!$H:$I,2,0),"")</f>
        <v/>
      </c>
      <c r="FW220" s="28" t="str">
        <f>IFERROR(VLOOKUP(FU220,Horarios!$H:$I,2,0),"")</f>
        <v/>
      </c>
      <c r="FX220" s="28" t="str">
        <f t="shared" si="176"/>
        <v>00:00</v>
      </c>
      <c r="FY220" s="29"/>
      <c r="FZ220" s="27"/>
      <c r="GA220" s="27"/>
      <c r="GB220" s="28" t="str">
        <f>IFERROR(VLOOKUP(FZ220,Horarios!$H:$I,2,0),"")</f>
        <v/>
      </c>
      <c r="GC220" s="28" t="str">
        <f>IFERROR(VLOOKUP(GA220,Horarios!$H:$I,2,0),"")</f>
        <v/>
      </c>
      <c r="GD220" s="28" t="str">
        <f t="shared" si="177"/>
        <v>00:00</v>
      </c>
      <c r="GE220" s="29"/>
      <c r="GF220" s="27"/>
      <c r="GG220" s="27"/>
      <c r="GH220" s="28" t="str">
        <f>IFERROR(VLOOKUP(GF220,Horarios!$H:$I,2,0),"")</f>
        <v/>
      </c>
      <c r="GI220" s="28" t="str">
        <f>IFERROR(VLOOKUP(GG220,Horarios!$H:$I,2,0),"")</f>
        <v/>
      </c>
      <c r="GJ220" s="28" t="str">
        <f t="shared" si="178"/>
        <v>00:00</v>
      </c>
      <c r="GK220" s="29"/>
      <c r="GL220" s="27"/>
      <c r="GM220" s="27"/>
      <c r="GN220" s="28" t="str">
        <f>IFERROR(VLOOKUP(GL220,Horarios!$H:$I,2,0),"")</f>
        <v/>
      </c>
      <c r="GO220" s="28" t="str">
        <f>IFERROR(VLOOKUP(GM220,Horarios!$H:$I,2,0),"")</f>
        <v/>
      </c>
      <c r="GP220" s="28" t="str">
        <f t="shared" si="179"/>
        <v>00:00</v>
      </c>
      <c r="GQ220" s="29"/>
      <c r="GR220" s="27"/>
      <c r="GS220" s="27"/>
      <c r="GT220" s="28" t="str">
        <f>IFERROR(VLOOKUP(GR220,Horarios!$H:$I,2,0),"")</f>
        <v/>
      </c>
      <c r="GU220" s="28" t="str">
        <f>IFERROR(VLOOKUP(GS220,Horarios!$H:$I,2,0),"")</f>
        <v/>
      </c>
      <c r="GV220" s="28" t="str">
        <f t="shared" si="180"/>
        <v>00:00</v>
      </c>
      <c r="GW220" s="29"/>
      <c r="GX220" s="27"/>
      <c r="GY220" s="27"/>
      <c r="GZ220" s="28" t="str">
        <f>IFERROR(VLOOKUP(GX220,Horarios!$H:$I,2,0),"")</f>
        <v/>
      </c>
      <c r="HA220" s="28" t="str">
        <f>IFERROR(VLOOKUP(GY220,Horarios!$H:$I,2,0),"")</f>
        <v/>
      </c>
      <c r="HB220" s="28" t="str">
        <f t="shared" si="181"/>
        <v>00:00</v>
      </c>
      <c r="HC220" s="29"/>
      <c r="HD220" s="27"/>
      <c r="HE220" s="27"/>
      <c r="HF220" s="28" t="str">
        <f>IFERROR(VLOOKUP(HD220,Horarios!$H:$I,2,0),"")</f>
        <v/>
      </c>
      <c r="HG220" s="28" t="str">
        <f>IFERROR(VLOOKUP(HE220,Horarios!$H:$I,2,0),"")</f>
        <v/>
      </c>
      <c r="HH220" s="28" t="str">
        <f t="shared" si="182"/>
        <v>00:00</v>
      </c>
      <c r="HI220" s="29"/>
      <c r="HJ220" s="31" t="str">
        <f t="shared" si="183"/>
        <v/>
      </c>
      <c r="HK220" s="27"/>
      <c r="HL220" s="27"/>
      <c r="HM220" s="28" t="str">
        <f>IFERROR(VLOOKUP(HK220,Horarios!$H:$I,2,0),"")</f>
        <v/>
      </c>
      <c r="HN220" s="28" t="str">
        <f>IFERROR(VLOOKUP(HL220,Horarios!$H:$I,2,0),"")</f>
        <v/>
      </c>
      <c r="HO220" s="28" t="str">
        <f t="shared" si="184"/>
        <v>00:00</v>
      </c>
      <c r="HP220" s="29"/>
      <c r="HQ220" s="27"/>
      <c r="HR220" s="27"/>
      <c r="HS220" s="28" t="str">
        <f>IFERROR(VLOOKUP(HQ220,Horarios!$H:$I,2,0),"")</f>
        <v/>
      </c>
      <c r="HT220" s="28" t="str">
        <f>IFERROR(VLOOKUP(HR220,Horarios!$H:$I,2,0),"")</f>
        <v/>
      </c>
      <c r="HU220" s="28" t="str">
        <f t="shared" si="185"/>
        <v>00:00</v>
      </c>
      <c r="HV220" s="29"/>
      <c r="HW220" s="27"/>
      <c r="HX220" s="27"/>
      <c r="HY220" s="28" t="str">
        <f>IFERROR(VLOOKUP(HW220,Horarios!$H:$I,2,0),"")</f>
        <v/>
      </c>
      <c r="HZ220" s="28" t="str">
        <f>IFERROR(VLOOKUP(HX220,Horarios!$H:$I,2,0),"")</f>
        <v/>
      </c>
      <c r="IA220" s="28" t="str">
        <f t="shared" si="186"/>
        <v>00:00</v>
      </c>
      <c r="IB220" s="29"/>
      <c r="IC220" s="27"/>
      <c r="ID220" s="27"/>
      <c r="IE220" s="28" t="str">
        <f>IFERROR(VLOOKUP(IC220,Horarios!$H:$I,2,0),"")</f>
        <v/>
      </c>
      <c r="IF220" s="28" t="str">
        <f>IFERROR(VLOOKUP(ID220,Horarios!$H:$I,2,0),"")</f>
        <v/>
      </c>
      <c r="IG220" s="28" t="str">
        <f t="shared" si="187"/>
        <v>00:00</v>
      </c>
      <c r="IH220" s="29"/>
      <c r="II220" s="27"/>
      <c r="IJ220" s="27"/>
      <c r="IK220" s="28" t="str">
        <f>IFERROR(VLOOKUP(II220,Horarios!$H:$I,2,0),"")</f>
        <v/>
      </c>
      <c r="IL220" s="28" t="str">
        <f>IFERROR(VLOOKUP(IJ220,Horarios!$H:$I,2,0),"")</f>
        <v/>
      </c>
      <c r="IM220" s="28" t="str">
        <f t="shared" si="188"/>
        <v>00:00</v>
      </c>
      <c r="IN220" s="29"/>
      <c r="IO220" s="27"/>
      <c r="IP220" s="27"/>
      <c r="IQ220" s="28" t="str">
        <f>IFERROR(VLOOKUP(IO220,Horarios!$H:$I,2,0),"")</f>
        <v/>
      </c>
      <c r="IR220" s="28" t="str">
        <f>IFERROR(VLOOKUP(IP220,Horarios!$H:$I,2,0),"")</f>
        <v/>
      </c>
      <c r="IS220" s="28" t="str">
        <f t="shared" si="189"/>
        <v>00:00</v>
      </c>
      <c r="IT220" s="29"/>
      <c r="IU220" s="27"/>
      <c r="IV220" s="27"/>
      <c r="IW220" s="28" t="str">
        <f>IFERROR(VLOOKUP(IU220,Horarios!$H:$I,2,0),"")</f>
        <v/>
      </c>
      <c r="IX220" s="28" t="str">
        <f>IFERROR(VLOOKUP(IV220,Horarios!$H:$I,2,0),"")</f>
        <v/>
      </c>
      <c r="IY220" s="28" t="str">
        <f t="shared" si="190"/>
        <v>00:00</v>
      </c>
      <c r="IZ220" s="29"/>
      <c r="JA220" s="31" t="str">
        <f t="shared" si="191"/>
        <v/>
      </c>
    </row>
    <row r="221" spans="1:261" s="24" customFormat="1" ht="17.399999999999999" x14ac:dyDescent="0.25">
      <c r="A221" s="25"/>
      <c r="B221" s="26" t="str">
        <f>IFERROR(VLOOKUP(A221,BaseNombres!A:B,2,0),"")</f>
        <v/>
      </c>
      <c r="C221" s="26" t="str">
        <f>IFERROR(VLOOKUP(A221,BaseNombres!A:C,3,0),"")</f>
        <v/>
      </c>
      <c r="D221" s="27"/>
      <c r="E221" s="27"/>
      <c r="F221" s="28" t="str">
        <f>IFERROR(VLOOKUP(D221,Horarios!$H:$I,2,0),"")</f>
        <v/>
      </c>
      <c r="G221" s="28" t="str">
        <f>IFERROR(VLOOKUP(E221,Horarios!$H:$I,2,0),"")</f>
        <v/>
      </c>
      <c r="H221" s="28" t="str">
        <f t="shared" si="144"/>
        <v>00:00</v>
      </c>
      <c r="I221" s="29"/>
      <c r="J221" s="27"/>
      <c r="K221" s="27"/>
      <c r="L221" s="28" t="str">
        <f>IFERROR(VLOOKUP(J221,Horarios!$H:$I,2,0),"")</f>
        <v/>
      </c>
      <c r="M221" s="28" t="str">
        <f>IFERROR(VLOOKUP(K221,Horarios!$H:$I,2,0),"")</f>
        <v/>
      </c>
      <c r="N221" s="28" t="str">
        <f t="shared" si="145"/>
        <v>00:00</v>
      </c>
      <c r="O221" s="29"/>
      <c r="P221" s="27"/>
      <c r="Q221" s="27"/>
      <c r="R221" s="28" t="str">
        <f>IFERROR(VLOOKUP(P221,Horarios!$H:$I,2,0),"")</f>
        <v/>
      </c>
      <c r="S221" s="28" t="str">
        <f>IFERROR(VLOOKUP(Q221,Horarios!$H:$I,2,0),"")</f>
        <v/>
      </c>
      <c r="T221" s="28" t="str">
        <f t="shared" si="146"/>
        <v>00:00</v>
      </c>
      <c r="U221" s="29"/>
      <c r="V221" s="27"/>
      <c r="W221" s="27"/>
      <c r="X221" s="28" t="str">
        <f>IFERROR(VLOOKUP(V221,Horarios!$H:$I,2,0),"")</f>
        <v/>
      </c>
      <c r="Y221" s="28" t="str">
        <f>IFERROR(VLOOKUP(W221,Horarios!$H:$I,2,0),"")</f>
        <v/>
      </c>
      <c r="Z221" s="28" t="str">
        <f t="shared" si="147"/>
        <v>00:00</v>
      </c>
      <c r="AA221" s="29"/>
      <c r="AB221" s="27"/>
      <c r="AC221" s="27"/>
      <c r="AD221" s="28" t="str">
        <f>IFERROR(VLOOKUP(AB221,Horarios!$H:$I,2,0),"")</f>
        <v/>
      </c>
      <c r="AE221" s="28" t="str">
        <f>IFERROR(VLOOKUP(AC221,Horarios!$H:$I,2,0),"")</f>
        <v/>
      </c>
      <c r="AF221" s="28" t="str">
        <f t="shared" si="148"/>
        <v>00:00</v>
      </c>
      <c r="AG221" s="29"/>
      <c r="AH221" s="27"/>
      <c r="AI221" s="27"/>
      <c r="AJ221" s="28" t="str">
        <f>IFERROR(VLOOKUP(AH221,Horarios!$H:$I,2,0),"")</f>
        <v/>
      </c>
      <c r="AK221" s="28" t="str">
        <f>IFERROR(VLOOKUP(AI221,Horarios!$H:$I,2,0),"")</f>
        <v/>
      </c>
      <c r="AL221" s="28" t="str">
        <f t="shared" si="149"/>
        <v>00:00</v>
      </c>
      <c r="AM221" s="29"/>
      <c r="AN221" s="27"/>
      <c r="AO221" s="27"/>
      <c r="AP221" s="28" t="str">
        <f>IFERROR(VLOOKUP(AN221,Horarios!$H:$I,2,0),"")</f>
        <v/>
      </c>
      <c r="AQ221" s="28" t="str">
        <f>IFERROR(VLOOKUP(AO221,Horarios!$H:$I,2,0),"")</f>
        <v/>
      </c>
      <c r="AR221" s="28" t="str">
        <f t="shared" si="150"/>
        <v>00:00</v>
      </c>
      <c r="AS221" s="29"/>
      <c r="AT221" s="31" t="str">
        <f t="shared" si="151"/>
        <v/>
      </c>
      <c r="AU221" s="27"/>
      <c r="AV221" s="27"/>
      <c r="AW221" s="28" t="str">
        <f>IFERROR(VLOOKUP(AU221,Horarios!$H:$I,2,0),"")</f>
        <v/>
      </c>
      <c r="AX221" s="28" t="str">
        <f>IFERROR(VLOOKUP(AV221,Horarios!$H:$I,2,0),"")</f>
        <v/>
      </c>
      <c r="AY221" s="28" t="str">
        <f t="shared" si="152"/>
        <v>00:00</v>
      </c>
      <c r="AZ221" s="29"/>
      <c r="BA221" s="27"/>
      <c r="BB221" s="27"/>
      <c r="BC221" s="28" t="str">
        <f>IFERROR(VLOOKUP(BA221,Horarios!$H:$I,2,0),"")</f>
        <v/>
      </c>
      <c r="BD221" s="28" t="str">
        <f>IFERROR(VLOOKUP(BB221,Horarios!$H:$I,2,0),"")</f>
        <v/>
      </c>
      <c r="BE221" s="28" t="str">
        <f t="shared" si="153"/>
        <v>00:00</v>
      </c>
      <c r="BF221" s="29"/>
      <c r="BG221" s="27"/>
      <c r="BH221" s="27"/>
      <c r="BI221" s="28" t="str">
        <f>IFERROR(VLOOKUP(BG221,Horarios!$H:$I,2,0),"")</f>
        <v/>
      </c>
      <c r="BJ221" s="28" t="str">
        <f>IFERROR(VLOOKUP(BH221,Horarios!$H:$I,2,0),"")</f>
        <v/>
      </c>
      <c r="BK221" s="28" t="str">
        <f t="shared" si="154"/>
        <v>00:00</v>
      </c>
      <c r="BL221" s="29"/>
      <c r="BM221" s="27"/>
      <c r="BN221" s="27"/>
      <c r="BO221" s="28" t="str">
        <f>IFERROR(VLOOKUP(BM221,Horarios!$H:$I,2,0),"")</f>
        <v/>
      </c>
      <c r="BP221" s="28" t="str">
        <f>IFERROR(VLOOKUP(BN221,Horarios!$H:$I,2,0),"")</f>
        <v/>
      </c>
      <c r="BQ221" s="28" t="str">
        <f t="shared" si="155"/>
        <v>00:00</v>
      </c>
      <c r="BR221" s="29"/>
      <c r="BS221" s="27"/>
      <c r="BT221" s="27"/>
      <c r="BU221" s="28" t="str">
        <f>IFERROR(VLOOKUP(BS221,Horarios!$H:$I,2,0),"")</f>
        <v/>
      </c>
      <c r="BV221" s="28" t="str">
        <f>IFERROR(VLOOKUP(BT221,Horarios!$H:$I,2,0),"")</f>
        <v/>
      </c>
      <c r="BW221" s="28" t="str">
        <f t="shared" si="156"/>
        <v>00:00</v>
      </c>
      <c r="BX221" s="29"/>
      <c r="BY221" s="27"/>
      <c r="BZ221" s="27"/>
      <c r="CA221" s="28" t="str">
        <f>IFERROR(VLOOKUP(BY221,Horarios!$H:$I,2,0),"")</f>
        <v/>
      </c>
      <c r="CB221" s="28" t="str">
        <f>IFERROR(VLOOKUP(BZ221,Horarios!$H:$I,2,0),"")</f>
        <v/>
      </c>
      <c r="CC221" s="28" t="str">
        <f t="shared" si="157"/>
        <v>00:00</v>
      </c>
      <c r="CD221" s="29"/>
      <c r="CE221" s="27"/>
      <c r="CF221" s="27"/>
      <c r="CG221" s="28" t="str">
        <f>IFERROR(VLOOKUP(CE221,Horarios!$H:$I,2,0),"")</f>
        <v/>
      </c>
      <c r="CH221" s="28" t="str">
        <f>IFERROR(VLOOKUP(CF221,Horarios!$H:$I,2,0),"")</f>
        <v/>
      </c>
      <c r="CI221" s="28" t="str">
        <f t="shared" si="158"/>
        <v>00:00</v>
      </c>
      <c r="CJ221" s="29"/>
      <c r="CK221" s="31" t="str">
        <f t="shared" si="159"/>
        <v/>
      </c>
      <c r="CL221" s="27"/>
      <c r="CM221" s="27"/>
      <c r="CN221" s="28" t="str">
        <f>IFERROR(VLOOKUP(CL221,Horarios!$H:$I,2,0),"")</f>
        <v/>
      </c>
      <c r="CO221" s="28" t="str">
        <f>IFERROR(VLOOKUP(CM221,Horarios!$H:$I,2,0),"")</f>
        <v/>
      </c>
      <c r="CP221" s="28" t="str">
        <f t="shared" si="160"/>
        <v>00:00</v>
      </c>
      <c r="CQ221" s="29"/>
      <c r="CR221" s="27"/>
      <c r="CS221" s="27"/>
      <c r="CT221" s="28" t="str">
        <f>IFERROR(VLOOKUP(CR221,Horarios!$H:$I,2,0),"")</f>
        <v/>
      </c>
      <c r="CU221" s="28" t="str">
        <f>IFERROR(VLOOKUP(CS221,Horarios!$H:$I,2,0),"")</f>
        <v/>
      </c>
      <c r="CV221" s="28" t="str">
        <f t="shared" si="161"/>
        <v>00:00</v>
      </c>
      <c r="CW221" s="29"/>
      <c r="CX221" s="27"/>
      <c r="CY221" s="27"/>
      <c r="CZ221" s="28" t="str">
        <f>IFERROR(VLOOKUP(CX221,Horarios!$H:$I,2,0),"")</f>
        <v/>
      </c>
      <c r="DA221" s="28" t="str">
        <f>IFERROR(VLOOKUP(CY221,Horarios!$H:$I,2,0),"")</f>
        <v/>
      </c>
      <c r="DB221" s="28" t="str">
        <f t="shared" si="162"/>
        <v>00:00</v>
      </c>
      <c r="DC221" s="29"/>
      <c r="DD221" s="27"/>
      <c r="DE221" s="27"/>
      <c r="DF221" s="28" t="str">
        <f>IFERROR(VLOOKUP(DD221,Horarios!$H:$I,2,0),"")</f>
        <v/>
      </c>
      <c r="DG221" s="28" t="str">
        <f>IFERROR(VLOOKUP(DE221,Horarios!$H:$I,2,0),"")</f>
        <v/>
      </c>
      <c r="DH221" s="28" t="str">
        <f t="shared" si="163"/>
        <v>00:00</v>
      </c>
      <c r="DI221" s="29"/>
      <c r="DJ221" s="27"/>
      <c r="DK221" s="27"/>
      <c r="DL221" s="28" t="str">
        <f>IFERROR(VLOOKUP(DJ221,Horarios!$H:$I,2,0),"")</f>
        <v/>
      </c>
      <c r="DM221" s="28" t="str">
        <f>IFERROR(VLOOKUP(DK221,Horarios!$H:$I,2,0),"")</f>
        <v/>
      </c>
      <c r="DN221" s="28" t="str">
        <f t="shared" si="164"/>
        <v>00:00</v>
      </c>
      <c r="DO221" s="29"/>
      <c r="DP221" s="27"/>
      <c r="DQ221" s="27"/>
      <c r="DR221" s="28" t="str">
        <f>IFERROR(VLOOKUP(DP221,Horarios!$H:$I,2,0),"")</f>
        <v/>
      </c>
      <c r="DS221" s="28" t="str">
        <f>IFERROR(VLOOKUP(DQ221,Horarios!$H:$I,2,0),"")</f>
        <v/>
      </c>
      <c r="DT221" s="28" t="str">
        <f t="shared" si="165"/>
        <v>00:00</v>
      </c>
      <c r="DU221" s="29"/>
      <c r="DV221" s="27"/>
      <c r="DW221" s="27"/>
      <c r="DX221" s="28" t="str">
        <f>IFERROR(VLOOKUP(DV221,Horarios!$H:$I,2,0),"")</f>
        <v/>
      </c>
      <c r="DY221" s="28" t="str">
        <f>IFERROR(VLOOKUP(DW221,Horarios!$H:$I,2,0),"")</f>
        <v/>
      </c>
      <c r="DZ221" s="28" t="str">
        <f t="shared" si="166"/>
        <v>00:00</v>
      </c>
      <c r="EA221" s="29"/>
      <c r="EB221" s="31" t="str">
        <f t="shared" si="167"/>
        <v/>
      </c>
      <c r="EC221" s="27"/>
      <c r="ED221" s="27"/>
      <c r="EE221" s="28" t="str">
        <f>IFERROR(VLOOKUP(EC221,Horarios!$H:$I,2,0),"")</f>
        <v/>
      </c>
      <c r="EF221" s="28" t="str">
        <f>IFERROR(VLOOKUP(ED221,Horarios!$H:$I,2,0),"")</f>
        <v/>
      </c>
      <c r="EG221" s="28" t="str">
        <f t="shared" si="168"/>
        <v>00:00</v>
      </c>
      <c r="EH221" s="29"/>
      <c r="EI221" s="27"/>
      <c r="EJ221" s="27"/>
      <c r="EK221" s="28" t="str">
        <f>IFERROR(VLOOKUP(EI221,Horarios!$H:$I,2,0),"")</f>
        <v/>
      </c>
      <c r="EL221" s="28" t="str">
        <f>IFERROR(VLOOKUP(EJ221,Horarios!$H:$I,2,0),"")</f>
        <v/>
      </c>
      <c r="EM221" s="28" t="str">
        <f t="shared" si="169"/>
        <v>00:00</v>
      </c>
      <c r="EN221" s="29"/>
      <c r="EO221" s="27"/>
      <c r="EP221" s="27"/>
      <c r="EQ221" s="28" t="str">
        <f>IFERROR(VLOOKUP(EO221,Horarios!$H:$I,2,0),"")</f>
        <v/>
      </c>
      <c r="ER221" s="28" t="str">
        <f>IFERROR(VLOOKUP(EP221,Horarios!$H:$I,2,0),"")</f>
        <v/>
      </c>
      <c r="ES221" s="28" t="str">
        <f t="shared" si="170"/>
        <v>00:00</v>
      </c>
      <c r="ET221" s="29"/>
      <c r="EU221" s="27"/>
      <c r="EV221" s="27"/>
      <c r="EW221" s="28" t="str">
        <f>IFERROR(VLOOKUP(EU221,Horarios!$H:$I,2,0),"")</f>
        <v/>
      </c>
      <c r="EX221" s="28" t="str">
        <f>IFERROR(VLOOKUP(EV221,Horarios!$H:$I,2,0),"")</f>
        <v/>
      </c>
      <c r="EY221" s="28" t="str">
        <f t="shared" si="171"/>
        <v>00:00</v>
      </c>
      <c r="EZ221" s="29"/>
      <c r="FA221" s="27"/>
      <c r="FB221" s="27"/>
      <c r="FC221" s="28" t="str">
        <f>IFERROR(VLOOKUP(FA221,Horarios!$H:$I,2,0),"")</f>
        <v/>
      </c>
      <c r="FD221" s="28" t="str">
        <f>IFERROR(VLOOKUP(FB221,Horarios!$H:$I,2,0),"")</f>
        <v/>
      </c>
      <c r="FE221" s="28" t="str">
        <f t="shared" si="172"/>
        <v>00:00</v>
      </c>
      <c r="FF221" s="29"/>
      <c r="FG221" s="27"/>
      <c r="FH221" s="27"/>
      <c r="FI221" s="28" t="str">
        <f>IFERROR(VLOOKUP(FG221,Horarios!$H:$I,2,0),"")</f>
        <v/>
      </c>
      <c r="FJ221" s="28" t="str">
        <f>IFERROR(VLOOKUP(FH221,Horarios!$H:$I,2,0),"")</f>
        <v/>
      </c>
      <c r="FK221" s="28" t="str">
        <f t="shared" si="173"/>
        <v>00:00</v>
      </c>
      <c r="FL221" s="29"/>
      <c r="FM221" s="27"/>
      <c r="FN221" s="27"/>
      <c r="FO221" s="28" t="str">
        <f>IFERROR(VLOOKUP(FM221,Horarios!$H:$I,2,0),"")</f>
        <v/>
      </c>
      <c r="FP221" s="28" t="str">
        <f>IFERROR(VLOOKUP(FN221,Horarios!$H:$I,2,0),"")</f>
        <v/>
      </c>
      <c r="FQ221" s="28" t="str">
        <f t="shared" si="174"/>
        <v>00:00</v>
      </c>
      <c r="FR221" s="29"/>
      <c r="FS221" s="31" t="str">
        <f t="shared" si="175"/>
        <v/>
      </c>
      <c r="FT221" s="27"/>
      <c r="FU221" s="27"/>
      <c r="FV221" s="28" t="str">
        <f>IFERROR(VLOOKUP(FT221,Horarios!$H:$I,2,0),"")</f>
        <v/>
      </c>
      <c r="FW221" s="28" t="str">
        <f>IFERROR(VLOOKUP(FU221,Horarios!$H:$I,2,0),"")</f>
        <v/>
      </c>
      <c r="FX221" s="28" t="str">
        <f t="shared" si="176"/>
        <v>00:00</v>
      </c>
      <c r="FY221" s="29"/>
      <c r="FZ221" s="27"/>
      <c r="GA221" s="27"/>
      <c r="GB221" s="28" t="str">
        <f>IFERROR(VLOOKUP(FZ221,Horarios!$H:$I,2,0),"")</f>
        <v/>
      </c>
      <c r="GC221" s="28" t="str">
        <f>IFERROR(VLOOKUP(GA221,Horarios!$H:$I,2,0),"")</f>
        <v/>
      </c>
      <c r="GD221" s="28" t="str">
        <f t="shared" si="177"/>
        <v>00:00</v>
      </c>
      <c r="GE221" s="29"/>
      <c r="GF221" s="27"/>
      <c r="GG221" s="27"/>
      <c r="GH221" s="28" t="str">
        <f>IFERROR(VLOOKUP(GF221,Horarios!$H:$I,2,0),"")</f>
        <v/>
      </c>
      <c r="GI221" s="28" t="str">
        <f>IFERROR(VLOOKUP(GG221,Horarios!$H:$I,2,0),"")</f>
        <v/>
      </c>
      <c r="GJ221" s="28" t="str">
        <f t="shared" si="178"/>
        <v>00:00</v>
      </c>
      <c r="GK221" s="29"/>
      <c r="GL221" s="27"/>
      <c r="GM221" s="27"/>
      <c r="GN221" s="28" t="str">
        <f>IFERROR(VLOOKUP(GL221,Horarios!$H:$I,2,0),"")</f>
        <v/>
      </c>
      <c r="GO221" s="28" t="str">
        <f>IFERROR(VLOOKUP(GM221,Horarios!$H:$I,2,0),"")</f>
        <v/>
      </c>
      <c r="GP221" s="28" t="str">
        <f t="shared" si="179"/>
        <v>00:00</v>
      </c>
      <c r="GQ221" s="29"/>
      <c r="GR221" s="27"/>
      <c r="GS221" s="27"/>
      <c r="GT221" s="28" t="str">
        <f>IFERROR(VLOOKUP(GR221,Horarios!$H:$I,2,0),"")</f>
        <v/>
      </c>
      <c r="GU221" s="28" t="str">
        <f>IFERROR(VLOOKUP(GS221,Horarios!$H:$I,2,0),"")</f>
        <v/>
      </c>
      <c r="GV221" s="28" t="str">
        <f t="shared" si="180"/>
        <v>00:00</v>
      </c>
      <c r="GW221" s="29"/>
      <c r="GX221" s="27"/>
      <c r="GY221" s="27"/>
      <c r="GZ221" s="28" t="str">
        <f>IFERROR(VLOOKUP(GX221,Horarios!$H:$I,2,0),"")</f>
        <v/>
      </c>
      <c r="HA221" s="28" t="str">
        <f>IFERROR(VLOOKUP(GY221,Horarios!$H:$I,2,0),"")</f>
        <v/>
      </c>
      <c r="HB221" s="28" t="str">
        <f t="shared" si="181"/>
        <v>00:00</v>
      </c>
      <c r="HC221" s="29"/>
      <c r="HD221" s="27"/>
      <c r="HE221" s="27"/>
      <c r="HF221" s="28" t="str">
        <f>IFERROR(VLOOKUP(HD221,Horarios!$H:$I,2,0),"")</f>
        <v/>
      </c>
      <c r="HG221" s="28" t="str">
        <f>IFERROR(VLOOKUP(HE221,Horarios!$H:$I,2,0),"")</f>
        <v/>
      </c>
      <c r="HH221" s="28" t="str">
        <f t="shared" si="182"/>
        <v>00:00</v>
      </c>
      <c r="HI221" s="29"/>
      <c r="HJ221" s="31" t="str">
        <f t="shared" si="183"/>
        <v/>
      </c>
      <c r="HK221" s="27"/>
      <c r="HL221" s="27"/>
      <c r="HM221" s="28" t="str">
        <f>IFERROR(VLOOKUP(HK221,Horarios!$H:$I,2,0),"")</f>
        <v/>
      </c>
      <c r="HN221" s="28" t="str">
        <f>IFERROR(VLOOKUP(HL221,Horarios!$H:$I,2,0),"")</f>
        <v/>
      </c>
      <c r="HO221" s="28" t="str">
        <f t="shared" si="184"/>
        <v>00:00</v>
      </c>
      <c r="HP221" s="29"/>
      <c r="HQ221" s="27"/>
      <c r="HR221" s="27"/>
      <c r="HS221" s="28" t="str">
        <f>IFERROR(VLOOKUP(HQ221,Horarios!$H:$I,2,0),"")</f>
        <v/>
      </c>
      <c r="HT221" s="28" t="str">
        <f>IFERROR(VLOOKUP(HR221,Horarios!$H:$I,2,0),"")</f>
        <v/>
      </c>
      <c r="HU221" s="28" t="str">
        <f t="shared" si="185"/>
        <v>00:00</v>
      </c>
      <c r="HV221" s="29"/>
      <c r="HW221" s="27"/>
      <c r="HX221" s="27"/>
      <c r="HY221" s="28" t="str">
        <f>IFERROR(VLOOKUP(HW221,Horarios!$H:$I,2,0),"")</f>
        <v/>
      </c>
      <c r="HZ221" s="28" t="str">
        <f>IFERROR(VLOOKUP(HX221,Horarios!$H:$I,2,0),"")</f>
        <v/>
      </c>
      <c r="IA221" s="28" t="str">
        <f t="shared" si="186"/>
        <v>00:00</v>
      </c>
      <c r="IB221" s="29"/>
      <c r="IC221" s="27"/>
      <c r="ID221" s="27"/>
      <c r="IE221" s="28" t="str">
        <f>IFERROR(VLOOKUP(IC221,Horarios!$H:$I,2,0),"")</f>
        <v/>
      </c>
      <c r="IF221" s="28" t="str">
        <f>IFERROR(VLOOKUP(ID221,Horarios!$H:$I,2,0),"")</f>
        <v/>
      </c>
      <c r="IG221" s="28" t="str">
        <f t="shared" si="187"/>
        <v>00:00</v>
      </c>
      <c r="IH221" s="29"/>
      <c r="II221" s="27"/>
      <c r="IJ221" s="27"/>
      <c r="IK221" s="28" t="str">
        <f>IFERROR(VLOOKUP(II221,Horarios!$H:$I,2,0),"")</f>
        <v/>
      </c>
      <c r="IL221" s="28" t="str">
        <f>IFERROR(VLOOKUP(IJ221,Horarios!$H:$I,2,0),"")</f>
        <v/>
      </c>
      <c r="IM221" s="28" t="str">
        <f t="shared" si="188"/>
        <v>00:00</v>
      </c>
      <c r="IN221" s="29"/>
      <c r="IO221" s="27"/>
      <c r="IP221" s="27"/>
      <c r="IQ221" s="28" t="str">
        <f>IFERROR(VLOOKUP(IO221,Horarios!$H:$I,2,0),"")</f>
        <v/>
      </c>
      <c r="IR221" s="28" t="str">
        <f>IFERROR(VLOOKUP(IP221,Horarios!$H:$I,2,0),"")</f>
        <v/>
      </c>
      <c r="IS221" s="28" t="str">
        <f t="shared" si="189"/>
        <v>00:00</v>
      </c>
      <c r="IT221" s="29"/>
      <c r="IU221" s="27"/>
      <c r="IV221" s="27"/>
      <c r="IW221" s="28" t="str">
        <f>IFERROR(VLOOKUP(IU221,Horarios!$H:$I,2,0),"")</f>
        <v/>
      </c>
      <c r="IX221" s="28" t="str">
        <f>IFERROR(VLOOKUP(IV221,Horarios!$H:$I,2,0),"")</f>
        <v/>
      </c>
      <c r="IY221" s="28" t="str">
        <f t="shared" si="190"/>
        <v>00:00</v>
      </c>
      <c r="IZ221" s="29"/>
      <c r="JA221" s="31" t="str">
        <f t="shared" si="191"/>
        <v/>
      </c>
    </row>
    <row r="222" spans="1:261" s="24" customFormat="1" ht="17.399999999999999" x14ac:dyDescent="0.25">
      <c r="A222" s="25"/>
      <c r="B222" s="26" t="str">
        <f>IFERROR(VLOOKUP(A222,BaseNombres!A:B,2,0),"")</f>
        <v/>
      </c>
      <c r="C222" s="26" t="str">
        <f>IFERROR(VLOOKUP(A222,BaseNombres!A:C,3,0),"")</f>
        <v/>
      </c>
      <c r="D222" s="27"/>
      <c r="E222" s="27"/>
      <c r="F222" s="28" t="str">
        <f>IFERROR(VLOOKUP(D222,Horarios!$H:$I,2,0),"")</f>
        <v/>
      </c>
      <c r="G222" s="28" t="str">
        <f>IFERROR(VLOOKUP(E222,Horarios!$H:$I,2,0),"")</f>
        <v/>
      </c>
      <c r="H222" s="28" t="str">
        <f t="shared" si="144"/>
        <v>00:00</v>
      </c>
      <c r="I222" s="29"/>
      <c r="J222" s="27"/>
      <c r="K222" s="27"/>
      <c r="L222" s="28" t="str">
        <f>IFERROR(VLOOKUP(J222,Horarios!$H:$I,2,0),"")</f>
        <v/>
      </c>
      <c r="M222" s="28" t="str">
        <f>IFERROR(VLOOKUP(K222,Horarios!$H:$I,2,0),"")</f>
        <v/>
      </c>
      <c r="N222" s="28" t="str">
        <f t="shared" si="145"/>
        <v>00:00</v>
      </c>
      <c r="O222" s="29"/>
      <c r="P222" s="27"/>
      <c r="Q222" s="27"/>
      <c r="R222" s="28" t="str">
        <f>IFERROR(VLOOKUP(P222,Horarios!$H:$I,2,0),"")</f>
        <v/>
      </c>
      <c r="S222" s="28" t="str">
        <f>IFERROR(VLOOKUP(Q222,Horarios!$H:$I,2,0),"")</f>
        <v/>
      </c>
      <c r="T222" s="28" t="str">
        <f t="shared" si="146"/>
        <v>00:00</v>
      </c>
      <c r="U222" s="29"/>
      <c r="V222" s="27"/>
      <c r="W222" s="27"/>
      <c r="X222" s="28" t="str">
        <f>IFERROR(VLOOKUP(V222,Horarios!$H:$I,2,0),"")</f>
        <v/>
      </c>
      <c r="Y222" s="28" t="str">
        <f>IFERROR(VLOOKUP(W222,Horarios!$H:$I,2,0),"")</f>
        <v/>
      </c>
      <c r="Z222" s="28" t="str">
        <f t="shared" si="147"/>
        <v>00:00</v>
      </c>
      <c r="AA222" s="29"/>
      <c r="AB222" s="27"/>
      <c r="AC222" s="27"/>
      <c r="AD222" s="28" t="str">
        <f>IFERROR(VLOOKUP(AB222,Horarios!$H:$I,2,0),"")</f>
        <v/>
      </c>
      <c r="AE222" s="28" t="str">
        <f>IFERROR(VLOOKUP(AC222,Horarios!$H:$I,2,0),"")</f>
        <v/>
      </c>
      <c r="AF222" s="28" t="str">
        <f t="shared" si="148"/>
        <v>00:00</v>
      </c>
      <c r="AG222" s="29"/>
      <c r="AH222" s="27"/>
      <c r="AI222" s="27"/>
      <c r="AJ222" s="28" t="str">
        <f>IFERROR(VLOOKUP(AH222,Horarios!$H:$I,2,0),"")</f>
        <v/>
      </c>
      <c r="AK222" s="28" t="str">
        <f>IFERROR(VLOOKUP(AI222,Horarios!$H:$I,2,0),"")</f>
        <v/>
      </c>
      <c r="AL222" s="28" t="str">
        <f t="shared" si="149"/>
        <v>00:00</v>
      </c>
      <c r="AM222" s="29"/>
      <c r="AN222" s="27"/>
      <c r="AO222" s="27"/>
      <c r="AP222" s="28" t="str">
        <f>IFERROR(VLOOKUP(AN222,Horarios!$H:$I,2,0),"")</f>
        <v/>
      </c>
      <c r="AQ222" s="28" t="str">
        <f>IFERROR(VLOOKUP(AO222,Horarios!$H:$I,2,0),"")</f>
        <v/>
      </c>
      <c r="AR222" s="28" t="str">
        <f t="shared" si="150"/>
        <v>00:00</v>
      </c>
      <c r="AS222" s="29"/>
      <c r="AT222" s="31" t="str">
        <f t="shared" si="151"/>
        <v/>
      </c>
      <c r="AU222" s="27"/>
      <c r="AV222" s="27"/>
      <c r="AW222" s="28" t="str">
        <f>IFERROR(VLOOKUP(AU222,Horarios!$H:$I,2,0),"")</f>
        <v/>
      </c>
      <c r="AX222" s="28" t="str">
        <f>IFERROR(VLOOKUP(AV222,Horarios!$H:$I,2,0),"")</f>
        <v/>
      </c>
      <c r="AY222" s="28" t="str">
        <f t="shared" si="152"/>
        <v>00:00</v>
      </c>
      <c r="AZ222" s="29"/>
      <c r="BA222" s="27"/>
      <c r="BB222" s="27"/>
      <c r="BC222" s="28" t="str">
        <f>IFERROR(VLOOKUP(BA222,Horarios!$H:$I,2,0),"")</f>
        <v/>
      </c>
      <c r="BD222" s="28" t="str">
        <f>IFERROR(VLOOKUP(BB222,Horarios!$H:$I,2,0),"")</f>
        <v/>
      </c>
      <c r="BE222" s="28" t="str">
        <f t="shared" si="153"/>
        <v>00:00</v>
      </c>
      <c r="BF222" s="29"/>
      <c r="BG222" s="27"/>
      <c r="BH222" s="27"/>
      <c r="BI222" s="28" t="str">
        <f>IFERROR(VLOOKUP(BG222,Horarios!$H:$I,2,0),"")</f>
        <v/>
      </c>
      <c r="BJ222" s="28" t="str">
        <f>IFERROR(VLOOKUP(BH222,Horarios!$H:$I,2,0),"")</f>
        <v/>
      </c>
      <c r="BK222" s="28" t="str">
        <f t="shared" si="154"/>
        <v>00:00</v>
      </c>
      <c r="BL222" s="29"/>
      <c r="BM222" s="27"/>
      <c r="BN222" s="27"/>
      <c r="BO222" s="28" t="str">
        <f>IFERROR(VLOOKUP(BM222,Horarios!$H:$I,2,0),"")</f>
        <v/>
      </c>
      <c r="BP222" s="28" t="str">
        <f>IFERROR(VLOOKUP(BN222,Horarios!$H:$I,2,0),"")</f>
        <v/>
      </c>
      <c r="BQ222" s="28" t="str">
        <f t="shared" si="155"/>
        <v>00:00</v>
      </c>
      <c r="BR222" s="29"/>
      <c r="BS222" s="27"/>
      <c r="BT222" s="27"/>
      <c r="BU222" s="28" t="str">
        <f>IFERROR(VLOOKUP(BS222,Horarios!$H:$I,2,0),"")</f>
        <v/>
      </c>
      <c r="BV222" s="28" t="str">
        <f>IFERROR(VLOOKUP(BT222,Horarios!$H:$I,2,0),"")</f>
        <v/>
      </c>
      <c r="BW222" s="28" t="str">
        <f t="shared" si="156"/>
        <v>00:00</v>
      </c>
      <c r="BX222" s="29"/>
      <c r="BY222" s="27"/>
      <c r="BZ222" s="27"/>
      <c r="CA222" s="28" t="str">
        <f>IFERROR(VLOOKUP(BY222,Horarios!$H:$I,2,0),"")</f>
        <v/>
      </c>
      <c r="CB222" s="28" t="str">
        <f>IFERROR(VLOOKUP(BZ222,Horarios!$H:$I,2,0),"")</f>
        <v/>
      </c>
      <c r="CC222" s="28" t="str">
        <f t="shared" si="157"/>
        <v>00:00</v>
      </c>
      <c r="CD222" s="29"/>
      <c r="CE222" s="27"/>
      <c r="CF222" s="27"/>
      <c r="CG222" s="28" t="str">
        <f>IFERROR(VLOOKUP(CE222,Horarios!$H:$I,2,0),"")</f>
        <v/>
      </c>
      <c r="CH222" s="28" t="str">
        <f>IFERROR(VLOOKUP(CF222,Horarios!$H:$I,2,0),"")</f>
        <v/>
      </c>
      <c r="CI222" s="28" t="str">
        <f t="shared" si="158"/>
        <v>00:00</v>
      </c>
      <c r="CJ222" s="29"/>
      <c r="CK222" s="31" t="str">
        <f t="shared" si="159"/>
        <v/>
      </c>
      <c r="CL222" s="27"/>
      <c r="CM222" s="27"/>
      <c r="CN222" s="28" t="str">
        <f>IFERROR(VLOOKUP(CL222,Horarios!$H:$I,2,0),"")</f>
        <v/>
      </c>
      <c r="CO222" s="28" t="str">
        <f>IFERROR(VLOOKUP(CM222,Horarios!$H:$I,2,0),"")</f>
        <v/>
      </c>
      <c r="CP222" s="28" t="str">
        <f t="shared" si="160"/>
        <v>00:00</v>
      </c>
      <c r="CQ222" s="29"/>
      <c r="CR222" s="27"/>
      <c r="CS222" s="27"/>
      <c r="CT222" s="28" t="str">
        <f>IFERROR(VLOOKUP(CR222,Horarios!$H:$I,2,0),"")</f>
        <v/>
      </c>
      <c r="CU222" s="28" t="str">
        <f>IFERROR(VLOOKUP(CS222,Horarios!$H:$I,2,0),"")</f>
        <v/>
      </c>
      <c r="CV222" s="28" t="str">
        <f t="shared" si="161"/>
        <v>00:00</v>
      </c>
      <c r="CW222" s="29"/>
      <c r="CX222" s="27"/>
      <c r="CY222" s="27"/>
      <c r="CZ222" s="28" t="str">
        <f>IFERROR(VLOOKUP(CX222,Horarios!$H:$I,2,0),"")</f>
        <v/>
      </c>
      <c r="DA222" s="28" t="str">
        <f>IFERROR(VLOOKUP(CY222,Horarios!$H:$I,2,0),"")</f>
        <v/>
      </c>
      <c r="DB222" s="28" t="str">
        <f t="shared" si="162"/>
        <v>00:00</v>
      </c>
      <c r="DC222" s="29"/>
      <c r="DD222" s="27"/>
      <c r="DE222" s="27"/>
      <c r="DF222" s="28" t="str">
        <f>IFERROR(VLOOKUP(DD222,Horarios!$H:$I,2,0),"")</f>
        <v/>
      </c>
      <c r="DG222" s="28" t="str">
        <f>IFERROR(VLOOKUP(DE222,Horarios!$H:$I,2,0),"")</f>
        <v/>
      </c>
      <c r="DH222" s="28" t="str">
        <f t="shared" si="163"/>
        <v>00:00</v>
      </c>
      <c r="DI222" s="29"/>
      <c r="DJ222" s="27"/>
      <c r="DK222" s="27"/>
      <c r="DL222" s="28" t="str">
        <f>IFERROR(VLOOKUP(DJ222,Horarios!$H:$I,2,0),"")</f>
        <v/>
      </c>
      <c r="DM222" s="28" t="str">
        <f>IFERROR(VLOOKUP(DK222,Horarios!$H:$I,2,0),"")</f>
        <v/>
      </c>
      <c r="DN222" s="28" t="str">
        <f t="shared" si="164"/>
        <v>00:00</v>
      </c>
      <c r="DO222" s="29"/>
      <c r="DP222" s="27"/>
      <c r="DQ222" s="27"/>
      <c r="DR222" s="28" t="str">
        <f>IFERROR(VLOOKUP(DP222,Horarios!$H:$I,2,0),"")</f>
        <v/>
      </c>
      <c r="DS222" s="28" t="str">
        <f>IFERROR(VLOOKUP(DQ222,Horarios!$H:$I,2,0),"")</f>
        <v/>
      </c>
      <c r="DT222" s="28" t="str">
        <f t="shared" si="165"/>
        <v>00:00</v>
      </c>
      <c r="DU222" s="29"/>
      <c r="DV222" s="27"/>
      <c r="DW222" s="27"/>
      <c r="DX222" s="28" t="str">
        <f>IFERROR(VLOOKUP(DV222,Horarios!$H:$I,2,0),"")</f>
        <v/>
      </c>
      <c r="DY222" s="28" t="str">
        <f>IFERROR(VLOOKUP(DW222,Horarios!$H:$I,2,0),"")</f>
        <v/>
      </c>
      <c r="DZ222" s="28" t="str">
        <f t="shared" si="166"/>
        <v>00:00</v>
      </c>
      <c r="EA222" s="29"/>
      <c r="EB222" s="31" t="str">
        <f t="shared" si="167"/>
        <v/>
      </c>
      <c r="EC222" s="27"/>
      <c r="ED222" s="27"/>
      <c r="EE222" s="28" t="str">
        <f>IFERROR(VLOOKUP(EC222,Horarios!$H:$I,2,0),"")</f>
        <v/>
      </c>
      <c r="EF222" s="28" t="str">
        <f>IFERROR(VLOOKUP(ED222,Horarios!$H:$I,2,0),"")</f>
        <v/>
      </c>
      <c r="EG222" s="28" t="str">
        <f t="shared" si="168"/>
        <v>00:00</v>
      </c>
      <c r="EH222" s="29"/>
      <c r="EI222" s="27"/>
      <c r="EJ222" s="27"/>
      <c r="EK222" s="28" t="str">
        <f>IFERROR(VLOOKUP(EI222,Horarios!$H:$I,2,0),"")</f>
        <v/>
      </c>
      <c r="EL222" s="28" t="str">
        <f>IFERROR(VLOOKUP(EJ222,Horarios!$H:$I,2,0),"")</f>
        <v/>
      </c>
      <c r="EM222" s="28" t="str">
        <f t="shared" si="169"/>
        <v>00:00</v>
      </c>
      <c r="EN222" s="29"/>
      <c r="EO222" s="27"/>
      <c r="EP222" s="27"/>
      <c r="EQ222" s="28" t="str">
        <f>IFERROR(VLOOKUP(EO222,Horarios!$H:$I,2,0),"")</f>
        <v/>
      </c>
      <c r="ER222" s="28" t="str">
        <f>IFERROR(VLOOKUP(EP222,Horarios!$H:$I,2,0),"")</f>
        <v/>
      </c>
      <c r="ES222" s="28" t="str">
        <f t="shared" si="170"/>
        <v>00:00</v>
      </c>
      <c r="ET222" s="29"/>
      <c r="EU222" s="27"/>
      <c r="EV222" s="27"/>
      <c r="EW222" s="28" t="str">
        <f>IFERROR(VLOOKUP(EU222,Horarios!$H:$I,2,0),"")</f>
        <v/>
      </c>
      <c r="EX222" s="28" t="str">
        <f>IFERROR(VLOOKUP(EV222,Horarios!$H:$I,2,0),"")</f>
        <v/>
      </c>
      <c r="EY222" s="28" t="str">
        <f t="shared" si="171"/>
        <v>00:00</v>
      </c>
      <c r="EZ222" s="29"/>
      <c r="FA222" s="27"/>
      <c r="FB222" s="27"/>
      <c r="FC222" s="28" t="str">
        <f>IFERROR(VLOOKUP(FA222,Horarios!$H:$I,2,0),"")</f>
        <v/>
      </c>
      <c r="FD222" s="28" t="str">
        <f>IFERROR(VLOOKUP(FB222,Horarios!$H:$I,2,0),"")</f>
        <v/>
      </c>
      <c r="FE222" s="28" t="str">
        <f t="shared" si="172"/>
        <v>00:00</v>
      </c>
      <c r="FF222" s="29"/>
      <c r="FG222" s="27"/>
      <c r="FH222" s="27"/>
      <c r="FI222" s="28" t="str">
        <f>IFERROR(VLOOKUP(FG222,Horarios!$H:$I,2,0),"")</f>
        <v/>
      </c>
      <c r="FJ222" s="28" t="str">
        <f>IFERROR(VLOOKUP(FH222,Horarios!$H:$I,2,0),"")</f>
        <v/>
      </c>
      <c r="FK222" s="28" t="str">
        <f t="shared" si="173"/>
        <v>00:00</v>
      </c>
      <c r="FL222" s="29"/>
      <c r="FM222" s="27"/>
      <c r="FN222" s="27"/>
      <c r="FO222" s="28" t="str">
        <f>IFERROR(VLOOKUP(FM222,Horarios!$H:$I,2,0),"")</f>
        <v/>
      </c>
      <c r="FP222" s="28" t="str">
        <f>IFERROR(VLOOKUP(FN222,Horarios!$H:$I,2,0),"")</f>
        <v/>
      </c>
      <c r="FQ222" s="28" t="str">
        <f t="shared" si="174"/>
        <v>00:00</v>
      </c>
      <c r="FR222" s="29"/>
      <c r="FS222" s="31" t="str">
        <f t="shared" si="175"/>
        <v/>
      </c>
      <c r="FT222" s="27"/>
      <c r="FU222" s="27"/>
      <c r="FV222" s="28" t="str">
        <f>IFERROR(VLOOKUP(FT222,Horarios!$H:$I,2,0),"")</f>
        <v/>
      </c>
      <c r="FW222" s="28" t="str">
        <f>IFERROR(VLOOKUP(FU222,Horarios!$H:$I,2,0),"")</f>
        <v/>
      </c>
      <c r="FX222" s="28" t="str">
        <f t="shared" si="176"/>
        <v>00:00</v>
      </c>
      <c r="FY222" s="29"/>
      <c r="FZ222" s="27"/>
      <c r="GA222" s="27"/>
      <c r="GB222" s="28" t="str">
        <f>IFERROR(VLOOKUP(FZ222,Horarios!$H:$I,2,0),"")</f>
        <v/>
      </c>
      <c r="GC222" s="28" t="str">
        <f>IFERROR(VLOOKUP(GA222,Horarios!$H:$I,2,0),"")</f>
        <v/>
      </c>
      <c r="GD222" s="28" t="str">
        <f t="shared" si="177"/>
        <v>00:00</v>
      </c>
      <c r="GE222" s="29"/>
      <c r="GF222" s="27"/>
      <c r="GG222" s="27"/>
      <c r="GH222" s="28" t="str">
        <f>IFERROR(VLOOKUP(GF222,Horarios!$H:$I,2,0),"")</f>
        <v/>
      </c>
      <c r="GI222" s="28" t="str">
        <f>IFERROR(VLOOKUP(GG222,Horarios!$H:$I,2,0),"")</f>
        <v/>
      </c>
      <c r="GJ222" s="28" t="str">
        <f t="shared" si="178"/>
        <v>00:00</v>
      </c>
      <c r="GK222" s="29"/>
      <c r="GL222" s="27"/>
      <c r="GM222" s="27"/>
      <c r="GN222" s="28" t="str">
        <f>IFERROR(VLOOKUP(GL222,Horarios!$H:$I,2,0),"")</f>
        <v/>
      </c>
      <c r="GO222" s="28" t="str">
        <f>IFERROR(VLOOKUP(GM222,Horarios!$H:$I,2,0),"")</f>
        <v/>
      </c>
      <c r="GP222" s="28" t="str">
        <f t="shared" si="179"/>
        <v>00:00</v>
      </c>
      <c r="GQ222" s="29"/>
      <c r="GR222" s="27"/>
      <c r="GS222" s="27"/>
      <c r="GT222" s="28" t="str">
        <f>IFERROR(VLOOKUP(GR222,Horarios!$H:$I,2,0),"")</f>
        <v/>
      </c>
      <c r="GU222" s="28" t="str">
        <f>IFERROR(VLOOKUP(GS222,Horarios!$H:$I,2,0),"")</f>
        <v/>
      </c>
      <c r="GV222" s="28" t="str">
        <f t="shared" si="180"/>
        <v>00:00</v>
      </c>
      <c r="GW222" s="29"/>
      <c r="GX222" s="27"/>
      <c r="GY222" s="27"/>
      <c r="GZ222" s="28" t="str">
        <f>IFERROR(VLOOKUP(GX222,Horarios!$H:$I,2,0),"")</f>
        <v/>
      </c>
      <c r="HA222" s="28" t="str">
        <f>IFERROR(VLOOKUP(GY222,Horarios!$H:$I,2,0),"")</f>
        <v/>
      </c>
      <c r="HB222" s="28" t="str">
        <f t="shared" si="181"/>
        <v>00:00</v>
      </c>
      <c r="HC222" s="29"/>
      <c r="HD222" s="27"/>
      <c r="HE222" s="27"/>
      <c r="HF222" s="28" t="str">
        <f>IFERROR(VLOOKUP(HD222,Horarios!$H:$I,2,0),"")</f>
        <v/>
      </c>
      <c r="HG222" s="28" t="str">
        <f>IFERROR(VLOOKUP(HE222,Horarios!$H:$I,2,0),"")</f>
        <v/>
      </c>
      <c r="HH222" s="28" t="str">
        <f t="shared" si="182"/>
        <v>00:00</v>
      </c>
      <c r="HI222" s="29"/>
      <c r="HJ222" s="31" t="str">
        <f t="shared" si="183"/>
        <v/>
      </c>
      <c r="HK222" s="27"/>
      <c r="HL222" s="27"/>
      <c r="HM222" s="28" t="str">
        <f>IFERROR(VLOOKUP(HK222,Horarios!$H:$I,2,0),"")</f>
        <v/>
      </c>
      <c r="HN222" s="28" t="str">
        <f>IFERROR(VLOOKUP(HL222,Horarios!$H:$I,2,0),"")</f>
        <v/>
      </c>
      <c r="HO222" s="28" t="str">
        <f t="shared" si="184"/>
        <v>00:00</v>
      </c>
      <c r="HP222" s="29"/>
      <c r="HQ222" s="27"/>
      <c r="HR222" s="27"/>
      <c r="HS222" s="28" t="str">
        <f>IFERROR(VLOOKUP(HQ222,Horarios!$H:$I,2,0),"")</f>
        <v/>
      </c>
      <c r="HT222" s="28" t="str">
        <f>IFERROR(VLOOKUP(HR222,Horarios!$H:$I,2,0),"")</f>
        <v/>
      </c>
      <c r="HU222" s="28" t="str">
        <f t="shared" si="185"/>
        <v>00:00</v>
      </c>
      <c r="HV222" s="29"/>
      <c r="HW222" s="27"/>
      <c r="HX222" s="27"/>
      <c r="HY222" s="28" t="str">
        <f>IFERROR(VLOOKUP(HW222,Horarios!$H:$I,2,0),"")</f>
        <v/>
      </c>
      <c r="HZ222" s="28" t="str">
        <f>IFERROR(VLOOKUP(HX222,Horarios!$H:$I,2,0),"")</f>
        <v/>
      </c>
      <c r="IA222" s="28" t="str">
        <f t="shared" si="186"/>
        <v>00:00</v>
      </c>
      <c r="IB222" s="29"/>
      <c r="IC222" s="27"/>
      <c r="ID222" s="27"/>
      <c r="IE222" s="28" t="str">
        <f>IFERROR(VLOOKUP(IC222,Horarios!$H:$I,2,0),"")</f>
        <v/>
      </c>
      <c r="IF222" s="28" t="str">
        <f>IFERROR(VLOOKUP(ID222,Horarios!$H:$I,2,0),"")</f>
        <v/>
      </c>
      <c r="IG222" s="28" t="str">
        <f t="shared" si="187"/>
        <v>00:00</v>
      </c>
      <c r="IH222" s="29"/>
      <c r="II222" s="27"/>
      <c r="IJ222" s="27"/>
      <c r="IK222" s="28" t="str">
        <f>IFERROR(VLOOKUP(II222,Horarios!$H:$I,2,0),"")</f>
        <v/>
      </c>
      <c r="IL222" s="28" t="str">
        <f>IFERROR(VLOOKUP(IJ222,Horarios!$H:$I,2,0),"")</f>
        <v/>
      </c>
      <c r="IM222" s="28" t="str">
        <f t="shared" si="188"/>
        <v>00:00</v>
      </c>
      <c r="IN222" s="29"/>
      <c r="IO222" s="27"/>
      <c r="IP222" s="27"/>
      <c r="IQ222" s="28" t="str">
        <f>IFERROR(VLOOKUP(IO222,Horarios!$H:$I,2,0),"")</f>
        <v/>
      </c>
      <c r="IR222" s="28" t="str">
        <f>IFERROR(VLOOKUP(IP222,Horarios!$H:$I,2,0),"")</f>
        <v/>
      </c>
      <c r="IS222" s="28" t="str">
        <f t="shared" si="189"/>
        <v>00:00</v>
      </c>
      <c r="IT222" s="29"/>
      <c r="IU222" s="27"/>
      <c r="IV222" s="27"/>
      <c r="IW222" s="28" t="str">
        <f>IFERROR(VLOOKUP(IU222,Horarios!$H:$I,2,0),"")</f>
        <v/>
      </c>
      <c r="IX222" s="28" t="str">
        <f>IFERROR(VLOOKUP(IV222,Horarios!$H:$I,2,0),"")</f>
        <v/>
      </c>
      <c r="IY222" s="28" t="str">
        <f t="shared" si="190"/>
        <v>00:00</v>
      </c>
      <c r="IZ222" s="29"/>
      <c r="JA222" s="31" t="str">
        <f t="shared" si="191"/>
        <v/>
      </c>
    </row>
    <row r="223" spans="1:261" s="24" customFormat="1" ht="17.399999999999999" x14ac:dyDescent="0.25">
      <c r="A223" s="25"/>
      <c r="B223" s="26" t="str">
        <f>IFERROR(VLOOKUP(A223,BaseNombres!A:B,2,0),"")</f>
        <v/>
      </c>
      <c r="C223" s="26" t="str">
        <f>IFERROR(VLOOKUP(A223,BaseNombres!A:C,3,0),"")</f>
        <v/>
      </c>
      <c r="D223" s="27"/>
      <c r="E223" s="27"/>
      <c r="F223" s="28" t="str">
        <f>IFERROR(VLOOKUP(D223,Horarios!$H:$I,2,0),"")</f>
        <v/>
      </c>
      <c r="G223" s="28" t="str">
        <f>IFERROR(VLOOKUP(E223,Horarios!$H:$I,2,0),"")</f>
        <v/>
      </c>
      <c r="H223" s="28" t="str">
        <f t="shared" si="144"/>
        <v>00:00</v>
      </c>
      <c r="I223" s="29"/>
      <c r="J223" s="27"/>
      <c r="K223" s="27"/>
      <c r="L223" s="28" t="str">
        <f>IFERROR(VLOOKUP(J223,Horarios!$H:$I,2,0),"")</f>
        <v/>
      </c>
      <c r="M223" s="28" t="str">
        <f>IFERROR(VLOOKUP(K223,Horarios!$H:$I,2,0),"")</f>
        <v/>
      </c>
      <c r="N223" s="28" t="str">
        <f t="shared" si="145"/>
        <v>00:00</v>
      </c>
      <c r="O223" s="29"/>
      <c r="P223" s="27"/>
      <c r="Q223" s="27"/>
      <c r="R223" s="28" t="str">
        <f>IFERROR(VLOOKUP(P223,Horarios!$H:$I,2,0),"")</f>
        <v/>
      </c>
      <c r="S223" s="28" t="str">
        <f>IFERROR(VLOOKUP(Q223,Horarios!$H:$I,2,0),"")</f>
        <v/>
      </c>
      <c r="T223" s="28" t="str">
        <f t="shared" si="146"/>
        <v>00:00</v>
      </c>
      <c r="U223" s="29"/>
      <c r="V223" s="27"/>
      <c r="W223" s="27"/>
      <c r="X223" s="28" t="str">
        <f>IFERROR(VLOOKUP(V223,Horarios!$H:$I,2,0),"")</f>
        <v/>
      </c>
      <c r="Y223" s="28" t="str">
        <f>IFERROR(VLOOKUP(W223,Horarios!$H:$I,2,0),"")</f>
        <v/>
      </c>
      <c r="Z223" s="28" t="str">
        <f t="shared" si="147"/>
        <v>00:00</v>
      </c>
      <c r="AA223" s="29"/>
      <c r="AB223" s="27"/>
      <c r="AC223" s="27"/>
      <c r="AD223" s="28" t="str">
        <f>IFERROR(VLOOKUP(AB223,Horarios!$H:$I,2,0),"")</f>
        <v/>
      </c>
      <c r="AE223" s="28" t="str">
        <f>IFERROR(VLOOKUP(AC223,Horarios!$H:$I,2,0),"")</f>
        <v/>
      </c>
      <c r="AF223" s="28" t="str">
        <f t="shared" si="148"/>
        <v>00:00</v>
      </c>
      <c r="AG223" s="29"/>
      <c r="AH223" s="27"/>
      <c r="AI223" s="27"/>
      <c r="AJ223" s="28" t="str">
        <f>IFERROR(VLOOKUP(AH223,Horarios!$H:$I,2,0),"")</f>
        <v/>
      </c>
      <c r="AK223" s="28" t="str">
        <f>IFERROR(VLOOKUP(AI223,Horarios!$H:$I,2,0),"")</f>
        <v/>
      </c>
      <c r="AL223" s="28" t="str">
        <f t="shared" si="149"/>
        <v>00:00</v>
      </c>
      <c r="AM223" s="29"/>
      <c r="AN223" s="27"/>
      <c r="AO223" s="27"/>
      <c r="AP223" s="28" t="str">
        <f>IFERROR(VLOOKUP(AN223,Horarios!$H:$I,2,0),"")</f>
        <v/>
      </c>
      <c r="AQ223" s="28" t="str">
        <f>IFERROR(VLOOKUP(AO223,Horarios!$H:$I,2,0),"")</f>
        <v/>
      </c>
      <c r="AR223" s="28" t="str">
        <f t="shared" si="150"/>
        <v>00:00</v>
      </c>
      <c r="AS223" s="29"/>
      <c r="AT223" s="31" t="str">
        <f t="shared" si="151"/>
        <v/>
      </c>
      <c r="AU223" s="27"/>
      <c r="AV223" s="27"/>
      <c r="AW223" s="28" t="str">
        <f>IFERROR(VLOOKUP(AU223,Horarios!$H:$I,2,0),"")</f>
        <v/>
      </c>
      <c r="AX223" s="28" t="str">
        <f>IFERROR(VLOOKUP(AV223,Horarios!$H:$I,2,0),"")</f>
        <v/>
      </c>
      <c r="AY223" s="28" t="str">
        <f t="shared" si="152"/>
        <v>00:00</v>
      </c>
      <c r="AZ223" s="29"/>
      <c r="BA223" s="27"/>
      <c r="BB223" s="27"/>
      <c r="BC223" s="28" t="str">
        <f>IFERROR(VLOOKUP(BA223,Horarios!$H:$I,2,0),"")</f>
        <v/>
      </c>
      <c r="BD223" s="28" t="str">
        <f>IFERROR(VLOOKUP(BB223,Horarios!$H:$I,2,0),"")</f>
        <v/>
      </c>
      <c r="BE223" s="28" t="str">
        <f t="shared" si="153"/>
        <v>00:00</v>
      </c>
      <c r="BF223" s="29"/>
      <c r="BG223" s="27"/>
      <c r="BH223" s="27"/>
      <c r="BI223" s="28" t="str">
        <f>IFERROR(VLOOKUP(BG223,Horarios!$H:$I,2,0),"")</f>
        <v/>
      </c>
      <c r="BJ223" s="28" t="str">
        <f>IFERROR(VLOOKUP(BH223,Horarios!$H:$I,2,0),"")</f>
        <v/>
      </c>
      <c r="BK223" s="28" t="str">
        <f t="shared" si="154"/>
        <v>00:00</v>
      </c>
      <c r="BL223" s="29"/>
      <c r="BM223" s="27"/>
      <c r="BN223" s="27"/>
      <c r="BO223" s="28" t="str">
        <f>IFERROR(VLOOKUP(BM223,Horarios!$H:$I,2,0),"")</f>
        <v/>
      </c>
      <c r="BP223" s="28" t="str">
        <f>IFERROR(VLOOKUP(BN223,Horarios!$H:$I,2,0),"")</f>
        <v/>
      </c>
      <c r="BQ223" s="28" t="str">
        <f t="shared" si="155"/>
        <v>00:00</v>
      </c>
      <c r="BR223" s="29"/>
      <c r="BS223" s="27"/>
      <c r="BT223" s="27"/>
      <c r="BU223" s="28" t="str">
        <f>IFERROR(VLOOKUP(BS223,Horarios!$H:$I,2,0),"")</f>
        <v/>
      </c>
      <c r="BV223" s="28" t="str">
        <f>IFERROR(VLOOKUP(BT223,Horarios!$H:$I,2,0),"")</f>
        <v/>
      </c>
      <c r="BW223" s="28" t="str">
        <f t="shared" si="156"/>
        <v>00:00</v>
      </c>
      <c r="BX223" s="29"/>
      <c r="BY223" s="27"/>
      <c r="BZ223" s="27"/>
      <c r="CA223" s="28" t="str">
        <f>IFERROR(VLOOKUP(BY223,Horarios!$H:$I,2,0),"")</f>
        <v/>
      </c>
      <c r="CB223" s="28" t="str">
        <f>IFERROR(VLOOKUP(BZ223,Horarios!$H:$I,2,0),"")</f>
        <v/>
      </c>
      <c r="CC223" s="28" t="str">
        <f t="shared" si="157"/>
        <v>00:00</v>
      </c>
      <c r="CD223" s="29"/>
      <c r="CE223" s="27"/>
      <c r="CF223" s="27"/>
      <c r="CG223" s="28" t="str">
        <f>IFERROR(VLOOKUP(CE223,Horarios!$H:$I,2,0),"")</f>
        <v/>
      </c>
      <c r="CH223" s="28" t="str">
        <f>IFERROR(VLOOKUP(CF223,Horarios!$H:$I,2,0),"")</f>
        <v/>
      </c>
      <c r="CI223" s="28" t="str">
        <f t="shared" si="158"/>
        <v>00:00</v>
      </c>
      <c r="CJ223" s="29"/>
      <c r="CK223" s="31" t="str">
        <f t="shared" si="159"/>
        <v/>
      </c>
      <c r="CL223" s="27"/>
      <c r="CM223" s="27"/>
      <c r="CN223" s="28" t="str">
        <f>IFERROR(VLOOKUP(CL223,Horarios!$H:$I,2,0),"")</f>
        <v/>
      </c>
      <c r="CO223" s="28" t="str">
        <f>IFERROR(VLOOKUP(CM223,Horarios!$H:$I,2,0),"")</f>
        <v/>
      </c>
      <c r="CP223" s="28" t="str">
        <f t="shared" si="160"/>
        <v>00:00</v>
      </c>
      <c r="CQ223" s="29"/>
      <c r="CR223" s="27"/>
      <c r="CS223" s="27"/>
      <c r="CT223" s="28" t="str">
        <f>IFERROR(VLOOKUP(CR223,Horarios!$H:$I,2,0),"")</f>
        <v/>
      </c>
      <c r="CU223" s="28" t="str">
        <f>IFERROR(VLOOKUP(CS223,Horarios!$H:$I,2,0),"")</f>
        <v/>
      </c>
      <c r="CV223" s="28" t="str">
        <f t="shared" si="161"/>
        <v>00:00</v>
      </c>
      <c r="CW223" s="29"/>
      <c r="CX223" s="27"/>
      <c r="CY223" s="27"/>
      <c r="CZ223" s="28" t="str">
        <f>IFERROR(VLOOKUP(CX223,Horarios!$H:$I,2,0),"")</f>
        <v/>
      </c>
      <c r="DA223" s="28" t="str">
        <f>IFERROR(VLOOKUP(CY223,Horarios!$H:$I,2,0),"")</f>
        <v/>
      </c>
      <c r="DB223" s="28" t="str">
        <f t="shared" si="162"/>
        <v>00:00</v>
      </c>
      <c r="DC223" s="29"/>
      <c r="DD223" s="27"/>
      <c r="DE223" s="27"/>
      <c r="DF223" s="28" t="str">
        <f>IFERROR(VLOOKUP(DD223,Horarios!$H:$I,2,0),"")</f>
        <v/>
      </c>
      <c r="DG223" s="28" t="str">
        <f>IFERROR(VLOOKUP(DE223,Horarios!$H:$I,2,0),"")</f>
        <v/>
      </c>
      <c r="DH223" s="28" t="str">
        <f t="shared" si="163"/>
        <v>00:00</v>
      </c>
      <c r="DI223" s="29"/>
      <c r="DJ223" s="27"/>
      <c r="DK223" s="27"/>
      <c r="DL223" s="28" t="str">
        <f>IFERROR(VLOOKUP(DJ223,Horarios!$H:$I,2,0),"")</f>
        <v/>
      </c>
      <c r="DM223" s="28" t="str">
        <f>IFERROR(VLOOKUP(DK223,Horarios!$H:$I,2,0),"")</f>
        <v/>
      </c>
      <c r="DN223" s="28" t="str">
        <f t="shared" si="164"/>
        <v>00:00</v>
      </c>
      <c r="DO223" s="29"/>
      <c r="DP223" s="27"/>
      <c r="DQ223" s="27"/>
      <c r="DR223" s="28" t="str">
        <f>IFERROR(VLOOKUP(DP223,Horarios!$H:$I,2,0),"")</f>
        <v/>
      </c>
      <c r="DS223" s="28" t="str">
        <f>IFERROR(VLOOKUP(DQ223,Horarios!$H:$I,2,0),"")</f>
        <v/>
      </c>
      <c r="DT223" s="28" t="str">
        <f t="shared" si="165"/>
        <v>00:00</v>
      </c>
      <c r="DU223" s="29"/>
      <c r="DV223" s="27"/>
      <c r="DW223" s="27"/>
      <c r="DX223" s="28" t="str">
        <f>IFERROR(VLOOKUP(DV223,Horarios!$H:$I,2,0),"")</f>
        <v/>
      </c>
      <c r="DY223" s="28" t="str">
        <f>IFERROR(VLOOKUP(DW223,Horarios!$H:$I,2,0),"")</f>
        <v/>
      </c>
      <c r="DZ223" s="28" t="str">
        <f t="shared" si="166"/>
        <v>00:00</v>
      </c>
      <c r="EA223" s="29"/>
      <c r="EB223" s="31" t="str">
        <f t="shared" si="167"/>
        <v/>
      </c>
      <c r="EC223" s="27"/>
      <c r="ED223" s="27"/>
      <c r="EE223" s="28" t="str">
        <f>IFERROR(VLOOKUP(EC223,Horarios!$H:$I,2,0),"")</f>
        <v/>
      </c>
      <c r="EF223" s="28" t="str">
        <f>IFERROR(VLOOKUP(ED223,Horarios!$H:$I,2,0),"")</f>
        <v/>
      </c>
      <c r="EG223" s="28" t="str">
        <f t="shared" si="168"/>
        <v>00:00</v>
      </c>
      <c r="EH223" s="29"/>
      <c r="EI223" s="27"/>
      <c r="EJ223" s="27"/>
      <c r="EK223" s="28" t="str">
        <f>IFERROR(VLOOKUP(EI223,Horarios!$H:$I,2,0),"")</f>
        <v/>
      </c>
      <c r="EL223" s="28" t="str">
        <f>IFERROR(VLOOKUP(EJ223,Horarios!$H:$I,2,0),"")</f>
        <v/>
      </c>
      <c r="EM223" s="28" t="str">
        <f t="shared" si="169"/>
        <v>00:00</v>
      </c>
      <c r="EN223" s="29"/>
      <c r="EO223" s="27"/>
      <c r="EP223" s="27"/>
      <c r="EQ223" s="28" t="str">
        <f>IFERROR(VLOOKUP(EO223,Horarios!$H:$I,2,0),"")</f>
        <v/>
      </c>
      <c r="ER223" s="28" t="str">
        <f>IFERROR(VLOOKUP(EP223,Horarios!$H:$I,2,0),"")</f>
        <v/>
      </c>
      <c r="ES223" s="28" t="str">
        <f t="shared" si="170"/>
        <v>00:00</v>
      </c>
      <c r="ET223" s="29"/>
      <c r="EU223" s="27"/>
      <c r="EV223" s="27"/>
      <c r="EW223" s="28" t="str">
        <f>IFERROR(VLOOKUP(EU223,Horarios!$H:$I,2,0),"")</f>
        <v/>
      </c>
      <c r="EX223" s="28" t="str">
        <f>IFERROR(VLOOKUP(EV223,Horarios!$H:$I,2,0),"")</f>
        <v/>
      </c>
      <c r="EY223" s="28" t="str">
        <f t="shared" si="171"/>
        <v>00:00</v>
      </c>
      <c r="EZ223" s="29"/>
      <c r="FA223" s="27"/>
      <c r="FB223" s="27"/>
      <c r="FC223" s="28" t="str">
        <f>IFERROR(VLOOKUP(FA223,Horarios!$H:$I,2,0),"")</f>
        <v/>
      </c>
      <c r="FD223" s="28" t="str">
        <f>IFERROR(VLOOKUP(FB223,Horarios!$H:$I,2,0),"")</f>
        <v/>
      </c>
      <c r="FE223" s="28" t="str">
        <f t="shared" si="172"/>
        <v>00:00</v>
      </c>
      <c r="FF223" s="29"/>
      <c r="FG223" s="27"/>
      <c r="FH223" s="27"/>
      <c r="FI223" s="28" t="str">
        <f>IFERROR(VLOOKUP(FG223,Horarios!$H:$I,2,0),"")</f>
        <v/>
      </c>
      <c r="FJ223" s="28" t="str">
        <f>IFERROR(VLOOKUP(FH223,Horarios!$H:$I,2,0),"")</f>
        <v/>
      </c>
      <c r="FK223" s="28" t="str">
        <f t="shared" si="173"/>
        <v>00:00</v>
      </c>
      <c r="FL223" s="29"/>
      <c r="FM223" s="27"/>
      <c r="FN223" s="27"/>
      <c r="FO223" s="28" t="str">
        <f>IFERROR(VLOOKUP(FM223,Horarios!$H:$I,2,0),"")</f>
        <v/>
      </c>
      <c r="FP223" s="28" t="str">
        <f>IFERROR(VLOOKUP(FN223,Horarios!$H:$I,2,0),"")</f>
        <v/>
      </c>
      <c r="FQ223" s="28" t="str">
        <f t="shared" si="174"/>
        <v>00:00</v>
      </c>
      <c r="FR223" s="29"/>
      <c r="FS223" s="31" t="str">
        <f t="shared" si="175"/>
        <v/>
      </c>
      <c r="FT223" s="27"/>
      <c r="FU223" s="27"/>
      <c r="FV223" s="28" t="str">
        <f>IFERROR(VLOOKUP(FT223,Horarios!$H:$I,2,0),"")</f>
        <v/>
      </c>
      <c r="FW223" s="28" t="str">
        <f>IFERROR(VLOOKUP(FU223,Horarios!$H:$I,2,0),"")</f>
        <v/>
      </c>
      <c r="FX223" s="28" t="str">
        <f t="shared" si="176"/>
        <v>00:00</v>
      </c>
      <c r="FY223" s="29"/>
      <c r="FZ223" s="27"/>
      <c r="GA223" s="27"/>
      <c r="GB223" s="28" t="str">
        <f>IFERROR(VLOOKUP(FZ223,Horarios!$H:$I,2,0),"")</f>
        <v/>
      </c>
      <c r="GC223" s="28" t="str">
        <f>IFERROR(VLOOKUP(GA223,Horarios!$H:$I,2,0),"")</f>
        <v/>
      </c>
      <c r="GD223" s="28" t="str">
        <f t="shared" si="177"/>
        <v>00:00</v>
      </c>
      <c r="GE223" s="29"/>
      <c r="GF223" s="27"/>
      <c r="GG223" s="27"/>
      <c r="GH223" s="28" t="str">
        <f>IFERROR(VLOOKUP(GF223,Horarios!$H:$I,2,0),"")</f>
        <v/>
      </c>
      <c r="GI223" s="28" t="str">
        <f>IFERROR(VLOOKUP(GG223,Horarios!$H:$I,2,0),"")</f>
        <v/>
      </c>
      <c r="GJ223" s="28" t="str">
        <f t="shared" si="178"/>
        <v>00:00</v>
      </c>
      <c r="GK223" s="29"/>
      <c r="GL223" s="27"/>
      <c r="GM223" s="27"/>
      <c r="GN223" s="28" t="str">
        <f>IFERROR(VLOOKUP(GL223,Horarios!$H:$I,2,0),"")</f>
        <v/>
      </c>
      <c r="GO223" s="28" t="str">
        <f>IFERROR(VLOOKUP(GM223,Horarios!$H:$I,2,0),"")</f>
        <v/>
      </c>
      <c r="GP223" s="28" t="str">
        <f t="shared" si="179"/>
        <v>00:00</v>
      </c>
      <c r="GQ223" s="29"/>
      <c r="GR223" s="27"/>
      <c r="GS223" s="27"/>
      <c r="GT223" s="28" t="str">
        <f>IFERROR(VLOOKUP(GR223,Horarios!$H:$I,2,0),"")</f>
        <v/>
      </c>
      <c r="GU223" s="28" t="str">
        <f>IFERROR(VLOOKUP(GS223,Horarios!$H:$I,2,0),"")</f>
        <v/>
      </c>
      <c r="GV223" s="28" t="str">
        <f t="shared" si="180"/>
        <v>00:00</v>
      </c>
      <c r="GW223" s="29"/>
      <c r="GX223" s="27"/>
      <c r="GY223" s="27"/>
      <c r="GZ223" s="28" t="str">
        <f>IFERROR(VLOOKUP(GX223,Horarios!$H:$I,2,0),"")</f>
        <v/>
      </c>
      <c r="HA223" s="28" t="str">
        <f>IFERROR(VLOOKUP(GY223,Horarios!$H:$I,2,0),"")</f>
        <v/>
      </c>
      <c r="HB223" s="28" t="str">
        <f t="shared" si="181"/>
        <v>00:00</v>
      </c>
      <c r="HC223" s="29"/>
      <c r="HD223" s="27"/>
      <c r="HE223" s="27"/>
      <c r="HF223" s="28" t="str">
        <f>IFERROR(VLOOKUP(HD223,Horarios!$H:$I,2,0),"")</f>
        <v/>
      </c>
      <c r="HG223" s="28" t="str">
        <f>IFERROR(VLOOKUP(HE223,Horarios!$H:$I,2,0),"")</f>
        <v/>
      </c>
      <c r="HH223" s="28" t="str">
        <f t="shared" si="182"/>
        <v>00:00</v>
      </c>
      <c r="HI223" s="29"/>
      <c r="HJ223" s="31" t="str">
        <f t="shared" si="183"/>
        <v/>
      </c>
      <c r="HK223" s="27"/>
      <c r="HL223" s="27"/>
      <c r="HM223" s="28" t="str">
        <f>IFERROR(VLOOKUP(HK223,Horarios!$H:$I,2,0),"")</f>
        <v/>
      </c>
      <c r="HN223" s="28" t="str">
        <f>IFERROR(VLOOKUP(HL223,Horarios!$H:$I,2,0),"")</f>
        <v/>
      </c>
      <c r="HO223" s="28" t="str">
        <f t="shared" si="184"/>
        <v>00:00</v>
      </c>
      <c r="HP223" s="29"/>
      <c r="HQ223" s="27"/>
      <c r="HR223" s="27"/>
      <c r="HS223" s="28" t="str">
        <f>IFERROR(VLOOKUP(HQ223,Horarios!$H:$I,2,0),"")</f>
        <v/>
      </c>
      <c r="HT223" s="28" t="str">
        <f>IFERROR(VLOOKUP(HR223,Horarios!$H:$I,2,0),"")</f>
        <v/>
      </c>
      <c r="HU223" s="28" t="str">
        <f t="shared" si="185"/>
        <v>00:00</v>
      </c>
      <c r="HV223" s="29"/>
      <c r="HW223" s="27"/>
      <c r="HX223" s="27"/>
      <c r="HY223" s="28" t="str">
        <f>IFERROR(VLOOKUP(HW223,Horarios!$H:$I,2,0),"")</f>
        <v/>
      </c>
      <c r="HZ223" s="28" t="str">
        <f>IFERROR(VLOOKUP(HX223,Horarios!$H:$I,2,0),"")</f>
        <v/>
      </c>
      <c r="IA223" s="28" t="str">
        <f t="shared" si="186"/>
        <v>00:00</v>
      </c>
      <c r="IB223" s="29"/>
      <c r="IC223" s="27"/>
      <c r="ID223" s="27"/>
      <c r="IE223" s="28" t="str">
        <f>IFERROR(VLOOKUP(IC223,Horarios!$H:$I,2,0),"")</f>
        <v/>
      </c>
      <c r="IF223" s="28" t="str">
        <f>IFERROR(VLOOKUP(ID223,Horarios!$H:$I,2,0),"")</f>
        <v/>
      </c>
      <c r="IG223" s="28" t="str">
        <f t="shared" si="187"/>
        <v>00:00</v>
      </c>
      <c r="IH223" s="29"/>
      <c r="II223" s="27"/>
      <c r="IJ223" s="27"/>
      <c r="IK223" s="28" t="str">
        <f>IFERROR(VLOOKUP(II223,Horarios!$H:$I,2,0),"")</f>
        <v/>
      </c>
      <c r="IL223" s="28" t="str">
        <f>IFERROR(VLOOKUP(IJ223,Horarios!$H:$I,2,0),"")</f>
        <v/>
      </c>
      <c r="IM223" s="28" t="str">
        <f t="shared" si="188"/>
        <v>00:00</v>
      </c>
      <c r="IN223" s="29"/>
      <c r="IO223" s="27"/>
      <c r="IP223" s="27"/>
      <c r="IQ223" s="28" t="str">
        <f>IFERROR(VLOOKUP(IO223,Horarios!$H:$I,2,0),"")</f>
        <v/>
      </c>
      <c r="IR223" s="28" t="str">
        <f>IFERROR(VLOOKUP(IP223,Horarios!$H:$I,2,0),"")</f>
        <v/>
      </c>
      <c r="IS223" s="28" t="str">
        <f t="shared" si="189"/>
        <v>00:00</v>
      </c>
      <c r="IT223" s="29"/>
      <c r="IU223" s="27"/>
      <c r="IV223" s="27"/>
      <c r="IW223" s="28" t="str">
        <f>IFERROR(VLOOKUP(IU223,Horarios!$H:$I,2,0),"")</f>
        <v/>
      </c>
      <c r="IX223" s="28" t="str">
        <f>IFERROR(VLOOKUP(IV223,Horarios!$H:$I,2,0),"")</f>
        <v/>
      </c>
      <c r="IY223" s="28" t="str">
        <f t="shared" si="190"/>
        <v>00:00</v>
      </c>
      <c r="IZ223" s="29"/>
      <c r="JA223" s="31" t="str">
        <f t="shared" si="191"/>
        <v/>
      </c>
    </row>
    <row r="224" spans="1:261" s="24" customFormat="1" ht="17.399999999999999" x14ac:dyDescent="0.25">
      <c r="A224" s="25"/>
      <c r="B224" s="26" t="str">
        <f>IFERROR(VLOOKUP(A224,BaseNombres!A:B,2,0),"")</f>
        <v/>
      </c>
      <c r="C224" s="26" t="str">
        <f>IFERROR(VLOOKUP(A224,BaseNombres!A:C,3,0),"")</f>
        <v/>
      </c>
      <c r="D224" s="27"/>
      <c r="E224" s="27"/>
      <c r="F224" s="28" t="str">
        <f>IFERROR(VLOOKUP(D224,Horarios!$H:$I,2,0),"")</f>
        <v/>
      </c>
      <c r="G224" s="28" t="str">
        <f>IFERROR(VLOOKUP(E224,Horarios!$H:$I,2,0),"")</f>
        <v/>
      </c>
      <c r="H224" s="28" t="str">
        <f t="shared" si="144"/>
        <v>00:00</v>
      </c>
      <c r="I224" s="29"/>
      <c r="J224" s="27"/>
      <c r="K224" s="27"/>
      <c r="L224" s="28" t="str">
        <f>IFERROR(VLOOKUP(J224,Horarios!$H:$I,2,0),"")</f>
        <v/>
      </c>
      <c r="M224" s="28" t="str">
        <f>IFERROR(VLOOKUP(K224,Horarios!$H:$I,2,0),"")</f>
        <v/>
      </c>
      <c r="N224" s="28" t="str">
        <f t="shared" si="145"/>
        <v>00:00</v>
      </c>
      <c r="O224" s="29"/>
      <c r="P224" s="27"/>
      <c r="Q224" s="27"/>
      <c r="R224" s="28" t="str">
        <f>IFERROR(VLOOKUP(P224,Horarios!$H:$I,2,0),"")</f>
        <v/>
      </c>
      <c r="S224" s="28" t="str">
        <f>IFERROR(VLOOKUP(Q224,Horarios!$H:$I,2,0),"")</f>
        <v/>
      </c>
      <c r="T224" s="28" t="str">
        <f t="shared" si="146"/>
        <v>00:00</v>
      </c>
      <c r="U224" s="29"/>
      <c r="V224" s="27"/>
      <c r="W224" s="27"/>
      <c r="X224" s="28" t="str">
        <f>IFERROR(VLOOKUP(V224,Horarios!$H:$I,2,0),"")</f>
        <v/>
      </c>
      <c r="Y224" s="28" t="str">
        <f>IFERROR(VLOOKUP(W224,Horarios!$H:$I,2,0),"")</f>
        <v/>
      </c>
      <c r="Z224" s="28" t="str">
        <f t="shared" si="147"/>
        <v>00:00</v>
      </c>
      <c r="AA224" s="29"/>
      <c r="AB224" s="27"/>
      <c r="AC224" s="27"/>
      <c r="AD224" s="28" t="str">
        <f>IFERROR(VLOOKUP(AB224,Horarios!$H:$I,2,0),"")</f>
        <v/>
      </c>
      <c r="AE224" s="28" t="str">
        <f>IFERROR(VLOOKUP(AC224,Horarios!$H:$I,2,0),"")</f>
        <v/>
      </c>
      <c r="AF224" s="28" t="str">
        <f t="shared" si="148"/>
        <v>00:00</v>
      </c>
      <c r="AG224" s="29"/>
      <c r="AH224" s="27"/>
      <c r="AI224" s="27"/>
      <c r="AJ224" s="28" t="str">
        <f>IFERROR(VLOOKUP(AH224,Horarios!$H:$I,2,0),"")</f>
        <v/>
      </c>
      <c r="AK224" s="28" t="str">
        <f>IFERROR(VLOOKUP(AI224,Horarios!$H:$I,2,0),"")</f>
        <v/>
      </c>
      <c r="AL224" s="28" t="str">
        <f t="shared" si="149"/>
        <v>00:00</v>
      </c>
      <c r="AM224" s="29"/>
      <c r="AN224" s="27"/>
      <c r="AO224" s="27"/>
      <c r="AP224" s="28" t="str">
        <f>IFERROR(VLOOKUP(AN224,Horarios!$H:$I,2,0),"")</f>
        <v/>
      </c>
      <c r="AQ224" s="28" t="str">
        <f>IFERROR(VLOOKUP(AO224,Horarios!$H:$I,2,0),"")</f>
        <v/>
      </c>
      <c r="AR224" s="28" t="str">
        <f t="shared" si="150"/>
        <v>00:00</v>
      </c>
      <c r="AS224" s="29"/>
      <c r="AT224" s="31" t="str">
        <f t="shared" si="151"/>
        <v/>
      </c>
      <c r="AU224" s="27"/>
      <c r="AV224" s="27"/>
      <c r="AW224" s="28" t="str">
        <f>IFERROR(VLOOKUP(AU224,Horarios!$H:$I,2,0),"")</f>
        <v/>
      </c>
      <c r="AX224" s="28" t="str">
        <f>IFERROR(VLOOKUP(AV224,Horarios!$H:$I,2,0),"")</f>
        <v/>
      </c>
      <c r="AY224" s="28" t="str">
        <f t="shared" si="152"/>
        <v>00:00</v>
      </c>
      <c r="AZ224" s="29"/>
      <c r="BA224" s="27"/>
      <c r="BB224" s="27"/>
      <c r="BC224" s="28" t="str">
        <f>IFERROR(VLOOKUP(BA224,Horarios!$H:$I,2,0),"")</f>
        <v/>
      </c>
      <c r="BD224" s="28" t="str">
        <f>IFERROR(VLOOKUP(BB224,Horarios!$H:$I,2,0),"")</f>
        <v/>
      </c>
      <c r="BE224" s="28" t="str">
        <f t="shared" si="153"/>
        <v>00:00</v>
      </c>
      <c r="BF224" s="29"/>
      <c r="BG224" s="27"/>
      <c r="BH224" s="27"/>
      <c r="BI224" s="28" t="str">
        <f>IFERROR(VLOOKUP(BG224,Horarios!$H:$I,2,0),"")</f>
        <v/>
      </c>
      <c r="BJ224" s="28" t="str">
        <f>IFERROR(VLOOKUP(BH224,Horarios!$H:$I,2,0),"")</f>
        <v/>
      </c>
      <c r="BK224" s="28" t="str">
        <f t="shared" si="154"/>
        <v>00:00</v>
      </c>
      <c r="BL224" s="29"/>
      <c r="BM224" s="27"/>
      <c r="BN224" s="27"/>
      <c r="BO224" s="28" t="str">
        <f>IFERROR(VLOOKUP(BM224,Horarios!$H:$I,2,0),"")</f>
        <v/>
      </c>
      <c r="BP224" s="28" t="str">
        <f>IFERROR(VLOOKUP(BN224,Horarios!$H:$I,2,0),"")</f>
        <v/>
      </c>
      <c r="BQ224" s="28" t="str">
        <f t="shared" si="155"/>
        <v>00:00</v>
      </c>
      <c r="BR224" s="29"/>
      <c r="BS224" s="27"/>
      <c r="BT224" s="27"/>
      <c r="BU224" s="28" t="str">
        <f>IFERROR(VLOOKUP(BS224,Horarios!$H:$I,2,0),"")</f>
        <v/>
      </c>
      <c r="BV224" s="28" t="str">
        <f>IFERROR(VLOOKUP(BT224,Horarios!$H:$I,2,0),"")</f>
        <v/>
      </c>
      <c r="BW224" s="28" t="str">
        <f t="shared" si="156"/>
        <v>00:00</v>
      </c>
      <c r="BX224" s="29"/>
      <c r="BY224" s="27"/>
      <c r="BZ224" s="27"/>
      <c r="CA224" s="28" t="str">
        <f>IFERROR(VLOOKUP(BY224,Horarios!$H:$I,2,0),"")</f>
        <v/>
      </c>
      <c r="CB224" s="28" t="str">
        <f>IFERROR(VLOOKUP(BZ224,Horarios!$H:$I,2,0),"")</f>
        <v/>
      </c>
      <c r="CC224" s="28" t="str">
        <f t="shared" si="157"/>
        <v>00:00</v>
      </c>
      <c r="CD224" s="29"/>
      <c r="CE224" s="27"/>
      <c r="CF224" s="27"/>
      <c r="CG224" s="28" t="str">
        <f>IFERROR(VLOOKUP(CE224,Horarios!$H:$I,2,0),"")</f>
        <v/>
      </c>
      <c r="CH224" s="28" t="str">
        <f>IFERROR(VLOOKUP(CF224,Horarios!$H:$I,2,0),"")</f>
        <v/>
      </c>
      <c r="CI224" s="28" t="str">
        <f t="shared" si="158"/>
        <v>00:00</v>
      </c>
      <c r="CJ224" s="29"/>
      <c r="CK224" s="31" t="str">
        <f t="shared" si="159"/>
        <v/>
      </c>
      <c r="CL224" s="27"/>
      <c r="CM224" s="27"/>
      <c r="CN224" s="28" t="str">
        <f>IFERROR(VLOOKUP(CL224,Horarios!$H:$I,2,0),"")</f>
        <v/>
      </c>
      <c r="CO224" s="28" t="str">
        <f>IFERROR(VLOOKUP(CM224,Horarios!$H:$I,2,0),"")</f>
        <v/>
      </c>
      <c r="CP224" s="28" t="str">
        <f t="shared" si="160"/>
        <v>00:00</v>
      </c>
      <c r="CQ224" s="29"/>
      <c r="CR224" s="27"/>
      <c r="CS224" s="27"/>
      <c r="CT224" s="28" t="str">
        <f>IFERROR(VLOOKUP(CR224,Horarios!$H:$I,2,0),"")</f>
        <v/>
      </c>
      <c r="CU224" s="28" t="str">
        <f>IFERROR(VLOOKUP(CS224,Horarios!$H:$I,2,0),"")</f>
        <v/>
      </c>
      <c r="CV224" s="28" t="str">
        <f t="shared" si="161"/>
        <v>00:00</v>
      </c>
      <c r="CW224" s="29"/>
      <c r="CX224" s="27"/>
      <c r="CY224" s="27"/>
      <c r="CZ224" s="28" t="str">
        <f>IFERROR(VLOOKUP(CX224,Horarios!$H:$I,2,0),"")</f>
        <v/>
      </c>
      <c r="DA224" s="28" t="str">
        <f>IFERROR(VLOOKUP(CY224,Horarios!$H:$I,2,0),"")</f>
        <v/>
      </c>
      <c r="DB224" s="28" t="str">
        <f t="shared" si="162"/>
        <v>00:00</v>
      </c>
      <c r="DC224" s="29"/>
      <c r="DD224" s="27"/>
      <c r="DE224" s="27"/>
      <c r="DF224" s="28" t="str">
        <f>IFERROR(VLOOKUP(DD224,Horarios!$H:$I,2,0),"")</f>
        <v/>
      </c>
      <c r="DG224" s="28" t="str">
        <f>IFERROR(VLOOKUP(DE224,Horarios!$H:$I,2,0),"")</f>
        <v/>
      </c>
      <c r="DH224" s="28" t="str">
        <f t="shared" si="163"/>
        <v>00:00</v>
      </c>
      <c r="DI224" s="29"/>
      <c r="DJ224" s="27"/>
      <c r="DK224" s="27"/>
      <c r="DL224" s="28" t="str">
        <f>IFERROR(VLOOKUP(DJ224,Horarios!$H:$I,2,0),"")</f>
        <v/>
      </c>
      <c r="DM224" s="28" t="str">
        <f>IFERROR(VLOOKUP(DK224,Horarios!$H:$I,2,0),"")</f>
        <v/>
      </c>
      <c r="DN224" s="28" t="str">
        <f t="shared" si="164"/>
        <v>00:00</v>
      </c>
      <c r="DO224" s="29"/>
      <c r="DP224" s="27"/>
      <c r="DQ224" s="27"/>
      <c r="DR224" s="28" t="str">
        <f>IFERROR(VLOOKUP(DP224,Horarios!$H:$I,2,0),"")</f>
        <v/>
      </c>
      <c r="DS224" s="28" t="str">
        <f>IFERROR(VLOOKUP(DQ224,Horarios!$H:$I,2,0),"")</f>
        <v/>
      </c>
      <c r="DT224" s="28" t="str">
        <f t="shared" si="165"/>
        <v>00:00</v>
      </c>
      <c r="DU224" s="29"/>
      <c r="DV224" s="27"/>
      <c r="DW224" s="27"/>
      <c r="DX224" s="28" t="str">
        <f>IFERROR(VLOOKUP(DV224,Horarios!$H:$I,2,0),"")</f>
        <v/>
      </c>
      <c r="DY224" s="28" t="str">
        <f>IFERROR(VLOOKUP(DW224,Horarios!$H:$I,2,0),"")</f>
        <v/>
      </c>
      <c r="DZ224" s="28" t="str">
        <f t="shared" si="166"/>
        <v>00:00</v>
      </c>
      <c r="EA224" s="29"/>
      <c r="EB224" s="31" t="str">
        <f t="shared" si="167"/>
        <v/>
      </c>
      <c r="EC224" s="27"/>
      <c r="ED224" s="27"/>
      <c r="EE224" s="28" t="str">
        <f>IFERROR(VLOOKUP(EC224,Horarios!$H:$I,2,0),"")</f>
        <v/>
      </c>
      <c r="EF224" s="28" t="str">
        <f>IFERROR(VLOOKUP(ED224,Horarios!$H:$I,2,0),"")</f>
        <v/>
      </c>
      <c r="EG224" s="28" t="str">
        <f t="shared" si="168"/>
        <v>00:00</v>
      </c>
      <c r="EH224" s="29"/>
      <c r="EI224" s="27"/>
      <c r="EJ224" s="27"/>
      <c r="EK224" s="28" t="str">
        <f>IFERROR(VLOOKUP(EI224,Horarios!$H:$I,2,0),"")</f>
        <v/>
      </c>
      <c r="EL224" s="28" t="str">
        <f>IFERROR(VLOOKUP(EJ224,Horarios!$H:$I,2,0),"")</f>
        <v/>
      </c>
      <c r="EM224" s="28" t="str">
        <f t="shared" si="169"/>
        <v>00:00</v>
      </c>
      <c r="EN224" s="29"/>
      <c r="EO224" s="27"/>
      <c r="EP224" s="27"/>
      <c r="EQ224" s="28" t="str">
        <f>IFERROR(VLOOKUP(EO224,Horarios!$H:$I,2,0),"")</f>
        <v/>
      </c>
      <c r="ER224" s="28" t="str">
        <f>IFERROR(VLOOKUP(EP224,Horarios!$H:$I,2,0),"")</f>
        <v/>
      </c>
      <c r="ES224" s="28" t="str">
        <f t="shared" si="170"/>
        <v>00:00</v>
      </c>
      <c r="ET224" s="29"/>
      <c r="EU224" s="27"/>
      <c r="EV224" s="27"/>
      <c r="EW224" s="28" t="str">
        <f>IFERROR(VLOOKUP(EU224,Horarios!$H:$I,2,0),"")</f>
        <v/>
      </c>
      <c r="EX224" s="28" t="str">
        <f>IFERROR(VLOOKUP(EV224,Horarios!$H:$I,2,0),"")</f>
        <v/>
      </c>
      <c r="EY224" s="28" t="str">
        <f t="shared" si="171"/>
        <v>00:00</v>
      </c>
      <c r="EZ224" s="29"/>
      <c r="FA224" s="27"/>
      <c r="FB224" s="27"/>
      <c r="FC224" s="28" t="str">
        <f>IFERROR(VLOOKUP(FA224,Horarios!$H:$I,2,0),"")</f>
        <v/>
      </c>
      <c r="FD224" s="28" t="str">
        <f>IFERROR(VLOOKUP(FB224,Horarios!$H:$I,2,0),"")</f>
        <v/>
      </c>
      <c r="FE224" s="28" t="str">
        <f t="shared" si="172"/>
        <v>00:00</v>
      </c>
      <c r="FF224" s="29"/>
      <c r="FG224" s="27"/>
      <c r="FH224" s="27"/>
      <c r="FI224" s="28" t="str">
        <f>IFERROR(VLOOKUP(FG224,Horarios!$H:$I,2,0),"")</f>
        <v/>
      </c>
      <c r="FJ224" s="28" t="str">
        <f>IFERROR(VLOOKUP(FH224,Horarios!$H:$I,2,0),"")</f>
        <v/>
      </c>
      <c r="FK224" s="28" t="str">
        <f t="shared" si="173"/>
        <v>00:00</v>
      </c>
      <c r="FL224" s="29"/>
      <c r="FM224" s="27"/>
      <c r="FN224" s="27"/>
      <c r="FO224" s="28" t="str">
        <f>IFERROR(VLOOKUP(FM224,Horarios!$H:$I,2,0),"")</f>
        <v/>
      </c>
      <c r="FP224" s="28" t="str">
        <f>IFERROR(VLOOKUP(FN224,Horarios!$H:$I,2,0),"")</f>
        <v/>
      </c>
      <c r="FQ224" s="28" t="str">
        <f t="shared" si="174"/>
        <v>00:00</v>
      </c>
      <c r="FR224" s="29"/>
      <c r="FS224" s="31" t="str">
        <f t="shared" si="175"/>
        <v/>
      </c>
      <c r="FT224" s="27"/>
      <c r="FU224" s="27"/>
      <c r="FV224" s="28" t="str">
        <f>IFERROR(VLOOKUP(FT224,Horarios!$H:$I,2,0),"")</f>
        <v/>
      </c>
      <c r="FW224" s="28" t="str">
        <f>IFERROR(VLOOKUP(FU224,Horarios!$H:$I,2,0),"")</f>
        <v/>
      </c>
      <c r="FX224" s="28" t="str">
        <f t="shared" si="176"/>
        <v>00:00</v>
      </c>
      <c r="FY224" s="29"/>
      <c r="FZ224" s="27"/>
      <c r="GA224" s="27"/>
      <c r="GB224" s="28" t="str">
        <f>IFERROR(VLOOKUP(FZ224,Horarios!$H:$I,2,0),"")</f>
        <v/>
      </c>
      <c r="GC224" s="28" t="str">
        <f>IFERROR(VLOOKUP(GA224,Horarios!$H:$I,2,0),"")</f>
        <v/>
      </c>
      <c r="GD224" s="28" t="str">
        <f t="shared" si="177"/>
        <v>00:00</v>
      </c>
      <c r="GE224" s="29"/>
      <c r="GF224" s="27"/>
      <c r="GG224" s="27"/>
      <c r="GH224" s="28" t="str">
        <f>IFERROR(VLOOKUP(GF224,Horarios!$H:$I,2,0),"")</f>
        <v/>
      </c>
      <c r="GI224" s="28" t="str">
        <f>IFERROR(VLOOKUP(GG224,Horarios!$H:$I,2,0),"")</f>
        <v/>
      </c>
      <c r="GJ224" s="28" t="str">
        <f t="shared" si="178"/>
        <v>00:00</v>
      </c>
      <c r="GK224" s="29"/>
      <c r="GL224" s="27"/>
      <c r="GM224" s="27"/>
      <c r="GN224" s="28" t="str">
        <f>IFERROR(VLOOKUP(GL224,Horarios!$H:$I,2,0),"")</f>
        <v/>
      </c>
      <c r="GO224" s="28" t="str">
        <f>IFERROR(VLOOKUP(GM224,Horarios!$H:$I,2,0),"")</f>
        <v/>
      </c>
      <c r="GP224" s="28" t="str">
        <f t="shared" si="179"/>
        <v>00:00</v>
      </c>
      <c r="GQ224" s="29"/>
      <c r="GR224" s="27"/>
      <c r="GS224" s="27"/>
      <c r="GT224" s="28" t="str">
        <f>IFERROR(VLOOKUP(GR224,Horarios!$H:$I,2,0),"")</f>
        <v/>
      </c>
      <c r="GU224" s="28" t="str">
        <f>IFERROR(VLOOKUP(GS224,Horarios!$H:$I,2,0),"")</f>
        <v/>
      </c>
      <c r="GV224" s="28" t="str">
        <f t="shared" si="180"/>
        <v>00:00</v>
      </c>
      <c r="GW224" s="29"/>
      <c r="GX224" s="27"/>
      <c r="GY224" s="27"/>
      <c r="GZ224" s="28" t="str">
        <f>IFERROR(VLOOKUP(GX224,Horarios!$H:$I,2,0),"")</f>
        <v/>
      </c>
      <c r="HA224" s="28" t="str">
        <f>IFERROR(VLOOKUP(GY224,Horarios!$H:$I,2,0),"")</f>
        <v/>
      </c>
      <c r="HB224" s="28" t="str">
        <f t="shared" si="181"/>
        <v>00:00</v>
      </c>
      <c r="HC224" s="29"/>
      <c r="HD224" s="27"/>
      <c r="HE224" s="27"/>
      <c r="HF224" s="28" t="str">
        <f>IFERROR(VLOOKUP(HD224,Horarios!$H:$I,2,0),"")</f>
        <v/>
      </c>
      <c r="HG224" s="28" t="str">
        <f>IFERROR(VLOOKUP(HE224,Horarios!$H:$I,2,0),"")</f>
        <v/>
      </c>
      <c r="HH224" s="28" t="str">
        <f t="shared" si="182"/>
        <v>00:00</v>
      </c>
      <c r="HI224" s="29"/>
      <c r="HJ224" s="31" t="str">
        <f t="shared" si="183"/>
        <v/>
      </c>
      <c r="HK224" s="27"/>
      <c r="HL224" s="27"/>
      <c r="HM224" s="28" t="str">
        <f>IFERROR(VLOOKUP(HK224,Horarios!$H:$I,2,0),"")</f>
        <v/>
      </c>
      <c r="HN224" s="28" t="str">
        <f>IFERROR(VLOOKUP(HL224,Horarios!$H:$I,2,0),"")</f>
        <v/>
      </c>
      <c r="HO224" s="28" t="str">
        <f t="shared" si="184"/>
        <v>00:00</v>
      </c>
      <c r="HP224" s="29"/>
      <c r="HQ224" s="27"/>
      <c r="HR224" s="27"/>
      <c r="HS224" s="28" t="str">
        <f>IFERROR(VLOOKUP(HQ224,Horarios!$H:$I,2,0),"")</f>
        <v/>
      </c>
      <c r="HT224" s="28" t="str">
        <f>IFERROR(VLOOKUP(HR224,Horarios!$H:$I,2,0),"")</f>
        <v/>
      </c>
      <c r="HU224" s="28" t="str">
        <f t="shared" si="185"/>
        <v>00:00</v>
      </c>
      <c r="HV224" s="29"/>
      <c r="HW224" s="27"/>
      <c r="HX224" s="27"/>
      <c r="HY224" s="28" t="str">
        <f>IFERROR(VLOOKUP(HW224,Horarios!$H:$I,2,0),"")</f>
        <v/>
      </c>
      <c r="HZ224" s="28" t="str">
        <f>IFERROR(VLOOKUP(HX224,Horarios!$H:$I,2,0),"")</f>
        <v/>
      </c>
      <c r="IA224" s="28" t="str">
        <f t="shared" si="186"/>
        <v>00:00</v>
      </c>
      <c r="IB224" s="29"/>
      <c r="IC224" s="27"/>
      <c r="ID224" s="27"/>
      <c r="IE224" s="28" t="str">
        <f>IFERROR(VLOOKUP(IC224,Horarios!$H:$I,2,0),"")</f>
        <v/>
      </c>
      <c r="IF224" s="28" t="str">
        <f>IFERROR(VLOOKUP(ID224,Horarios!$H:$I,2,0),"")</f>
        <v/>
      </c>
      <c r="IG224" s="28" t="str">
        <f t="shared" si="187"/>
        <v>00:00</v>
      </c>
      <c r="IH224" s="29"/>
      <c r="II224" s="27"/>
      <c r="IJ224" s="27"/>
      <c r="IK224" s="28" t="str">
        <f>IFERROR(VLOOKUP(II224,Horarios!$H:$I,2,0),"")</f>
        <v/>
      </c>
      <c r="IL224" s="28" t="str">
        <f>IFERROR(VLOOKUP(IJ224,Horarios!$H:$I,2,0),"")</f>
        <v/>
      </c>
      <c r="IM224" s="28" t="str">
        <f t="shared" si="188"/>
        <v>00:00</v>
      </c>
      <c r="IN224" s="29"/>
      <c r="IO224" s="27"/>
      <c r="IP224" s="27"/>
      <c r="IQ224" s="28" t="str">
        <f>IFERROR(VLOOKUP(IO224,Horarios!$H:$I,2,0),"")</f>
        <v/>
      </c>
      <c r="IR224" s="28" t="str">
        <f>IFERROR(VLOOKUP(IP224,Horarios!$H:$I,2,0),"")</f>
        <v/>
      </c>
      <c r="IS224" s="28" t="str">
        <f t="shared" si="189"/>
        <v>00:00</v>
      </c>
      <c r="IT224" s="29"/>
      <c r="IU224" s="27"/>
      <c r="IV224" s="27"/>
      <c r="IW224" s="28" t="str">
        <f>IFERROR(VLOOKUP(IU224,Horarios!$H:$I,2,0),"")</f>
        <v/>
      </c>
      <c r="IX224" s="28" t="str">
        <f>IFERROR(VLOOKUP(IV224,Horarios!$H:$I,2,0),"")</f>
        <v/>
      </c>
      <c r="IY224" s="28" t="str">
        <f t="shared" si="190"/>
        <v>00:00</v>
      </c>
      <c r="IZ224" s="29"/>
      <c r="JA224" s="31" t="str">
        <f t="shared" si="191"/>
        <v/>
      </c>
    </row>
    <row r="225" spans="1:261" s="24" customFormat="1" ht="17.399999999999999" x14ac:dyDescent="0.25">
      <c r="A225" s="25"/>
      <c r="B225" s="26" t="str">
        <f>IFERROR(VLOOKUP(A225,BaseNombres!A:B,2,0),"")</f>
        <v/>
      </c>
      <c r="C225" s="26" t="str">
        <f>IFERROR(VLOOKUP(A225,BaseNombres!A:C,3,0),"")</f>
        <v/>
      </c>
      <c r="D225" s="27"/>
      <c r="E225" s="27"/>
      <c r="F225" s="28" t="str">
        <f>IFERROR(VLOOKUP(D225,Horarios!$H:$I,2,0),"")</f>
        <v/>
      </c>
      <c r="G225" s="28" t="str">
        <f>IFERROR(VLOOKUP(E225,Horarios!$H:$I,2,0),"")</f>
        <v/>
      </c>
      <c r="H225" s="28" t="str">
        <f t="shared" si="144"/>
        <v>00:00</v>
      </c>
      <c r="I225" s="29"/>
      <c r="J225" s="27"/>
      <c r="K225" s="27"/>
      <c r="L225" s="28" t="str">
        <f>IFERROR(VLOOKUP(J225,Horarios!$H:$I,2,0),"")</f>
        <v/>
      </c>
      <c r="M225" s="28" t="str">
        <f>IFERROR(VLOOKUP(K225,Horarios!$H:$I,2,0),"")</f>
        <v/>
      </c>
      <c r="N225" s="28" t="str">
        <f t="shared" si="145"/>
        <v>00:00</v>
      </c>
      <c r="O225" s="29"/>
      <c r="P225" s="27"/>
      <c r="Q225" s="27"/>
      <c r="R225" s="28" t="str">
        <f>IFERROR(VLOOKUP(P225,Horarios!$H:$I,2,0),"")</f>
        <v/>
      </c>
      <c r="S225" s="28" t="str">
        <f>IFERROR(VLOOKUP(Q225,Horarios!$H:$I,2,0),"")</f>
        <v/>
      </c>
      <c r="T225" s="28" t="str">
        <f t="shared" si="146"/>
        <v>00:00</v>
      </c>
      <c r="U225" s="29"/>
      <c r="V225" s="27"/>
      <c r="W225" s="27"/>
      <c r="X225" s="28" t="str">
        <f>IFERROR(VLOOKUP(V225,Horarios!$H:$I,2,0),"")</f>
        <v/>
      </c>
      <c r="Y225" s="28" t="str">
        <f>IFERROR(VLOOKUP(W225,Horarios!$H:$I,2,0),"")</f>
        <v/>
      </c>
      <c r="Z225" s="28" t="str">
        <f t="shared" si="147"/>
        <v>00:00</v>
      </c>
      <c r="AA225" s="29"/>
      <c r="AB225" s="27"/>
      <c r="AC225" s="27"/>
      <c r="AD225" s="28" t="str">
        <f>IFERROR(VLOOKUP(AB225,Horarios!$H:$I,2,0),"")</f>
        <v/>
      </c>
      <c r="AE225" s="28" t="str">
        <f>IFERROR(VLOOKUP(AC225,Horarios!$H:$I,2,0),"")</f>
        <v/>
      </c>
      <c r="AF225" s="28" t="str">
        <f t="shared" si="148"/>
        <v>00:00</v>
      </c>
      <c r="AG225" s="29"/>
      <c r="AH225" s="27"/>
      <c r="AI225" s="27"/>
      <c r="AJ225" s="28" t="str">
        <f>IFERROR(VLOOKUP(AH225,Horarios!$H:$I,2,0),"")</f>
        <v/>
      </c>
      <c r="AK225" s="28" t="str">
        <f>IFERROR(VLOOKUP(AI225,Horarios!$H:$I,2,0),"")</f>
        <v/>
      </c>
      <c r="AL225" s="28" t="str">
        <f t="shared" si="149"/>
        <v>00:00</v>
      </c>
      <c r="AM225" s="29"/>
      <c r="AN225" s="27"/>
      <c r="AO225" s="27"/>
      <c r="AP225" s="28" t="str">
        <f>IFERROR(VLOOKUP(AN225,Horarios!$H:$I,2,0),"")</f>
        <v/>
      </c>
      <c r="AQ225" s="28" t="str">
        <f>IFERROR(VLOOKUP(AO225,Horarios!$H:$I,2,0),"")</f>
        <v/>
      </c>
      <c r="AR225" s="28" t="str">
        <f t="shared" si="150"/>
        <v>00:00</v>
      </c>
      <c r="AS225" s="29"/>
      <c r="AT225" s="31" t="str">
        <f t="shared" si="151"/>
        <v/>
      </c>
      <c r="AU225" s="27"/>
      <c r="AV225" s="27"/>
      <c r="AW225" s="28" t="str">
        <f>IFERROR(VLOOKUP(AU225,Horarios!$H:$I,2,0),"")</f>
        <v/>
      </c>
      <c r="AX225" s="28" t="str">
        <f>IFERROR(VLOOKUP(AV225,Horarios!$H:$I,2,0),"")</f>
        <v/>
      </c>
      <c r="AY225" s="28" t="str">
        <f t="shared" si="152"/>
        <v>00:00</v>
      </c>
      <c r="AZ225" s="29"/>
      <c r="BA225" s="27"/>
      <c r="BB225" s="27"/>
      <c r="BC225" s="28" t="str">
        <f>IFERROR(VLOOKUP(BA225,Horarios!$H:$I,2,0),"")</f>
        <v/>
      </c>
      <c r="BD225" s="28" t="str">
        <f>IFERROR(VLOOKUP(BB225,Horarios!$H:$I,2,0),"")</f>
        <v/>
      </c>
      <c r="BE225" s="28" t="str">
        <f t="shared" si="153"/>
        <v>00:00</v>
      </c>
      <c r="BF225" s="29"/>
      <c r="BG225" s="27"/>
      <c r="BH225" s="27"/>
      <c r="BI225" s="28" t="str">
        <f>IFERROR(VLOOKUP(BG225,Horarios!$H:$I,2,0),"")</f>
        <v/>
      </c>
      <c r="BJ225" s="28" t="str">
        <f>IFERROR(VLOOKUP(BH225,Horarios!$H:$I,2,0),"")</f>
        <v/>
      </c>
      <c r="BK225" s="28" t="str">
        <f t="shared" si="154"/>
        <v>00:00</v>
      </c>
      <c r="BL225" s="29"/>
      <c r="BM225" s="27"/>
      <c r="BN225" s="27"/>
      <c r="BO225" s="28" t="str">
        <f>IFERROR(VLOOKUP(BM225,Horarios!$H:$I,2,0),"")</f>
        <v/>
      </c>
      <c r="BP225" s="28" t="str">
        <f>IFERROR(VLOOKUP(BN225,Horarios!$H:$I,2,0),"")</f>
        <v/>
      </c>
      <c r="BQ225" s="28" t="str">
        <f t="shared" si="155"/>
        <v>00:00</v>
      </c>
      <c r="BR225" s="29"/>
      <c r="BS225" s="27"/>
      <c r="BT225" s="27"/>
      <c r="BU225" s="28" t="str">
        <f>IFERROR(VLOOKUP(BS225,Horarios!$H:$I,2,0),"")</f>
        <v/>
      </c>
      <c r="BV225" s="28" t="str">
        <f>IFERROR(VLOOKUP(BT225,Horarios!$H:$I,2,0),"")</f>
        <v/>
      </c>
      <c r="BW225" s="28" t="str">
        <f t="shared" si="156"/>
        <v>00:00</v>
      </c>
      <c r="BX225" s="29"/>
      <c r="BY225" s="27"/>
      <c r="BZ225" s="27"/>
      <c r="CA225" s="28" t="str">
        <f>IFERROR(VLOOKUP(BY225,Horarios!$H:$I,2,0),"")</f>
        <v/>
      </c>
      <c r="CB225" s="28" t="str">
        <f>IFERROR(VLOOKUP(BZ225,Horarios!$H:$I,2,0),"")</f>
        <v/>
      </c>
      <c r="CC225" s="28" t="str">
        <f t="shared" si="157"/>
        <v>00:00</v>
      </c>
      <c r="CD225" s="29"/>
      <c r="CE225" s="27"/>
      <c r="CF225" s="27"/>
      <c r="CG225" s="28" t="str">
        <f>IFERROR(VLOOKUP(CE225,Horarios!$H:$I,2,0),"")</f>
        <v/>
      </c>
      <c r="CH225" s="28" t="str">
        <f>IFERROR(VLOOKUP(CF225,Horarios!$H:$I,2,0),"")</f>
        <v/>
      </c>
      <c r="CI225" s="28" t="str">
        <f t="shared" si="158"/>
        <v>00:00</v>
      </c>
      <c r="CJ225" s="29"/>
      <c r="CK225" s="31" t="str">
        <f t="shared" si="159"/>
        <v/>
      </c>
      <c r="CL225" s="27"/>
      <c r="CM225" s="27"/>
      <c r="CN225" s="28" t="str">
        <f>IFERROR(VLOOKUP(CL225,Horarios!$H:$I,2,0),"")</f>
        <v/>
      </c>
      <c r="CO225" s="28" t="str">
        <f>IFERROR(VLOOKUP(CM225,Horarios!$H:$I,2,0),"")</f>
        <v/>
      </c>
      <c r="CP225" s="28" t="str">
        <f t="shared" si="160"/>
        <v>00:00</v>
      </c>
      <c r="CQ225" s="29"/>
      <c r="CR225" s="27"/>
      <c r="CS225" s="27"/>
      <c r="CT225" s="28" t="str">
        <f>IFERROR(VLOOKUP(CR225,Horarios!$H:$I,2,0),"")</f>
        <v/>
      </c>
      <c r="CU225" s="28" t="str">
        <f>IFERROR(VLOOKUP(CS225,Horarios!$H:$I,2,0),"")</f>
        <v/>
      </c>
      <c r="CV225" s="28" t="str">
        <f t="shared" si="161"/>
        <v>00:00</v>
      </c>
      <c r="CW225" s="29"/>
      <c r="CX225" s="27"/>
      <c r="CY225" s="27"/>
      <c r="CZ225" s="28" t="str">
        <f>IFERROR(VLOOKUP(CX225,Horarios!$H:$I,2,0),"")</f>
        <v/>
      </c>
      <c r="DA225" s="28" t="str">
        <f>IFERROR(VLOOKUP(CY225,Horarios!$H:$I,2,0),"")</f>
        <v/>
      </c>
      <c r="DB225" s="28" t="str">
        <f t="shared" si="162"/>
        <v>00:00</v>
      </c>
      <c r="DC225" s="29"/>
      <c r="DD225" s="27"/>
      <c r="DE225" s="27"/>
      <c r="DF225" s="28" t="str">
        <f>IFERROR(VLOOKUP(DD225,Horarios!$H:$I,2,0),"")</f>
        <v/>
      </c>
      <c r="DG225" s="28" t="str">
        <f>IFERROR(VLOOKUP(DE225,Horarios!$H:$I,2,0),"")</f>
        <v/>
      </c>
      <c r="DH225" s="28" t="str">
        <f t="shared" si="163"/>
        <v>00:00</v>
      </c>
      <c r="DI225" s="29"/>
      <c r="DJ225" s="27"/>
      <c r="DK225" s="27"/>
      <c r="DL225" s="28" t="str">
        <f>IFERROR(VLOOKUP(DJ225,Horarios!$H:$I,2,0),"")</f>
        <v/>
      </c>
      <c r="DM225" s="28" t="str">
        <f>IFERROR(VLOOKUP(DK225,Horarios!$H:$I,2,0),"")</f>
        <v/>
      </c>
      <c r="DN225" s="28" t="str">
        <f t="shared" si="164"/>
        <v>00:00</v>
      </c>
      <c r="DO225" s="29"/>
      <c r="DP225" s="27"/>
      <c r="DQ225" s="27"/>
      <c r="DR225" s="28" t="str">
        <f>IFERROR(VLOOKUP(DP225,Horarios!$H:$I,2,0),"")</f>
        <v/>
      </c>
      <c r="DS225" s="28" t="str">
        <f>IFERROR(VLOOKUP(DQ225,Horarios!$H:$I,2,0),"")</f>
        <v/>
      </c>
      <c r="DT225" s="28" t="str">
        <f t="shared" si="165"/>
        <v>00:00</v>
      </c>
      <c r="DU225" s="29"/>
      <c r="DV225" s="27"/>
      <c r="DW225" s="27"/>
      <c r="DX225" s="28" t="str">
        <f>IFERROR(VLOOKUP(DV225,Horarios!$H:$I,2,0),"")</f>
        <v/>
      </c>
      <c r="DY225" s="28" t="str">
        <f>IFERROR(VLOOKUP(DW225,Horarios!$H:$I,2,0),"")</f>
        <v/>
      </c>
      <c r="DZ225" s="28" t="str">
        <f t="shared" si="166"/>
        <v>00:00</v>
      </c>
      <c r="EA225" s="29"/>
      <c r="EB225" s="31" t="str">
        <f t="shared" si="167"/>
        <v/>
      </c>
      <c r="EC225" s="27"/>
      <c r="ED225" s="27"/>
      <c r="EE225" s="28" t="str">
        <f>IFERROR(VLOOKUP(EC225,Horarios!$H:$I,2,0),"")</f>
        <v/>
      </c>
      <c r="EF225" s="28" t="str">
        <f>IFERROR(VLOOKUP(ED225,Horarios!$H:$I,2,0),"")</f>
        <v/>
      </c>
      <c r="EG225" s="28" t="str">
        <f t="shared" si="168"/>
        <v>00:00</v>
      </c>
      <c r="EH225" s="29"/>
      <c r="EI225" s="27"/>
      <c r="EJ225" s="27"/>
      <c r="EK225" s="28" t="str">
        <f>IFERROR(VLOOKUP(EI225,Horarios!$H:$I,2,0),"")</f>
        <v/>
      </c>
      <c r="EL225" s="28" t="str">
        <f>IFERROR(VLOOKUP(EJ225,Horarios!$H:$I,2,0),"")</f>
        <v/>
      </c>
      <c r="EM225" s="28" t="str">
        <f t="shared" si="169"/>
        <v>00:00</v>
      </c>
      <c r="EN225" s="29"/>
      <c r="EO225" s="27"/>
      <c r="EP225" s="27"/>
      <c r="EQ225" s="28" t="str">
        <f>IFERROR(VLOOKUP(EO225,Horarios!$H:$I,2,0),"")</f>
        <v/>
      </c>
      <c r="ER225" s="28" t="str">
        <f>IFERROR(VLOOKUP(EP225,Horarios!$H:$I,2,0),"")</f>
        <v/>
      </c>
      <c r="ES225" s="28" t="str">
        <f t="shared" si="170"/>
        <v>00:00</v>
      </c>
      <c r="ET225" s="29"/>
      <c r="EU225" s="27"/>
      <c r="EV225" s="27"/>
      <c r="EW225" s="28" t="str">
        <f>IFERROR(VLOOKUP(EU225,Horarios!$H:$I,2,0),"")</f>
        <v/>
      </c>
      <c r="EX225" s="28" t="str">
        <f>IFERROR(VLOOKUP(EV225,Horarios!$H:$I,2,0),"")</f>
        <v/>
      </c>
      <c r="EY225" s="28" t="str">
        <f t="shared" si="171"/>
        <v>00:00</v>
      </c>
      <c r="EZ225" s="29"/>
      <c r="FA225" s="27"/>
      <c r="FB225" s="27"/>
      <c r="FC225" s="28" t="str">
        <f>IFERROR(VLOOKUP(FA225,Horarios!$H:$I,2,0),"")</f>
        <v/>
      </c>
      <c r="FD225" s="28" t="str">
        <f>IFERROR(VLOOKUP(FB225,Horarios!$H:$I,2,0),"")</f>
        <v/>
      </c>
      <c r="FE225" s="28" t="str">
        <f t="shared" si="172"/>
        <v>00:00</v>
      </c>
      <c r="FF225" s="29"/>
      <c r="FG225" s="27"/>
      <c r="FH225" s="27"/>
      <c r="FI225" s="28" t="str">
        <f>IFERROR(VLOOKUP(FG225,Horarios!$H:$I,2,0),"")</f>
        <v/>
      </c>
      <c r="FJ225" s="28" t="str">
        <f>IFERROR(VLOOKUP(FH225,Horarios!$H:$I,2,0),"")</f>
        <v/>
      </c>
      <c r="FK225" s="28" t="str">
        <f t="shared" si="173"/>
        <v>00:00</v>
      </c>
      <c r="FL225" s="29"/>
      <c r="FM225" s="27"/>
      <c r="FN225" s="27"/>
      <c r="FO225" s="28" t="str">
        <f>IFERROR(VLOOKUP(FM225,Horarios!$H:$I,2,0),"")</f>
        <v/>
      </c>
      <c r="FP225" s="28" t="str">
        <f>IFERROR(VLOOKUP(FN225,Horarios!$H:$I,2,0),"")</f>
        <v/>
      </c>
      <c r="FQ225" s="28" t="str">
        <f t="shared" si="174"/>
        <v>00:00</v>
      </c>
      <c r="FR225" s="29"/>
      <c r="FS225" s="31" t="str">
        <f t="shared" si="175"/>
        <v/>
      </c>
      <c r="FT225" s="27"/>
      <c r="FU225" s="27"/>
      <c r="FV225" s="28" t="str">
        <f>IFERROR(VLOOKUP(FT225,Horarios!$H:$I,2,0),"")</f>
        <v/>
      </c>
      <c r="FW225" s="28" t="str">
        <f>IFERROR(VLOOKUP(FU225,Horarios!$H:$I,2,0),"")</f>
        <v/>
      </c>
      <c r="FX225" s="28" t="str">
        <f t="shared" si="176"/>
        <v>00:00</v>
      </c>
      <c r="FY225" s="29"/>
      <c r="FZ225" s="27"/>
      <c r="GA225" s="27"/>
      <c r="GB225" s="28" t="str">
        <f>IFERROR(VLOOKUP(FZ225,Horarios!$H:$I,2,0),"")</f>
        <v/>
      </c>
      <c r="GC225" s="28" t="str">
        <f>IFERROR(VLOOKUP(GA225,Horarios!$H:$I,2,0),"")</f>
        <v/>
      </c>
      <c r="GD225" s="28" t="str">
        <f t="shared" si="177"/>
        <v>00:00</v>
      </c>
      <c r="GE225" s="29"/>
      <c r="GF225" s="27"/>
      <c r="GG225" s="27"/>
      <c r="GH225" s="28" t="str">
        <f>IFERROR(VLOOKUP(GF225,Horarios!$H:$I,2,0),"")</f>
        <v/>
      </c>
      <c r="GI225" s="28" t="str">
        <f>IFERROR(VLOOKUP(GG225,Horarios!$H:$I,2,0),"")</f>
        <v/>
      </c>
      <c r="GJ225" s="28" t="str">
        <f t="shared" si="178"/>
        <v>00:00</v>
      </c>
      <c r="GK225" s="29"/>
      <c r="GL225" s="27"/>
      <c r="GM225" s="27"/>
      <c r="GN225" s="28" t="str">
        <f>IFERROR(VLOOKUP(GL225,Horarios!$H:$I,2,0),"")</f>
        <v/>
      </c>
      <c r="GO225" s="28" t="str">
        <f>IFERROR(VLOOKUP(GM225,Horarios!$H:$I,2,0),"")</f>
        <v/>
      </c>
      <c r="GP225" s="28" t="str">
        <f t="shared" si="179"/>
        <v>00:00</v>
      </c>
      <c r="GQ225" s="29"/>
      <c r="GR225" s="27"/>
      <c r="GS225" s="27"/>
      <c r="GT225" s="28" t="str">
        <f>IFERROR(VLOOKUP(GR225,Horarios!$H:$I,2,0),"")</f>
        <v/>
      </c>
      <c r="GU225" s="28" t="str">
        <f>IFERROR(VLOOKUP(GS225,Horarios!$H:$I,2,0),"")</f>
        <v/>
      </c>
      <c r="GV225" s="28" t="str">
        <f t="shared" si="180"/>
        <v>00:00</v>
      </c>
      <c r="GW225" s="29"/>
      <c r="GX225" s="27"/>
      <c r="GY225" s="27"/>
      <c r="GZ225" s="28" t="str">
        <f>IFERROR(VLOOKUP(GX225,Horarios!$H:$I,2,0),"")</f>
        <v/>
      </c>
      <c r="HA225" s="28" t="str">
        <f>IFERROR(VLOOKUP(GY225,Horarios!$H:$I,2,0),"")</f>
        <v/>
      </c>
      <c r="HB225" s="28" t="str">
        <f t="shared" si="181"/>
        <v>00:00</v>
      </c>
      <c r="HC225" s="29"/>
      <c r="HD225" s="27"/>
      <c r="HE225" s="27"/>
      <c r="HF225" s="28" t="str">
        <f>IFERROR(VLOOKUP(HD225,Horarios!$H:$I,2,0),"")</f>
        <v/>
      </c>
      <c r="HG225" s="28" t="str">
        <f>IFERROR(VLOOKUP(HE225,Horarios!$H:$I,2,0),"")</f>
        <v/>
      </c>
      <c r="HH225" s="28" t="str">
        <f t="shared" si="182"/>
        <v>00:00</v>
      </c>
      <c r="HI225" s="29"/>
      <c r="HJ225" s="31" t="str">
        <f t="shared" si="183"/>
        <v/>
      </c>
      <c r="HK225" s="27"/>
      <c r="HL225" s="27"/>
      <c r="HM225" s="28" t="str">
        <f>IFERROR(VLOOKUP(HK225,Horarios!$H:$I,2,0),"")</f>
        <v/>
      </c>
      <c r="HN225" s="28" t="str">
        <f>IFERROR(VLOOKUP(HL225,Horarios!$H:$I,2,0),"")</f>
        <v/>
      </c>
      <c r="HO225" s="28" t="str">
        <f t="shared" si="184"/>
        <v>00:00</v>
      </c>
      <c r="HP225" s="29"/>
      <c r="HQ225" s="27"/>
      <c r="HR225" s="27"/>
      <c r="HS225" s="28" t="str">
        <f>IFERROR(VLOOKUP(HQ225,Horarios!$H:$I,2,0),"")</f>
        <v/>
      </c>
      <c r="HT225" s="28" t="str">
        <f>IFERROR(VLOOKUP(HR225,Horarios!$H:$I,2,0),"")</f>
        <v/>
      </c>
      <c r="HU225" s="28" t="str">
        <f t="shared" si="185"/>
        <v>00:00</v>
      </c>
      <c r="HV225" s="29"/>
      <c r="HW225" s="27"/>
      <c r="HX225" s="27"/>
      <c r="HY225" s="28" t="str">
        <f>IFERROR(VLOOKUP(HW225,Horarios!$H:$I,2,0),"")</f>
        <v/>
      </c>
      <c r="HZ225" s="28" t="str">
        <f>IFERROR(VLOOKUP(HX225,Horarios!$H:$I,2,0),"")</f>
        <v/>
      </c>
      <c r="IA225" s="28" t="str">
        <f t="shared" si="186"/>
        <v>00:00</v>
      </c>
      <c r="IB225" s="29"/>
      <c r="IC225" s="27"/>
      <c r="ID225" s="27"/>
      <c r="IE225" s="28" t="str">
        <f>IFERROR(VLOOKUP(IC225,Horarios!$H:$I,2,0),"")</f>
        <v/>
      </c>
      <c r="IF225" s="28" t="str">
        <f>IFERROR(VLOOKUP(ID225,Horarios!$H:$I,2,0),"")</f>
        <v/>
      </c>
      <c r="IG225" s="28" t="str">
        <f t="shared" si="187"/>
        <v>00:00</v>
      </c>
      <c r="IH225" s="29"/>
      <c r="II225" s="27"/>
      <c r="IJ225" s="27"/>
      <c r="IK225" s="28" t="str">
        <f>IFERROR(VLOOKUP(II225,Horarios!$H:$I,2,0),"")</f>
        <v/>
      </c>
      <c r="IL225" s="28" t="str">
        <f>IFERROR(VLOOKUP(IJ225,Horarios!$H:$I,2,0),"")</f>
        <v/>
      </c>
      <c r="IM225" s="28" t="str">
        <f t="shared" si="188"/>
        <v>00:00</v>
      </c>
      <c r="IN225" s="29"/>
      <c r="IO225" s="27"/>
      <c r="IP225" s="27"/>
      <c r="IQ225" s="28" t="str">
        <f>IFERROR(VLOOKUP(IO225,Horarios!$H:$I,2,0),"")</f>
        <v/>
      </c>
      <c r="IR225" s="28" t="str">
        <f>IFERROR(VLOOKUP(IP225,Horarios!$H:$I,2,0),"")</f>
        <v/>
      </c>
      <c r="IS225" s="28" t="str">
        <f t="shared" si="189"/>
        <v>00:00</v>
      </c>
      <c r="IT225" s="29"/>
      <c r="IU225" s="27"/>
      <c r="IV225" s="27"/>
      <c r="IW225" s="28" t="str">
        <f>IFERROR(VLOOKUP(IU225,Horarios!$H:$I,2,0),"")</f>
        <v/>
      </c>
      <c r="IX225" s="28" t="str">
        <f>IFERROR(VLOOKUP(IV225,Horarios!$H:$I,2,0),"")</f>
        <v/>
      </c>
      <c r="IY225" s="28" t="str">
        <f t="shared" si="190"/>
        <v>00:00</v>
      </c>
      <c r="IZ225" s="29"/>
      <c r="JA225" s="31" t="str">
        <f t="shared" si="191"/>
        <v/>
      </c>
    </row>
    <row r="226" spans="1:261" s="24" customFormat="1" ht="17.399999999999999" x14ac:dyDescent="0.25">
      <c r="A226" s="25"/>
      <c r="B226" s="26" t="str">
        <f>IFERROR(VLOOKUP(A226,BaseNombres!A:B,2,0),"")</f>
        <v/>
      </c>
      <c r="C226" s="26" t="str">
        <f>IFERROR(VLOOKUP(A226,BaseNombres!A:C,3,0),"")</f>
        <v/>
      </c>
      <c r="D226" s="27"/>
      <c r="E226" s="27"/>
      <c r="F226" s="28" t="str">
        <f>IFERROR(VLOOKUP(D226,Horarios!$H:$I,2,0),"")</f>
        <v/>
      </c>
      <c r="G226" s="28" t="str">
        <f>IFERROR(VLOOKUP(E226,Horarios!$H:$I,2,0),"")</f>
        <v/>
      </c>
      <c r="H226" s="28" t="str">
        <f t="shared" si="144"/>
        <v>00:00</v>
      </c>
      <c r="I226" s="29"/>
      <c r="J226" s="27"/>
      <c r="K226" s="27"/>
      <c r="L226" s="28" t="str">
        <f>IFERROR(VLOOKUP(J226,Horarios!$H:$I,2,0),"")</f>
        <v/>
      </c>
      <c r="M226" s="28" t="str">
        <f>IFERROR(VLOOKUP(K226,Horarios!$H:$I,2,0),"")</f>
        <v/>
      </c>
      <c r="N226" s="28" t="str">
        <f t="shared" si="145"/>
        <v>00:00</v>
      </c>
      <c r="O226" s="29"/>
      <c r="P226" s="27"/>
      <c r="Q226" s="27"/>
      <c r="R226" s="28" t="str">
        <f>IFERROR(VLOOKUP(P226,Horarios!$H:$I,2,0),"")</f>
        <v/>
      </c>
      <c r="S226" s="28" t="str">
        <f>IFERROR(VLOOKUP(Q226,Horarios!$H:$I,2,0),"")</f>
        <v/>
      </c>
      <c r="T226" s="28" t="str">
        <f t="shared" si="146"/>
        <v>00:00</v>
      </c>
      <c r="U226" s="29"/>
      <c r="V226" s="27"/>
      <c r="W226" s="27"/>
      <c r="X226" s="28" t="str">
        <f>IFERROR(VLOOKUP(V226,Horarios!$H:$I,2,0),"")</f>
        <v/>
      </c>
      <c r="Y226" s="28" t="str">
        <f>IFERROR(VLOOKUP(W226,Horarios!$H:$I,2,0),"")</f>
        <v/>
      </c>
      <c r="Z226" s="28" t="str">
        <f t="shared" si="147"/>
        <v>00:00</v>
      </c>
      <c r="AA226" s="29"/>
      <c r="AB226" s="27"/>
      <c r="AC226" s="27"/>
      <c r="AD226" s="28" t="str">
        <f>IFERROR(VLOOKUP(AB226,Horarios!$H:$I,2,0),"")</f>
        <v/>
      </c>
      <c r="AE226" s="28" t="str">
        <f>IFERROR(VLOOKUP(AC226,Horarios!$H:$I,2,0),"")</f>
        <v/>
      </c>
      <c r="AF226" s="28" t="str">
        <f t="shared" si="148"/>
        <v>00:00</v>
      </c>
      <c r="AG226" s="29"/>
      <c r="AH226" s="27"/>
      <c r="AI226" s="27"/>
      <c r="AJ226" s="28" t="str">
        <f>IFERROR(VLOOKUP(AH226,Horarios!$H:$I,2,0),"")</f>
        <v/>
      </c>
      <c r="AK226" s="28" t="str">
        <f>IFERROR(VLOOKUP(AI226,Horarios!$H:$I,2,0),"")</f>
        <v/>
      </c>
      <c r="AL226" s="28" t="str">
        <f t="shared" si="149"/>
        <v>00:00</v>
      </c>
      <c r="AM226" s="29"/>
      <c r="AN226" s="27"/>
      <c r="AO226" s="27"/>
      <c r="AP226" s="28" t="str">
        <f>IFERROR(VLOOKUP(AN226,Horarios!$H:$I,2,0),"")</f>
        <v/>
      </c>
      <c r="AQ226" s="28" t="str">
        <f>IFERROR(VLOOKUP(AO226,Horarios!$H:$I,2,0),"")</f>
        <v/>
      </c>
      <c r="AR226" s="28" t="str">
        <f t="shared" si="150"/>
        <v>00:00</v>
      </c>
      <c r="AS226" s="29"/>
      <c r="AT226" s="31" t="str">
        <f t="shared" si="151"/>
        <v/>
      </c>
      <c r="AU226" s="27"/>
      <c r="AV226" s="27"/>
      <c r="AW226" s="28" t="str">
        <f>IFERROR(VLOOKUP(AU226,Horarios!$H:$I,2,0),"")</f>
        <v/>
      </c>
      <c r="AX226" s="28" t="str">
        <f>IFERROR(VLOOKUP(AV226,Horarios!$H:$I,2,0),"")</f>
        <v/>
      </c>
      <c r="AY226" s="28" t="str">
        <f t="shared" si="152"/>
        <v>00:00</v>
      </c>
      <c r="AZ226" s="29"/>
      <c r="BA226" s="27"/>
      <c r="BB226" s="27"/>
      <c r="BC226" s="28" t="str">
        <f>IFERROR(VLOOKUP(BA226,Horarios!$H:$I,2,0),"")</f>
        <v/>
      </c>
      <c r="BD226" s="28" t="str">
        <f>IFERROR(VLOOKUP(BB226,Horarios!$H:$I,2,0),"")</f>
        <v/>
      </c>
      <c r="BE226" s="28" t="str">
        <f t="shared" si="153"/>
        <v>00:00</v>
      </c>
      <c r="BF226" s="29"/>
      <c r="BG226" s="27"/>
      <c r="BH226" s="27"/>
      <c r="BI226" s="28" t="str">
        <f>IFERROR(VLOOKUP(BG226,Horarios!$H:$I,2,0),"")</f>
        <v/>
      </c>
      <c r="BJ226" s="28" t="str">
        <f>IFERROR(VLOOKUP(BH226,Horarios!$H:$I,2,0),"")</f>
        <v/>
      </c>
      <c r="BK226" s="28" t="str">
        <f t="shared" si="154"/>
        <v>00:00</v>
      </c>
      <c r="BL226" s="29"/>
      <c r="BM226" s="27"/>
      <c r="BN226" s="27"/>
      <c r="BO226" s="28" t="str">
        <f>IFERROR(VLOOKUP(BM226,Horarios!$H:$I,2,0),"")</f>
        <v/>
      </c>
      <c r="BP226" s="28" t="str">
        <f>IFERROR(VLOOKUP(BN226,Horarios!$H:$I,2,0),"")</f>
        <v/>
      </c>
      <c r="BQ226" s="28" t="str">
        <f t="shared" si="155"/>
        <v>00:00</v>
      </c>
      <c r="BR226" s="29"/>
      <c r="BS226" s="27"/>
      <c r="BT226" s="27"/>
      <c r="BU226" s="28" t="str">
        <f>IFERROR(VLOOKUP(BS226,Horarios!$H:$I,2,0),"")</f>
        <v/>
      </c>
      <c r="BV226" s="28" t="str">
        <f>IFERROR(VLOOKUP(BT226,Horarios!$H:$I,2,0),"")</f>
        <v/>
      </c>
      <c r="BW226" s="28" t="str">
        <f t="shared" si="156"/>
        <v>00:00</v>
      </c>
      <c r="BX226" s="29"/>
      <c r="BY226" s="27"/>
      <c r="BZ226" s="27"/>
      <c r="CA226" s="28" t="str">
        <f>IFERROR(VLOOKUP(BY226,Horarios!$H:$I,2,0),"")</f>
        <v/>
      </c>
      <c r="CB226" s="28" t="str">
        <f>IFERROR(VLOOKUP(BZ226,Horarios!$H:$I,2,0),"")</f>
        <v/>
      </c>
      <c r="CC226" s="28" t="str">
        <f t="shared" si="157"/>
        <v>00:00</v>
      </c>
      <c r="CD226" s="29"/>
      <c r="CE226" s="27"/>
      <c r="CF226" s="27"/>
      <c r="CG226" s="28" t="str">
        <f>IFERROR(VLOOKUP(CE226,Horarios!$H:$I,2,0),"")</f>
        <v/>
      </c>
      <c r="CH226" s="28" t="str">
        <f>IFERROR(VLOOKUP(CF226,Horarios!$H:$I,2,0),"")</f>
        <v/>
      </c>
      <c r="CI226" s="28" t="str">
        <f t="shared" si="158"/>
        <v>00:00</v>
      </c>
      <c r="CJ226" s="29"/>
      <c r="CK226" s="31" t="str">
        <f t="shared" si="159"/>
        <v/>
      </c>
      <c r="CL226" s="27"/>
      <c r="CM226" s="27"/>
      <c r="CN226" s="28" t="str">
        <f>IFERROR(VLOOKUP(CL226,Horarios!$H:$I,2,0),"")</f>
        <v/>
      </c>
      <c r="CO226" s="28" t="str">
        <f>IFERROR(VLOOKUP(CM226,Horarios!$H:$I,2,0),"")</f>
        <v/>
      </c>
      <c r="CP226" s="28" t="str">
        <f t="shared" si="160"/>
        <v>00:00</v>
      </c>
      <c r="CQ226" s="29"/>
      <c r="CR226" s="27"/>
      <c r="CS226" s="27"/>
      <c r="CT226" s="28" t="str">
        <f>IFERROR(VLOOKUP(CR226,Horarios!$H:$I,2,0),"")</f>
        <v/>
      </c>
      <c r="CU226" s="28" t="str">
        <f>IFERROR(VLOOKUP(CS226,Horarios!$H:$I,2,0),"")</f>
        <v/>
      </c>
      <c r="CV226" s="28" t="str">
        <f t="shared" si="161"/>
        <v>00:00</v>
      </c>
      <c r="CW226" s="29"/>
      <c r="CX226" s="27"/>
      <c r="CY226" s="27"/>
      <c r="CZ226" s="28" t="str">
        <f>IFERROR(VLOOKUP(CX226,Horarios!$H:$I,2,0),"")</f>
        <v/>
      </c>
      <c r="DA226" s="28" t="str">
        <f>IFERROR(VLOOKUP(CY226,Horarios!$H:$I,2,0),"")</f>
        <v/>
      </c>
      <c r="DB226" s="28" t="str">
        <f t="shared" si="162"/>
        <v>00:00</v>
      </c>
      <c r="DC226" s="29"/>
      <c r="DD226" s="27"/>
      <c r="DE226" s="27"/>
      <c r="DF226" s="28" t="str">
        <f>IFERROR(VLOOKUP(DD226,Horarios!$H:$I,2,0),"")</f>
        <v/>
      </c>
      <c r="DG226" s="28" t="str">
        <f>IFERROR(VLOOKUP(DE226,Horarios!$H:$I,2,0),"")</f>
        <v/>
      </c>
      <c r="DH226" s="28" t="str">
        <f t="shared" si="163"/>
        <v>00:00</v>
      </c>
      <c r="DI226" s="29"/>
      <c r="DJ226" s="27"/>
      <c r="DK226" s="27"/>
      <c r="DL226" s="28" t="str">
        <f>IFERROR(VLOOKUP(DJ226,Horarios!$H:$I,2,0),"")</f>
        <v/>
      </c>
      <c r="DM226" s="28" t="str">
        <f>IFERROR(VLOOKUP(DK226,Horarios!$H:$I,2,0),"")</f>
        <v/>
      </c>
      <c r="DN226" s="28" t="str">
        <f t="shared" si="164"/>
        <v>00:00</v>
      </c>
      <c r="DO226" s="29"/>
      <c r="DP226" s="27"/>
      <c r="DQ226" s="27"/>
      <c r="DR226" s="28" t="str">
        <f>IFERROR(VLOOKUP(DP226,Horarios!$H:$I,2,0),"")</f>
        <v/>
      </c>
      <c r="DS226" s="28" t="str">
        <f>IFERROR(VLOOKUP(DQ226,Horarios!$H:$I,2,0),"")</f>
        <v/>
      </c>
      <c r="DT226" s="28" t="str">
        <f t="shared" si="165"/>
        <v>00:00</v>
      </c>
      <c r="DU226" s="29"/>
      <c r="DV226" s="27"/>
      <c r="DW226" s="27"/>
      <c r="DX226" s="28" t="str">
        <f>IFERROR(VLOOKUP(DV226,Horarios!$H:$I,2,0),"")</f>
        <v/>
      </c>
      <c r="DY226" s="28" t="str">
        <f>IFERROR(VLOOKUP(DW226,Horarios!$H:$I,2,0),"")</f>
        <v/>
      </c>
      <c r="DZ226" s="28" t="str">
        <f t="shared" si="166"/>
        <v>00:00</v>
      </c>
      <c r="EA226" s="29"/>
      <c r="EB226" s="31" t="str">
        <f t="shared" si="167"/>
        <v/>
      </c>
      <c r="EC226" s="27"/>
      <c r="ED226" s="27"/>
      <c r="EE226" s="28" t="str">
        <f>IFERROR(VLOOKUP(EC226,Horarios!$H:$I,2,0),"")</f>
        <v/>
      </c>
      <c r="EF226" s="28" t="str">
        <f>IFERROR(VLOOKUP(ED226,Horarios!$H:$I,2,0),"")</f>
        <v/>
      </c>
      <c r="EG226" s="28" t="str">
        <f t="shared" si="168"/>
        <v>00:00</v>
      </c>
      <c r="EH226" s="29"/>
      <c r="EI226" s="27"/>
      <c r="EJ226" s="27"/>
      <c r="EK226" s="28" t="str">
        <f>IFERROR(VLOOKUP(EI226,Horarios!$H:$I,2,0),"")</f>
        <v/>
      </c>
      <c r="EL226" s="28" t="str">
        <f>IFERROR(VLOOKUP(EJ226,Horarios!$H:$I,2,0),"")</f>
        <v/>
      </c>
      <c r="EM226" s="28" t="str">
        <f t="shared" si="169"/>
        <v>00:00</v>
      </c>
      <c r="EN226" s="29"/>
      <c r="EO226" s="27"/>
      <c r="EP226" s="27"/>
      <c r="EQ226" s="28" t="str">
        <f>IFERROR(VLOOKUP(EO226,Horarios!$H:$I,2,0),"")</f>
        <v/>
      </c>
      <c r="ER226" s="28" t="str">
        <f>IFERROR(VLOOKUP(EP226,Horarios!$H:$I,2,0),"")</f>
        <v/>
      </c>
      <c r="ES226" s="28" t="str">
        <f t="shared" si="170"/>
        <v>00:00</v>
      </c>
      <c r="ET226" s="29"/>
      <c r="EU226" s="27"/>
      <c r="EV226" s="27"/>
      <c r="EW226" s="28" t="str">
        <f>IFERROR(VLOOKUP(EU226,Horarios!$H:$I,2,0),"")</f>
        <v/>
      </c>
      <c r="EX226" s="28" t="str">
        <f>IFERROR(VLOOKUP(EV226,Horarios!$H:$I,2,0),"")</f>
        <v/>
      </c>
      <c r="EY226" s="28" t="str">
        <f t="shared" si="171"/>
        <v>00:00</v>
      </c>
      <c r="EZ226" s="29"/>
      <c r="FA226" s="27"/>
      <c r="FB226" s="27"/>
      <c r="FC226" s="28" t="str">
        <f>IFERROR(VLOOKUP(FA226,Horarios!$H:$I,2,0),"")</f>
        <v/>
      </c>
      <c r="FD226" s="28" t="str">
        <f>IFERROR(VLOOKUP(FB226,Horarios!$H:$I,2,0),"")</f>
        <v/>
      </c>
      <c r="FE226" s="28" t="str">
        <f t="shared" si="172"/>
        <v>00:00</v>
      </c>
      <c r="FF226" s="29"/>
      <c r="FG226" s="27"/>
      <c r="FH226" s="27"/>
      <c r="FI226" s="28" t="str">
        <f>IFERROR(VLOOKUP(FG226,Horarios!$H:$I,2,0),"")</f>
        <v/>
      </c>
      <c r="FJ226" s="28" t="str">
        <f>IFERROR(VLOOKUP(FH226,Horarios!$H:$I,2,0),"")</f>
        <v/>
      </c>
      <c r="FK226" s="28" t="str">
        <f t="shared" si="173"/>
        <v>00:00</v>
      </c>
      <c r="FL226" s="29"/>
      <c r="FM226" s="27"/>
      <c r="FN226" s="27"/>
      <c r="FO226" s="28" t="str">
        <f>IFERROR(VLOOKUP(FM226,Horarios!$H:$I,2,0),"")</f>
        <v/>
      </c>
      <c r="FP226" s="28" t="str">
        <f>IFERROR(VLOOKUP(FN226,Horarios!$H:$I,2,0),"")</f>
        <v/>
      </c>
      <c r="FQ226" s="28" t="str">
        <f t="shared" si="174"/>
        <v>00:00</v>
      </c>
      <c r="FR226" s="29"/>
      <c r="FS226" s="31" t="str">
        <f t="shared" si="175"/>
        <v/>
      </c>
      <c r="FT226" s="27"/>
      <c r="FU226" s="27"/>
      <c r="FV226" s="28" t="str">
        <f>IFERROR(VLOOKUP(FT226,Horarios!$H:$I,2,0),"")</f>
        <v/>
      </c>
      <c r="FW226" s="28" t="str">
        <f>IFERROR(VLOOKUP(FU226,Horarios!$H:$I,2,0),"")</f>
        <v/>
      </c>
      <c r="FX226" s="28" t="str">
        <f t="shared" si="176"/>
        <v>00:00</v>
      </c>
      <c r="FY226" s="29"/>
      <c r="FZ226" s="27"/>
      <c r="GA226" s="27"/>
      <c r="GB226" s="28" t="str">
        <f>IFERROR(VLOOKUP(FZ226,Horarios!$H:$I,2,0),"")</f>
        <v/>
      </c>
      <c r="GC226" s="28" t="str">
        <f>IFERROR(VLOOKUP(GA226,Horarios!$H:$I,2,0),"")</f>
        <v/>
      </c>
      <c r="GD226" s="28" t="str">
        <f t="shared" si="177"/>
        <v>00:00</v>
      </c>
      <c r="GE226" s="29"/>
      <c r="GF226" s="27"/>
      <c r="GG226" s="27"/>
      <c r="GH226" s="28" t="str">
        <f>IFERROR(VLOOKUP(GF226,Horarios!$H:$I,2,0),"")</f>
        <v/>
      </c>
      <c r="GI226" s="28" t="str">
        <f>IFERROR(VLOOKUP(GG226,Horarios!$H:$I,2,0),"")</f>
        <v/>
      </c>
      <c r="GJ226" s="28" t="str">
        <f t="shared" si="178"/>
        <v>00:00</v>
      </c>
      <c r="GK226" s="29"/>
      <c r="GL226" s="27"/>
      <c r="GM226" s="27"/>
      <c r="GN226" s="28" t="str">
        <f>IFERROR(VLOOKUP(GL226,Horarios!$H:$I,2,0),"")</f>
        <v/>
      </c>
      <c r="GO226" s="28" t="str">
        <f>IFERROR(VLOOKUP(GM226,Horarios!$H:$I,2,0),"")</f>
        <v/>
      </c>
      <c r="GP226" s="28" t="str">
        <f t="shared" si="179"/>
        <v>00:00</v>
      </c>
      <c r="GQ226" s="29"/>
      <c r="GR226" s="27"/>
      <c r="GS226" s="27"/>
      <c r="GT226" s="28" t="str">
        <f>IFERROR(VLOOKUP(GR226,Horarios!$H:$I,2,0),"")</f>
        <v/>
      </c>
      <c r="GU226" s="28" t="str">
        <f>IFERROR(VLOOKUP(GS226,Horarios!$H:$I,2,0),"")</f>
        <v/>
      </c>
      <c r="GV226" s="28" t="str">
        <f t="shared" si="180"/>
        <v>00:00</v>
      </c>
      <c r="GW226" s="29"/>
      <c r="GX226" s="27"/>
      <c r="GY226" s="27"/>
      <c r="GZ226" s="28" t="str">
        <f>IFERROR(VLOOKUP(GX226,Horarios!$H:$I,2,0),"")</f>
        <v/>
      </c>
      <c r="HA226" s="28" t="str">
        <f>IFERROR(VLOOKUP(GY226,Horarios!$H:$I,2,0),"")</f>
        <v/>
      </c>
      <c r="HB226" s="28" t="str">
        <f t="shared" si="181"/>
        <v>00:00</v>
      </c>
      <c r="HC226" s="29"/>
      <c r="HD226" s="27"/>
      <c r="HE226" s="27"/>
      <c r="HF226" s="28" t="str">
        <f>IFERROR(VLOOKUP(HD226,Horarios!$H:$I,2,0),"")</f>
        <v/>
      </c>
      <c r="HG226" s="28" t="str">
        <f>IFERROR(VLOOKUP(HE226,Horarios!$H:$I,2,0),"")</f>
        <v/>
      </c>
      <c r="HH226" s="28" t="str">
        <f t="shared" si="182"/>
        <v>00:00</v>
      </c>
      <c r="HI226" s="29"/>
      <c r="HJ226" s="31" t="str">
        <f t="shared" si="183"/>
        <v/>
      </c>
      <c r="HK226" s="27"/>
      <c r="HL226" s="27"/>
      <c r="HM226" s="28" t="str">
        <f>IFERROR(VLOOKUP(HK226,Horarios!$H:$I,2,0),"")</f>
        <v/>
      </c>
      <c r="HN226" s="28" t="str">
        <f>IFERROR(VLOOKUP(HL226,Horarios!$H:$I,2,0),"")</f>
        <v/>
      </c>
      <c r="HO226" s="28" t="str">
        <f t="shared" si="184"/>
        <v>00:00</v>
      </c>
      <c r="HP226" s="29"/>
      <c r="HQ226" s="27"/>
      <c r="HR226" s="27"/>
      <c r="HS226" s="28" t="str">
        <f>IFERROR(VLOOKUP(HQ226,Horarios!$H:$I,2,0),"")</f>
        <v/>
      </c>
      <c r="HT226" s="28" t="str">
        <f>IFERROR(VLOOKUP(HR226,Horarios!$H:$I,2,0),"")</f>
        <v/>
      </c>
      <c r="HU226" s="28" t="str">
        <f t="shared" si="185"/>
        <v>00:00</v>
      </c>
      <c r="HV226" s="29"/>
      <c r="HW226" s="27"/>
      <c r="HX226" s="27"/>
      <c r="HY226" s="28" t="str">
        <f>IFERROR(VLOOKUP(HW226,Horarios!$H:$I,2,0),"")</f>
        <v/>
      </c>
      <c r="HZ226" s="28" t="str">
        <f>IFERROR(VLOOKUP(HX226,Horarios!$H:$I,2,0),"")</f>
        <v/>
      </c>
      <c r="IA226" s="28" t="str">
        <f t="shared" si="186"/>
        <v>00:00</v>
      </c>
      <c r="IB226" s="29"/>
      <c r="IC226" s="27"/>
      <c r="ID226" s="27"/>
      <c r="IE226" s="28" t="str">
        <f>IFERROR(VLOOKUP(IC226,Horarios!$H:$I,2,0),"")</f>
        <v/>
      </c>
      <c r="IF226" s="28" t="str">
        <f>IFERROR(VLOOKUP(ID226,Horarios!$H:$I,2,0),"")</f>
        <v/>
      </c>
      <c r="IG226" s="28" t="str">
        <f t="shared" si="187"/>
        <v>00:00</v>
      </c>
      <c r="IH226" s="29"/>
      <c r="II226" s="27"/>
      <c r="IJ226" s="27"/>
      <c r="IK226" s="28" t="str">
        <f>IFERROR(VLOOKUP(II226,Horarios!$H:$I,2,0),"")</f>
        <v/>
      </c>
      <c r="IL226" s="28" t="str">
        <f>IFERROR(VLOOKUP(IJ226,Horarios!$H:$I,2,0),"")</f>
        <v/>
      </c>
      <c r="IM226" s="28" t="str">
        <f t="shared" si="188"/>
        <v>00:00</v>
      </c>
      <c r="IN226" s="29"/>
      <c r="IO226" s="27"/>
      <c r="IP226" s="27"/>
      <c r="IQ226" s="28" t="str">
        <f>IFERROR(VLOOKUP(IO226,Horarios!$H:$I,2,0),"")</f>
        <v/>
      </c>
      <c r="IR226" s="28" t="str">
        <f>IFERROR(VLOOKUP(IP226,Horarios!$H:$I,2,0),"")</f>
        <v/>
      </c>
      <c r="IS226" s="28" t="str">
        <f t="shared" si="189"/>
        <v>00:00</v>
      </c>
      <c r="IT226" s="29"/>
      <c r="IU226" s="27"/>
      <c r="IV226" s="27"/>
      <c r="IW226" s="28" t="str">
        <f>IFERROR(VLOOKUP(IU226,Horarios!$H:$I,2,0),"")</f>
        <v/>
      </c>
      <c r="IX226" s="28" t="str">
        <f>IFERROR(VLOOKUP(IV226,Horarios!$H:$I,2,0),"")</f>
        <v/>
      </c>
      <c r="IY226" s="28" t="str">
        <f t="shared" si="190"/>
        <v>00:00</v>
      </c>
      <c r="IZ226" s="29"/>
      <c r="JA226" s="31" t="str">
        <f t="shared" si="191"/>
        <v/>
      </c>
    </row>
    <row r="227" spans="1:261" s="24" customFormat="1" ht="17.399999999999999" x14ac:dyDescent="0.25">
      <c r="A227" s="25"/>
      <c r="B227" s="26" t="str">
        <f>IFERROR(VLOOKUP(A227,BaseNombres!A:B,2,0),"")</f>
        <v/>
      </c>
      <c r="C227" s="26" t="str">
        <f>IFERROR(VLOOKUP(A227,BaseNombres!A:C,3,0),"")</f>
        <v/>
      </c>
      <c r="D227" s="27"/>
      <c r="E227" s="27"/>
      <c r="F227" s="28" t="str">
        <f>IFERROR(VLOOKUP(D227,Horarios!$H:$I,2,0),"")</f>
        <v/>
      </c>
      <c r="G227" s="28" t="str">
        <f>IFERROR(VLOOKUP(E227,Horarios!$H:$I,2,0),"")</f>
        <v/>
      </c>
      <c r="H227" s="28" t="str">
        <f t="shared" si="144"/>
        <v>00:00</v>
      </c>
      <c r="I227" s="29"/>
      <c r="J227" s="27"/>
      <c r="K227" s="27"/>
      <c r="L227" s="28" t="str">
        <f>IFERROR(VLOOKUP(J227,Horarios!$H:$I,2,0),"")</f>
        <v/>
      </c>
      <c r="M227" s="28" t="str">
        <f>IFERROR(VLOOKUP(K227,Horarios!$H:$I,2,0),"")</f>
        <v/>
      </c>
      <c r="N227" s="28" t="str">
        <f t="shared" si="145"/>
        <v>00:00</v>
      </c>
      <c r="O227" s="29"/>
      <c r="P227" s="27"/>
      <c r="Q227" s="27"/>
      <c r="R227" s="28" t="str">
        <f>IFERROR(VLOOKUP(P227,Horarios!$H:$I,2,0),"")</f>
        <v/>
      </c>
      <c r="S227" s="28" t="str">
        <f>IFERROR(VLOOKUP(Q227,Horarios!$H:$I,2,0),"")</f>
        <v/>
      </c>
      <c r="T227" s="28" t="str">
        <f t="shared" si="146"/>
        <v>00:00</v>
      </c>
      <c r="U227" s="29"/>
      <c r="V227" s="27"/>
      <c r="W227" s="27"/>
      <c r="X227" s="28" t="str">
        <f>IFERROR(VLOOKUP(V227,Horarios!$H:$I,2,0),"")</f>
        <v/>
      </c>
      <c r="Y227" s="28" t="str">
        <f>IFERROR(VLOOKUP(W227,Horarios!$H:$I,2,0),"")</f>
        <v/>
      </c>
      <c r="Z227" s="28" t="str">
        <f t="shared" si="147"/>
        <v>00:00</v>
      </c>
      <c r="AA227" s="29"/>
      <c r="AB227" s="27"/>
      <c r="AC227" s="27"/>
      <c r="AD227" s="28" t="str">
        <f>IFERROR(VLOOKUP(AB227,Horarios!$H:$I,2,0),"")</f>
        <v/>
      </c>
      <c r="AE227" s="28" t="str">
        <f>IFERROR(VLOOKUP(AC227,Horarios!$H:$I,2,0),"")</f>
        <v/>
      </c>
      <c r="AF227" s="28" t="str">
        <f t="shared" si="148"/>
        <v>00:00</v>
      </c>
      <c r="AG227" s="29"/>
      <c r="AH227" s="27"/>
      <c r="AI227" s="27"/>
      <c r="AJ227" s="28" t="str">
        <f>IFERROR(VLOOKUP(AH227,Horarios!$H:$I,2,0),"")</f>
        <v/>
      </c>
      <c r="AK227" s="28" t="str">
        <f>IFERROR(VLOOKUP(AI227,Horarios!$H:$I,2,0),"")</f>
        <v/>
      </c>
      <c r="AL227" s="28" t="str">
        <f t="shared" si="149"/>
        <v>00:00</v>
      </c>
      <c r="AM227" s="29"/>
      <c r="AN227" s="27"/>
      <c r="AO227" s="27"/>
      <c r="AP227" s="28" t="str">
        <f>IFERROR(VLOOKUP(AN227,Horarios!$H:$I,2,0),"")</f>
        <v/>
      </c>
      <c r="AQ227" s="28" t="str">
        <f>IFERROR(VLOOKUP(AO227,Horarios!$H:$I,2,0),"")</f>
        <v/>
      </c>
      <c r="AR227" s="28" t="str">
        <f t="shared" si="150"/>
        <v>00:00</v>
      </c>
      <c r="AS227" s="29"/>
      <c r="AT227" s="31" t="str">
        <f t="shared" si="151"/>
        <v/>
      </c>
      <c r="AU227" s="27"/>
      <c r="AV227" s="27"/>
      <c r="AW227" s="28" t="str">
        <f>IFERROR(VLOOKUP(AU227,Horarios!$H:$I,2,0),"")</f>
        <v/>
      </c>
      <c r="AX227" s="28" t="str">
        <f>IFERROR(VLOOKUP(AV227,Horarios!$H:$I,2,0),"")</f>
        <v/>
      </c>
      <c r="AY227" s="28" t="str">
        <f t="shared" si="152"/>
        <v>00:00</v>
      </c>
      <c r="AZ227" s="29"/>
      <c r="BA227" s="27"/>
      <c r="BB227" s="27"/>
      <c r="BC227" s="28" t="str">
        <f>IFERROR(VLOOKUP(BA227,Horarios!$H:$I,2,0),"")</f>
        <v/>
      </c>
      <c r="BD227" s="28" t="str">
        <f>IFERROR(VLOOKUP(BB227,Horarios!$H:$I,2,0),"")</f>
        <v/>
      </c>
      <c r="BE227" s="28" t="str">
        <f t="shared" si="153"/>
        <v>00:00</v>
      </c>
      <c r="BF227" s="29"/>
      <c r="BG227" s="27"/>
      <c r="BH227" s="27"/>
      <c r="BI227" s="28" t="str">
        <f>IFERROR(VLOOKUP(BG227,Horarios!$H:$I,2,0),"")</f>
        <v/>
      </c>
      <c r="BJ227" s="28" t="str">
        <f>IFERROR(VLOOKUP(BH227,Horarios!$H:$I,2,0),"")</f>
        <v/>
      </c>
      <c r="BK227" s="28" t="str">
        <f t="shared" si="154"/>
        <v>00:00</v>
      </c>
      <c r="BL227" s="29"/>
      <c r="BM227" s="27"/>
      <c r="BN227" s="27"/>
      <c r="BO227" s="28" t="str">
        <f>IFERROR(VLOOKUP(BM227,Horarios!$H:$I,2,0),"")</f>
        <v/>
      </c>
      <c r="BP227" s="28" t="str">
        <f>IFERROR(VLOOKUP(BN227,Horarios!$H:$I,2,0),"")</f>
        <v/>
      </c>
      <c r="BQ227" s="28" t="str">
        <f t="shared" si="155"/>
        <v>00:00</v>
      </c>
      <c r="BR227" s="29"/>
      <c r="BS227" s="27"/>
      <c r="BT227" s="27"/>
      <c r="BU227" s="28" t="str">
        <f>IFERROR(VLOOKUP(BS227,Horarios!$H:$I,2,0),"")</f>
        <v/>
      </c>
      <c r="BV227" s="28" t="str">
        <f>IFERROR(VLOOKUP(BT227,Horarios!$H:$I,2,0),"")</f>
        <v/>
      </c>
      <c r="BW227" s="28" t="str">
        <f t="shared" si="156"/>
        <v>00:00</v>
      </c>
      <c r="BX227" s="29"/>
      <c r="BY227" s="27"/>
      <c r="BZ227" s="27"/>
      <c r="CA227" s="28" t="str">
        <f>IFERROR(VLOOKUP(BY227,Horarios!$H:$I,2,0),"")</f>
        <v/>
      </c>
      <c r="CB227" s="28" t="str">
        <f>IFERROR(VLOOKUP(BZ227,Horarios!$H:$I,2,0),"")</f>
        <v/>
      </c>
      <c r="CC227" s="28" t="str">
        <f t="shared" si="157"/>
        <v>00:00</v>
      </c>
      <c r="CD227" s="29"/>
      <c r="CE227" s="27"/>
      <c r="CF227" s="27"/>
      <c r="CG227" s="28" t="str">
        <f>IFERROR(VLOOKUP(CE227,Horarios!$H:$I,2,0),"")</f>
        <v/>
      </c>
      <c r="CH227" s="28" t="str">
        <f>IFERROR(VLOOKUP(CF227,Horarios!$H:$I,2,0),"")</f>
        <v/>
      </c>
      <c r="CI227" s="28" t="str">
        <f t="shared" si="158"/>
        <v>00:00</v>
      </c>
      <c r="CJ227" s="29"/>
      <c r="CK227" s="31" t="str">
        <f t="shared" si="159"/>
        <v/>
      </c>
      <c r="CL227" s="27"/>
      <c r="CM227" s="27"/>
      <c r="CN227" s="28" t="str">
        <f>IFERROR(VLOOKUP(CL227,Horarios!$H:$I,2,0),"")</f>
        <v/>
      </c>
      <c r="CO227" s="28" t="str">
        <f>IFERROR(VLOOKUP(CM227,Horarios!$H:$I,2,0),"")</f>
        <v/>
      </c>
      <c r="CP227" s="28" t="str">
        <f t="shared" si="160"/>
        <v>00:00</v>
      </c>
      <c r="CQ227" s="29"/>
      <c r="CR227" s="27"/>
      <c r="CS227" s="27"/>
      <c r="CT227" s="28" t="str">
        <f>IFERROR(VLOOKUP(CR227,Horarios!$H:$I,2,0),"")</f>
        <v/>
      </c>
      <c r="CU227" s="28" t="str">
        <f>IFERROR(VLOOKUP(CS227,Horarios!$H:$I,2,0),"")</f>
        <v/>
      </c>
      <c r="CV227" s="28" t="str">
        <f t="shared" si="161"/>
        <v>00:00</v>
      </c>
      <c r="CW227" s="29"/>
      <c r="CX227" s="27"/>
      <c r="CY227" s="27"/>
      <c r="CZ227" s="28" t="str">
        <f>IFERROR(VLOOKUP(CX227,Horarios!$H:$I,2,0),"")</f>
        <v/>
      </c>
      <c r="DA227" s="28" t="str">
        <f>IFERROR(VLOOKUP(CY227,Horarios!$H:$I,2,0),"")</f>
        <v/>
      </c>
      <c r="DB227" s="28" t="str">
        <f t="shared" si="162"/>
        <v>00:00</v>
      </c>
      <c r="DC227" s="29"/>
      <c r="DD227" s="27"/>
      <c r="DE227" s="27"/>
      <c r="DF227" s="28" t="str">
        <f>IFERROR(VLOOKUP(DD227,Horarios!$H:$I,2,0),"")</f>
        <v/>
      </c>
      <c r="DG227" s="28" t="str">
        <f>IFERROR(VLOOKUP(DE227,Horarios!$H:$I,2,0),"")</f>
        <v/>
      </c>
      <c r="DH227" s="28" t="str">
        <f t="shared" si="163"/>
        <v>00:00</v>
      </c>
      <c r="DI227" s="29"/>
      <c r="DJ227" s="27"/>
      <c r="DK227" s="27"/>
      <c r="DL227" s="28" t="str">
        <f>IFERROR(VLOOKUP(DJ227,Horarios!$H:$I,2,0),"")</f>
        <v/>
      </c>
      <c r="DM227" s="28" t="str">
        <f>IFERROR(VLOOKUP(DK227,Horarios!$H:$I,2,0),"")</f>
        <v/>
      </c>
      <c r="DN227" s="28" t="str">
        <f t="shared" si="164"/>
        <v>00:00</v>
      </c>
      <c r="DO227" s="29"/>
      <c r="DP227" s="27"/>
      <c r="DQ227" s="27"/>
      <c r="DR227" s="28" t="str">
        <f>IFERROR(VLOOKUP(DP227,Horarios!$H:$I,2,0),"")</f>
        <v/>
      </c>
      <c r="DS227" s="28" t="str">
        <f>IFERROR(VLOOKUP(DQ227,Horarios!$H:$I,2,0),"")</f>
        <v/>
      </c>
      <c r="DT227" s="28" t="str">
        <f t="shared" si="165"/>
        <v>00:00</v>
      </c>
      <c r="DU227" s="29"/>
      <c r="DV227" s="27"/>
      <c r="DW227" s="27"/>
      <c r="DX227" s="28" t="str">
        <f>IFERROR(VLOOKUP(DV227,Horarios!$H:$I,2,0),"")</f>
        <v/>
      </c>
      <c r="DY227" s="28" t="str">
        <f>IFERROR(VLOOKUP(DW227,Horarios!$H:$I,2,0),"")</f>
        <v/>
      </c>
      <c r="DZ227" s="28" t="str">
        <f t="shared" si="166"/>
        <v>00:00</v>
      </c>
      <c r="EA227" s="29"/>
      <c r="EB227" s="31" t="str">
        <f t="shared" si="167"/>
        <v/>
      </c>
      <c r="EC227" s="27"/>
      <c r="ED227" s="27"/>
      <c r="EE227" s="28" t="str">
        <f>IFERROR(VLOOKUP(EC227,Horarios!$H:$I,2,0),"")</f>
        <v/>
      </c>
      <c r="EF227" s="28" t="str">
        <f>IFERROR(VLOOKUP(ED227,Horarios!$H:$I,2,0),"")</f>
        <v/>
      </c>
      <c r="EG227" s="28" t="str">
        <f t="shared" si="168"/>
        <v>00:00</v>
      </c>
      <c r="EH227" s="29"/>
      <c r="EI227" s="27"/>
      <c r="EJ227" s="27"/>
      <c r="EK227" s="28" t="str">
        <f>IFERROR(VLOOKUP(EI227,Horarios!$H:$I,2,0),"")</f>
        <v/>
      </c>
      <c r="EL227" s="28" t="str">
        <f>IFERROR(VLOOKUP(EJ227,Horarios!$H:$I,2,0),"")</f>
        <v/>
      </c>
      <c r="EM227" s="28" t="str">
        <f t="shared" si="169"/>
        <v>00:00</v>
      </c>
      <c r="EN227" s="29"/>
      <c r="EO227" s="27"/>
      <c r="EP227" s="27"/>
      <c r="EQ227" s="28" t="str">
        <f>IFERROR(VLOOKUP(EO227,Horarios!$H:$I,2,0),"")</f>
        <v/>
      </c>
      <c r="ER227" s="28" t="str">
        <f>IFERROR(VLOOKUP(EP227,Horarios!$H:$I,2,0),"")</f>
        <v/>
      </c>
      <c r="ES227" s="28" t="str">
        <f t="shared" si="170"/>
        <v>00:00</v>
      </c>
      <c r="ET227" s="29"/>
      <c r="EU227" s="27"/>
      <c r="EV227" s="27"/>
      <c r="EW227" s="28" t="str">
        <f>IFERROR(VLOOKUP(EU227,Horarios!$H:$I,2,0),"")</f>
        <v/>
      </c>
      <c r="EX227" s="28" t="str">
        <f>IFERROR(VLOOKUP(EV227,Horarios!$H:$I,2,0),"")</f>
        <v/>
      </c>
      <c r="EY227" s="28" t="str">
        <f t="shared" si="171"/>
        <v>00:00</v>
      </c>
      <c r="EZ227" s="29"/>
      <c r="FA227" s="27"/>
      <c r="FB227" s="27"/>
      <c r="FC227" s="28" t="str">
        <f>IFERROR(VLOOKUP(FA227,Horarios!$H:$I,2,0),"")</f>
        <v/>
      </c>
      <c r="FD227" s="28" t="str">
        <f>IFERROR(VLOOKUP(FB227,Horarios!$H:$I,2,0),"")</f>
        <v/>
      </c>
      <c r="FE227" s="28" t="str">
        <f t="shared" si="172"/>
        <v>00:00</v>
      </c>
      <c r="FF227" s="29"/>
      <c r="FG227" s="27"/>
      <c r="FH227" s="27"/>
      <c r="FI227" s="28" t="str">
        <f>IFERROR(VLOOKUP(FG227,Horarios!$H:$I,2,0),"")</f>
        <v/>
      </c>
      <c r="FJ227" s="28" t="str">
        <f>IFERROR(VLOOKUP(FH227,Horarios!$H:$I,2,0),"")</f>
        <v/>
      </c>
      <c r="FK227" s="28" t="str">
        <f t="shared" si="173"/>
        <v>00:00</v>
      </c>
      <c r="FL227" s="29"/>
      <c r="FM227" s="27"/>
      <c r="FN227" s="27"/>
      <c r="FO227" s="28" t="str">
        <f>IFERROR(VLOOKUP(FM227,Horarios!$H:$I,2,0),"")</f>
        <v/>
      </c>
      <c r="FP227" s="28" t="str">
        <f>IFERROR(VLOOKUP(FN227,Horarios!$H:$I,2,0),"")</f>
        <v/>
      </c>
      <c r="FQ227" s="28" t="str">
        <f t="shared" si="174"/>
        <v>00:00</v>
      </c>
      <c r="FR227" s="29"/>
      <c r="FS227" s="31" t="str">
        <f t="shared" si="175"/>
        <v/>
      </c>
      <c r="FT227" s="27"/>
      <c r="FU227" s="27"/>
      <c r="FV227" s="28" t="str">
        <f>IFERROR(VLOOKUP(FT227,Horarios!$H:$I,2,0),"")</f>
        <v/>
      </c>
      <c r="FW227" s="28" t="str">
        <f>IFERROR(VLOOKUP(FU227,Horarios!$H:$I,2,0),"")</f>
        <v/>
      </c>
      <c r="FX227" s="28" t="str">
        <f t="shared" si="176"/>
        <v>00:00</v>
      </c>
      <c r="FY227" s="29"/>
      <c r="FZ227" s="27"/>
      <c r="GA227" s="27"/>
      <c r="GB227" s="28" t="str">
        <f>IFERROR(VLOOKUP(FZ227,Horarios!$H:$I,2,0),"")</f>
        <v/>
      </c>
      <c r="GC227" s="28" t="str">
        <f>IFERROR(VLOOKUP(GA227,Horarios!$H:$I,2,0),"")</f>
        <v/>
      </c>
      <c r="GD227" s="28" t="str">
        <f t="shared" si="177"/>
        <v>00:00</v>
      </c>
      <c r="GE227" s="29"/>
      <c r="GF227" s="27"/>
      <c r="GG227" s="27"/>
      <c r="GH227" s="28" t="str">
        <f>IFERROR(VLOOKUP(GF227,Horarios!$H:$I,2,0),"")</f>
        <v/>
      </c>
      <c r="GI227" s="28" t="str">
        <f>IFERROR(VLOOKUP(GG227,Horarios!$H:$I,2,0),"")</f>
        <v/>
      </c>
      <c r="GJ227" s="28" t="str">
        <f t="shared" si="178"/>
        <v>00:00</v>
      </c>
      <c r="GK227" s="29"/>
      <c r="GL227" s="27"/>
      <c r="GM227" s="27"/>
      <c r="GN227" s="28" t="str">
        <f>IFERROR(VLOOKUP(GL227,Horarios!$H:$I,2,0),"")</f>
        <v/>
      </c>
      <c r="GO227" s="28" t="str">
        <f>IFERROR(VLOOKUP(GM227,Horarios!$H:$I,2,0),"")</f>
        <v/>
      </c>
      <c r="GP227" s="28" t="str">
        <f t="shared" si="179"/>
        <v>00:00</v>
      </c>
      <c r="GQ227" s="29"/>
      <c r="GR227" s="27"/>
      <c r="GS227" s="27"/>
      <c r="GT227" s="28" t="str">
        <f>IFERROR(VLOOKUP(GR227,Horarios!$H:$I,2,0),"")</f>
        <v/>
      </c>
      <c r="GU227" s="28" t="str">
        <f>IFERROR(VLOOKUP(GS227,Horarios!$H:$I,2,0),"")</f>
        <v/>
      </c>
      <c r="GV227" s="28" t="str">
        <f t="shared" si="180"/>
        <v>00:00</v>
      </c>
      <c r="GW227" s="29"/>
      <c r="GX227" s="27"/>
      <c r="GY227" s="27"/>
      <c r="GZ227" s="28" t="str">
        <f>IFERROR(VLOOKUP(GX227,Horarios!$H:$I,2,0),"")</f>
        <v/>
      </c>
      <c r="HA227" s="28" t="str">
        <f>IFERROR(VLOOKUP(GY227,Horarios!$H:$I,2,0),"")</f>
        <v/>
      </c>
      <c r="HB227" s="28" t="str">
        <f t="shared" si="181"/>
        <v>00:00</v>
      </c>
      <c r="HC227" s="29"/>
      <c r="HD227" s="27"/>
      <c r="HE227" s="27"/>
      <c r="HF227" s="28" t="str">
        <f>IFERROR(VLOOKUP(HD227,Horarios!$H:$I,2,0),"")</f>
        <v/>
      </c>
      <c r="HG227" s="28" t="str">
        <f>IFERROR(VLOOKUP(HE227,Horarios!$H:$I,2,0),"")</f>
        <v/>
      </c>
      <c r="HH227" s="28" t="str">
        <f t="shared" si="182"/>
        <v>00:00</v>
      </c>
      <c r="HI227" s="29"/>
      <c r="HJ227" s="31" t="str">
        <f t="shared" si="183"/>
        <v/>
      </c>
      <c r="HK227" s="27"/>
      <c r="HL227" s="27"/>
      <c r="HM227" s="28" t="str">
        <f>IFERROR(VLOOKUP(HK227,Horarios!$H:$I,2,0),"")</f>
        <v/>
      </c>
      <c r="HN227" s="28" t="str">
        <f>IFERROR(VLOOKUP(HL227,Horarios!$H:$I,2,0),"")</f>
        <v/>
      </c>
      <c r="HO227" s="28" t="str">
        <f t="shared" si="184"/>
        <v>00:00</v>
      </c>
      <c r="HP227" s="29"/>
      <c r="HQ227" s="27"/>
      <c r="HR227" s="27"/>
      <c r="HS227" s="28" t="str">
        <f>IFERROR(VLOOKUP(HQ227,Horarios!$H:$I,2,0),"")</f>
        <v/>
      </c>
      <c r="HT227" s="28" t="str">
        <f>IFERROR(VLOOKUP(HR227,Horarios!$H:$I,2,0),"")</f>
        <v/>
      </c>
      <c r="HU227" s="28" t="str">
        <f t="shared" si="185"/>
        <v>00:00</v>
      </c>
      <c r="HV227" s="29"/>
      <c r="HW227" s="27"/>
      <c r="HX227" s="27"/>
      <c r="HY227" s="28" t="str">
        <f>IFERROR(VLOOKUP(HW227,Horarios!$H:$I,2,0),"")</f>
        <v/>
      </c>
      <c r="HZ227" s="28" t="str">
        <f>IFERROR(VLOOKUP(HX227,Horarios!$H:$I,2,0),"")</f>
        <v/>
      </c>
      <c r="IA227" s="28" t="str">
        <f t="shared" si="186"/>
        <v>00:00</v>
      </c>
      <c r="IB227" s="29"/>
      <c r="IC227" s="27"/>
      <c r="ID227" s="27"/>
      <c r="IE227" s="28" t="str">
        <f>IFERROR(VLOOKUP(IC227,Horarios!$H:$I,2,0),"")</f>
        <v/>
      </c>
      <c r="IF227" s="28" t="str">
        <f>IFERROR(VLOOKUP(ID227,Horarios!$H:$I,2,0),"")</f>
        <v/>
      </c>
      <c r="IG227" s="28" t="str">
        <f t="shared" si="187"/>
        <v>00:00</v>
      </c>
      <c r="IH227" s="29"/>
      <c r="II227" s="27"/>
      <c r="IJ227" s="27"/>
      <c r="IK227" s="28" t="str">
        <f>IFERROR(VLOOKUP(II227,Horarios!$H:$I,2,0),"")</f>
        <v/>
      </c>
      <c r="IL227" s="28" t="str">
        <f>IFERROR(VLOOKUP(IJ227,Horarios!$H:$I,2,0),"")</f>
        <v/>
      </c>
      <c r="IM227" s="28" t="str">
        <f t="shared" si="188"/>
        <v>00:00</v>
      </c>
      <c r="IN227" s="29"/>
      <c r="IO227" s="27"/>
      <c r="IP227" s="27"/>
      <c r="IQ227" s="28" t="str">
        <f>IFERROR(VLOOKUP(IO227,Horarios!$H:$I,2,0),"")</f>
        <v/>
      </c>
      <c r="IR227" s="28" t="str">
        <f>IFERROR(VLOOKUP(IP227,Horarios!$H:$I,2,0),"")</f>
        <v/>
      </c>
      <c r="IS227" s="28" t="str">
        <f t="shared" si="189"/>
        <v>00:00</v>
      </c>
      <c r="IT227" s="29"/>
      <c r="IU227" s="27"/>
      <c r="IV227" s="27"/>
      <c r="IW227" s="28" t="str">
        <f>IFERROR(VLOOKUP(IU227,Horarios!$H:$I,2,0),"")</f>
        <v/>
      </c>
      <c r="IX227" s="28" t="str">
        <f>IFERROR(VLOOKUP(IV227,Horarios!$H:$I,2,0),"")</f>
        <v/>
      </c>
      <c r="IY227" s="28" t="str">
        <f t="shared" si="190"/>
        <v>00:00</v>
      </c>
      <c r="IZ227" s="29"/>
      <c r="JA227" s="31" t="str">
        <f t="shared" si="191"/>
        <v/>
      </c>
    </row>
    <row r="228" spans="1:261" s="24" customFormat="1" ht="17.399999999999999" x14ac:dyDescent="0.25">
      <c r="A228" s="25"/>
      <c r="B228" s="26" t="str">
        <f>IFERROR(VLOOKUP(A228,BaseNombres!A:B,2,0),"")</f>
        <v/>
      </c>
      <c r="C228" s="26" t="str">
        <f>IFERROR(VLOOKUP(A228,BaseNombres!A:C,3,0),"")</f>
        <v/>
      </c>
      <c r="D228" s="27"/>
      <c r="E228" s="27"/>
      <c r="F228" s="28" t="str">
        <f>IFERROR(VLOOKUP(D228,Horarios!$H:$I,2,0),"")</f>
        <v/>
      </c>
      <c r="G228" s="28" t="str">
        <f>IFERROR(VLOOKUP(E228,Horarios!$H:$I,2,0),"")</f>
        <v/>
      </c>
      <c r="H228" s="28" t="str">
        <f t="shared" si="144"/>
        <v>00:00</v>
      </c>
      <c r="I228" s="29"/>
      <c r="J228" s="27"/>
      <c r="K228" s="27"/>
      <c r="L228" s="28" t="str">
        <f>IFERROR(VLOOKUP(J228,Horarios!$H:$I,2,0),"")</f>
        <v/>
      </c>
      <c r="M228" s="28" t="str">
        <f>IFERROR(VLOOKUP(K228,Horarios!$H:$I,2,0),"")</f>
        <v/>
      </c>
      <c r="N228" s="28" t="str">
        <f t="shared" si="145"/>
        <v>00:00</v>
      </c>
      <c r="O228" s="29"/>
      <c r="P228" s="27"/>
      <c r="Q228" s="27"/>
      <c r="R228" s="28" t="str">
        <f>IFERROR(VLOOKUP(P228,Horarios!$H:$I,2,0),"")</f>
        <v/>
      </c>
      <c r="S228" s="28" t="str">
        <f>IFERROR(VLOOKUP(Q228,Horarios!$H:$I,2,0),"")</f>
        <v/>
      </c>
      <c r="T228" s="28" t="str">
        <f t="shared" si="146"/>
        <v>00:00</v>
      </c>
      <c r="U228" s="29"/>
      <c r="V228" s="27"/>
      <c r="W228" s="27"/>
      <c r="X228" s="28" t="str">
        <f>IFERROR(VLOOKUP(V228,Horarios!$H:$I,2,0),"")</f>
        <v/>
      </c>
      <c r="Y228" s="28" t="str">
        <f>IFERROR(VLOOKUP(W228,Horarios!$H:$I,2,0),"")</f>
        <v/>
      </c>
      <c r="Z228" s="28" t="str">
        <f t="shared" si="147"/>
        <v>00:00</v>
      </c>
      <c r="AA228" s="29"/>
      <c r="AB228" s="27"/>
      <c r="AC228" s="27"/>
      <c r="AD228" s="28" t="str">
        <f>IFERROR(VLOOKUP(AB228,Horarios!$H:$I,2,0),"")</f>
        <v/>
      </c>
      <c r="AE228" s="28" t="str">
        <f>IFERROR(VLOOKUP(AC228,Horarios!$H:$I,2,0),"")</f>
        <v/>
      </c>
      <c r="AF228" s="28" t="str">
        <f t="shared" si="148"/>
        <v>00:00</v>
      </c>
      <c r="AG228" s="29"/>
      <c r="AH228" s="27"/>
      <c r="AI228" s="27"/>
      <c r="AJ228" s="28" t="str">
        <f>IFERROR(VLOOKUP(AH228,Horarios!$H:$I,2,0),"")</f>
        <v/>
      </c>
      <c r="AK228" s="28" t="str">
        <f>IFERROR(VLOOKUP(AI228,Horarios!$H:$I,2,0),"")</f>
        <v/>
      </c>
      <c r="AL228" s="28" t="str">
        <f t="shared" si="149"/>
        <v>00:00</v>
      </c>
      <c r="AM228" s="29"/>
      <c r="AN228" s="27"/>
      <c r="AO228" s="27"/>
      <c r="AP228" s="28" t="str">
        <f>IFERROR(VLOOKUP(AN228,Horarios!$H:$I,2,0),"")</f>
        <v/>
      </c>
      <c r="AQ228" s="28" t="str">
        <f>IFERROR(VLOOKUP(AO228,Horarios!$H:$I,2,0),"")</f>
        <v/>
      </c>
      <c r="AR228" s="28" t="str">
        <f t="shared" si="150"/>
        <v>00:00</v>
      </c>
      <c r="AS228" s="29"/>
      <c r="AT228" s="31" t="str">
        <f t="shared" si="151"/>
        <v/>
      </c>
      <c r="AU228" s="27"/>
      <c r="AV228" s="27"/>
      <c r="AW228" s="28" t="str">
        <f>IFERROR(VLOOKUP(AU228,Horarios!$H:$I,2,0),"")</f>
        <v/>
      </c>
      <c r="AX228" s="28" t="str">
        <f>IFERROR(VLOOKUP(AV228,Horarios!$H:$I,2,0),"")</f>
        <v/>
      </c>
      <c r="AY228" s="28" t="str">
        <f t="shared" si="152"/>
        <v>00:00</v>
      </c>
      <c r="AZ228" s="29"/>
      <c r="BA228" s="27"/>
      <c r="BB228" s="27"/>
      <c r="BC228" s="28" t="str">
        <f>IFERROR(VLOOKUP(BA228,Horarios!$H:$I,2,0),"")</f>
        <v/>
      </c>
      <c r="BD228" s="28" t="str">
        <f>IFERROR(VLOOKUP(BB228,Horarios!$H:$I,2,0),"")</f>
        <v/>
      </c>
      <c r="BE228" s="28" t="str">
        <f t="shared" si="153"/>
        <v>00:00</v>
      </c>
      <c r="BF228" s="29"/>
      <c r="BG228" s="27"/>
      <c r="BH228" s="27"/>
      <c r="BI228" s="28" t="str">
        <f>IFERROR(VLOOKUP(BG228,Horarios!$H:$I,2,0),"")</f>
        <v/>
      </c>
      <c r="BJ228" s="28" t="str">
        <f>IFERROR(VLOOKUP(BH228,Horarios!$H:$I,2,0),"")</f>
        <v/>
      </c>
      <c r="BK228" s="28" t="str">
        <f t="shared" si="154"/>
        <v>00:00</v>
      </c>
      <c r="BL228" s="29"/>
      <c r="BM228" s="27"/>
      <c r="BN228" s="27"/>
      <c r="BO228" s="28" t="str">
        <f>IFERROR(VLOOKUP(BM228,Horarios!$H:$I,2,0),"")</f>
        <v/>
      </c>
      <c r="BP228" s="28" t="str">
        <f>IFERROR(VLOOKUP(BN228,Horarios!$H:$I,2,0),"")</f>
        <v/>
      </c>
      <c r="BQ228" s="28" t="str">
        <f t="shared" si="155"/>
        <v>00:00</v>
      </c>
      <c r="BR228" s="29"/>
      <c r="BS228" s="27"/>
      <c r="BT228" s="27"/>
      <c r="BU228" s="28" t="str">
        <f>IFERROR(VLOOKUP(BS228,Horarios!$H:$I,2,0),"")</f>
        <v/>
      </c>
      <c r="BV228" s="28" t="str">
        <f>IFERROR(VLOOKUP(BT228,Horarios!$H:$I,2,0),"")</f>
        <v/>
      </c>
      <c r="BW228" s="28" t="str">
        <f t="shared" si="156"/>
        <v>00:00</v>
      </c>
      <c r="BX228" s="29"/>
      <c r="BY228" s="27"/>
      <c r="BZ228" s="27"/>
      <c r="CA228" s="28" t="str">
        <f>IFERROR(VLOOKUP(BY228,Horarios!$H:$I,2,0),"")</f>
        <v/>
      </c>
      <c r="CB228" s="28" t="str">
        <f>IFERROR(VLOOKUP(BZ228,Horarios!$H:$I,2,0),"")</f>
        <v/>
      </c>
      <c r="CC228" s="28" t="str">
        <f t="shared" si="157"/>
        <v>00:00</v>
      </c>
      <c r="CD228" s="29"/>
      <c r="CE228" s="27"/>
      <c r="CF228" s="27"/>
      <c r="CG228" s="28" t="str">
        <f>IFERROR(VLOOKUP(CE228,Horarios!$H:$I,2,0),"")</f>
        <v/>
      </c>
      <c r="CH228" s="28" t="str">
        <f>IFERROR(VLOOKUP(CF228,Horarios!$H:$I,2,0),"")</f>
        <v/>
      </c>
      <c r="CI228" s="28" t="str">
        <f t="shared" si="158"/>
        <v>00:00</v>
      </c>
      <c r="CJ228" s="29"/>
      <c r="CK228" s="31" t="str">
        <f t="shared" si="159"/>
        <v/>
      </c>
      <c r="CL228" s="27"/>
      <c r="CM228" s="27"/>
      <c r="CN228" s="28" t="str">
        <f>IFERROR(VLOOKUP(CL228,Horarios!$H:$I,2,0),"")</f>
        <v/>
      </c>
      <c r="CO228" s="28" t="str">
        <f>IFERROR(VLOOKUP(CM228,Horarios!$H:$I,2,0),"")</f>
        <v/>
      </c>
      <c r="CP228" s="28" t="str">
        <f t="shared" si="160"/>
        <v>00:00</v>
      </c>
      <c r="CQ228" s="29"/>
      <c r="CR228" s="27"/>
      <c r="CS228" s="27"/>
      <c r="CT228" s="28" t="str">
        <f>IFERROR(VLOOKUP(CR228,Horarios!$H:$I,2,0),"")</f>
        <v/>
      </c>
      <c r="CU228" s="28" t="str">
        <f>IFERROR(VLOOKUP(CS228,Horarios!$H:$I,2,0),"")</f>
        <v/>
      </c>
      <c r="CV228" s="28" t="str">
        <f t="shared" si="161"/>
        <v>00:00</v>
      </c>
      <c r="CW228" s="29"/>
      <c r="CX228" s="27"/>
      <c r="CY228" s="27"/>
      <c r="CZ228" s="28" t="str">
        <f>IFERROR(VLOOKUP(CX228,Horarios!$H:$I,2,0),"")</f>
        <v/>
      </c>
      <c r="DA228" s="28" t="str">
        <f>IFERROR(VLOOKUP(CY228,Horarios!$H:$I,2,0),"")</f>
        <v/>
      </c>
      <c r="DB228" s="28" t="str">
        <f t="shared" si="162"/>
        <v>00:00</v>
      </c>
      <c r="DC228" s="29"/>
      <c r="DD228" s="27"/>
      <c r="DE228" s="27"/>
      <c r="DF228" s="28" t="str">
        <f>IFERROR(VLOOKUP(DD228,Horarios!$H:$I,2,0),"")</f>
        <v/>
      </c>
      <c r="DG228" s="28" t="str">
        <f>IFERROR(VLOOKUP(DE228,Horarios!$H:$I,2,0),"")</f>
        <v/>
      </c>
      <c r="DH228" s="28" t="str">
        <f t="shared" si="163"/>
        <v>00:00</v>
      </c>
      <c r="DI228" s="29"/>
      <c r="DJ228" s="27"/>
      <c r="DK228" s="27"/>
      <c r="DL228" s="28" t="str">
        <f>IFERROR(VLOOKUP(DJ228,Horarios!$H:$I,2,0),"")</f>
        <v/>
      </c>
      <c r="DM228" s="28" t="str">
        <f>IFERROR(VLOOKUP(DK228,Horarios!$H:$I,2,0),"")</f>
        <v/>
      </c>
      <c r="DN228" s="28" t="str">
        <f t="shared" si="164"/>
        <v>00:00</v>
      </c>
      <c r="DO228" s="29"/>
      <c r="DP228" s="27"/>
      <c r="DQ228" s="27"/>
      <c r="DR228" s="28" t="str">
        <f>IFERROR(VLOOKUP(DP228,Horarios!$H:$I,2,0),"")</f>
        <v/>
      </c>
      <c r="DS228" s="28" t="str">
        <f>IFERROR(VLOOKUP(DQ228,Horarios!$H:$I,2,0),"")</f>
        <v/>
      </c>
      <c r="DT228" s="28" t="str">
        <f t="shared" si="165"/>
        <v>00:00</v>
      </c>
      <c r="DU228" s="29"/>
      <c r="DV228" s="27"/>
      <c r="DW228" s="27"/>
      <c r="DX228" s="28" t="str">
        <f>IFERROR(VLOOKUP(DV228,Horarios!$H:$I,2,0),"")</f>
        <v/>
      </c>
      <c r="DY228" s="28" t="str">
        <f>IFERROR(VLOOKUP(DW228,Horarios!$H:$I,2,0),"")</f>
        <v/>
      </c>
      <c r="DZ228" s="28" t="str">
        <f t="shared" si="166"/>
        <v>00:00</v>
      </c>
      <c r="EA228" s="29"/>
      <c r="EB228" s="31" t="str">
        <f t="shared" si="167"/>
        <v/>
      </c>
      <c r="EC228" s="27"/>
      <c r="ED228" s="27"/>
      <c r="EE228" s="28" t="str">
        <f>IFERROR(VLOOKUP(EC228,Horarios!$H:$I,2,0),"")</f>
        <v/>
      </c>
      <c r="EF228" s="28" t="str">
        <f>IFERROR(VLOOKUP(ED228,Horarios!$H:$I,2,0),"")</f>
        <v/>
      </c>
      <c r="EG228" s="28" t="str">
        <f t="shared" si="168"/>
        <v>00:00</v>
      </c>
      <c r="EH228" s="29"/>
      <c r="EI228" s="27"/>
      <c r="EJ228" s="27"/>
      <c r="EK228" s="28" t="str">
        <f>IFERROR(VLOOKUP(EI228,Horarios!$H:$I,2,0),"")</f>
        <v/>
      </c>
      <c r="EL228" s="28" t="str">
        <f>IFERROR(VLOOKUP(EJ228,Horarios!$H:$I,2,0),"")</f>
        <v/>
      </c>
      <c r="EM228" s="28" t="str">
        <f t="shared" si="169"/>
        <v>00:00</v>
      </c>
      <c r="EN228" s="29"/>
      <c r="EO228" s="27"/>
      <c r="EP228" s="27"/>
      <c r="EQ228" s="28" t="str">
        <f>IFERROR(VLOOKUP(EO228,Horarios!$H:$I,2,0),"")</f>
        <v/>
      </c>
      <c r="ER228" s="28" t="str">
        <f>IFERROR(VLOOKUP(EP228,Horarios!$H:$I,2,0),"")</f>
        <v/>
      </c>
      <c r="ES228" s="28" t="str">
        <f t="shared" si="170"/>
        <v>00:00</v>
      </c>
      <c r="ET228" s="29"/>
      <c r="EU228" s="27"/>
      <c r="EV228" s="27"/>
      <c r="EW228" s="28" t="str">
        <f>IFERROR(VLOOKUP(EU228,Horarios!$H:$I,2,0),"")</f>
        <v/>
      </c>
      <c r="EX228" s="28" t="str">
        <f>IFERROR(VLOOKUP(EV228,Horarios!$H:$I,2,0),"")</f>
        <v/>
      </c>
      <c r="EY228" s="28" t="str">
        <f t="shared" si="171"/>
        <v>00:00</v>
      </c>
      <c r="EZ228" s="29"/>
      <c r="FA228" s="27"/>
      <c r="FB228" s="27"/>
      <c r="FC228" s="28" t="str">
        <f>IFERROR(VLOOKUP(FA228,Horarios!$H:$I,2,0),"")</f>
        <v/>
      </c>
      <c r="FD228" s="28" t="str">
        <f>IFERROR(VLOOKUP(FB228,Horarios!$H:$I,2,0),"")</f>
        <v/>
      </c>
      <c r="FE228" s="28" t="str">
        <f t="shared" si="172"/>
        <v>00:00</v>
      </c>
      <c r="FF228" s="29"/>
      <c r="FG228" s="27"/>
      <c r="FH228" s="27"/>
      <c r="FI228" s="28" t="str">
        <f>IFERROR(VLOOKUP(FG228,Horarios!$H:$I,2,0),"")</f>
        <v/>
      </c>
      <c r="FJ228" s="28" t="str">
        <f>IFERROR(VLOOKUP(FH228,Horarios!$H:$I,2,0),"")</f>
        <v/>
      </c>
      <c r="FK228" s="28" t="str">
        <f t="shared" si="173"/>
        <v>00:00</v>
      </c>
      <c r="FL228" s="29"/>
      <c r="FM228" s="27"/>
      <c r="FN228" s="27"/>
      <c r="FO228" s="28" t="str">
        <f>IFERROR(VLOOKUP(FM228,Horarios!$H:$I,2,0),"")</f>
        <v/>
      </c>
      <c r="FP228" s="28" t="str">
        <f>IFERROR(VLOOKUP(FN228,Horarios!$H:$I,2,0),"")</f>
        <v/>
      </c>
      <c r="FQ228" s="28" t="str">
        <f t="shared" si="174"/>
        <v>00:00</v>
      </c>
      <c r="FR228" s="29"/>
      <c r="FS228" s="31" t="str">
        <f t="shared" si="175"/>
        <v/>
      </c>
      <c r="FT228" s="27"/>
      <c r="FU228" s="27"/>
      <c r="FV228" s="28" t="str">
        <f>IFERROR(VLOOKUP(FT228,Horarios!$H:$I,2,0),"")</f>
        <v/>
      </c>
      <c r="FW228" s="28" t="str">
        <f>IFERROR(VLOOKUP(FU228,Horarios!$H:$I,2,0),"")</f>
        <v/>
      </c>
      <c r="FX228" s="28" t="str">
        <f t="shared" si="176"/>
        <v>00:00</v>
      </c>
      <c r="FY228" s="29"/>
      <c r="FZ228" s="27"/>
      <c r="GA228" s="27"/>
      <c r="GB228" s="28" t="str">
        <f>IFERROR(VLOOKUP(FZ228,Horarios!$H:$I,2,0),"")</f>
        <v/>
      </c>
      <c r="GC228" s="28" t="str">
        <f>IFERROR(VLOOKUP(GA228,Horarios!$H:$I,2,0),"")</f>
        <v/>
      </c>
      <c r="GD228" s="28" t="str">
        <f t="shared" si="177"/>
        <v>00:00</v>
      </c>
      <c r="GE228" s="29"/>
      <c r="GF228" s="27"/>
      <c r="GG228" s="27"/>
      <c r="GH228" s="28" t="str">
        <f>IFERROR(VLOOKUP(GF228,Horarios!$H:$I,2,0),"")</f>
        <v/>
      </c>
      <c r="GI228" s="28" t="str">
        <f>IFERROR(VLOOKUP(GG228,Horarios!$H:$I,2,0),"")</f>
        <v/>
      </c>
      <c r="GJ228" s="28" t="str">
        <f t="shared" si="178"/>
        <v>00:00</v>
      </c>
      <c r="GK228" s="29"/>
      <c r="GL228" s="27"/>
      <c r="GM228" s="27"/>
      <c r="GN228" s="28" t="str">
        <f>IFERROR(VLOOKUP(GL228,Horarios!$H:$I,2,0),"")</f>
        <v/>
      </c>
      <c r="GO228" s="28" t="str">
        <f>IFERROR(VLOOKUP(GM228,Horarios!$H:$I,2,0),"")</f>
        <v/>
      </c>
      <c r="GP228" s="28" t="str">
        <f t="shared" si="179"/>
        <v>00:00</v>
      </c>
      <c r="GQ228" s="29"/>
      <c r="GR228" s="27"/>
      <c r="GS228" s="27"/>
      <c r="GT228" s="28" t="str">
        <f>IFERROR(VLOOKUP(GR228,Horarios!$H:$I,2,0),"")</f>
        <v/>
      </c>
      <c r="GU228" s="28" t="str">
        <f>IFERROR(VLOOKUP(GS228,Horarios!$H:$I,2,0),"")</f>
        <v/>
      </c>
      <c r="GV228" s="28" t="str">
        <f t="shared" si="180"/>
        <v>00:00</v>
      </c>
      <c r="GW228" s="29"/>
      <c r="GX228" s="27"/>
      <c r="GY228" s="27"/>
      <c r="GZ228" s="28" t="str">
        <f>IFERROR(VLOOKUP(GX228,Horarios!$H:$I,2,0),"")</f>
        <v/>
      </c>
      <c r="HA228" s="28" t="str">
        <f>IFERROR(VLOOKUP(GY228,Horarios!$H:$I,2,0),"")</f>
        <v/>
      </c>
      <c r="HB228" s="28" t="str">
        <f t="shared" si="181"/>
        <v>00:00</v>
      </c>
      <c r="HC228" s="29"/>
      <c r="HD228" s="27"/>
      <c r="HE228" s="27"/>
      <c r="HF228" s="28" t="str">
        <f>IFERROR(VLOOKUP(HD228,Horarios!$H:$I,2,0),"")</f>
        <v/>
      </c>
      <c r="HG228" s="28" t="str">
        <f>IFERROR(VLOOKUP(HE228,Horarios!$H:$I,2,0),"")</f>
        <v/>
      </c>
      <c r="HH228" s="28" t="str">
        <f t="shared" si="182"/>
        <v>00:00</v>
      </c>
      <c r="HI228" s="29"/>
      <c r="HJ228" s="31" t="str">
        <f t="shared" si="183"/>
        <v/>
      </c>
      <c r="HK228" s="27"/>
      <c r="HL228" s="27"/>
      <c r="HM228" s="28" t="str">
        <f>IFERROR(VLOOKUP(HK228,Horarios!$H:$I,2,0),"")</f>
        <v/>
      </c>
      <c r="HN228" s="28" t="str">
        <f>IFERROR(VLOOKUP(HL228,Horarios!$H:$I,2,0),"")</f>
        <v/>
      </c>
      <c r="HO228" s="28" t="str">
        <f t="shared" si="184"/>
        <v>00:00</v>
      </c>
      <c r="HP228" s="29"/>
      <c r="HQ228" s="27"/>
      <c r="HR228" s="27"/>
      <c r="HS228" s="28" t="str">
        <f>IFERROR(VLOOKUP(HQ228,Horarios!$H:$I,2,0),"")</f>
        <v/>
      </c>
      <c r="HT228" s="28" t="str">
        <f>IFERROR(VLOOKUP(HR228,Horarios!$H:$I,2,0),"")</f>
        <v/>
      </c>
      <c r="HU228" s="28" t="str">
        <f t="shared" si="185"/>
        <v>00:00</v>
      </c>
      <c r="HV228" s="29"/>
      <c r="HW228" s="27"/>
      <c r="HX228" s="27"/>
      <c r="HY228" s="28" t="str">
        <f>IFERROR(VLOOKUP(HW228,Horarios!$H:$I,2,0),"")</f>
        <v/>
      </c>
      <c r="HZ228" s="28" t="str">
        <f>IFERROR(VLOOKUP(HX228,Horarios!$H:$I,2,0),"")</f>
        <v/>
      </c>
      <c r="IA228" s="28" t="str">
        <f t="shared" si="186"/>
        <v>00:00</v>
      </c>
      <c r="IB228" s="29"/>
      <c r="IC228" s="27"/>
      <c r="ID228" s="27"/>
      <c r="IE228" s="28" t="str">
        <f>IFERROR(VLOOKUP(IC228,Horarios!$H:$I,2,0),"")</f>
        <v/>
      </c>
      <c r="IF228" s="28" t="str">
        <f>IFERROR(VLOOKUP(ID228,Horarios!$H:$I,2,0),"")</f>
        <v/>
      </c>
      <c r="IG228" s="28" t="str">
        <f t="shared" si="187"/>
        <v>00:00</v>
      </c>
      <c r="IH228" s="29"/>
      <c r="II228" s="27"/>
      <c r="IJ228" s="27"/>
      <c r="IK228" s="28" t="str">
        <f>IFERROR(VLOOKUP(II228,Horarios!$H:$I,2,0),"")</f>
        <v/>
      </c>
      <c r="IL228" s="28" t="str">
        <f>IFERROR(VLOOKUP(IJ228,Horarios!$H:$I,2,0),"")</f>
        <v/>
      </c>
      <c r="IM228" s="28" t="str">
        <f t="shared" si="188"/>
        <v>00:00</v>
      </c>
      <c r="IN228" s="29"/>
      <c r="IO228" s="27"/>
      <c r="IP228" s="27"/>
      <c r="IQ228" s="28" t="str">
        <f>IFERROR(VLOOKUP(IO228,Horarios!$H:$I,2,0),"")</f>
        <v/>
      </c>
      <c r="IR228" s="28" t="str">
        <f>IFERROR(VLOOKUP(IP228,Horarios!$H:$I,2,0),"")</f>
        <v/>
      </c>
      <c r="IS228" s="28" t="str">
        <f t="shared" si="189"/>
        <v>00:00</v>
      </c>
      <c r="IT228" s="29"/>
      <c r="IU228" s="27"/>
      <c r="IV228" s="27"/>
      <c r="IW228" s="28" t="str">
        <f>IFERROR(VLOOKUP(IU228,Horarios!$H:$I,2,0),"")</f>
        <v/>
      </c>
      <c r="IX228" s="28" t="str">
        <f>IFERROR(VLOOKUP(IV228,Horarios!$H:$I,2,0),"")</f>
        <v/>
      </c>
      <c r="IY228" s="28" t="str">
        <f t="shared" si="190"/>
        <v>00:00</v>
      </c>
      <c r="IZ228" s="29"/>
      <c r="JA228" s="31" t="str">
        <f t="shared" si="191"/>
        <v/>
      </c>
    </row>
    <row r="229" spans="1:261" s="24" customFormat="1" ht="17.399999999999999" x14ac:dyDescent="0.25">
      <c r="A229" s="25"/>
      <c r="B229" s="26" t="str">
        <f>IFERROR(VLOOKUP(A229,BaseNombres!A:B,2,0),"")</f>
        <v/>
      </c>
      <c r="C229" s="26" t="str">
        <f>IFERROR(VLOOKUP(A229,BaseNombres!A:C,3,0),"")</f>
        <v/>
      </c>
      <c r="D229" s="27"/>
      <c r="E229" s="27"/>
      <c r="F229" s="28" t="str">
        <f>IFERROR(VLOOKUP(D229,Horarios!$H:$I,2,0),"")</f>
        <v/>
      </c>
      <c r="G229" s="28" t="str">
        <f>IFERROR(VLOOKUP(E229,Horarios!$H:$I,2,0),"")</f>
        <v/>
      </c>
      <c r="H229" s="28" t="str">
        <f t="shared" si="144"/>
        <v>00:00</v>
      </c>
      <c r="I229" s="29"/>
      <c r="J229" s="27"/>
      <c r="K229" s="27"/>
      <c r="L229" s="28" t="str">
        <f>IFERROR(VLOOKUP(J229,Horarios!$H:$I,2,0),"")</f>
        <v/>
      </c>
      <c r="M229" s="28" t="str">
        <f>IFERROR(VLOOKUP(K229,Horarios!$H:$I,2,0),"")</f>
        <v/>
      </c>
      <c r="N229" s="28" t="str">
        <f t="shared" si="145"/>
        <v>00:00</v>
      </c>
      <c r="O229" s="29"/>
      <c r="P229" s="27"/>
      <c r="Q229" s="27"/>
      <c r="R229" s="28" t="str">
        <f>IFERROR(VLOOKUP(P229,Horarios!$H:$I,2,0),"")</f>
        <v/>
      </c>
      <c r="S229" s="28" t="str">
        <f>IFERROR(VLOOKUP(Q229,Horarios!$H:$I,2,0),"")</f>
        <v/>
      </c>
      <c r="T229" s="28" t="str">
        <f t="shared" si="146"/>
        <v>00:00</v>
      </c>
      <c r="U229" s="29"/>
      <c r="V229" s="27"/>
      <c r="W229" s="27"/>
      <c r="X229" s="28" t="str">
        <f>IFERROR(VLOOKUP(V229,Horarios!$H:$I,2,0),"")</f>
        <v/>
      </c>
      <c r="Y229" s="28" t="str">
        <f>IFERROR(VLOOKUP(W229,Horarios!$H:$I,2,0),"")</f>
        <v/>
      </c>
      <c r="Z229" s="28" t="str">
        <f t="shared" si="147"/>
        <v>00:00</v>
      </c>
      <c r="AA229" s="29"/>
      <c r="AB229" s="27"/>
      <c r="AC229" s="27"/>
      <c r="AD229" s="28" t="str">
        <f>IFERROR(VLOOKUP(AB229,Horarios!$H:$I,2,0),"")</f>
        <v/>
      </c>
      <c r="AE229" s="28" t="str">
        <f>IFERROR(VLOOKUP(AC229,Horarios!$H:$I,2,0),"")</f>
        <v/>
      </c>
      <c r="AF229" s="28" t="str">
        <f t="shared" si="148"/>
        <v>00:00</v>
      </c>
      <c r="AG229" s="29"/>
      <c r="AH229" s="27"/>
      <c r="AI229" s="27"/>
      <c r="AJ229" s="28" t="str">
        <f>IFERROR(VLOOKUP(AH229,Horarios!$H:$I,2,0),"")</f>
        <v/>
      </c>
      <c r="AK229" s="28" t="str">
        <f>IFERROR(VLOOKUP(AI229,Horarios!$H:$I,2,0),"")</f>
        <v/>
      </c>
      <c r="AL229" s="28" t="str">
        <f t="shared" si="149"/>
        <v>00:00</v>
      </c>
      <c r="AM229" s="29"/>
      <c r="AN229" s="27"/>
      <c r="AO229" s="27"/>
      <c r="AP229" s="28" t="str">
        <f>IFERROR(VLOOKUP(AN229,Horarios!$H:$I,2,0),"")</f>
        <v/>
      </c>
      <c r="AQ229" s="28" t="str">
        <f>IFERROR(VLOOKUP(AO229,Horarios!$H:$I,2,0),"")</f>
        <v/>
      </c>
      <c r="AR229" s="28" t="str">
        <f t="shared" si="150"/>
        <v>00:00</v>
      </c>
      <c r="AS229" s="29"/>
      <c r="AT229" s="31" t="str">
        <f t="shared" si="151"/>
        <v/>
      </c>
      <c r="AU229" s="27"/>
      <c r="AV229" s="27"/>
      <c r="AW229" s="28" t="str">
        <f>IFERROR(VLOOKUP(AU229,Horarios!$H:$I,2,0),"")</f>
        <v/>
      </c>
      <c r="AX229" s="28" t="str">
        <f>IFERROR(VLOOKUP(AV229,Horarios!$H:$I,2,0),"")</f>
        <v/>
      </c>
      <c r="AY229" s="28" t="str">
        <f t="shared" si="152"/>
        <v>00:00</v>
      </c>
      <c r="AZ229" s="29"/>
      <c r="BA229" s="27"/>
      <c r="BB229" s="27"/>
      <c r="BC229" s="28" t="str">
        <f>IFERROR(VLOOKUP(BA229,Horarios!$H:$I,2,0),"")</f>
        <v/>
      </c>
      <c r="BD229" s="28" t="str">
        <f>IFERROR(VLOOKUP(BB229,Horarios!$H:$I,2,0),"")</f>
        <v/>
      </c>
      <c r="BE229" s="28" t="str">
        <f t="shared" si="153"/>
        <v>00:00</v>
      </c>
      <c r="BF229" s="29"/>
      <c r="BG229" s="27"/>
      <c r="BH229" s="27"/>
      <c r="BI229" s="28" t="str">
        <f>IFERROR(VLOOKUP(BG229,Horarios!$H:$I,2,0),"")</f>
        <v/>
      </c>
      <c r="BJ229" s="28" t="str">
        <f>IFERROR(VLOOKUP(BH229,Horarios!$H:$I,2,0),"")</f>
        <v/>
      </c>
      <c r="BK229" s="28" t="str">
        <f t="shared" si="154"/>
        <v>00:00</v>
      </c>
      <c r="BL229" s="29"/>
      <c r="BM229" s="27"/>
      <c r="BN229" s="27"/>
      <c r="BO229" s="28" t="str">
        <f>IFERROR(VLOOKUP(BM229,Horarios!$H:$I,2,0),"")</f>
        <v/>
      </c>
      <c r="BP229" s="28" t="str">
        <f>IFERROR(VLOOKUP(BN229,Horarios!$H:$I,2,0),"")</f>
        <v/>
      </c>
      <c r="BQ229" s="28" t="str">
        <f t="shared" si="155"/>
        <v>00:00</v>
      </c>
      <c r="BR229" s="29"/>
      <c r="BS229" s="27"/>
      <c r="BT229" s="27"/>
      <c r="BU229" s="28" t="str">
        <f>IFERROR(VLOOKUP(BS229,Horarios!$H:$I,2,0),"")</f>
        <v/>
      </c>
      <c r="BV229" s="28" t="str">
        <f>IFERROR(VLOOKUP(BT229,Horarios!$H:$I,2,0),"")</f>
        <v/>
      </c>
      <c r="BW229" s="28" t="str">
        <f t="shared" si="156"/>
        <v>00:00</v>
      </c>
      <c r="BX229" s="29"/>
      <c r="BY229" s="27"/>
      <c r="BZ229" s="27"/>
      <c r="CA229" s="28" t="str">
        <f>IFERROR(VLOOKUP(BY229,Horarios!$H:$I,2,0),"")</f>
        <v/>
      </c>
      <c r="CB229" s="28" t="str">
        <f>IFERROR(VLOOKUP(BZ229,Horarios!$H:$I,2,0),"")</f>
        <v/>
      </c>
      <c r="CC229" s="28" t="str">
        <f t="shared" si="157"/>
        <v>00:00</v>
      </c>
      <c r="CD229" s="29"/>
      <c r="CE229" s="27"/>
      <c r="CF229" s="27"/>
      <c r="CG229" s="28" t="str">
        <f>IFERROR(VLOOKUP(CE229,Horarios!$H:$I,2,0),"")</f>
        <v/>
      </c>
      <c r="CH229" s="28" t="str">
        <f>IFERROR(VLOOKUP(CF229,Horarios!$H:$I,2,0),"")</f>
        <v/>
      </c>
      <c r="CI229" s="28" t="str">
        <f t="shared" si="158"/>
        <v>00:00</v>
      </c>
      <c r="CJ229" s="29"/>
      <c r="CK229" s="31" t="str">
        <f t="shared" si="159"/>
        <v/>
      </c>
      <c r="CL229" s="27"/>
      <c r="CM229" s="27"/>
      <c r="CN229" s="28" t="str">
        <f>IFERROR(VLOOKUP(CL229,Horarios!$H:$I,2,0),"")</f>
        <v/>
      </c>
      <c r="CO229" s="28" t="str">
        <f>IFERROR(VLOOKUP(CM229,Horarios!$H:$I,2,0),"")</f>
        <v/>
      </c>
      <c r="CP229" s="28" t="str">
        <f t="shared" si="160"/>
        <v>00:00</v>
      </c>
      <c r="CQ229" s="29"/>
      <c r="CR229" s="27"/>
      <c r="CS229" s="27"/>
      <c r="CT229" s="28" t="str">
        <f>IFERROR(VLOOKUP(CR229,Horarios!$H:$I,2,0),"")</f>
        <v/>
      </c>
      <c r="CU229" s="28" t="str">
        <f>IFERROR(VLOOKUP(CS229,Horarios!$H:$I,2,0),"")</f>
        <v/>
      </c>
      <c r="CV229" s="28" t="str">
        <f t="shared" si="161"/>
        <v>00:00</v>
      </c>
      <c r="CW229" s="29"/>
      <c r="CX229" s="27"/>
      <c r="CY229" s="27"/>
      <c r="CZ229" s="28" t="str">
        <f>IFERROR(VLOOKUP(CX229,Horarios!$H:$I,2,0),"")</f>
        <v/>
      </c>
      <c r="DA229" s="28" t="str">
        <f>IFERROR(VLOOKUP(CY229,Horarios!$H:$I,2,0),"")</f>
        <v/>
      </c>
      <c r="DB229" s="28" t="str">
        <f t="shared" si="162"/>
        <v>00:00</v>
      </c>
      <c r="DC229" s="29"/>
      <c r="DD229" s="27"/>
      <c r="DE229" s="27"/>
      <c r="DF229" s="28" t="str">
        <f>IFERROR(VLOOKUP(DD229,Horarios!$H:$I,2,0),"")</f>
        <v/>
      </c>
      <c r="DG229" s="28" t="str">
        <f>IFERROR(VLOOKUP(DE229,Horarios!$H:$I,2,0),"")</f>
        <v/>
      </c>
      <c r="DH229" s="28" t="str">
        <f t="shared" si="163"/>
        <v>00:00</v>
      </c>
      <c r="DI229" s="29"/>
      <c r="DJ229" s="27"/>
      <c r="DK229" s="27"/>
      <c r="DL229" s="28" t="str">
        <f>IFERROR(VLOOKUP(DJ229,Horarios!$H:$I,2,0),"")</f>
        <v/>
      </c>
      <c r="DM229" s="28" t="str">
        <f>IFERROR(VLOOKUP(DK229,Horarios!$H:$I,2,0),"")</f>
        <v/>
      </c>
      <c r="DN229" s="28" t="str">
        <f t="shared" si="164"/>
        <v>00:00</v>
      </c>
      <c r="DO229" s="29"/>
      <c r="DP229" s="27"/>
      <c r="DQ229" s="27"/>
      <c r="DR229" s="28" t="str">
        <f>IFERROR(VLOOKUP(DP229,Horarios!$H:$I,2,0),"")</f>
        <v/>
      </c>
      <c r="DS229" s="28" t="str">
        <f>IFERROR(VLOOKUP(DQ229,Horarios!$H:$I,2,0),"")</f>
        <v/>
      </c>
      <c r="DT229" s="28" t="str">
        <f t="shared" si="165"/>
        <v>00:00</v>
      </c>
      <c r="DU229" s="29"/>
      <c r="DV229" s="27"/>
      <c r="DW229" s="27"/>
      <c r="DX229" s="28" t="str">
        <f>IFERROR(VLOOKUP(DV229,Horarios!$H:$I,2,0),"")</f>
        <v/>
      </c>
      <c r="DY229" s="28" t="str">
        <f>IFERROR(VLOOKUP(DW229,Horarios!$H:$I,2,0),"")</f>
        <v/>
      </c>
      <c r="DZ229" s="28" t="str">
        <f t="shared" si="166"/>
        <v>00:00</v>
      </c>
      <c r="EA229" s="29"/>
      <c r="EB229" s="31" t="str">
        <f t="shared" si="167"/>
        <v/>
      </c>
      <c r="EC229" s="27"/>
      <c r="ED229" s="27"/>
      <c r="EE229" s="28" t="str">
        <f>IFERROR(VLOOKUP(EC229,Horarios!$H:$I,2,0),"")</f>
        <v/>
      </c>
      <c r="EF229" s="28" t="str">
        <f>IFERROR(VLOOKUP(ED229,Horarios!$H:$I,2,0),"")</f>
        <v/>
      </c>
      <c r="EG229" s="28" t="str">
        <f t="shared" si="168"/>
        <v>00:00</v>
      </c>
      <c r="EH229" s="29"/>
      <c r="EI229" s="27"/>
      <c r="EJ229" s="27"/>
      <c r="EK229" s="28" t="str">
        <f>IFERROR(VLOOKUP(EI229,Horarios!$H:$I,2,0),"")</f>
        <v/>
      </c>
      <c r="EL229" s="28" t="str">
        <f>IFERROR(VLOOKUP(EJ229,Horarios!$H:$I,2,0),"")</f>
        <v/>
      </c>
      <c r="EM229" s="28" t="str">
        <f t="shared" si="169"/>
        <v>00:00</v>
      </c>
      <c r="EN229" s="29"/>
      <c r="EO229" s="27"/>
      <c r="EP229" s="27"/>
      <c r="EQ229" s="28" t="str">
        <f>IFERROR(VLOOKUP(EO229,Horarios!$H:$I,2,0),"")</f>
        <v/>
      </c>
      <c r="ER229" s="28" t="str">
        <f>IFERROR(VLOOKUP(EP229,Horarios!$H:$I,2,0),"")</f>
        <v/>
      </c>
      <c r="ES229" s="28" t="str">
        <f t="shared" si="170"/>
        <v>00:00</v>
      </c>
      <c r="ET229" s="29"/>
      <c r="EU229" s="27"/>
      <c r="EV229" s="27"/>
      <c r="EW229" s="28" t="str">
        <f>IFERROR(VLOOKUP(EU229,Horarios!$H:$I,2,0),"")</f>
        <v/>
      </c>
      <c r="EX229" s="28" t="str">
        <f>IFERROR(VLOOKUP(EV229,Horarios!$H:$I,2,0),"")</f>
        <v/>
      </c>
      <c r="EY229" s="28" t="str">
        <f t="shared" si="171"/>
        <v>00:00</v>
      </c>
      <c r="EZ229" s="29"/>
      <c r="FA229" s="27"/>
      <c r="FB229" s="27"/>
      <c r="FC229" s="28" t="str">
        <f>IFERROR(VLOOKUP(FA229,Horarios!$H:$I,2,0),"")</f>
        <v/>
      </c>
      <c r="FD229" s="28" t="str">
        <f>IFERROR(VLOOKUP(FB229,Horarios!$H:$I,2,0),"")</f>
        <v/>
      </c>
      <c r="FE229" s="28" t="str">
        <f t="shared" si="172"/>
        <v>00:00</v>
      </c>
      <c r="FF229" s="29"/>
      <c r="FG229" s="27"/>
      <c r="FH229" s="27"/>
      <c r="FI229" s="28" t="str">
        <f>IFERROR(VLOOKUP(FG229,Horarios!$H:$I,2,0),"")</f>
        <v/>
      </c>
      <c r="FJ229" s="28" t="str">
        <f>IFERROR(VLOOKUP(FH229,Horarios!$H:$I,2,0),"")</f>
        <v/>
      </c>
      <c r="FK229" s="28" t="str">
        <f t="shared" si="173"/>
        <v>00:00</v>
      </c>
      <c r="FL229" s="29"/>
      <c r="FM229" s="27"/>
      <c r="FN229" s="27"/>
      <c r="FO229" s="28" t="str">
        <f>IFERROR(VLOOKUP(FM229,Horarios!$H:$I,2,0),"")</f>
        <v/>
      </c>
      <c r="FP229" s="28" t="str">
        <f>IFERROR(VLOOKUP(FN229,Horarios!$H:$I,2,0),"")</f>
        <v/>
      </c>
      <c r="FQ229" s="28" t="str">
        <f t="shared" si="174"/>
        <v>00:00</v>
      </c>
      <c r="FR229" s="29"/>
      <c r="FS229" s="31" t="str">
        <f t="shared" si="175"/>
        <v/>
      </c>
      <c r="FT229" s="27"/>
      <c r="FU229" s="27"/>
      <c r="FV229" s="28" t="str">
        <f>IFERROR(VLOOKUP(FT229,Horarios!$H:$I,2,0),"")</f>
        <v/>
      </c>
      <c r="FW229" s="28" t="str">
        <f>IFERROR(VLOOKUP(FU229,Horarios!$H:$I,2,0),"")</f>
        <v/>
      </c>
      <c r="FX229" s="28" t="str">
        <f t="shared" si="176"/>
        <v>00:00</v>
      </c>
      <c r="FY229" s="29"/>
      <c r="FZ229" s="27"/>
      <c r="GA229" s="27"/>
      <c r="GB229" s="28" t="str">
        <f>IFERROR(VLOOKUP(FZ229,Horarios!$H:$I,2,0),"")</f>
        <v/>
      </c>
      <c r="GC229" s="28" t="str">
        <f>IFERROR(VLOOKUP(GA229,Horarios!$H:$I,2,0),"")</f>
        <v/>
      </c>
      <c r="GD229" s="28" t="str">
        <f t="shared" si="177"/>
        <v>00:00</v>
      </c>
      <c r="GE229" s="29"/>
      <c r="GF229" s="27"/>
      <c r="GG229" s="27"/>
      <c r="GH229" s="28" t="str">
        <f>IFERROR(VLOOKUP(GF229,Horarios!$H:$I,2,0),"")</f>
        <v/>
      </c>
      <c r="GI229" s="28" t="str">
        <f>IFERROR(VLOOKUP(GG229,Horarios!$H:$I,2,0),"")</f>
        <v/>
      </c>
      <c r="GJ229" s="28" t="str">
        <f t="shared" si="178"/>
        <v>00:00</v>
      </c>
      <c r="GK229" s="29"/>
      <c r="GL229" s="27"/>
      <c r="GM229" s="27"/>
      <c r="GN229" s="28" t="str">
        <f>IFERROR(VLOOKUP(GL229,Horarios!$H:$I,2,0),"")</f>
        <v/>
      </c>
      <c r="GO229" s="28" t="str">
        <f>IFERROR(VLOOKUP(GM229,Horarios!$H:$I,2,0),"")</f>
        <v/>
      </c>
      <c r="GP229" s="28" t="str">
        <f t="shared" si="179"/>
        <v>00:00</v>
      </c>
      <c r="GQ229" s="29"/>
      <c r="GR229" s="27"/>
      <c r="GS229" s="27"/>
      <c r="GT229" s="28" t="str">
        <f>IFERROR(VLOOKUP(GR229,Horarios!$H:$I,2,0),"")</f>
        <v/>
      </c>
      <c r="GU229" s="28" t="str">
        <f>IFERROR(VLOOKUP(GS229,Horarios!$H:$I,2,0),"")</f>
        <v/>
      </c>
      <c r="GV229" s="28" t="str">
        <f t="shared" si="180"/>
        <v>00:00</v>
      </c>
      <c r="GW229" s="29"/>
      <c r="GX229" s="27"/>
      <c r="GY229" s="27"/>
      <c r="GZ229" s="28" t="str">
        <f>IFERROR(VLOOKUP(GX229,Horarios!$H:$I,2,0),"")</f>
        <v/>
      </c>
      <c r="HA229" s="28" t="str">
        <f>IFERROR(VLOOKUP(GY229,Horarios!$H:$I,2,0),"")</f>
        <v/>
      </c>
      <c r="HB229" s="28" t="str">
        <f t="shared" si="181"/>
        <v>00:00</v>
      </c>
      <c r="HC229" s="29"/>
      <c r="HD229" s="27"/>
      <c r="HE229" s="27"/>
      <c r="HF229" s="28" t="str">
        <f>IFERROR(VLOOKUP(HD229,Horarios!$H:$I,2,0),"")</f>
        <v/>
      </c>
      <c r="HG229" s="28" t="str">
        <f>IFERROR(VLOOKUP(HE229,Horarios!$H:$I,2,0),"")</f>
        <v/>
      </c>
      <c r="HH229" s="28" t="str">
        <f t="shared" si="182"/>
        <v>00:00</v>
      </c>
      <c r="HI229" s="29"/>
      <c r="HJ229" s="31" t="str">
        <f t="shared" si="183"/>
        <v/>
      </c>
      <c r="HK229" s="27"/>
      <c r="HL229" s="27"/>
      <c r="HM229" s="28" t="str">
        <f>IFERROR(VLOOKUP(HK229,Horarios!$H:$I,2,0),"")</f>
        <v/>
      </c>
      <c r="HN229" s="28" t="str">
        <f>IFERROR(VLOOKUP(HL229,Horarios!$H:$I,2,0),"")</f>
        <v/>
      </c>
      <c r="HO229" s="28" t="str">
        <f t="shared" si="184"/>
        <v>00:00</v>
      </c>
      <c r="HP229" s="29"/>
      <c r="HQ229" s="27"/>
      <c r="HR229" s="27"/>
      <c r="HS229" s="28" t="str">
        <f>IFERROR(VLOOKUP(HQ229,Horarios!$H:$I,2,0),"")</f>
        <v/>
      </c>
      <c r="HT229" s="28" t="str">
        <f>IFERROR(VLOOKUP(HR229,Horarios!$H:$I,2,0),"")</f>
        <v/>
      </c>
      <c r="HU229" s="28" t="str">
        <f t="shared" si="185"/>
        <v>00:00</v>
      </c>
      <c r="HV229" s="29"/>
      <c r="HW229" s="27"/>
      <c r="HX229" s="27"/>
      <c r="HY229" s="28" t="str">
        <f>IFERROR(VLOOKUP(HW229,Horarios!$H:$I,2,0),"")</f>
        <v/>
      </c>
      <c r="HZ229" s="28" t="str">
        <f>IFERROR(VLOOKUP(HX229,Horarios!$H:$I,2,0),"")</f>
        <v/>
      </c>
      <c r="IA229" s="28" t="str">
        <f t="shared" si="186"/>
        <v>00:00</v>
      </c>
      <c r="IB229" s="29"/>
      <c r="IC229" s="27"/>
      <c r="ID229" s="27"/>
      <c r="IE229" s="28" t="str">
        <f>IFERROR(VLOOKUP(IC229,Horarios!$H:$I,2,0),"")</f>
        <v/>
      </c>
      <c r="IF229" s="28" t="str">
        <f>IFERROR(VLOOKUP(ID229,Horarios!$H:$I,2,0),"")</f>
        <v/>
      </c>
      <c r="IG229" s="28" t="str">
        <f t="shared" si="187"/>
        <v>00:00</v>
      </c>
      <c r="IH229" s="29"/>
      <c r="II229" s="27"/>
      <c r="IJ229" s="27"/>
      <c r="IK229" s="28" t="str">
        <f>IFERROR(VLOOKUP(II229,Horarios!$H:$I,2,0),"")</f>
        <v/>
      </c>
      <c r="IL229" s="28" t="str">
        <f>IFERROR(VLOOKUP(IJ229,Horarios!$H:$I,2,0),"")</f>
        <v/>
      </c>
      <c r="IM229" s="28" t="str">
        <f t="shared" si="188"/>
        <v>00:00</v>
      </c>
      <c r="IN229" s="29"/>
      <c r="IO229" s="27"/>
      <c r="IP229" s="27"/>
      <c r="IQ229" s="28" t="str">
        <f>IFERROR(VLOOKUP(IO229,Horarios!$H:$I,2,0),"")</f>
        <v/>
      </c>
      <c r="IR229" s="28" t="str">
        <f>IFERROR(VLOOKUP(IP229,Horarios!$H:$I,2,0),"")</f>
        <v/>
      </c>
      <c r="IS229" s="28" t="str">
        <f t="shared" si="189"/>
        <v>00:00</v>
      </c>
      <c r="IT229" s="29"/>
      <c r="IU229" s="27"/>
      <c r="IV229" s="27"/>
      <c r="IW229" s="28" t="str">
        <f>IFERROR(VLOOKUP(IU229,Horarios!$H:$I,2,0),"")</f>
        <v/>
      </c>
      <c r="IX229" s="28" t="str">
        <f>IFERROR(VLOOKUP(IV229,Horarios!$H:$I,2,0),"")</f>
        <v/>
      </c>
      <c r="IY229" s="28" t="str">
        <f t="shared" si="190"/>
        <v>00:00</v>
      </c>
      <c r="IZ229" s="29"/>
      <c r="JA229" s="31" t="str">
        <f t="shared" si="191"/>
        <v/>
      </c>
    </row>
    <row r="230" spans="1:261" s="24" customFormat="1" ht="17.399999999999999" x14ac:dyDescent="0.25">
      <c r="A230" s="25"/>
      <c r="B230" s="26" t="str">
        <f>IFERROR(VLOOKUP(A230,BaseNombres!A:B,2,0),"")</f>
        <v/>
      </c>
      <c r="C230" s="26" t="str">
        <f>IFERROR(VLOOKUP(A230,BaseNombres!A:C,3,0),"")</f>
        <v/>
      </c>
      <c r="D230" s="27"/>
      <c r="E230" s="27"/>
      <c r="F230" s="28" t="str">
        <f>IFERROR(VLOOKUP(D230,Horarios!$H:$I,2,0),"")</f>
        <v/>
      </c>
      <c r="G230" s="28" t="str">
        <f>IFERROR(VLOOKUP(E230,Horarios!$H:$I,2,0),"")</f>
        <v/>
      </c>
      <c r="H230" s="28" t="str">
        <f t="shared" si="144"/>
        <v>00:00</v>
      </c>
      <c r="I230" s="29"/>
      <c r="J230" s="27"/>
      <c r="K230" s="27"/>
      <c r="L230" s="28" t="str">
        <f>IFERROR(VLOOKUP(J230,Horarios!$H:$I,2,0),"")</f>
        <v/>
      </c>
      <c r="M230" s="28" t="str">
        <f>IFERROR(VLOOKUP(K230,Horarios!$H:$I,2,0),"")</f>
        <v/>
      </c>
      <c r="N230" s="28" t="str">
        <f t="shared" si="145"/>
        <v>00:00</v>
      </c>
      <c r="O230" s="29"/>
      <c r="P230" s="27"/>
      <c r="Q230" s="27"/>
      <c r="R230" s="28" t="str">
        <f>IFERROR(VLOOKUP(P230,Horarios!$H:$I,2,0),"")</f>
        <v/>
      </c>
      <c r="S230" s="28" t="str">
        <f>IFERROR(VLOOKUP(Q230,Horarios!$H:$I,2,0),"")</f>
        <v/>
      </c>
      <c r="T230" s="28" t="str">
        <f t="shared" si="146"/>
        <v>00:00</v>
      </c>
      <c r="U230" s="29"/>
      <c r="V230" s="27"/>
      <c r="W230" s="27"/>
      <c r="X230" s="28" t="str">
        <f>IFERROR(VLOOKUP(V230,Horarios!$H:$I,2,0),"")</f>
        <v/>
      </c>
      <c r="Y230" s="28" t="str">
        <f>IFERROR(VLOOKUP(W230,Horarios!$H:$I,2,0),"")</f>
        <v/>
      </c>
      <c r="Z230" s="28" t="str">
        <f t="shared" si="147"/>
        <v>00:00</v>
      </c>
      <c r="AA230" s="29"/>
      <c r="AB230" s="27"/>
      <c r="AC230" s="27"/>
      <c r="AD230" s="28" t="str">
        <f>IFERROR(VLOOKUP(AB230,Horarios!$H:$I,2,0),"")</f>
        <v/>
      </c>
      <c r="AE230" s="28" t="str">
        <f>IFERROR(VLOOKUP(AC230,Horarios!$H:$I,2,0),"")</f>
        <v/>
      </c>
      <c r="AF230" s="28" t="str">
        <f t="shared" si="148"/>
        <v>00:00</v>
      </c>
      <c r="AG230" s="29"/>
      <c r="AH230" s="27"/>
      <c r="AI230" s="27"/>
      <c r="AJ230" s="28" t="str">
        <f>IFERROR(VLOOKUP(AH230,Horarios!$H:$I,2,0),"")</f>
        <v/>
      </c>
      <c r="AK230" s="28" t="str">
        <f>IFERROR(VLOOKUP(AI230,Horarios!$H:$I,2,0),"")</f>
        <v/>
      </c>
      <c r="AL230" s="28" t="str">
        <f t="shared" si="149"/>
        <v>00:00</v>
      </c>
      <c r="AM230" s="29"/>
      <c r="AN230" s="27"/>
      <c r="AO230" s="27"/>
      <c r="AP230" s="28" t="str">
        <f>IFERROR(VLOOKUP(AN230,Horarios!$H:$I,2,0),"")</f>
        <v/>
      </c>
      <c r="AQ230" s="28" t="str">
        <f>IFERROR(VLOOKUP(AO230,Horarios!$H:$I,2,0),"")</f>
        <v/>
      </c>
      <c r="AR230" s="28" t="str">
        <f t="shared" si="150"/>
        <v>00:00</v>
      </c>
      <c r="AS230" s="29"/>
      <c r="AT230" s="31" t="str">
        <f t="shared" si="151"/>
        <v/>
      </c>
      <c r="AU230" s="27"/>
      <c r="AV230" s="27"/>
      <c r="AW230" s="28" t="str">
        <f>IFERROR(VLOOKUP(AU230,Horarios!$H:$I,2,0),"")</f>
        <v/>
      </c>
      <c r="AX230" s="28" t="str">
        <f>IFERROR(VLOOKUP(AV230,Horarios!$H:$I,2,0),"")</f>
        <v/>
      </c>
      <c r="AY230" s="28" t="str">
        <f t="shared" si="152"/>
        <v>00:00</v>
      </c>
      <c r="AZ230" s="29"/>
      <c r="BA230" s="27"/>
      <c r="BB230" s="27"/>
      <c r="BC230" s="28" t="str">
        <f>IFERROR(VLOOKUP(BA230,Horarios!$H:$I,2,0),"")</f>
        <v/>
      </c>
      <c r="BD230" s="28" t="str">
        <f>IFERROR(VLOOKUP(BB230,Horarios!$H:$I,2,0),"")</f>
        <v/>
      </c>
      <c r="BE230" s="28" t="str">
        <f t="shared" si="153"/>
        <v>00:00</v>
      </c>
      <c r="BF230" s="29"/>
      <c r="BG230" s="27"/>
      <c r="BH230" s="27"/>
      <c r="BI230" s="28" t="str">
        <f>IFERROR(VLOOKUP(BG230,Horarios!$H:$I,2,0),"")</f>
        <v/>
      </c>
      <c r="BJ230" s="28" t="str">
        <f>IFERROR(VLOOKUP(BH230,Horarios!$H:$I,2,0),"")</f>
        <v/>
      </c>
      <c r="BK230" s="28" t="str">
        <f t="shared" si="154"/>
        <v>00:00</v>
      </c>
      <c r="BL230" s="29"/>
      <c r="BM230" s="27"/>
      <c r="BN230" s="27"/>
      <c r="BO230" s="28" t="str">
        <f>IFERROR(VLOOKUP(BM230,Horarios!$H:$I,2,0),"")</f>
        <v/>
      </c>
      <c r="BP230" s="28" t="str">
        <f>IFERROR(VLOOKUP(BN230,Horarios!$H:$I,2,0),"")</f>
        <v/>
      </c>
      <c r="BQ230" s="28" t="str">
        <f t="shared" si="155"/>
        <v>00:00</v>
      </c>
      <c r="BR230" s="29"/>
      <c r="BS230" s="27"/>
      <c r="BT230" s="27"/>
      <c r="BU230" s="28" t="str">
        <f>IFERROR(VLOOKUP(BS230,Horarios!$H:$I,2,0),"")</f>
        <v/>
      </c>
      <c r="BV230" s="28" t="str">
        <f>IFERROR(VLOOKUP(BT230,Horarios!$H:$I,2,0),"")</f>
        <v/>
      </c>
      <c r="BW230" s="28" t="str">
        <f t="shared" si="156"/>
        <v>00:00</v>
      </c>
      <c r="BX230" s="29"/>
      <c r="BY230" s="27"/>
      <c r="BZ230" s="27"/>
      <c r="CA230" s="28" t="str">
        <f>IFERROR(VLOOKUP(BY230,Horarios!$H:$I,2,0),"")</f>
        <v/>
      </c>
      <c r="CB230" s="28" t="str">
        <f>IFERROR(VLOOKUP(BZ230,Horarios!$H:$I,2,0),"")</f>
        <v/>
      </c>
      <c r="CC230" s="28" t="str">
        <f t="shared" si="157"/>
        <v>00:00</v>
      </c>
      <c r="CD230" s="29"/>
      <c r="CE230" s="27"/>
      <c r="CF230" s="27"/>
      <c r="CG230" s="28" t="str">
        <f>IFERROR(VLOOKUP(CE230,Horarios!$H:$I,2,0),"")</f>
        <v/>
      </c>
      <c r="CH230" s="28" t="str">
        <f>IFERROR(VLOOKUP(CF230,Horarios!$H:$I,2,0),"")</f>
        <v/>
      </c>
      <c r="CI230" s="28" t="str">
        <f t="shared" si="158"/>
        <v>00:00</v>
      </c>
      <c r="CJ230" s="29"/>
      <c r="CK230" s="31" t="str">
        <f t="shared" si="159"/>
        <v/>
      </c>
      <c r="CL230" s="27"/>
      <c r="CM230" s="27"/>
      <c r="CN230" s="28" t="str">
        <f>IFERROR(VLOOKUP(CL230,Horarios!$H:$I,2,0),"")</f>
        <v/>
      </c>
      <c r="CO230" s="28" t="str">
        <f>IFERROR(VLOOKUP(CM230,Horarios!$H:$I,2,0),"")</f>
        <v/>
      </c>
      <c r="CP230" s="28" t="str">
        <f t="shared" si="160"/>
        <v>00:00</v>
      </c>
      <c r="CQ230" s="29"/>
      <c r="CR230" s="27"/>
      <c r="CS230" s="27"/>
      <c r="CT230" s="28" t="str">
        <f>IFERROR(VLOOKUP(CR230,Horarios!$H:$I,2,0),"")</f>
        <v/>
      </c>
      <c r="CU230" s="28" t="str">
        <f>IFERROR(VLOOKUP(CS230,Horarios!$H:$I,2,0),"")</f>
        <v/>
      </c>
      <c r="CV230" s="28" t="str">
        <f t="shared" si="161"/>
        <v>00:00</v>
      </c>
      <c r="CW230" s="29"/>
      <c r="CX230" s="27"/>
      <c r="CY230" s="27"/>
      <c r="CZ230" s="28" t="str">
        <f>IFERROR(VLOOKUP(CX230,Horarios!$H:$I,2,0),"")</f>
        <v/>
      </c>
      <c r="DA230" s="28" t="str">
        <f>IFERROR(VLOOKUP(CY230,Horarios!$H:$I,2,0),"")</f>
        <v/>
      </c>
      <c r="DB230" s="28" t="str">
        <f t="shared" si="162"/>
        <v>00:00</v>
      </c>
      <c r="DC230" s="29"/>
      <c r="DD230" s="27"/>
      <c r="DE230" s="27"/>
      <c r="DF230" s="28" t="str">
        <f>IFERROR(VLOOKUP(DD230,Horarios!$H:$I,2,0),"")</f>
        <v/>
      </c>
      <c r="DG230" s="28" t="str">
        <f>IFERROR(VLOOKUP(DE230,Horarios!$H:$I,2,0),"")</f>
        <v/>
      </c>
      <c r="DH230" s="28" t="str">
        <f t="shared" si="163"/>
        <v>00:00</v>
      </c>
      <c r="DI230" s="29"/>
      <c r="DJ230" s="27"/>
      <c r="DK230" s="27"/>
      <c r="DL230" s="28" t="str">
        <f>IFERROR(VLOOKUP(DJ230,Horarios!$H:$I,2,0),"")</f>
        <v/>
      </c>
      <c r="DM230" s="28" t="str">
        <f>IFERROR(VLOOKUP(DK230,Horarios!$H:$I,2,0),"")</f>
        <v/>
      </c>
      <c r="DN230" s="28" t="str">
        <f t="shared" si="164"/>
        <v>00:00</v>
      </c>
      <c r="DO230" s="29"/>
      <c r="DP230" s="27"/>
      <c r="DQ230" s="27"/>
      <c r="DR230" s="28" t="str">
        <f>IFERROR(VLOOKUP(DP230,Horarios!$H:$I,2,0),"")</f>
        <v/>
      </c>
      <c r="DS230" s="28" t="str">
        <f>IFERROR(VLOOKUP(DQ230,Horarios!$H:$I,2,0),"")</f>
        <v/>
      </c>
      <c r="DT230" s="28" t="str">
        <f t="shared" si="165"/>
        <v>00:00</v>
      </c>
      <c r="DU230" s="29"/>
      <c r="DV230" s="27"/>
      <c r="DW230" s="27"/>
      <c r="DX230" s="28" t="str">
        <f>IFERROR(VLOOKUP(DV230,Horarios!$H:$I,2,0),"")</f>
        <v/>
      </c>
      <c r="DY230" s="28" t="str">
        <f>IFERROR(VLOOKUP(DW230,Horarios!$H:$I,2,0),"")</f>
        <v/>
      </c>
      <c r="DZ230" s="28" t="str">
        <f t="shared" si="166"/>
        <v>00:00</v>
      </c>
      <c r="EA230" s="29"/>
      <c r="EB230" s="31" t="str">
        <f t="shared" si="167"/>
        <v/>
      </c>
      <c r="EC230" s="27"/>
      <c r="ED230" s="27"/>
      <c r="EE230" s="28" t="str">
        <f>IFERROR(VLOOKUP(EC230,Horarios!$H:$I,2,0),"")</f>
        <v/>
      </c>
      <c r="EF230" s="28" t="str">
        <f>IFERROR(VLOOKUP(ED230,Horarios!$H:$I,2,0),"")</f>
        <v/>
      </c>
      <c r="EG230" s="28" t="str">
        <f t="shared" si="168"/>
        <v>00:00</v>
      </c>
      <c r="EH230" s="29"/>
      <c r="EI230" s="27"/>
      <c r="EJ230" s="27"/>
      <c r="EK230" s="28" t="str">
        <f>IFERROR(VLOOKUP(EI230,Horarios!$H:$I,2,0),"")</f>
        <v/>
      </c>
      <c r="EL230" s="28" t="str">
        <f>IFERROR(VLOOKUP(EJ230,Horarios!$H:$I,2,0),"")</f>
        <v/>
      </c>
      <c r="EM230" s="28" t="str">
        <f t="shared" si="169"/>
        <v>00:00</v>
      </c>
      <c r="EN230" s="29"/>
      <c r="EO230" s="27"/>
      <c r="EP230" s="27"/>
      <c r="EQ230" s="28" t="str">
        <f>IFERROR(VLOOKUP(EO230,Horarios!$H:$I,2,0),"")</f>
        <v/>
      </c>
      <c r="ER230" s="28" t="str">
        <f>IFERROR(VLOOKUP(EP230,Horarios!$H:$I,2,0),"")</f>
        <v/>
      </c>
      <c r="ES230" s="28" t="str">
        <f t="shared" si="170"/>
        <v>00:00</v>
      </c>
      <c r="ET230" s="29"/>
      <c r="EU230" s="27"/>
      <c r="EV230" s="27"/>
      <c r="EW230" s="28" t="str">
        <f>IFERROR(VLOOKUP(EU230,Horarios!$H:$I,2,0),"")</f>
        <v/>
      </c>
      <c r="EX230" s="28" t="str">
        <f>IFERROR(VLOOKUP(EV230,Horarios!$H:$I,2,0),"")</f>
        <v/>
      </c>
      <c r="EY230" s="28" t="str">
        <f t="shared" si="171"/>
        <v>00:00</v>
      </c>
      <c r="EZ230" s="29"/>
      <c r="FA230" s="27"/>
      <c r="FB230" s="27"/>
      <c r="FC230" s="28" t="str">
        <f>IFERROR(VLOOKUP(FA230,Horarios!$H:$I,2,0),"")</f>
        <v/>
      </c>
      <c r="FD230" s="28" t="str">
        <f>IFERROR(VLOOKUP(FB230,Horarios!$H:$I,2,0),"")</f>
        <v/>
      </c>
      <c r="FE230" s="28" t="str">
        <f t="shared" si="172"/>
        <v>00:00</v>
      </c>
      <c r="FF230" s="29"/>
      <c r="FG230" s="27"/>
      <c r="FH230" s="27"/>
      <c r="FI230" s="28" t="str">
        <f>IFERROR(VLOOKUP(FG230,Horarios!$H:$I,2,0),"")</f>
        <v/>
      </c>
      <c r="FJ230" s="28" t="str">
        <f>IFERROR(VLOOKUP(FH230,Horarios!$H:$I,2,0),"")</f>
        <v/>
      </c>
      <c r="FK230" s="28" t="str">
        <f t="shared" si="173"/>
        <v>00:00</v>
      </c>
      <c r="FL230" s="29"/>
      <c r="FM230" s="27"/>
      <c r="FN230" s="27"/>
      <c r="FO230" s="28" t="str">
        <f>IFERROR(VLOOKUP(FM230,Horarios!$H:$I,2,0),"")</f>
        <v/>
      </c>
      <c r="FP230" s="28" t="str">
        <f>IFERROR(VLOOKUP(FN230,Horarios!$H:$I,2,0),"")</f>
        <v/>
      </c>
      <c r="FQ230" s="28" t="str">
        <f t="shared" si="174"/>
        <v>00:00</v>
      </c>
      <c r="FR230" s="29"/>
      <c r="FS230" s="31" t="str">
        <f t="shared" si="175"/>
        <v/>
      </c>
      <c r="FT230" s="27"/>
      <c r="FU230" s="27"/>
      <c r="FV230" s="28" t="str">
        <f>IFERROR(VLOOKUP(FT230,Horarios!$H:$I,2,0),"")</f>
        <v/>
      </c>
      <c r="FW230" s="28" t="str">
        <f>IFERROR(VLOOKUP(FU230,Horarios!$H:$I,2,0),"")</f>
        <v/>
      </c>
      <c r="FX230" s="28" t="str">
        <f t="shared" si="176"/>
        <v>00:00</v>
      </c>
      <c r="FY230" s="29"/>
      <c r="FZ230" s="27"/>
      <c r="GA230" s="27"/>
      <c r="GB230" s="28" t="str">
        <f>IFERROR(VLOOKUP(FZ230,Horarios!$H:$I,2,0),"")</f>
        <v/>
      </c>
      <c r="GC230" s="28" t="str">
        <f>IFERROR(VLOOKUP(GA230,Horarios!$H:$I,2,0),"")</f>
        <v/>
      </c>
      <c r="GD230" s="28" t="str">
        <f t="shared" si="177"/>
        <v>00:00</v>
      </c>
      <c r="GE230" s="29"/>
      <c r="GF230" s="27"/>
      <c r="GG230" s="27"/>
      <c r="GH230" s="28" t="str">
        <f>IFERROR(VLOOKUP(GF230,Horarios!$H:$I,2,0),"")</f>
        <v/>
      </c>
      <c r="GI230" s="28" t="str">
        <f>IFERROR(VLOOKUP(GG230,Horarios!$H:$I,2,0),"")</f>
        <v/>
      </c>
      <c r="GJ230" s="28" t="str">
        <f t="shared" si="178"/>
        <v>00:00</v>
      </c>
      <c r="GK230" s="29"/>
      <c r="GL230" s="27"/>
      <c r="GM230" s="27"/>
      <c r="GN230" s="28" t="str">
        <f>IFERROR(VLOOKUP(GL230,Horarios!$H:$I,2,0),"")</f>
        <v/>
      </c>
      <c r="GO230" s="28" t="str">
        <f>IFERROR(VLOOKUP(GM230,Horarios!$H:$I,2,0),"")</f>
        <v/>
      </c>
      <c r="GP230" s="28" t="str">
        <f t="shared" si="179"/>
        <v>00:00</v>
      </c>
      <c r="GQ230" s="29"/>
      <c r="GR230" s="27"/>
      <c r="GS230" s="27"/>
      <c r="GT230" s="28" t="str">
        <f>IFERROR(VLOOKUP(GR230,Horarios!$H:$I,2,0),"")</f>
        <v/>
      </c>
      <c r="GU230" s="28" t="str">
        <f>IFERROR(VLOOKUP(GS230,Horarios!$H:$I,2,0),"")</f>
        <v/>
      </c>
      <c r="GV230" s="28" t="str">
        <f t="shared" si="180"/>
        <v>00:00</v>
      </c>
      <c r="GW230" s="29"/>
      <c r="GX230" s="27"/>
      <c r="GY230" s="27"/>
      <c r="GZ230" s="28" t="str">
        <f>IFERROR(VLOOKUP(GX230,Horarios!$H:$I,2,0),"")</f>
        <v/>
      </c>
      <c r="HA230" s="28" t="str">
        <f>IFERROR(VLOOKUP(GY230,Horarios!$H:$I,2,0),"")</f>
        <v/>
      </c>
      <c r="HB230" s="28" t="str">
        <f t="shared" si="181"/>
        <v>00:00</v>
      </c>
      <c r="HC230" s="29"/>
      <c r="HD230" s="27"/>
      <c r="HE230" s="27"/>
      <c r="HF230" s="28" t="str">
        <f>IFERROR(VLOOKUP(HD230,Horarios!$H:$I,2,0),"")</f>
        <v/>
      </c>
      <c r="HG230" s="28" t="str">
        <f>IFERROR(VLOOKUP(HE230,Horarios!$H:$I,2,0),"")</f>
        <v/>
      </c>
      <c r="HH230" s="28" t="str">
        <f t="shared" si="182"/>
        <v>00:00</v>
      </c>
      <c r="HI230" s="29"/>
      <c r="HJ230" s="31" t="str">
        <f t="shared" si="183"/>
        <v/>
      </c>
      <c r="HK230" s="27"/>
      <c r="HL230" s="27"/>
      <c r="HM230" s="28" t="str">
        <f>IFERROR(VLOOKUP(HK230,Horarios!$H:$I,2,0),"")</f>
        <v/>
      </c>
      <c r="HN230" s="28" t="str">
        <f>IFERROR(VLOOKUP(HL230,Horarios!$H:$I,2,0),"")</f>
        <v/>
      </c>
      <c r="HO230" s="28" t="str">
        <f t="shared" si="184"/>
        <v>00:00</v>
      </c>
      <c r="HP230" s="29"/>
      <c r="HQ230" s="27"/>
      <c r="HR230" s="27"/>
      <c r="HS230" s="28" t="str">
        <f>IFERROR(VLOOKUP(HQ230,Horarios!$H:$I,2,0),"")</f>
        <v/>
      </c>
      <c r="HT230" s="28" t="str">
        <f>IFERROR(VLOOKUP(HR230,Horarios!$H:$I,2,0),"")</f>
        <v/>
      </c>
      <c r="HU230" s="28" t="str">
        <f t="shared" si="185"/>
        <v>00:00</v>
      </c>
      <c r="HV230" s="29"/>
      <c r="HW230" s="27"/>
      <c r="HX230" s="27"/>
      <c r="HY230" s="28" t="str">
        <f>IFERROR(VLOOKUP(HW230,Horarios!$H:$I,2,0),"")</f>
        <v/>
      </c>
      <c r="HZ230" s="28" t="str">
        <f>IFERROR(VLOOKUP(HX230,Horarios!$H:$I,2,0),"")</f>
        <v/>
      </c>
      <c r="IA230" s="28" t="str">
        <f t="shared" si="186"/>
        <v>00:00</v>
      </c>
      <c r="IB230" s="29"/>
      <c r="IC230" s="27"/>
      <c r="ID230" s="27"/>
      <c r="IE230" s="28" t="str">
        <f>IFERROR(VLOOKUP(IC230,Horarios!$H:$I,2,0),"")</f>
        <v/>
      </c>
      <c r="IF230" s="28" t="str">
        <f>IFERROR(VLOOKUP(ID230,Horarios!$H:$I,2,0),"")</f>
        <v/>
      </c>
      <c r="IG230" s="28" t="str">
        <f t="shared" si="187"/>
        <v>00:00</v>
      </c>
      <c r="IH230" s="29"/>
      <c r="II230" s="27"/>
      <c r="IJ230" s="27"/>
      <c r="IK230" s="28" t="str">
        <f>IFERROR(VLOOKUP(II230,Horarios!$H:$I,2,0),"")</f>
        <v/>
      </c>
      <c r="IL230" s="28" t="str">
        <f>IFERROR(VLOOKUP(IJ230,Horarios!$H:$I,2,0),"")</f>
        <v/>
      </c>
      <c r="IM230" s="28" t="str">
        <f t="shared" si="188"/>
        <v>00:00</v>
      </c>
      <c r="IN230" s="29"/>
      <c r="IO230" s="27"/>
      <c r="IP230" s="27"/>
      <c r="IQ230" s="28" t="str">
        <f>IFERROR(VLOOKUP(IO230,Horarios!$H:$I,2,0),"")</f>
        <v/>
      </c>
      <c r="IR230" s="28" t="str">
        <f>IFERROR(VLOOKUP(IP230,Horarios!$H:$I,2,0),"")</f>
        <v/>
      </c>
      <c r="IS230" s="28" t="str">
        <f t="shared" si="189"/>
        <v>00:00</v>
      </c>
      <c r="IT230" s="29"/>
      <c r="IU230" s="27"/>
      <c r="IV230" s="27"/>
      <c r="IW230" s="28" t="str">
        <f>IFERROR(VLOOKUP(IU230,Horarios!$H:$I,2,0),"")</f>
        <v/>
      </c>
      <c r="IX230" s="28" t="str">
        <f>IFERROR(VLOOKUP(IV230,Horarios!$H:$I,2,0),"")</f>
        <v/>
      </c>
      <c r="IY230" s="28" t="str">
        <f t="shared" si="190"/>
        <v>00:00</v>
      </c>
      <c r="IZ230" s="29"/>
      <c r="JA230" s="31" t="str">
        <f t="shared" si="191"/>
        <v/>
      </c>
    </row>
    <row r="231" spans="1:261" s="24" customFormat="1" ht="17.399999999999999" x14ac:dyDescent="0.25">
      <c r="A231" s="25"/>
      <c r="B231" s="26" t="str">
        <f>IFERROR(VLOOKUP(A231,BaseNombres!A:B,2,0),"")</f>
        <v/>
      </c>
      <c r="C231" s="26" t="str">
        <f>IFERROR(VLOOKUP(A231,BaseNombres!A:C,3,0),"")</f>
        <v/>
      </c>
      <c r="D231" s="27"/>
      <c r="E231" s="27"/>
      <c r="F231" s="28" t="str">
        <f>IFERROR(VLOOKUP(D231,Horarios!$H:$I,2,0),"")</f>
        <v/>
      </c>
      <c r="G231" s="28" t="str">
        <f>IFERROR(VLOOKUP(E231,Horarios!$H:$I,2,0),"")</f>
        <v/>
      </c>
      <c r="H231" s="28" t="str">
        <f t="shared" si="144"/>
        <v>00:00</v>
      </c>
      <c r="I231" s="29"/>
      <c r="J231" s="27"/>
      <c r="K231" s="27"/>
      <c r="L231" s="28" t="str">
        <f>IFERROR(VLOOKUP(J231,Horarios!$H:$I,2,0),"")</f>
        <v/>
      </c>
      <c r="M231" s="28" t="str">
        <f>IFERROR(VLOOKUP(K231,Horarios!$H:$I,2,0),"")</f>
        <v/>
      </c>
      <c r="N231" s="28" t="str">
        <f t="shared" si="145"/>
        <v>00:00</v>
      </c>
      <c r="O231" s="29"/>
      <c r="P231" s="27"/>
      <c r="Q231" s="27"/>
      <c r="R231" s="28" t="str">
        <f>IFERROR(VLOOKUP(P231,Horarios!$H:$I,2,0),"")</f>
        <v/>
      </c>
      <c r="S231" s="28" t="str">
        <f>IFERROR(VLOOKUP(Q231,Horarios!$H:$I,2,0),"")</f>
        <v/>
      </c>
      <c r="T231" s="28" t="str">
        <f t="shared" si="146"/>
        <v>00:00</v>
      </c>
      <c r="U231" s="29"/>
      <c r="V231" s="27"/>
      <c r="W231" s="27"/>
      <c r="X231" s="28" t="str">
        <f>IFERROR(VLOOKUP(V231,Horarios!$H:$I,2,0),"")</f>
        <v/>
      </c>
      <c r="Y231" s="28" t="str">
        <f>IFERROR(VLOOKUP(W231,Horarios!$H:$I,2,0),"")</f>
        <v/>
      </c>
      <c r="Z231" s="28" t="str">
        <f t="shared" si="147"/>
        <v>00:00</v>
      </c>
      <c r="AA231" s="29"/>
      <c r="AB231" s="27"/>
      <c r="AC231" s="27"/>
      <c r="AD231" s="28" t="str">
        <f>IFERROR(VLOOKUP(AB231,Horarios!$H:$I,2,0),"")</f>
        <v/>
      </c>
      <c r="AE231" s="28" t="str">
        <f>IFERROR(VLOOKUP(AC231,Horarios!$H:$I,2,0),"")</f>
        <v/>
      </c>
      <c r="AF231" s="28" t="str">
        <f t="shared" si="148"/>
        <v>00:00</v>
      </c>
      <c r="AG231" s="29"/>
      <c r="AH231" s="27"/>
      <c r="AI231" s="27"/>
      <c r="AJ231" s="28" t="str">
        <f>IFERROR(VLOOKUP(AH231,Horarios!$H:$I,2,0),"")</f>
        <v/>
      </c>
      <c r="AK231" s="28" t="str">
        <f>IFERROR(VLOOKUP(AI231,Horarios!$H:$I,2,0),"")</f>
        <v/>
      </c>
      <c r="AL231" s="28" t="str">
        <f t="shared" si="149"/>
        <v>00:00</v>
      </c>
      <c r="AM231" s="29"/>
      <c r="AN231" s="27"/>
      <c r="AO231" s="27"/>
      <c r="AP231" s="28" t="str">
        <f>IFERROR(VLOOKUP(AN231,Horarios!$H:$I,2,0),"")</f>
        <v/>
      </c>
      <c r="AQ231" s="28" t="str">
        <f>IFERROR(VLOOKUP(AO231,Horarios!$H:$I,2,0),"")</f>
        <v/>
      </c>
      <c r="AR231" s="28" t="str">
        <f t="shared" si="150"/>
        <v>00:00</v>
      </c>
      <c r="AS231" s="29"/>
      <c r="AT231" s="31" t="str">
        <f t="shared" si="151"/>
        <v/>
      </c>
      <c r="AU231" s="27"/>
      <c r="AV231" s="27"/>
      <c r="AW231" s="28" t="str">
        <f>IFERROR(VLOOKUP(AU231,Horarios!$H:$I,2,0),"")</f>
        <v/>
      </c>
      <c r="AX231" s="28" t="str">
        <f>IFERROR(VLOOKUP(AV231,Horarios!$H:$I,2,0),"")</f>
        <v/>
      </c>
      <c r="AY231" s="28" t="str">
        <f t="shared" si="152"/>
        <v>00:00</v>
      </c>
      <c r="AZ231" s="29"/>
      <c r="BA231" s="27"/>
      <c r="BB231" s="27"/>
      <c r="BC231" s="28" t="str">
        <f>IFERROR(VLOOKUP(BA231,Horarios!$H:$I,2,0),"")</f>
        <v/>
      </c>
      <c r="BD231" s="28" t="str">
        <f>IFERROR(VLOOKUP(BB231,Horarios!$H:$I,2,0),"")</f>
        <v/>
      </c>
      <c r="BE231" s="28" t="str">
        <f t="shared" si="153"/>
        <v>00:00</v>
      </c>
      <c r="BF231" s="29"/>
      <c r="BG231" s="27"/>
      <c r="BH231" s="27"/>
      <c r="BI231" s="28" t="str">
        <f>IFERROR(VLOOKUP(BG231,Horarios!$H:$I,2,0),"")</f>
        <v/>
      </c>
      <c r="BJ231" s="28" t="str">
        <f>IFERROR(VLOOKUP(BH231,Horarios!$H:$I,2,0),"")</f>
        <v/>
      </c>
      <c r="BK231" s="28" t="str">
        <f t="shared" si="154"/>
        <v>00:00</v>
      </c>
      <c r="BL231" s="29"/>
      <c r="BM231" s="27"/>
      <c r="BN231" s="27"/>
      <c r="BO231" s="28" t="str">
        <f>IFERROR(VLOOKUP(BM231,Horarios!$H:$I,2,0),"")</f>
        <v/>
      </c>
      <c r="BP231" s="28" t="str">
        <f>IFERROR(VLOOKUP(BN231,Horarios!$H:$I,2,0),"")</f>
        <v/>
      </c>
      <c r="BQ231" s="28" t="str">
        <f t="shared" si="155"/>
        <v>00:00</v>
      </c>
      <c r="BR231" s="29"/>
      <c r="BS231" s="27"/>
      <c r="BT231" s="27"/>
      <c r="BU231" s="28" t="str">
        <f>IFERROR(VLOOKUP(BS231,Horarios!$H:$I,2,0),"")</f>
        <v/>
      </c>
      <c r="BV231" s="28" t="str">
        <f>IFERROR(VLOOKUP(BT231,Horarios!$H:$I,2,0),"")</f>
        <v/>
      </c>
      <c r="BW231" s="28" t="str">
        <f t="shared" si="156"/>
        <v>00:00</v>
      </c>
      <c r="BX231" s="29"/>
      <c r="BY231" s="27"/>
      <c r="BZ231" s="27"/>
      <c r="CA231" s="28" t="str">
        <f>IFERROR(VLOOKUP(BY231,Horarios!$H:$I,2,0),"")</f>
        <v/>
      </c>
      <c r="CB231" s="28" t="str">
        <f>IFERROR(VLOOKUP(BZ231,Horarios!$H:$I,2,0),"")</f>
        <v/>
      </c>
      <c r="CC231" s="28" t="str">
        <f t="shared" si="157"/>
        <v>00:00</v>
      </c>
      <c r="CD231" s="29"/>
      <c r="CE231" s="27"/>
      <c r="CF231" s="27"/>
      <c r="CG231" s="28" t="str">
        <f>IFERROR(VLOOKUP(CE231,Horarios!$H:$I,2,0),"")</f>
        <v/>
      </c>
      <c r="CH231" s="28" t="str">
        <f>IFERROR(VLOOKUP(CF231,Horarios!$H:$I,2,0),"")</f>
        <v/>
      </c>
      <c r="CI231" s="28" t="str">
        <f t="shared" si="158"/>
        <v>00:00</v>
      </c>
      <c r="CJ231" s="29"/>
      <c r="CK231" s="31" t="str">
        <f t="shared" si="159"/>
        <v/>
      </c>
      <c r="CL231" s="27"/>
      <c r="CM231" s="27"/>
      <c r="CN231" s="28" t="str">
        <f>IFERROR(VLOOKUP(CL231,Horarios!$H:$I,2,0),"")</f>
        <v/>
      </c>
      <c r="CO231" s="28" t="str">
        <f>IFERROR(VLOOKUP(CM231,Horarios!$H:$I,2,0),"")</f>
        <v/>
      </c>
      <c r="CP231" s="28" t="str">
        <f t="shared" si="160"/>
        <v>00:00</v>
      </c>
      <c r="CQ231" s="29"/>
      <c r="CR231" s="27"/>
      <c r="CS231" s="27"/>
      <c r="CT231" s="28" t="str">
        <f>IFERROR(VLOOKUP(CR231,Horarios!$H:$I,2,0),"")</f>
        <v/>
      </c>
      <c r="CU231" s="28" t="str">
        <f>IFERROR(VLOOKUP(CS231,Horarios!$H:$I,2,0),"")</f>
        <v/>
      </c>
      <c r="CV231" s="28" t="str">
        <f t="shared" si="161"/>
        <v>00:00</v>
      </c>
      <c r="CW231" s="29"/>
      <c r="CX231" s="27"/>
      <c r="CY231" s="27"/>
      <c r="CZ231" s="28" t="str">
        <f>IFERROR(VLOOKUP(CX231,Horarios!$H:$I,2,0),"")</f>
        <v/>
      </c>
      <c r="DA231" s="28" t="str">
        <f>IFERROR(VLOOKUP(CY231,Horarios!$H:$I,2,0),"")</f>
        <v/>
      </c>
      <c r="DB231" s="28" t="str">
        <f t="shared" si="162"/>
        <v>00:00</v>
      </c>
      <c r="DC231" s="29"/>
      <c r="DD231" s="27"/>
      <c r="DE231" s="27"/>
      <c r="DF231" s="28" t="str">
        <f>IFERROR(VLOOKUP(DD231,Horarios!$H:$I,2,0),"")</f>
        <v/>
      </c>
      <c r="DG231" s="28" t="str">
        <f>IFERROR(VLOOKUP(DE231,Horarios!$H:$I,2,0),"")</f>
        <v/>
      </c>
      <c r="DH231" s="28" t="str">
        <f t="shared" si="163"/>
        <v>00:00</v>
      </c>
      <c r="DI231" s="29"/>
      <c r="DJ231" s="27"/>
      <c r="DK231" s="27"/>
      <c r="DL231" s="28" t="str">
        <f>IFERROR(VLOOKUP(DJ231,Horarios!$H:$I,2,0),"")</f>
        <v/>
      </c>
      <c r="DM231" s="28" t="str">
        <f>IFERROR(VLOOKUP(DK231,Horarios!$H:$I,2,0),"")</f>
        <v/>
      </c>
      <c r="DN231" s="28" t="str">
        <f t="shared" si="164"/>
        <v>00:00</v>
      </c>
      <c r="DO231" s="29"/>
      <c r="DP231" s="27"/>
      <c r="DQ231" s="27"/>
      <c r="DR231" s="28" t="str">
        <f>IFERROR(VLOOKUP(DP231,Horarios!$H:$I,2,0),"")</f>
        <v/>
      </c>
      <c r="DS231" s="28" t="str">
        <f>IFERROR(VLOOKUP(DQ231,Horarios!$H:$I,2,0),"")</f>
        <v/>
      </c>
      <c r="DT231" s="28" t="str">
        <f t="shared" si="165"/>
        <v>00:00</v>
      </c>
      <c r="DU231" s="29"/>
      <c r="DV231" s="27"/>
      <c r="DW231" s="27"/>
      <c r="DX231" s="28" t="str">
        <f>IFERROR(VLOOKUP(DV231,Horarios!$H:$I,2,0),"")</f>
        <v/>
      </c>
      <c r="DY231" s="28" t="str">
        <f>IFERROR(VLOOKUP(DW231,Horarios!$H:$I,2,0),"")</f>
        <v/>
      </c>
      <c r="DZ231" s="28" t="str">
        <f t="shared" si="166"/>
        <v>00:00</v>
      </c>
      <c r="EA231" s="29"/>
      <c r="EB231" s="31" t="str">
        <f t="shared" si="167"/>
        <v/>
      </c>
      <c r="EC231" s="27"/>
      <c r="ED231" s="27"/>
      <c r="EE231" s="28" t="str">
        <f>IFERROR(VLOOKUP(EC231,Horarios!$H:$I,2,0),"")</f>
        <v/>
      </c>
      <c r="EF231" s="28" t="str">
        <f>IFERROR(VLOOKUP(ED231,Horarios!$H:$I,2,0),"")</f>
        <v/>
      </c>
      <c r="EG231" s="28" t="str">
        <f t="shared" si="168"/>
        <v>00:00</v>
      </c>
      <c r="EH231" s="29"/>
      <c r="EI231" s="27"/>
      <c r="EJ231" s="27"/>
      <c r="EK231" s="28" t="str">
        <f>IFERROR(VLOOKUP(EI231,Horarios!$H:$I,2,0),"")</f>
        <v/>
      </c>
      <c r="EL231" s="28" t="str">
        <f>IFERROR(VLOOKUP(EJ231,Horarios!$H:$I,2,0),"")</f>
        <v/>
      </c>
      <c r="EM231" s="28" t="str">
        <f t="shared" si="169"/>
        <v>00:00</v>
      </c>
      <c r="EN231" s="29"/>
      <c r="EO231" s="27"/>
      <c r="EP231" s="27"/>
      <c r="EQ231" s="28" t="str">
        <f>IFERROR(VLOOKUP(EO231,Horarios!$H:$I,2,0),"")</f>
        <v/>
      </c>
      <c r="ER231" s="28" t="str">
        <f>IFERROR(VLOOKUP(EP231,Horarios!$H:$I,2,0),"")</f>
        <v/>
      </c>
      <c r="ES231" s="28" t="str">
        <f t="shared" si="170"/>
        <v>00:00</v>
      </c>
      <c r="ET231" s="29"/>
      <c r="EU231" s="27"/>
      <c r="EV231" s="27"/>
      <c r="EW231" s="28" t="str">
        <f>IFERROR(VLOOKUP(EU231,Horarios!$H:$I,2,0),"")</f>
        <v/>
      </c>
      <c r="EX231" s="28" t="str">
        <f>IFERROR(VLOOKUP(EV231,Horarios!$H:$I,2,0),"")</f>
        <v/>
      </c>
      <c r="EY231" s="28" t="str">
        <f t="shared" si="171"/>
        <v>00:00</v>
      </c>
      <c r="EZ231" s="29"/>
      <c r="FA231" s="27"/>
      <c r="FB231" s="27"/>
      <c r="FC231" s="28" t="str">
        <f>IFERROR(VLOOKUP(FA231,Horarios!$H:$I,2,0),"")</f>
        <v/>
      </c>
      <c r="FD231" s="28" t="str">
        <f>IFERROR(VLOOKUP(FB231,Horarios!$H:$I,2,0),"")</f>
        <v/>
      </c>
      <c r="FE231" s="28" t="str">
        <f t="shared" si="172"/>
        <v>00:00</v>
      </c>
      <c r="FF231" s="29"/>
      <c r="FG231" s="27"/>
      <c r="FH231" s="27"/>
      <c r="FI231" s="28" t="str">
        <f>IFERROR(VLOOKUP(FG231,Horarios!$H:$I,2,0),"")</f>
        <v/>
      </c>
      <c r="FJ231" s="28" t="str">
        <f>IFERROR(VLOOKUP(FH231,Horarios!$H:$I,2,0),"")</f>
        <v/>
      </c>
      <c r="FK231" s="28" t="str">
        <f t="shared" si="173"/>
        <v>00:00</v>
      </c>
      <c r="FL231" s="29"/>
      <c r="FM231" s="27"/>
      <c r="FN231" s="27"/>
      <c r="FO231" s="28" t="str">
        <f>IFERROR(VLOOKUP(FM231,Horarios!$H:$I,2,0),"")</f>
        <v/>
      </c>
      <c r="FP231" s="28" t="str">
        <f>IFERROR(VLOOKUP(FN231,Horarios!$H:$I,2,0),"")</f>
        <v/>
      </c>
      <c r="FQ231" s="28" t="str">
        <f t="shared" si="174"/>
        <v>00:00</v>
      </c>
      <c r="FR231" s="29"/>
      <c r="FS231" s="31" t="str">
        <f t="shared" si="175"/>
        <v/>
      </c>
      <c r="FT231" s="27"/>
      <c r="FU231" s="27"/>
      <c r="FV231" s="28" t="str">
        <f>IFERROR(VLOOKUP(FT231,Horarios!$H:$I,2,0),"")</f>
        <v/>
      </c>
      <c r="FW231" s="28" t="str">
        <f>IFERROR(VLOOKUP(FU231,Horarios!$H:$I,2,0),"")</f>
        <v/>
      </c>
      <c r="FX231" s="28" t="str">
        <f t="shared" si="176"/>
        <v>00:00</v>
      </c>
      <c r="FY231" s="29"/>
      <c r="FZ231" s="27"/>
      <c r="GA231" s="27"/>
      <c r="GB231" s="28" t="str">
        <f>IFERROR(VLOOKUP(FZ231,Horarios!$H:$I,2,0),"")</f>
        <v/>
      </c>
      <c r="GC231" s="28" t="str">
        <f>IFERROR(VLOOKUP(GA231,Horarios!$H:$I,2,0),"")</f>
        <v/>
      </c>
      <c r="GD231" s="28" t="str">
        <f t="shared" si="177"/>
        <v>00:00</v>
      </c>
      <c r="GE231" s="29"/>
      <c r="GF231" s="27"/>
      <c r="GG231" s="27"/>
      <c r="GH231" s="28" t="str">
        <f>IFERROR(VLOOKUP(GF231,Horarios!$H:$I,2,0),"")</f>
        <v/>
      </c>
      <c r="GI231" s="28" t="str">
        <f>IFERROR(VLOOKUP(GG231,Horarios!$H:$I,2,0),"")</f>
        <v/>
      </c>
      <c r="GJ231" s="28" t="str">
        <f t="shared" si="178"/>
        <v>00:00</v>
      </c>
      <c r="GK231" s="29"/>
      <c r="GL231" s="27"/>
      <c r="GM231" s="27"/>
      <c r="GN231" s="28" t="str">
        <f>IFERROR(VLOOKUP(GL231,Horarios!$H:$I,2,0),"")</f>
        <v/>
      </c>
      <c r="GO231" s="28" t="str">
        <f>IFERROR(VLOOKUP(GM231,Horarios!$H:$I,2,0),"")</f>
        <v/>
      </c>
      <c r="GP231" s="28" t="str">
        <f t="shared" si="179"/>
        <v>00:00</v>
      </c>
      <c r="GQ231" s="29"/>
      <c r="GR231" s="27"/>
      <c r="GS231" s="27"/>
      <c r="GT231" s="28" t="str">
        <f>IFERROR(VLOOKUP(GR231,Horarios!$H:$I,2,0),"")</f>
        <v/>
      </c>
      <c r="GU231" s="28" t="str">
        <f>IFERROR(VLOOKUP(GS231,Horarios!$H:$I,2,0),"")</f>
        <v/>
      </c>
      <c r="GV231" s="28" t="str">
        <f t="shared" si="180"/>
        <v>00:00</v>
      </c>
      <c r="GW231" s="29"/>
      <c r="GX231" s="27"/>
      <c r="GY231" s="27"/>
      <c r="GZ231" s="28" t="str">
        <f>IFERROR(VLOOKUP(GX231,Horarios!$H:$I,2,0),"")</f>
        <v/>
      </c>
      <c r="HA231" s="28" t="str">
        <f>IFERROR(VLOOKUP(GY231,Horarios!$H:$I,2,0),"")</f>
        <v/>
      </c>
      <c r="HB231" s="28" t="str">
        <f t="shared" si="181"/>
        <v>00:00</v>
      </c>
      <c r="HC231" s="29"/>
      <c r="HD231" s="27"/>
      <c r="HE231" s="27"/>
      <c r="HF231" s="28" t="str">
        <f>IFERROR(VLOOKUP(HD231,Horarios!$H:$I,2,0),"")</f>
        <v/>
      </c>
      <c r="HG231" s="28" t="str">
        <f>IFERROR(VLOOKUP(HE231,Horarios!$H:$I,2,0),"")</f>
        <v/>
      </c>
      <c r="HH231" s="28" t="str">
        <f t="shared" si="182"/>
        <v>00:00</v>
      </c>
      <c r="HI231" s="29"/>
      <c r="HJ231" s="31" t="str">
        <f t="shared" si="183"/>
        <v/>
      </c>
      <c r="HK231" s="27"/>
      <c r="HL231" s="27"/>
      <c r="HM231" s="28" t="str">
        <f>IFERROR(VLOOKUP(HK231,Horarios!$H:$I,2,0),"")</f>
        <v/>
      </c>
      <c r="HN231" s="28" t="str">
        <f>IFERROR(VLOOKUP(HL231,Horarios!$H:$I,2,0),"")</f>
        <v/>
      </c>
      <c r="HO231" s="28" t="str">
        <f t="shared" si="184"/>
        <v>00:00</v>
      </c>
      <c r="HP231" s="29"/>
      <c r="HQ231" s="27"/>
      <c r="HR231" s="27"/>
      <c r="HS231" s="28" t="str">
        <f>IFERROR(VLOOKUP(HQ231,Horarios!$H:$I,2,0),"")</f>
        <v/>
      </c>
      <c r="HT231" s="28" t="str">
        <f>IFERROR(VLOOKUP(HR231,Horarios!$H:$I,2,0),"")</f>
        <v/>
      </c>
      <c r="HU231" s="28" t="str">
        <f t="shared" si="185"/>
        <v>00:00</v>
      </c>
      <c r="HV231" s="29"/>
      <c r="HW231" s="27"/>
      <c r="HX231" s="27"/>
      <c r="HY231" s="28" t="str">
        <f>IFERROR(VLOOKUP(HW231,Horarios!$H:$I,2,0),"")</f>
        <v/>
      </c>
      <c r="HZ231" s="28" t="str">
        <f>IFERROR(VLOOKUP(HX231,Horarios!$H:$I,2,0),"")</f>
        <v/>
      </c>
      <c r="IA231" s="28" t="str">
        <f t="shared" si="186"/>
        <v>00:00</v>
      </c>
      <c r="IB231" s="29"/>
      <c r="IC231" s="27"/>
      <c r="ID231" s="27"/>
      <c r="IE231" s="28" t="str">
        <f>IFERROR(VLOOKUP(IC231,Horarios!$H:$I,2,0),"")</f>
        <v/>
      </c>
      <c r="IF231" s="28" t="str">
        <f>IFERROR(VLOOKUP(ID231,Horarios!$H:$I,2,0),"")</f>
        <v/>
      </c>
      <c r="IG231" s="28" t="str">
        <f t="shared" si="187"/>
        <v>00:00</v>
      </c>
      <c r="IH231" s="29"/>
      <c r="II231" s="27"/>
      <c r="IJ231" s="27"/>
      <c r="IK231" s="28" t="str">
        <f>IFERROR(VLOOKUP(II231,Horarios!$H:$I,2,0),"")</f>
        <v/>
      </c>
      <c r="IL231" s="28" t="str">
        <f>IFERROR(VLOOKUP(IJ231,Horarios!$H:$I,2,0),"")</f>
        <v/>
      </c>
      <c r="IM231" s="28" t="str">
        <f t="shared" si="188"/>
        <v>00:00</v>
      </c>
      <c r="IN231" s="29"/>
      <c r="IO231" s="27"/>
      <c r="IP231" s="27"/>
      <c r="IQ231" s="28" t="str">
        <f>IFERROR(VLOOKUP(IO231,Horarios!$H:$I,2,0),"")</f>
        <v/>
      </c>
      <c r="IR231" s="28" t="str">
        <f>IFERROR(VLOOKUP(IP231,Horarios!$H:$I,2,0),"")</f>
        <v/>
      </c>
      <c r="IS231" s="28" t="str">
        <f t="shared" si="189"/>
        <v>00:00</v>
      </c>
      <c r="IT231" s="29"/>
      <c r="IU231" s="27"/>
      <c r="IV231" s="27"/>
      <c r="IW231" s="28" t="str">
        <f>IFERROR(VLOOKUP(IU231,Horarios!$H:$I,2,0),"")</f>
        <v/>
      </c>
      <c r="IX231" s="28" t="str">
        <f>IFERROR(VLOOKUP(IV231,Horarios!$H:$I,2,0),"")</f>
        <v/>
      </c>
      <c r="IY231" s="28" t="str">
        <f t="shared" si="190"/>
        <v>00:00</v>
      </c>
      <c r="IZ231" s="29"/>
      <c r="JA231" s="31" t="str">
        <f t="shared" si="191"/>
        <v/>
      </c>
    </row>
    <row r="232" spans="1:261" s="24" customFormat="1" ht="17.399999999999999" x14ac:dyDescent="0.25">
      <c r="A232" s="25"/>
      <c r="B232" s="26" t="str">
        <f>IFERROR(VLOOKUP(A232,BaseNombres!A:B,2,0),"")</f>
        <v/>
      </c>
      <c r="C232" s="26" t="str">
        <f>IFERROR(VLOOKUP(A232,BaseNombres!A:C,3,0),"")</f>
        <v/>
      </c>
      <c r="D232" s="27"/>
      <c r="E232" s="27"/>
      <c r="F232" s="28" t="str">
        <f>IFERROR(VLOOKUP(D232,Horarios!$H:$I,2,0),"")</f>
        <v/>
      </c>
      <c r="G232" s="28" t="str">
        <f>IFERROR(VLOOKUP(E232,Horarios!$H:$I,2,0),"")</f>
        <v/>
      </c>
      <c r="H232" s="28" t="str">
        <f t="shared" si="144"/>
        <v>00:00</v>
      </c>
      <c r="I232" s="29"/>
      <c r="J232" s="27"/>
      <c r="K232" s="27"/>
      <c r="L232" s="28" t="str">
        <f>IFERROR(VLOOKUP(J232,Horarios!$H:$I,2,0),"")</f>
        <v/>
      </c>
      <c r="M232" s="28" t="str">
        <f>IFERROR(VLOOKUP(K232,Horarios!$H:$I,2,0),"")</f>
        <v/>
      </c>
      <c r="N232" s="28" t="str">
        <f t="shared" si="145"/>
        <v>00:00</v>
      </c>
      <c r="O232" s="29"/>
      <c r="P232" s="27"/>
      <c r="Q232" s="27"/>
      <c r="R232" s="28" t="str">
        <f>IFERROR(VLOOKUP(P232,Horarios!$H:$I,2,0),"")</f>
        <v/>
      </c>
      <c r="S232" s="28" t="str">
        <f>IFERROR(VLOOKUP(Q232,Horarios!$H:$I,2,0),"")</f>
        <v/>
      </c>
      <c r="T232" s="28" t="str">
        <f t="shared" si="146"/>
        <v>00:00</v>
      </c>
      <c r="U232" s="29"/>
      <c r="V232" s="27"/>
      <c r="W232" s="27"/>
      <c r="X232" s="28" t="str">
        <f>IFERROR(VLOOKUP(V232,Horarios!$H:$I,2,0),"")</f>
        <v/>
      </c>
      <c r="Y232" s="28" t="str">
        <f>IFERROR(VLOOKUP(W232,Horarios!$H:$I,2,0),"")</f>
        <v/>
      </c>
      <c r="Z232" s="28" t="str">
        <f t="shared" si="147"/>
        <v>00:00</v>
      </c>
      <c r="AA232" s="29"/>
      <c r="AB232" s="27"/>
      <c r="AC232" s="27"/>
      <c r="AD232" s="28" t="str">
        <f>IFERROR(VLOOKUP(AB232,Horarios!$H:$I,2,0),"")</f>
        <v/>
      </c>
      <c r="AE232" s="28" t="str">
        <f>IFERROR(VLOOKUP(AC232,Horarios!$H:$I,2,0),"")</f>
        <v/>
      </c>
      <c r="AF232" s="28" t="str">
        <f t="shared" si="148"/>
        <v>00:00</v>
      </c>
      <c r="AG232" s="29"/>
      <c r="AH232" s="27"/>
      <c r="AI232" s="27"/>
      <c r="AJ232" s="28" t="str">
        <f>IFERROR(VLOOKUP(AH232,Horarios!$H:$I,2,0),"")</f>
        <v/>
      </c>
      <c r="AK232" s="28" t="str">
        <f>IFERROR(VLOOKUP(AI232,Horarios!$H:$I,2,0),"")</f>
        <v/>
      </c>
      <c r="AL232" s="28" t="str">
        <f t="shared" si="149"/>
        <v>00:00</v>
      </c>
      <c r="AM232" s="29"/>
      <c r="AN232" s="27"/>
      <c r="AO232" s="27"/>
      <c r="AP232" s="28" t="str">
        <f>IFERROR(VLOOKUP(AN232,Horarios!$H:$I,2,0),"")</f>
        <v/>
      </c>
      <c r="AQ232" s="28" t="str">
        <f>IFERROR(VLOOKUP(AO232,Horarios!$H:$I,2,0),"")</f>
        <v/>
      </c>
      <c r="AR232" s="28" t="str">
        <f t="shared" si="150"/>
        <v>00:00</v>
      </c>
      <c r="AS232" s="29"/>
      <c r="AT232" s="31" t="str">
        <f t="shared" si="151"/>
        <v/>
      </c>
      <c r="AU232" s="27"/>
      <c r="AV232" s="27"/>
      <c r="AW232" s="28" t="str">
        <f>IFERROR(VLOOKUP(AU232,Horarios!$H:$I,2,0),"")</f>
        <v/>
      </c>
      <c r="AX232" s="28" t="str">
        <f>IFERROR(VLOOKUP(AV232,Horarios!$H:$I,2,0),"")</f>
        <v/>
      </c>
      <c r="AY232" s="28" t="str">
        <f t="shared" si="152"/>
        <v>00:00</v>
      </c>
      <c r="AZ232" s="29"/>
      <c r="BA232" s="27"/>
      <c r="BB232" s="27"/>
      <c r="BC232" s="28" t="str">
        <f>IFERROR(VLOOKUP(BA232,Horarios!$H:$I,2,0),"")</f>
        <v/>
      </c>
      <c r="BD232" s="28" t="str">
        <f>IFERROR(VLOOKUP(BB232,Horarios!$H:$I,2,0),"")</f>
        <v/>
      </c>
      <c r="BE232" s="28" t="str">
        <f t="shared" si="153"/>
        <v>00:00</v>
      </c>
      <c r="BF232" s="29"/>
      <c r="BG232" s="27"/>
      <c r="BH232" s="27"/>
      <c r="BI232" s="28" t="str">
        <f>IFERROR(VLOOKUP(BG232,Horarios!$H:$I,2,0),"")</f>
        <v/>
      </c>
      <c r="BJ232" s="28" t="str">
        <f>IFERROR(VLOOKUP(BH232,Horarios!$H:$I,2,0),"")</f>
        <v/>
      </c>
      <c r="BK232" s="28" t="str">
        <f t="shared" si="154"/>
        <v>00:00</v>
      </c>
      <c r="BL232" s="29"/>
      <c r="BM232" s="27"/>
      <c r="BN232" s="27"/>
      <c r="BO232" s="28" t="str">
        <f>IFERROR(VLOOKUP(BM232,Horarios!$H:$I,2,0),"")</f>
        <v/>
      </c>
      <c r="BP232" s="28" t="str">
        <f>IFERROR(VLOOKUP(BN232,Horarios!$H:$I,2,0),"")</f>
        <v/>
      </c>
      <c r="BQ232" s="28" t="str">
        <f t="shared" si="155"/>
        <v>00:00</v>
      </c>
      <c r="BR232" s="29"/>
      <c r="BS232" s="27"/>
      <c r="BT232" s="27"/>
      <c r="BU232" s="28" t="str">
        <f>IFERROR(VLOOKUP(BS232,Horarios!$H:$I,2,0),"")</f>
        <v/>
      </c>
      <c r="BV232" s="28" t="str">
        <f>IFERROR(VLOOKUP(BT232,Horarios!$H:$I,2,0),"")</f>
        <v/>
      </c>
      <c r="BW232" s="28" t="str">
        <f t="shared" si="156"/>
        <v>00:00</v>
      </c>
      <c r="BX232" s="29"/>
      <c r="BY232" s="27"/>
      <c r="BZ232" s="27"/>
      <c r="CA232" s="28" t="str">
        <f>IFERROR(VLOOKUP(BY232,Horarios!$H:$I,2,0),"")</f>
        <v/>
      </c>
      <c r="CB232" s="28" t="str">
        <f>IFERROR(VLOOKUP(BZ232,Horarios!$H:$I,2,0),"")</f>
        <v/>
      </c>
      <c r="CC232" s="28" t="str">
        <f t="shared" si="157"/>
        <v>00:00</v>
      </c>
      <c r="CD232" s="29"/>
      <c r="CE232" s="27"/>
      <c r="CF232" s="27"/>
      <c r="CG232" s="28" t="str">
        <f>IFERROR(VLOOKUP(CE232,Horarios!$H:$I,2,0),"")</f>
        <v/>
      </c>
      <c r="CH232" s="28" t="str">
        <f>IFERROR(VLOOKUP(CF232,Horarios!$H:$I,2,0),"")</f>
        <v/>
      </c>
      <c r="CI232" s="28" t="str">
        <f t="shared" si="158"/>
        <v>00:00</v>
      </c>
      <c r="CJ232" s="29"/>
      <c r="CK232" s="31" t="str">
        <f t="shared" si="159"/>
        <v/>
      </c>
      <c r="CL232" s="27"/>
      <c r="CM232" s="27"/>
      <c r="CN232" s="28" t="str">
        <f>IFERROR(VLOOKUP(CL232,Horarios!$H:$I,2,0),"")</f>
        <v/>
      </c>
      <c r="CO232" s="28" t="str">
        <f>IFERROR(VLOOKUP(CM232,Horarios!$H:$I,2,0),"")</f>
        <v/>
      </c>
      <c r="CP232" s="28" t="str">
        <f t="shared" si="160"/>
        <v>00:00</v>
      </c>
      <c r="CQ232" s="29"/>
      <c r="CR232" s="27"/>
      <c r="CS232" s="27"/>
      <c r="CT232" s="28" t="str">
        <f>IFERROR(VLOOKUP(CR232,Horarios!$H:$I,2,0),"")</f>
        <v/>
      </c>
      <c r="CU232" s="28" t="str">
        <f>IFERROR(VLOOKUP(CS232,Horarios!$H:$I,2,0),"")</f>
        <v/>
      </c>
      <c r="CV232" s="28" t="str">
        <f t="shared" si="161"/>
        <v>00:00</v>
      </c>
      <c r="CW232" s="29"/>
      <c r="CX232" s="27"/>
      <c r="CY232" s="27"/>
      <c r="CZ232" s="28" t="str">
        <f>IFERROR(VLOOKUP(CX232,Horarios!$H:$I,2,0),"")</f>
        <v/>
      </c>
      <c r="DA232" s="28" t="str">
        <f>IFERROR(VLOOKUP(CY232,Horarios!$H:$I,2,0),"")</f>
        <v/>
      </c>
      <c r="DB232" s="28" t="str">
        <f t="shared" si="162"/>
        <v>00:00</v>
      </c>
      <c r="DC232" s="29"/>
      <c r="DD232" s="27"/>
      <c r="DE232" s="27"/>
      <c r="DF232" s="28" t="str">
        <f>IFERROR(VLOOKUP(DD232,Horarios!$H:$I,2,0),"")</f>
        <v/>
      </c>
      <c r="DG232" s="28" t="str">
        <f>IFERROR(VLOOKUP(DE232,Horarios!$H:$I,2,0),"")</f>
        <v/>
      </c>
      <c r="DH232" s="28" t="str">
        <f t="shared" si="163"/>
        <v>00:00</v>
      </c>
      <c r="DI232" s="29"/>
      <c r="DJ232" s="27"/>
      <c r="DK232" s="27"/>
      <c r="DL232" s="28" t="str">
        <f>IFERROR(VLOOKUP(DJ232,Horarios!$H:$I,2,0),"")</f>
        <v/>
      </c>
      <c r="DM232" s="28" t="str">
        <f>IFERROR(VLOOKUP(DK232,Horarios!$H:$I,2,0),"")</f>
        <v/>
      </c>
      <c r="DN232" s="28" t="str">
        <f t="shared" si="164"/>
        <v>00:00</v>
      </c>
      <c r="DO232" s="29"/>
      <c r="DP232" s="27"/>
      <c r="DQ232" s="27"/>
      <c r="DR232" s="28" t="str">
        <f>IFERROR(VLOOKUP(DP232,Horarios!$H:$I,2,0),"")</f>
        <v/>
      </c>
      <c r="DS232" s="28" t="str">
        <f>IFERROR(VLOOKUP(DQ232,Horarios!$H:$I,2,0),"")</f>
        <v/>
      </c>
      <c r="DT232" s="28" t="str">
        <f t="shared" si="165"/>
        <v>00:00</v>
      </c>
      <c r="DU232" s="29"/>
      <c r="DV232" s="27"/>
      <c r="DW232" s="27"/>
      <c r="DX232" s="28" t="str">
        <f>IFERROR(VLOOKUP(DV232,Horarios!$H:$I,2,0),"")</f>
        <v/>
      </c>
      <c r="DY232" s="28" t="str">
        <f>IFERROR(VLOOKUP(DW232,Horarios!$H:$I,2,0),"")</f>
        <v/>
      </c>
      <c r="DZ232" s="28" t="str">
        <f t="shared" si="166"/>
        <v>00:00</v>
      </c>
      <c r="EA232" s="29"/>
      <c r="EB232" s="31" t="str">
        <f t="shared" si="167"/>
        <v/>
      </c>
      <c r="EC232" s="27"/>
      <c r="ED232" s="27"/>
      <c r="EE232" s="28" t="str">
        <f>IFERROR(VLOOKUP(EC232,Horarios!$H:$I,2,0),"")</f>
        <v/>
      </c>
      <c r="EF232" s="28" t="str">
        <f>IFERROR(VLOOKUP(ED232,Horarios!$H:$I,2,0),"")</f>
        <v/>
      </c>
      <c r="EG232" s="28" t="str">
        <f t="shared" si="168"/>
        <v>00:00</v>
      </c>
      <c r="EH232" s="29"/>
      <c r="EI232" s="27"/>
      <c r="EJ232" s="27"/>
      <c r="EK232" s="28" t="str">
        <f>IFERROR(VLOOKUP(EI232,Horarios!$H:$I,2,0),"")</f>
        <v/>
      </c>
      <c r="EL232" s="28" t="str">
        <f>IFERROR(VLOOKUP(EJ232,Horarios!$H:$I,2,0),"")</f>
        <v/>
      </c>
      <c r="EM232" s="28" t="str">
        <f t="shared" si="169"/>
        <v>00:00</v>
      </c>
      <c r="EN232" s="29"/>
      <c r="EO232" s="27"/>
      <c r="EP232" s="27"/>
      <c r="EQ232" s="28" t="str">
        <f>IFERROR(VLOOKUP(EO232,Horarios!$H:$I,2,0),"")</f>
        <v/>
      </c>
      <c r="ER232" s="28" t="str">
        <f>IFERROR(VLOOKUP(EP232,Horarios!$H:$I,2,0),"")</f>
        <v/>
      </c>
      <c r="ES232" s="28" t="str">
        <f t="shared" si="170"/>
        <v>00:00</v>
      </c>
      <c r="ET232" s="29"/>
      <c r="EU232" s="27"/>
      <c r="EV232" s="27"/>
      <c r="EW232" s="28" t="str">
        <f>IFERROR(VLOOKUP(EU232,Horarios!$H:$I,2,0),"")</f>
        <v/>
      </c>
      <c r="EX232" s="28" t="str">
        <f>IFERROR(VLOOKUP(EV232,Horarios!$H:$I,2,0),"")</f>
        <v/>
      </c>
      <c r="EY232" s="28" t="str">
        <f t="shared" si="171"/>
        <v>00:00</v>
      </c>
      <c r="EZ232" s="29"/>
      <c r="FA232" s="27"/>
      <c r="FB232" s="27"/>
      <c r="FC232" s="28" t="str">
        <f>IFERROR(VLOOKUP(FA232,Horarios!$H:$I,2,0),"")</f>
        <v/>
      </c>
      <c r="FD232" s="28" t="str">
        <f>IFERROR(VLOOKUP(FB232,Horarios!$H:$I,2,0),"")</f>
        <v/>
      </c>
      <c r="FE232" s="28" t="str">
        <f t="shared" si="172"/>
        <v>00:00</v>
      </c>
      <c r="FF232" s="29"/>
      <c r="FG232" s="27"/>
      <c r="FH232" s="27"/>
      <c r="FI232" s="28" t="str">
        <f>IFERROR(VLOOKUP(FG232,Horarios!$H:$I,2,0),"")</f>
        <v/>
      </c>
      <c r="FJ232" s="28" t="str">
        <f>IFERROR(VLOOKUP(FH232,Horarios!$H:$I,2,0),"")</f>
        <v/>
      </c>
      <c r="FK232" s="28" t="str">
        <f t="shared" si="173"/>
        <v>00:00</v>
      </c>
      <c r="FL232" s="29"/>
      <c r="FM232" s="27"/>
      <c r="FN232" s="27"/>
      <c r="FO232" s="28" t="str">
        <f>IFERROR(VLOOKUP(FM232,Horarios!$H:$I,2,0),"")</f>
        <v/>
      </c>
      <c r="FP232" s="28" t="str">
        <f>IFERROR(VLOOKUP(FN232,Horarios!$H:$I,2,0),"")</f>
        <v/>
      </c>
      <c r="FQ232" s="28" t="str">
        <f t="shared" si="174"/>
        <v>00:00</v>
      </c>
      <c r="FR232" s="29"/>
      <c r="FS232" s="31" t="str">
        <f t="shared" si="175"/>
        <v/>
      </c>
      <c r="FT232" s="27"/>
      <c r="FU232" s="27"/>
      <c r="FV232" s="28" t="str">
        <f>IFERROR(VLOOKUP(FT232,Horarios!$H:$I,2,0),"")</f>
        <v/>
      </c>
      <c r="FW232" s="28" t="str">
        <f>IFERROR(VLOOKUP(FU232,Horarios!$H:$I,2,0),"")</f>
        <v/>
      </c>
      <c r="FX232" s="28" t="str">
        <f t="shared" si="176"/>
        <v>00:00</v>
      </c>
      <c r="FY232" s="29"/>
      <c r="FZ232" s="27"/>
      <c r="GA232" s="27"/>
      <c r="GB232" s="28" t="str">
        <f>IFERROR(VLOOKUP(FZ232,Horarios!$H:$I,2,0),"")</f>
        <v/>
      </c>
      <c r="GC232" s="28" t="str">
        <f>IFERROR(VLOOKUP(GA232,Horarios!$H:$I,2,0),"")</f>
        <v/>
      </c>
      <c r="GD232" s="28" t="str">
        <f t="shared" si="177"/>
        <v>00:00</v>
      </c>
      <c r="GE232" s="29"/>
      <c r="GF232" s="27"/>
      <c r="GG232" s="27"/>
      <c r="GH232" s="28" t="str">
        <f>IFERROR(VLOOKUP(GF232,Horarios!$H:$I,2,0),"")</f>
        <v/>
      </c>
      <c r="GI232" s="28" t="str">
        <f>IFERROR(VLOOKUP(GG232,Horarios!$H:$I,2,0),"")</f>
        <v/>
      </c>
      <c r="GJ232" s="28" t="str">
        <f t="shared" si="178"/>
        <v>00:00</v>
      </c>
      <c r="GK232" s="29"/>
      <c r="GL232" s="27"/>
      <c r="GM232" s="27"/>
      <c r="GN232" s="28" t="str">
        <f>IFERROR(VLOOKUP(GL232,Horarios!$H:$I,2,0),"")</f>
        <v/>
      </c>
      <c r="GO232" s="28" t="str">
        <f>IFERROR(VLOOKUP(GM232,Horarios!$H:$I,2,0),"")</f>
        <v/>
      </c>
      <c r="GP232" s="28" t="str">
        <f t="shared" si="179"/>
        <v>00:00</v>
      </c>
      <c r="GQ232" s="29"/>
      <c r="GR232" s="27"/>
      <c r="GS232" s="27"/>
      <c r="GT232" s="28" t="str">
        <f>IFERROR(VLOOKUP(GR232,Horarios!$H:$I,2,0),"")</f>
        <v/>
      </c>
      <c r="GU232" s="28" t="str">
        <f>IFERROR(VLOOKUP(GS232,Horarios!$H:$I,2,0),"")</f>
        <v/>
      </c>
      <c r="GV232" s="28" t="str">
        <f t="shared" si="180"/>
        <v>00:00</v>
      </c>
      <c r="GW232" s="29"/>
      <c r="GX232" s="27"/>
      <c r="GY232" s="27"/>
      <c r="GZ232" s="28" t="str">
        <f>IFERROR(VLOOKUP(GX232,Horarios!$H:$I,2,0),"")</f>
        <v/>
      </c>
      <c r="HA232" s="28" t="str">
        <f>IFERROR(VLOOKUP(GY232,Horarios!$H:$I,2,0),"")</f>
        <v/>
      </c>
      <c r="HB232" s="28" t="str">
        <f t="shared" si="181"/>
        <v>00:00</v>
      </c>
      <c r="HC232" s="29"/>
      <c r="HD232" s="27"/>
      <c r="HE232" s="27"/>
      <c r="HF232" s="28" t="str">
        <f>IFERROR(VLOOKUP(HD232,Horarios!$H:$I,2,0),"")</f>
        <v/>
      </c>
      <c r="HG232" s="28" t="str">
        <f>IFERROR(VLOOKUP(HE232,Horarios!$H:$I,2,0),"")</f>
        <v/>
      </c>
      <c r="HH232" s="28" t="str">
        <f t="shared" si="182"/>
        <v>00:00</v>
      </c>
      <c r="HI232" s="29"/>
      <c r="HJ232" s="31" t="str">
        <f t="shared" si="183"/>
        <v/>
      </c>
      <c r="HK232" s="27"/>
      <c r="HL232" s="27"/>
      <c r="HM232" s="28" t="str">
        <f>IFERROR(VLOOKUP(HK232,Horarios!$H:$I,2,0),"")</f>
        <v/>
      </c>
      <c r="HN232" s="28" t="str">
        <f>IFERROR(VLOOKUP(HL232,Horarios!$H:$I,2,0),"")</f>
        <v/>
      </c>
      <c r="HO232" s="28" t="str">
        <f t="shared" si="184"/>
        <v>00:00</v>
      </c>
      <c r="HP232" s="29"/>
      <c r="HQ232" s="27"/>
      <c r="HR232" s="27"/>
      <c r="HS232" s="28" t="str">
        <f>IFERROR(VLOOKUP(HQ232,Horarios!$H:$I,2,0),"")</f>
        <v/>
      </c>
      <c r="HT232" s="28" t="str">
        <f>IFERROR(VLOOKUP(HR232,Horarios!$H:$I,2,0),"")</f>
        <v/>
      </c>
      <c r="HU232" s="28" t="str">
        <f t="shared" si="185"/>
        <v>00:00</v>
      </c>
      <c r="HV232" s="29"/>
      <c r="HW232" s="27"/>
      <c r="HX232" s="27"/>
      <c r="HY232" s="28" t="str">
        <f>IFERROR(VLOOKUP(HW232,Horarios!$H:$I,2,0),"")</f>
        <v/>
      </c>
      <c r="HZ232" s="28" t="str">
        <f>IFERROR(VLOOKUP(HX232,Horarios!$H:$I,2,0),"")</f>
        <v/>
      </c>
      <c r="IA232" s="28" t="str">
        <f t="shared" si="186"/>
        <v>00:00</v>
      </c>
      <c r="IB232" s="29"/>
      <c r="IC232" s="27"/>
      <c r="ID232" s="27"/>
      <c r="IE232" s="28" t="str">
        <f>IFERROR(VLOOKUP(IC232,Horarios!$H:$I,2,0),"")</f>
        <v/>
      </c>
      <c r="IF232" s="28" t="str">
        <f>IFERROR(VLOOKUP(ID232,Horarios!$H:$I,2,0),"")</f>
        <v/>
      </c>
      <c r="IG232" s="28" t="str">
        <f t="shared" si="187"/>
        <v>00:00</v>
      </c>
      <c r="IH232" s="29"/>
      <c r="II232" s="27"/>
      <c r="IJ232" s="27"/>
      <c r="IK232" s="28" t="str">
        <f>IFERROR(VLOOKUP(II232,Horarios!$H:$I,2,0),"")</f>
        <v/>
      </c>
      <c r="IL232" s="28" t="str">
        <f>IFERROR(VLOOKUP(IJ232,Horarios!$H:$I,2,0),"")</f>
        <v/>
      </c>
      <c r="IM232" s="28" t="str">
        <f t="shared" si="188"/>
        <v>00:00</v>
      </c>
      <c r="IN232" s="29"/>
      <c r="IO232" s="27"/>
      <c r="IP232" s="27"/>
      <c r="IQ232" s="28" t="str">
        <f>IFERROR(VLOOKUP(IO232,Horarios!$H:$I,2,0),"")</f>
        <v/>
      </c>
      <c r="IR232" s="28" t="str">
        <f>IFERROR(VLOOKUP(IP232,Horarios!$H:$I,2,0),"")</f>
        <v/>
      </c>
      <c r="IS232" s="28" t="str">
        <f t="shared" si="189"/>
        <v>00:00</v>
      </c>
      <c r="IT232" s="29"/>
      <c r="IU232" s="27"/>
      <c r="IV232" s="27"/>
      <c r="IW232" s="28" t="str">
        <f>IFERROR(VLOOKUP(IU232,Horarios!$H:$I,2,0),"")</f>
        <v/>
      </c>
      <c r="IX232" s="28" t="str">
        <f>IFERROR(VLOOKUP(IV232,Horarios!$H:$I,2,0),"")</f>
        <v/>
      </c>
      <c r="IY232" s="28" t="str">
        <f t="shared" si="190"/>
        <v>00:00</v>
      </c>
      <c r="IZ232" s="29"/>
      <c r="JA232" s="31" t="str">
        <f t="shared" si="191"/>
        <v/>
      </c>
    </row>
    <row r="233" spans="1:261" s="24" customFormat="1" ht="17.399999999999999" x14ac:dyDescent="0.25">
      <c r="A233" s="25"/>
      <c r="B233" s="26" t="str">
        <f>IFERROR(VLOOKUP(A233,BaseNombres!A:B,2,0),"")</f>
        <v/>
      </c>
      <c r="C233" s="26" t="str">
        <f>IFERROR(VLOOKUP(A233,BaseNombres!A:C,3,0),"")</f>
        <v/>
      </c>
      <c r="D233" s="27"/>
      <c r="E233" s="27"/>
      <c r="F233" s="28" t="str">
        <f>IFERROR(VLOOKUP(D233,Horarios!$H:$I,2,0),"")</f>
        <v/>
      </c>
      <c r="G233" s="28" t="str">
        <f>IFERROR(VLOOKUP(E233,Horarios!$H:$I,2,0),"")</f>
        <v/>
      </c>
      <c r="H233" s="28" t="str">
        <f t="shared" si="144"/>
        <v>00:00</v>
      </c>
      <c r="I233" s="29"/>
      <c r="J233" s="27"/>
      <c r="K233" s="27"/>
      <c r="L233" s="28" t="str">
        <f>IFERROR(VLOOKUP(J233,Horarios!$H:$I,2,0),"")</f>
        <v/>
      </c>
      <c r="M233" s="28" t="str">
        <f>IFERROR(VLOOKUP(K233,Horarios!$H:$I,2,0),"")</f>
        <v/>
      </c>
      <c r="N233" s="28" t="str">
        <f t="shared" si="145"/>
        <v>00:00</v>
      </c>
      <c r="O233" s="29"/>
      <c r="P233" s="27"/>
      <c r="Q233" s="27"/>
      <c r="R233" s="28" t="str">
        <f>IFERROR(VLOOKUP(P233,Horarios!$H:$I,2,0),"")</f>
        <v/>
      </c>
      <c r="S233" s="28" t="str">
        <f>IFERROR(VLOOKUP(Q233,Horarios!$H:$I,2,0),"")</f>
        <v/>
      </c>
      <c r="T233" s="28" t="str">
        <f t="shared" si="146"/>
        <v>00:00</v>
      </c>
      <c r="U233" s="29"/>
      <c r="V233" s="27"/>
      <c r="W233" s="27"/>
      <c r="X233" s="28" t="str">
        <f>IFERROR(VLOOKUP(V233,Horarios!$H:$I,2,0),"")</f>
        <v/>
      </c>
      <c r="Y233" s="28" t="str">
        <f>IFERROR(VLOOKUP(W233,Horarios!$H:$I,2,0),"")</f>
        <v/>
      </c>
      <c r="Z233" s="28" t="str">
        <f t="shared" si="147"/>
        <v>00:00</v>
      </c>
      <c r="AA233" s="29"/>
      <c r="AB233" s="27"/>
      <c r="AC233" s="27"/>
      <c r="AD233" s="28" t="str">
        <f>IFERROR(VLOOKUP(AB233,Horarios!$H:$I,2,0),"")</f>
        <v/>
      </c>
      <c r="AE233" s="28" t="str">
        <f>IFERROR(VLOOKUP(AC233,Horarios!$H:$I,2,0),"")</f>
        <v/>
      </c>
      <c r="AF233" s="28" t="str">
        <f t="shared" si="148"/>
        <v>00:00</v>
      </c>
      <c r="AG233" s="29"/>
      <c r="AH233" s="27"/>
      <c r="AI233" s="27"/>
      <c r="AJ233" s="28" t="str">
        <f>IFERROR(VLOOKUP(AH233,Horarios!$H:$I,2,0),"")</f>
        <v/>
      </c>
      <c r="AK233" s="28" t="str">
        <f>IFERROR(VLOOKUP(AI233,Horarios!$H:$I,2,0),"")</f>
        <v/>
      </c>
      <c r="AL233" s="28" t="str">
        <f t="shared" si="149"/>
        <v>00:00</v>
      </c>
      <c r="AM233" s="29"/>
      <c r="AN233" s="27"/>
      <c r="AO233" s="27"/>
      <c r="AP233" s="28" t="str">
        <f>IFERROR(VLOOKUP(AN233,Horarios!$H:$I,2,0),"")</f>
        <v/>
      </c>
      <c r="AQ233" s="28" t="str">
        <f>IFERROR(VLOOKUP(AO233,Horarios!$H:$I,2,0),"")</f>
        <v/>
      </c>
      <c r="AR233" s="28" t="str">
        <f t="shared" si="150"/>
        <v>00:00</v>
      </c>
      <c r="AS233" s="29"/>
      <c r="AT233" s="31" t="str">
        <f t="shared" si="151"/>
        <v/>
      </c>
      <c r="AU233" s="27"/>
      <c r="AV233" s="27"/>
      <c r="AW233" s="28" t="str">
        <f>IFERROR(VLOOKUP(AU233,Horarios!$H:$I,2,0),"")</f>
        <v/>
      </c>
      <c r="AX233" s="28" t="str">
        <f>IFERROR(VLOOKUP(AV233,Horarios!$H:$I,2,0),"")</f>
        <v/>
      </c>
      <c r="AY233" s="28" t="str">
        <f t="shared" si="152"/>
        <v>00:00</v>
      </c>
      <c r="AZ233" s="29"/>
      <c r="BA233" s="27"/>
      <c r="BB233" s="27"/>
      <c r="BC233" s="28" t="str">
        <f>IFERROR(VLOOKUP(BA233,Horarios!$H:$I,2,0),"")</f>
        <v/>
      </c>
      <c r="BD233" s="28" t="str">
        <f>IFERROR(VLOOKUP(BB233,Horarios!$H:$I,2,0),"")</f>
        <v/>
      </c>
      <c r="BE233" s="28" t="str">
        <f t="shared" si="153"/>
        <v>00:00</v>
      </c>
      <c r="BF233" s="29"/>
      <c r="BG233" s="27"/>
      <c r="BH233" s="27"/>
      <c r="BI233" s="28" t="str">
        <f>IFERROR(VLOOKUP(BG233,Horarios!$H:$I,2,0),"")</f>
        <v/>
      </c>
      <c r="BJ233" s="28" t="str">
        <f>IFERROR(VLOOKUP(BH233,Horarios!$H:$I,2,0),"")</f>
        <v/>
      </c>
      <c r="BK233" s="28" t="str">
        <f t="shared" si="154"/>
        <v>00:00</v>
      </c>
      <c r="BL233" s="29"/>
      <c r="BM233" s="27"/>
      <c r="BN233" s="27"/>
      <c r="BO233" s="28" t="str">
        <f>IFERROR(VLOOKUP(BM233,Horarios!$H:$I,2,0),"")</f>
        <v/>
      </c>
      <c r="BP233" s="28" t="str">
        <f>IFERROR(VLOOKUP(BN233,Horarios!$H:$I,2,0),"")</f>
        <v/>
      </c>
      <c r="BQ233" s="28" t="str">
        <f t="shared" si="155"/>
        <v>00:00</v>
      </c>
      <c r="BR233" s="29"/>
      <c r="BS233" s="27"/>
      <c r="BT233" s="27"/>
      <c r="BU233" s="28" t="str">
        <f>IFERROR(VLOOKUP(BS233,Horarios!$H:$I,2,0),"")</f>
        <v/>
      </c>
      <c r="BV233" s="28" t="str">
        <f>IFERROR(VLOOKUP(BT233,Horarios!$H:$I,2,0),"")</f>
        <v/>
      </c>
      <c r="BW233" s="28" t="str">
        <f t="shared" si="156"/>
        <v>00:00</v>
      </c>
      <c r="BX233" s="29"/>
      <c r="BY233" s="27"/>
      <c r="BZ233" s="27"/>
      <c r="CA233" s="28" t="str">
        <f>IFERROR(VLOOKUP(BY233,Horarios!$H:$I,2,0),"")</f>
        <v/>
      </c>
      <c r="CB233" s="28" t="str">
        <f>IFERROR(VLOOKUP(BZ233,Horarios!$H:$I,2,0),"")</f>
        <v/>
      </c>
      <c r="CC233" s="28" t="str">
        <f t="shared" si="157"/>
        <v>00:00</v>
      </c>
      <c r="CD233" s="29"/>
      <c r="CE233" s="27"/>
      <c r="CF233" s="27"/>
      <c r="CG233" s="28" t="str">
        <f>IFERROR(VLOOKUP(CE233,Horarios!$H:$I,2,0),"")</f>
        <v/>
      </c>
      <c r="CH233" s="28" t="str">
        <f>IFERROR(VLOOKUP(CF233,Horarios!$H:$I,2,0),"")</f>
        <v/>
      </c>
      <c r="CI233" s="28" t="str">
        <f t="shared" si="158"/>
        <v>00:00</v>
      </c>
      <c r="CJ233" s="29"/>
      <c r="CK233" s="31" t="str">
        <f t="shared" si="159"/>
        <v/>
      </c>
      <c r="CL233" s="27"/>
      <c r="CM233" s="27"/>
      <c r="CN233" s="28" t="str">
        <f>IFERROR(VLOOKUP(CL233,Horarios!$H:$I,2,0),"")</f>
        <v/>
      </c>
      <c r="CO233" s="28" t="str">
        <f>IFERROR(VLOOKUP(CM233,Horarios!$H:$I,2,0),"")</f>
        <v/>
      </c>
      <c r="CP233" s="28" t="str">
        <f t="shared" si="160"/>
        <v>00:00</v>
      </c>
      <c r="CQ233" s="29"/>
      <c r="CR233" s="27"/>
      <c r="CS233" s="27"/>
      <c r="CT233" s="28" t="str">
        <f>IFERROR(VLOOKUP(CR233,Horarios!$H:$I,2,0),"")</f>
        <v/>
      </c>
      <c r="CU233" s="28" t="str">
        <f>IFERROR(VLOOKUP(CS233,Horarios!$H:$I,2,0),"")</f>
        <v/>
      </c>
      <c r="CV233" s="28" t="str">
        <f t="shared" si="161"/>
        <v>00:00</v>
      </c>
      <c r="CW233" s="29"/>
      <c r="CX233" s="27"/>
      <c r="CY233" s="27"/>
      <c r="CZ233" s="28" t="str">
        <f>IFERROR(VLOOKUP(CX233,Horarios!$H:$I,2,0),"")</f>
        <v/>
      </c>
      <c r="DA233" s="28" t="str">
        <f>IFERROR(VLOOKUP(CY233,Horarios!$H:$I,2,0),"")</f>
        <v/>
      </c>
      <c r="DB233" s="28" t="str">
        <f t="shared" si="162"/>
        <v>00:00</v>
      </c>
      <c r="DC233" s="29"/>
      <c r="DD233" s="27"/>
      <c r="DE233" s="27"/>
      <c r="DF233" s="28" t="str">
        <f>IFERROR(VLOOKUP(DD233,Horarios!$H:$I,2,0),"")</f>
        <v/>
      </c>
      <c r="DG233" s="28" t="str">
        <f>IFERROR(VLOOKUP(DE233,Horarios!$H:$I,2,0),"")</f>
        <v/>
      </c>
      <c r="DH233" s="28" t="str">
        <f t="shared" si="163"/>
        <v>00:00</v>
      </c>
      <c r="DI233" s="29"/>
      <c r="DJ233" s="27"/>
      <c r="DK233" s="27"/>
      <c r="DL233" s="28" t="str">
        <f>IFERROR(VLOOKUP(DJ233,Horarios!$H:$I,2,0),"")</f>
        <v/>
      </c>
      <c r="DM233" s="28" t="str">
        <f>IFERROR(VLOOKUP(DK233,Horarios!$H:$I,2,0),"")</f>
        <v/>
      </c>
      <c r="DN233" s="28" t="str">
        <f t="shared" si="164"/>
        <v>00:00</v>
      </c>
      <c r="DO233" s="29"/>
      <c r="DP233" s="27"/>
      <c r="DQ233" s="27"/>
      <c r="DR233" s="28" t="str">
        <f>IFERROR(VLOOKUP(DP233,Horarios!$H:$I,2,0),"")</f>
        <v/>
      </c>
      <c r="DS233" s="28" t="str">
        <f>IFERROR(VLOOKUP(DQ233,Horarios!$H:$I,2,0),"")</f>
        <v/>
      </c>
      <c r="DT233" s="28" t="str">
        <f t="shared" si="165"/>
        <v>00:00</v>
      </c>
      <c r="DU233" s="29"/>
      <c r="DV233" s="27"/>
      <c r="DW233" s="27"/>
      <c r="DX233" s="28" t="str">
        <f>IFERROR(VLOOKUP(DV233,Horarios!$H:$I,2,0),"")</f>
        <v/>
      </c>
      <c r="DY233" s="28" t="str">
        <f>IFERROR(VLOOKUP(DW233,Horarios!$H:$I,2,0),"")</f>
        <v/>
      </c>
      <c r="DZ233" s="28" t="str">
        <f t="shared" si="166"/>
        <v>00:00</v>
      </c>
      <c r="EA233" s="29"/>
      <c r="EB233" s="31" t="str">
        <f t="shared" si="167"/>
        <v/>
      </c>
      <c r="EC233" s="27"/>
      <c r="ED233" s="27"/>
      <c r="EE233" s="28" t="str">
        <f>IFERROR(VLOOKUP(EC233,Horarios!$H:$I,2,0),"")</f>
        <v/>
      </c>
      <c r="EF233" s="28" t="str">
        <f>IFERROR(VLOOKUP(ED233,Horarios!$H:$I,2,0),"")</f>
        <v/>
      </c>
      <c r="EG233" s="28" t="str">
        <f t="shared" si="168"/>
        <v>00:00</v>
      </c>
      <c r="EH233" s="29"/>
      <c r="EI233" s="27"/>
      <c r="EJ233" s="27"/>
      <c r="EK233" s="28" t="str">
        <f>IFERROR(VLOOKUP(EI233,Horarios!$H:$I,2,0),"")</f>
        <v/>
      </c>
      <c r="EL233" s="28" t="str">
        <f>IFERROR(VLOOKUP(EJ233,Horarios!$H:$I,2,0),"")</f>
        <v/>
      </c>
      <c r="EM233" s="28" t="str">
        <f t="shared" si="169"/>
        <v>00:00</v>
      </c>
      <c r="EN233" s="29"/>
      <c r="EO233" s="27"/>
      <c r="EP233" s="27"/>
      <c r="EQ233" s="28" t="str">
        <f>IFERROR(VLOOKUP(EO233,Horarios!$H:$I,2,0),"")</f>
        <v/>
      </c>
      <c r="ER233" s="28" t="str">
        <f>IFERROR(VLOOKUP(EP233,Horarios!$H:$I,2,0),"")</f>
        <v/>
      </c>
      <c r="ES233" s="28" t="str">
        <f t="shared" si="170"/>
        <v>00:00</v>
      </c>
      <c r="ET233" s="29"/>
      <c r="EU233" s="27"/>
      <c r="EV233" s="27"/>
      <c r="EW233" s="28" t="str">
        <f>IFERROR(VLOOKUP(EU233,Horarios!$H:$I,2,0),"")</f>
        <v/>
      </c>
      <c r="EX233" s="28" t="str">
        <f>IFERROR(VLOOKUP(EV233,Horarios!$H:$I,2,0),"")</f>
        <v/>
      </c>
      <c r="EY233" s="28" t="str">
        <f t="shared" si="171"/>
        <v>00:00</v>
      </c>
      <c r="EZ233" s="29"/>
      <c r="FA233" s="27"/>
      <c r="FB233" s="27"/>
      <c r="FC233" s="28" t="str">
        <f>IFERROR(VLOOKUP(FA233,Horarios!$H:$I,2,0),"")</f>
        <v/>
      </c>
      <c r="FD233" s="28" t="str">
        <f>IFERROR(VLOOKUP(FB233,Horarios!$H:$I,2,0),"")</f>
        <v/>
      </c>
      <c r="FE233" s="28" t="str">
        <f t="shared" si="172"/>
        <v>00:00</v>
      </c>
      <c r="FF233" s="29"/>
      <c r="FG233" s="27"/>
      <c r="FH233" s="27"/>
      <c r="FI233" s="28" t="str">
        <f>IFERROR(VLOOKUP(FG233,Horarios!$H:$I,2,0),"")</f>
        <v/>
      </c>
      <c r="FJ233" s="28" t="str">
        <f>IFERROR(VLOOKUP(FH233,Horarios!$H:$I,2,0),"")</f>
        <v/>
      </c>
      <c r="FK233" s="28" t="str">
        <f t="shared" si="173"/>
        <v>00:00</v>
      </c>
      <c r="FL233" s="29"/>
      <c r="FM233" s="27"/>
      <c r="FN233" s="27"/>
      <c r="FO233" s="28" t="str">
        <f>IFERROR(VLOOKUP(FM233,Horarios!$H:$I,2,0),"")</f>
        <v/>
      </c>
      <c r="FP233" s="28" t="str">
        <f>IFERROR(VLOOKUP(FN233,Horarios!$H:$I,2,0),"")</f>
        <v/>
      </c>
      <c r="FQ233" s="28" t="str">
        <f t="shared" si="174"/>
        <v>00:00</v>
      </c>
      <c r="FR233" s="29"/>
      <c r="FS233" s="31" t="str">
        <f t="shared" si="175"/>
        <v/>
      </c>
      <c r="FT233" s="27"/>
      <c r="FU233" s="27"/>
      <c r="FV233" s="28" t="str">
        <f>IFERROR(VLOOKUP(FT233,Horarios!$H:$I,2,0),"")</f>
        <v/>
      </c>
      <c r="FW233" s="28" t="str">
        <f>IFERROR(VLOOKUP(FU233,Horarios!$H:$I,2,0),"")</f>
        <v/>
      </c>
      <c r="FX233" s="28" t="str">
        <f t="shared" si="176"/>
        <v>00:00</v>
      </c>
      <c r="FY233" s="29"/>
      <c r="FZ233" s="27"/>
      <c r="GA233" s="27"/>
      <c r="GB233" s="28" t="str">
        <f>IFERROR(VLOOKUP(FZ233,Horarios!$H:$I,2,0),"")</f>
        <v/>
      </c>
      <c r="GC233" s="28" t="str">
        <f>IFERROR(VLOOKUP(GA233,Horarios!$H:$I,2,0),"")</f>
        <v/>
      </c>
      <c r="GD233" s="28" t="str">
        <f t="shared" si="177"/>
        <v>00:00</v>
      </c>
      <c r="GE233" s="29"/>
      <c r="GF233" s="27"/>
      <c r="GG233" s="27"/>
      <c r="GH233" s="28" t="str">
        <f>IFERROR(VLOOKUP(GF233,Horarios!$H:$I,2,0),"")</f>
        <v/>
      </c>
      <c r="GI233" s="28" t="str">
        <f>IFERROR(VLOOKUP(GG233,Horarios!$H:$I,2,0),"")</f>
        <v/>
      </c>
      <c r="GJ233" s="28" t="str">
        <f t="shared" si="178"/>
        <v>00:00</v>
      </c>
      <c r="GK233" s="29"/>
      <c r="GL233" s="27"/>
      <c r="GM233" s="27"/>
      <c r="GN233" s="28" t="str">
        <f>IFERROR(VLOOKUP(GL233,Horarios!$H:$I,2,0),"")</f>
        <v/>
      </c>
      <c r="GO233" s="28" t="str">
        <f>IFERROR(VLOOKUP(GM233,Horarios!$H:$I,2,0),"")</f>
        <v/>
      </c>
      <c r="GP233" s="28" t="str">
        <f t="shared" si="179"/>
        <v>00:00</v>
      </c>
      <c r="GQ233" s="29"/>
      <c r="GR233" s="27"/>
      <c r="GS233" s="27"/>
      <c r="GT233" s="28" t="str">
        <f>IFERROR(VLOOKUP(GR233,Horarios!$H:$I,2,0),"")</f>
        <v/>
      </c>
      <c r="GU233" s="28" t="str">
        <f>IFERROR(VLOOKUP(GS233,Horarios!$H:$I,2,0),"")</f>
        <v/>
      </c>
      <c r="GV233" s="28" t="str">
        <f t="shared" si="180"/>
        <v>00:00</v>
      </c>
      <c r="GW233" s="29"/>
      <c r="GX233" s="27"/>
      <c r="GY233" s="27"/>
      <c r="GZ233" s="28" t="str">
        <f>IFERROR(VLOOKUP(GX233,Horarios!$H:$I,2,0),"")</f>
        <v/>
      </c>
      <c r="HA233" s="28" t="str">
        <f>IFERROR(VLOOKUP(GY233,Horarios!$H:$I,2,0),"")</f>
        <v/>
      </c>
      <c r="HB233" s="28" t="str">
        <f t="shared" si="181"/>
        <v>00:00</v>
      </c>
      <c r="HC233" s="29"/>
      <c r="HD233" s="27"/>
      <c r="HE233" s="27"/>
      <c r="HF233" s="28" t="str">
        <f>IFERROR(VLOOKUP(HD233,Horarios!$H:$I,2,0),"")</f>
        <v/>
      </c>
      <c r="HG233" s="28" t="str">
        <f>IFERROR(VLOOKUP(HE233,Horarios!$H:$I,2,0),"")</f>
        <v/>
      </c>
      <c r="HH233" s="28" t="str">
        <f t="shared" si="182"/>
        <v>00:00</v>
      </c>
      <c r="HI233" s="29"/>
      <c r="HJ233" s="31" t="str">
        <f t="shared" si="183"/>
        <v/>
      </c>
      <c r="HK233" s="27"/>
      <c r="HL233" s="27"/>
      <c r="HM233" s="28" t="str">
        <f>IFERROR(VLOOKUP(HK233,Horarios!$H:$I,2,0),"")</f>
        <v/>
      </c>
      <c r="HN233" s="28" t="str">
        <f>IFERROR(VLOOKUP(HL233,Horarios!$H:$I,2,0),"")</f>
        <v/>
      </c>
      <c r="HO233" s="28" t="str">
        <f t="shared" si="184"/>
        <v>00:00</v>
      </c>
      <c r="HP233" s="29"/>
      <c r="HQ233" s="27"/>
      <c r="HR233" s="27"/>
      <c r="HS233" s="28" t="str">
        <f>IFERROR(VLOOKUP(HQ233,Horarios!$H:$I,2,0),"")</f>
        <v/>
      </c>
      <c r="HT233" s="28" t="str">
        <f>IFERROR(VLOOKUP(HR233,Horarios!$H:$I,2,0),"")</f>
        <v/>
      </c>
      <c r="HU233" s="28" t="str">
        <f t="shared" si="185"/>
        <v>00:00</v>
      </c>
      <c r="HV233" s="29"/>
      <c r="HW233" s="27"/>
      <c r="HX233" s="27"/>
      <c r="HY233" s="28" t="str">
        <f>IFERROR(VLOOKUP(HW233,Horarios!$H:$I,2,0),"")</f>
        <v/>
      </c>
      <c r="HZ233" s="28" t="str">
        <f>IFERROR(VLOOKUP(HX233,Horarios!$H:$I,2,0),"")</f>
        <v/>
      </c>
      <c r="IA233" s="28" t="str">
        <f t="shared" si="186"/>
        <v>00:00</v>
      </c>
      <c r="IB233" s="29"/>
      <c r="IC233" s="27"/>
      <c r="ID233" s="27"/>
      <c r="IE233" s="28" t="str">
        <f>IFERROR(VLOOKUP(IC233,Horarios!$H:$I,2,0),"")</f>
        <v/>
      </c>
      <c r="IF233" s="28" t="str">
        <f>IFERROR(VLOOKUP(ID233,Horarios!$H:$I,2,0),"")</f>
        <v/>
      </c>
      <c r="IG233" s="28" t="str">
        <f t="shared" si="187"/>
        <v>00:00</v>
      </c>
      <c r="IH233" s="29"/>
      <c r="II233" s="27"/>
      <c r="IJ233" s="27"/>
      <c r="IK233" s="28" t="str">
        <f>IFERROR(VLOOKUP(II233,Horarios!$H:$I,2,0),"")</f>
        <v/>
      </c>
      <c r="IL233" s="28" t="str">
        <f>IFERROR(VLOOKUP(IJ233,Horarios!$H:$I,2,0),"")</f>
        <v/>
      </c>
      <c r="IM233" s="28" t="str">
        <f t="shared" si="188"/>
        <v>00:00</v>
      </c>
      <c r="IN233" s="29"/>
      <c r="IO233" s="27"/>
      <c r="IP233" s="27"/>
      <c r="IQ233" s="28" t="str">
        <f>IFERROR(VLOOKUP(IO233,Horarios!$H:$I,2,0),"")</f>
        <v/>
      </c>
      <c r="IR233" s="28" t="str">
        <f>IFERROR(VLOOKUP(IP233,Horarios!$H:$I,2,0),"")</f>
        <v/>
      </c>
      <c r="IS233" s="28" t="str">
        <f t="shared" si="189"/>
        <v>00:00</v>
      </c>
      <c r="IT233" s="29"/>
      <c r="IU233" s="27"/>
      <c r="IV233" s="27"/>
      <c r="IW233" s="28" t="str">
        <f>IFERROR(VLOOKUP(IU233,Horarios!$H:$I,2,0),"")</f>
        <v/>
      </c>
      <c r="IX233" s="28" t="str">
        <f>IFERROR(VLOOKUP(IV233,Horarios!$H:$I,2,0),"")</f>
        <v/>
      </c>
      <c r="IY233" s="28" t="str">
        <f t="shared" si="190"/>
        <v>00:00</v>
      </c>
      <c r="IZ233" s="29"/>
      <c r="JA233" s="31" t="str">
        <f t="shared" si="191"/>
        <v/>
      </c>
    </row>
    <row r="234" spans="1:261" s="24" customFormat="1" ht="17.399999999999999" x14ac:dyDescent="0.25">
      <c r="A234" s="25"/>
      <c r="B234" s="26" t="str">
        <f>IFERROR(VLOOKUP(A234,BaseNombres!A:B,2,0),"")</f>
        <v/>
      </c>
      <c r="C234" s="26" t="str">
        <f>IFERROR(VLOOKUP(A234,BaseNombres!A:C,3,0),"")</f>
        <v/>
      </c>
      <c r="D234" s="27"/>
      <c r="E234" s="27"/>
      <c r="F234" s="28" t="str">
        <f>IFERROR(VLOOKUP(D234,Horarios!$H:$I,2,0),"")</f>
        <v/>
      </c>
      <c r="G234" s="28" t="str">
        <f>IFERROR(VLOOKUP(E234,Horarios!$H:$I,2,0),"")</f>
        <v/>
      </c>
      <c r="H234" s="28" t="str">
        <f t="shared" si="144"/>
        <v>00:00</v>
      </c>
      <c r="I234" s="29"/>
      <c r="J234" s="27"/>
      <c r="K234" s="27"/>
      <c r="L234" s="28" t="str">
        <f>IFERROR(VLOOKUP(J234,Horarios!$H:$I,2,0),"")</f>
        <v/>
      </c>
      <c r="M234" s="28" t="str">
        <f>IFERROR(VLOOKUP(K234,Horarios!$H:$I,2,0),"")</f>
        <v/>
      </c>
      <c r="N234" s="28" t="str">
        <f t="shared" si="145"/>
        <v>00:00</v>
      </c>
      <c r="O234" s="29"/>
      <c r="P234" s="27"/>
      <c r="Q234" s="27"/>
      <c r="R234" s="28" t="str">
        <f>IFERROR(VLOOKUP(P234,Horarios!$H:$I,2,0),"")</f>
        <v/>
      </c>
      <c r="S234" s="28" t="str">
        <f>IFERROR(VLOOKUP(Q234,Horarios!$H:$I,2,0),"")</f>
        <v/>
      </c>
      <c r="T234" s="28" t="str">
        <f t="shared" si="146"/>
        <v>00:00</v>
      </c>
      <c r="U234" s="29"/>
      <c r="V234" s="27"/>
      <c r="W234" s="27"/>
      <c r="X234" s="28" t="str">
        <f>IFERROR(VLOOKUP(V234,Horarios!$H:$I,2,0),"")</f>
        <v/>
      </c>
      <c r="Y234" s="28" t="str">
        <f>IFERROR(VLOOKUP(W234,Horarios!$H:$I,2,0),"")</f>
        <v/>
      </c>
      <c r="Z234" s="28" t="str">
        <f t="shared" si="147"/>
        <v>00:00</v>
      </c>
      <c r="AA234" s="29"/>
      <c r="AB234" s="27"/>
      <c r="AC234" s="27"/>
      <c r="AD234" s="28" t="str">
        <f>IFERROR(VLOOKUP(AB234,Horarios!$H:$I,2,0),"")</f>
        <v/>
      </c>
      <c r="AE234" s="28" t="str">
        <f>IFERROR(VLOOKUP(AC234,Horarios!$H:$I,2,0),"")</f>
        <v/>
      </c>
      <c r="AF234" s="28" t="str">
        <f t="shared" si="148"/>
        <v>00:00</v>
      </c>
      <c r="AG234" s="29"/>
      <c r="AH234" s="27"/>
      <c r="AI234" s="27"/>
      <c r="AJ234" s="28" t="str">
        <f>IFERROR(VLOOKUP(AH234,Horarios!$H:$I,2,0),"")</f>
        <v/>
      </c>
      <c r="AK234" s="28" t="str">
        <f>IFERROR(VLOOKUP(AI234,Horarios!$H:$I,2,0),"")</f>
        <v/>
      </c>
      <c r="AL234" s="28" t="str">
        <f t="shared" si="149"/>
        <v>00:00</v>
      </c>
      <c r="AM234" s="29"/>
      <c r="AN234" s="27"/>
      <c r="AO234" s="27"/>
      <c r="AP234" s="28" t="str">
        <f>IFERROR(VLOOKUP(AN234,Horarios!$H:$I,2,0),"")</f>
        <v/>
      </c>
      <c r="AQ234" s="28" t="str">
        <f>IFERROR(VLOOKUP(AO234,Horarios!$H:$I,2,0),"")</f>
        <v/>
      </c>
      <c r="AR234" s="28" t="str">
        <f t="shared" si="150"/>
        <v>00:00</v>
      </c>
      <c r="AS234" s="29"/>
      <c r="AT234" s="31" t="str">
        <f t="shared" si="151"/>
        <v/>
      </c>
      <c r="AU234" s="27"/>
      <c r="AV234" s="27"/>
      <c r="AW234" s="28" t="str">
        <f>IFERROR(VLOOKUP(AU234,Horarios!$H:$I,2,0),"")</f>
        <v/>
      </c>
      <c r="AX234" s="28" t="str">
        <f>IFERROR(VLOOKUP(AV234,Horarios!$H:$I,2,0),"")</f>
        <v/>
      </c>
      <c r="AY234" s="28" t="str">
        <f t="shared" si="152"/>
        <v>00:00</v>
      </c>
      <c r="AZ234" s="29"/>
      <c r="BA234" s="27"/>
      <c r="BB234" s="27"/>
      <c r="BC234" s="28" t="str">
        <f>IFERROR(VLOOKUP(BA234,Horarios!$H:$I,2,0),"")</f>
        <v/>
      </c>
      <c r="BD234" s="28" t="str">
        <f>IFERROR(VLOOKUP(BB234,Horarios!$H:$I,2,0),"")</f>
        <v/>
      </c>
      <c r="BE234" s="28" t="str">
        <f t="shared" si="153"/>
        <v>00:00</v>
      </c>
      <c r="BF234" s="29"/>
      <c r="BG234" s="27"/>
      <c r="BH234" s="27"/>
      <c r="BI234" s="28" t="str">
        <f>IFERROR(VLOOKUP(BG234,Horarios!$H:$I,2,0),"")</f>
        <v/>
      </c>
      <c r="BJ234" s="28" t="str">
        <f>IFERROR(VLOOKUP(BH234,Horarios!$H:$I,2,0),"")</f>
        <v/>
      </c>
      <c r="BK234" s="28" t="str">
        <f t="shared" si="154"/>
        <v>00:00</v>
      </c>
      <c r="BL234" s="29"/>
      <c r="BM234" s="27"/>
      <c r="BN234" s="27"/>
      <c r="BO234" s="28" t="str">
        <f>IFERROR(VLOOKUP(BM234,Horarios!$H:$I,2,0),"")</f>
        <v/>
      </c>
      <c r="BP234" s="28" t="str">
        <f>IFERROR(VLOOKUP(BN234,Horarios!$H:$I,2,0),"")</f>
        <v/>
      </c>
      <c r="BQ234" s="28" t="str">
        <f t="shared" si="155"/>
        <v>00:00</v>
      </c>
      <c r="BR234" s="29"/>
      <c r="BS234" s="27"/>
      <c r="BT234" s="27"/>
      <c r="BU234" s="28" t="str">
        <f>IFERROR(VLOOKUP(BS234,Horarios!$H:$I,2,0),"")</f>
        <v/>
      </c>
      <c r="BV234" s="28" t="str">
        <f>IFERROR(VLOOKUP(BT234,Horarios!$H:$I,2,0),"")</f>
        <v/>
      </c>
      <c r="BW234" s="28" t="str">
        <f t="shared" si="156"/>
        <v>00:00</v>
      </c>
      <c r="BX234" s="29"/>
      <c r="BY234" s="27"/>
      <c r="BZ234" s="27"/>
      <c r="CA234" s="28" t="str">
        <f>IFERROR(VLOOKUP(BY234,Horarios!$H:$I,2,0),"")</f>
        <v/>
      </c>
      <c r="CB234" s="28" t="str">
        <f>IFERROR(VLOOKUP(BZ234,Horarios!$H:$I,2,0),"")</f>
        <v/>
      </c>
      <c r="CC234" s="28" t="str">
        <f t="shared" si="157"/>
        <v>00:00</v>
      </c>
      <c r="CD234" s="29"/>
      <c r="CE234" s="27"/>
      <c r="CF234" s="27"/>
      <c r="CG234" s="28" t="str">
        <f>IFERROR(VLOOKUP(CE234,Horarios!$H:$I,2,0),"")</f>
        <v/>
      </c>
      <c r="CH234" s="28" t="str">
        <f>IFERROR(VLOOKUP(CF234,Horarios!$H:$I,2,0),"")</f>
        <v/>
      </c>
      <c r="CI234" s="28" t="str">
        <f t="shared" si="158"/>
        <v>00:00</v>
      </c>
      <c r="CJ234" s="29"/>
      <c r="CK234" s="31" t="str">
        <f t="shared" si="159"/>
        <v/>
      </c>
      <c r="CL234" s="27"/>
      <c r="CM234" s="27"/>
      <c r="CN234" s="28" t="str">
        <f>IFERROR(VLOOKUP(CL234,Horarios!$H:$I,2,0),"")</f>
        <v/>
      </c>
      <c r="CO234" s="28" t="str">
        <f>IFERROR(VLOOKUP(CM234,Horarios!$H:$I,2,0),"")</f>
        <v/>
      </c>
      <c r="CP234" s="28" t="str">
        <f t="shared" si="160"/>
        <v>00:00</v>
      </c>
      <c r="CQ234" s="29"/>
      <c r="CR234" s="27"/>
      <c r="CS234" s="27"/>
      <c r="CT234" s="28" t="str">
        <f>IFERROR(VLOOKUP(CR234,Horarios!$H:$I,2,0),"")</f>
        <v/>
      </c>
      <c r="CU234" s="28" t="str">
        <f>IFERROR(VLOOKUP(CS234,Horarios!$H:$I,2,0),"")</f>
        <v/>
      </c>
      <c r="CV234" s="28" t="str">
        <f t="shared" si="161"/>
        <v>00:00</v>
      </c>
      <c r="CW234" s="29"/>
      <c r="CX234" s="27"/>
      <c r="CY234" s="27"/>
      <c r="CZ234" s="28" t="str">
        <f>IFERROR(VLOOKUP(CX234,Horarios!$H:$I,2,0),"")</f>
        <v/>
      </c>
      <c r="DA234" s="28" t="str">
        <f>IFERROR(VLOOKUP(CY234,Horarios!$H:$I,2,0),"")</f>
        <v/>
      </c>
      <c r="DB234" s="28" t="str">
        <f t="shared" si="162"/>
        <v>00:00</v>
      </c>
      <c r="DC234" s="29"/>
      <c r="DD234" s="27"/>
      <c r="DE234" s="27"/>
      <c r="DF234" s="28" t="str">
        <f>IFERROR(VLOOKUP(DD234,Horarios!$H:$I,2,0),"")</f>
        <v/>
      </c>
      <c r="DG234" s="28" t="str">
        <f>IFERROR(VLOOKUP(DE234,Horarios!$H:$I,2,0),"")</f>
        <v/>
      </c>
      <c r="DH234" s="28" t="str">
        <f t="shared" si="163"/>
        <v>00:00</v>
      </c>
      <c r="DI234" s="29"/>
      <c r="DJ234" s="27"/>
      <c r="DK234" s="27"/>
      <c r="DL234" s="28" t="str">
        <f>IFERROR(VLOOKUP(DJ234,Horarios!$H:$I,2,0),"")</f>
        <v/>
      </c>
      <c r="DM234" s="28" t="str">
        <f>IFERROR(VLOOKUP(DK234,Horarios!$H:$I,2,0),"")</f>
        <v/>
      </c>
      <c r="DN234" s="28" t="str">
        <f t="shared" si="164"/>
        <v>00:00</v>
      </c>
      <c r="DO234" s="29"/>
      <c r="DP234" s="27"/>
      <c r="DQ234" s="27"/>
      <c r="DR234" s="28" t="str">
        <f>IFERROR(VLOOKUP(DP234,Horarios!$H:$I,2,0),"")</f>
        <v/>
      </c>
      <c r="DS234" s="28" t="str">
        <f>IFERROR(VLOOKUP(DQ234,Horarios!$H:$I,2,0),"")</f>
        <v/>
      </c>
      <c r="DT234" s="28" t="str">
        <f t="shared" si="165"/>
        <v>00:00</v>
      </c>
      <c r="DU234" s="29"/>
      <c r="DV234" s="27"/>
      <c r="DW234" s="27"/>
      <c r="DX234" s="28" t="str">
        <f>IFERROR(VLOOKUP(DV234,Horarios!$H:$I,2,0),"")</f>
        <v/>
      </c>
      <c r="DY234" s="28" t="str">
        <f>IFERROR(VLOOKUP(DW234,Horarios!$H:$I,2,0),"")</f>
        <v/>
      </c>
      <c r="DZ234" s="28" t="str">
        <f t="shared" si="166"/>
        <v>00:00</v>
      </c>
      <c r="EA234" s="29"/>
      <c r="EB234" s="31" t="str">
        <f t="shared" si="167"/>
        <v/>
      </c>
      <c r="EC234" s="27"/>
      <c r="ED234" s="27"/>
      <c r="EE234" s="28" t="str">
        <f>IFERROR(VLOOKUP(EC234,Horarios!$H:$I,2,0),"")</f>
        <v/>
      </c>
      <c r="EF234" s="28" t="str">
        <f>IFERROR(VLOOKUP(ED234,Horarios!$H:$I,2,0),"")</f>
        <v/>
      </c>
      <c r="EG234" s="28" t="str">
        <f t="shared" si="168"/>
        <v>00:00</v>
      </c>
      <c r="EH234" s="29"/>
      <c r="EI234" s="27"/>
      <c r="EJ234" s="27"/>
      <c r="EK234" s="28" t="str">
        <f>IFERROR(VLOOKUP(EI234,Horarios!$H:$I,2,0),"")</f>
        <v/>
      </c>
      <c r="EL234" s="28" t="str">
        <f>IFERROR(VLOOKUP(EJ234,Horarios!$H:$I,2,0),"")</f>
        <v/>
      </c>
      <c r="EM234" s="28" t="str">
        <f t="shared" si="169"/>
        <v>00:00</v>
      </c>
      <c r="EN234" s="29"/>
      <c r="EO234" s="27"/>
      <c r="EP234" s="27"/>
      <c r="EQ234" s="28" t="str">
        <f>IFERROR(VLOOKUP(EO234,Horarios!$H:$I,2,0),"")</f>
        <v/>
      </c>
      <c r="ER234" s="28" t="str">
        <f>IFERROR(VLOOKUP(EP234,Horarios!$H:$I,2,0),"")</f>
        <v/>
      </c>
      <c r="ES234" s="28" t="str">
        <f t="shared" si="170"/>
        <v>00:00</v>
      </c>
      <c r="ET234" s="29"/>
      <c r="EU234" s="27"/>
      <c r="EV234" s="27"/>
      <c r="EW234" s="28" t="str">
        <f>IFERROR(VLOOKUP(EU234,Horarios!$H:$I,2,0),"")</f>
        <v/>
      </c>
      <c r="EX234" s="28" t="str">
        <f>IFERROR(VLOOKUP(EV234,Horarios!$H:$I,2,0),"")</f>
        <v/>
      </c>
      <c r="EY234" s="28" t="str">
        <f t="shared" si="171"/>
        <v>00:00</v>
      </c>
      <c r="EZ234" s="29"/>
      <c r="FA234" s="27"/>
      <c r="FB234" s="27"/>
      <c r="FC234" s="28" t="str">
        <f>IFERROR(VLOOKUP(FA234,Horarios!$H:$I,2,0),"")</f>
        <v/>
      </c>
      <c r="FD234" s="28" t="str">
        <f>IFERROR(VLOOKUP(FB234,Horarios!$H:$I,2,0),"")</f>
        <v/>
      </c>
      <c r="FE234" s="28" t="str">
        <f t="shared" si="172"/>
        <v>00:00</v>
      </c>
      <c r="FF234" s="29"/>
      <c r="FG234" s="27"/>
      <c r="FH234" s="27"/>
      <c r="FI234" s="28" t="str">
        <f>IFERROR(VLOOKUP(FG234,Horarios!$H:$I,2,0),"")</f>
        <v/>
      </c>
      <c r="FJ234" s="28" t="str">
        <f>IFERROR(VLOOKUP(FH234,Horarios!$H:$I,2,0),"")</f>
        <v/>
      </c>
      <c r="FK234" s="28" t="str">
        <f t="shared" si="173"/>
        <v>00:00</v>
      </c>
      <c r="FL234" s="29"/>
      <c r="FM234" s="27"/>
      <c r="FN234" s="27"/>
      <c r="FO234" s="28" t="str">
        <f>IFERROR(VLOOKUP(FM234,Horarios!$H:$I,2,0),"")</f>
        <v/>
      </c>
      <c r="FP234" s="28" t="str">
        <f>IFERROR(VLOOKUP(FN234,Horarios!$H:$I,2,0),"")</f>
        <v/>
      </c>
      <c r="FQ234" s="28" t="str">
        <f t="shared" si="174"/>
        <v>00:00</v>
      </c>
      <c r="FR234" s="29"/>
      <c r="FS234" s="31" t="str">
        <f t="shared" si="175"/>
        <v/>
      </c>
      <c r="FT234" s="27"/>
      <c r="FU234" s="27"/>
      <c r="FV234" s="28" t="str">
        <f>IFERROR(VLOOKUP(FT234,Horarios!$H:$I,2,0),"")</f>
        <v/>
      </c>
      <c r="FW234" s="28" t="str">
        <f>IFERROR(VLOOKUP(FU234,Horarios!$H:$I,2,0),"")</f>
        <v/>
      </c>
      <c r="FX234" s="28" t="str">
        <f t="shared" si="176"/>
        <v>00:00</v>
      </c>
      <c r="FY234" s="29"/>
      <c r="FZ234" s="27"/>
      <c r="GA234" s="27"/>
      <c r="GB234" s="28" t="str">
        <f>IFERROR(VLOOKUP(FZ234,Horarios!$H:$I,2,0),"")</f>
        <v/>
      </c>
      <c r="GC234" s="28" t="str">
        <f>IFERROR(VLOOKUP(GA234,Horarios!$H:$I,2,0),"")</f>
        <v/>
      </c>
      <c r="GD234" s="28" t="str">
        <f t="shared" si="177"/>
        <v>00:00</v>
      </c>
      <c r="GE234" s="29"/>
      <c r="GF234" s="27"/>
      <c r="GG234" s="27"/>
      <c r="GH234" s="28" t="str">
        <f>IFERROR(VLOOKUP(GF234,Horarios!$H:$I,2,0),"")</f>
        <v/>
      </c>
      <c r="GI234" s="28" t="str">
        <f>IFERROR(VLOOKUP(GG234,Horarios!$H:$I,2,0),"")</f>
        <v/>
      </c>
      <c r="GJ234" s="28" t="str">
        <f t="shared" si="178"/>
        <v>00:00</v>
      </c>
      <c r="GK234" s="29"/>
      <c r="GL234" s="27"/>
      <c r="GM234" s="27"/>
      <c r="GN234" s="28" t="str">
        <f>IFERROR(VLOOKUP(GL234,Horarios!$H:$I,2,0),"")</f>
        <v/>
      </c>
      <c r="GO234" s="28" t="str">
        <f>IFERROR(VLOOKUP(GM234,Horarios!$H:$I,2,0),"")</f>
        <v/>
      </c>
      <c r="GP234" s="28" t="str">
        <f t="shared" si="179"/>
        <v>00:00</v>
      </c>
      <c r="GQ234" s="29"/>
      <c r="GR234" s="27"/>
      <c r="GS234" s="27"/>
      <c r="GT234" s="28" t="str">
        <f>IFERROR(VLOOKUP(GR234,Horarios!$H:$I,2,0),"")</f>
        <v/>
      </c>
      <c r="GU234" s="28" t="str">
        <f>IFERROR(VLOOKUP(GS234,Horarios!$H:$I,2,0),"")</f>
        <v/>
      </c>
      <c r="GV234" s="28" t="str">
        <f t="shared" si="180"/>
        <v>00:00</v>
      </c>
      <c r="GW234" s="29"/>
      <c r="GX234" s="27"/>
      <c r="GY234" s="27"/>
      <c r="GZ234" s="28" t="str">
        <f>IFERROR(VLOOKUP(GX234,Horarios!$H:$I,2,0),"")</f>
        <v/>
      </c>
      <c r="HA234" s="28" t="str">
        <f>IFERROR(VLOOKUP(GY234,Horarios!$H:$I,2,0),"")</f>
        <v/>
      </c>
      <c r="HB234" s="28" t="str">
        <f t="shared" si="181"/>
        <v>00:00</v>
      </c>
      <c r="HC234" s="29"/>
      <c r="HD234" s="27"/>
      <c r="HE234" s="27"/>
      <c r="HF234" s="28" t="str">
        <f>IFERROR(VLOOKUP(HD234,Horarios!$H:$I,2,0),"")</f>
        <v/>
      </c>
      <c r="HG234" s="28" t="str">
        <f>IFERROR(VLOOKUP(HE234,Horarios!$H:$I,2,0),"")</f>
        <v/>
      </c>
      <c r="HH234" s="28" t="str">
        <f t="shared" si="182"/>
        <v>00:00</v>
      </c>
      <c r="HI234" s="29"/>
      <c r="HJ234" s="31" t="str">
        <f t="shared" si="183"/>
        <v/>
      </c>
      <c r="HK234" s="27"/>
      <c r="HL234" s="27"/>
      <c r="HM234" s="28" t="str">
        <f>IFERROR(VLOOKUP(HK234,Horarios!$H:$I,2,0),"")</f>
        <v/>
      </c>
      <c r="HN234" s="28" t="str">
        <f>IFERROR(VLOOKUP(HL234,Horarios!$H:$I,2,0),"")</f>
        <v/>
      </c>
      <c r="HO234" s="28" t="str">
        <f t="shared" si="184"/>
        <v>00:00</v>
      </c>
      <c r="HP234" s="29"/>
      <c r="HQ234" s="27"/>
      <c r="HR234" s="27"/>
      <c r="HS234" s="28" t="str">
        <f>IFERROR(VLOOKUP(HQ234,Horarios!$H:$I,2,0),"")</f>
        <v/>
      </c>
      <c r="HT234" s="28" t="str">
        <f>IFERROR(VLOOKUP(HR234,Horarios!$H:$I,2,0),"")</f>
        <v/>
      </c>
      <c r="HU234" s="28" t="str">
        <f t="shared" si="185"/>
        <v>00:00</v>
      </c>
      <c r="HV234" s="29"/>
      <c r="HW234" s="27"/>
      <c r="HX234" s="27"/>
      <c r="HY234" s="28" t="str">
        <f>IFERROR(VLOOKUP(HW234,Horarios!$H:$I,2,0),"")</f>
        <v/>
      </c>
      <c r="HZ234" s="28" t="str">
        <f>IFERROR(VLOOKUP(HX234,Horarios!$H:$I,2,0),"")</f>
        <v/>
      </c>
      <c r="IA234" s="28" t="str">
        <f t="shared" si="186"/>
        <v>00:00</v>
      </c>
      <c r="IB234" s="29"/>
      <c r="IC234" s="27"/>
      <c r="ID234" s="27"/>
      <c r="IE234" s="28" t="str">
        <f>IFERROR(VLOOKUP(IC234,Horarios!$H:$I,2,0),"")</f>
        <v/>
      </c>
      <c r="IF234" s="28" t="str">
        <f>IFERROR(VLOOKUP(ID234,Horarios!$H:$I,2,0),"")</f>
        <v/>
      </c>
      <c r="IG234" s="28" t="str">
        <f t="shared" si="187"/>
        <v>00:00</v>
      </c>
      <c r="IH234" s="29"/>
      <c r="II234" s="27"/>
      <c r="IJ234" s="27"/>
      <c r="IK234" s="28" t="str">
        <f>IFERROR(VLOOKUP(II234,Horarios!$H:$I,2,0),"")</f>
        <v/>
      </c>
      <c r="IL234" s="28" t="str">
        <f>IFERROR(VLOOKUP(IJ234,Horarios!$H:$I,2,0),"")</f>
        <v/>
      </c>
      <c r="IM234" s="28" t="str">
        <f t="shared" si="188"/>
        <v>00:00</v>
      </c>
      <c r="IN234" s="29"/>
      <c r="IO234" s="27"/>
      <c r="IP234" s="27"/>
      <c r="IQ234" s="28" t="str">
        <f>IFERROR(VLOOKUP(IO234,Horarios!$H:$I,2,0),"")</f>
        <v/>
      </c>
      <c r="IR234" s="28" t="str">
        <f>IFERROR(VLOOKUP(IP234,Horarios!$H:$I,2,0),"")</f>
        <v/>
      </c>
      <c r="IS234" s="28" t="str">
        <f t="shared" si="189"/>
        <v>00:00</v>
      </c>
      <c r="IT234" s="29"/>
      <c r="IU234" s="27"/>
      <c r="IV234" s="27"/>
      <c r="IW234" s="28" t="str">
        <f>IFERROR(VLOOKUP(IU234,Horarios!$H:$I,2,0),"")</f>
        <v/>
      </c>
      <c r="IX234" s="28" t="str">
        <f>IFERROR(VLOOKUP(IV234,Horarios!$H:$I,2,0),"")</f>
        <v/>
      </c>
      <c r="IY234" s="28" t="str">
        <f t="shared" si="190"/>
        <v>00:00</v>
      </c>
      <c r="IZ234" s="29"/>
      <c r="JA234" s="31" t="str">
        <f t="shared" si="191"/>
        <v/>
      </c>
    </row>
    <row r="235" spans="1:261" s="24" customFormat="1" ht="17.399999999999999" x14ac:dyDescent="0.25">
      <c r="A235" s="25"/>
      <c r="B235" s="26" t="str">
        <f>IFERROR(VLOOKUP(A235,BaseNombres!A:B,2,0),"")</f>
        <v/>
      </c>
      <c r="C235" s="26" t="str">
        <f>IFERROR(VLOOKUP(A235,BaseNombres!A:C,3,0),"")</f>
        <v/>
      </c>
      <c r="D235" s="27"/>
      <c r="E235" s="27"/>
      <c r="F235" s="28" t="str">
        <f>IFERROR(VLOOKUP(D235,Horarios!$H:$I,2,0),"")</f>
        <v/>
      </c>
      <c r="G235" s="28" t="str">
        <f>IFERROR(VLOOKUP(E235,Horarios!$H:$I,2,0),"")</f>
        <v/>
      </c>
      <c r="H235" s="28" t="str">
        <f t="shared" si="144"/>
        <v>00:00</v>
      </c>
      <c r="I235" s="29"/>
      <c r="J235" s="27"/>
      <c r="K235" s="27"/>
      <c r="L235" s="28" t="str">
        <f>IFERROR(VLOOKUP(J235,Horarios!$H:$I,2,0),"")</f>
        <v/>
      </c>
      <c r="M235" s="28" t="str">
        <f>IFERROR(VLOOKUP(K235,Horarios!$H:$I,2,0),"")</f>
        <v/>
      </c>
      <c r="N235" s="28" t="str">
        <f t="shared" si="145"/>
        <v>00:00</v>
      </c>
      <c r="O235" s="29"/>
      <c r="P235" s="27"/>
      <c r="Q235" s="27"/>
      <c r="R235" s="28" t="str">
        <f>IFERROR(VLOOKUP(P235,Horarios!$H:$I,2,0),"")</f>
        <v/>
      </c>
      <c r="S235" s="28" t="str">
        <f>IFERROR(VLOOKUP(Q235,Horarios!$H:$I,2,0),"")</f>
        <v/>
      </c>
      <c r="T235" s="28" t="str">
        <f t="shared" si="146"/>
        <v>00:00</v>
      </c>
      <c r="U235" s="29"/>
      <c r="V235" s="27"/>
      <c r="W235" s="27"/>
      <c r="X235" s="28" t="str">
        <f>IFERROR(VLOOKUP(V235,Horarios!$H:$I,2,0),"")</f>
        <v/>
      </c>
      <c r="Y235" s="28" t="str">
        <f>IFERROR(VLOOKUP(W235,Horarios!$H:$I,2,0),"")</f>
        <v/>
      </c>
      <c r="Z235" s="28" t="str">
        <f t="shared" si="147"/>
        <v>00:00</v>
      </c>
      <c r="AA235" s="29"/>
      <c r="AB235" s="27"/>
      <c r="AC235" s="27"/>
      <c r="AD235" s="28" t="str">
        <f>IFERROR(VLOOKUP(AB235,Horarios!$H:$I,2,0),"")</f>
        <v/>
      </c>
      <c r="AE235" s="28" t="str">
        <f>IFERROR(VLOOKUP(AC235,Horarios!$H:$I,2,0),"")</f>
        <v/>
      </c>
      <c r="AF235" s="28" t="str">
        <f t="shared" si="148"/>
        <v>00:00</v>
      </c>
      <c r="AG235" s="29"/>
      <c r="AH235" s="27"/>
      <c r="AI235" s="27"/>
      <c r="AJ235" s="28" t="str">
        <f>IFERROR(VLOOKUP(AH235,Horarios!$H:$I,2,0),"")</f>
        <v/>
      </c>
      <c r="AK235" s="28" t="str">
        <f>IFERROR(VLOOKUP(AI235,Horarios!$H:$I,2,0),"")</f>
        <v/>
      </c>
      <c r="AL235" s="28" t="str">
        <f t="shared" si="149"/>
        <v>00:00</v>
      </c>
      <c r="AM235" s="29"/>
      <c r="AN235" s="27"/>
      <c r="AO235" s="27"/>
      <c r="AP235" s="28" t="str">
        <f>IFERROR(VLOOKUP(AN235,Horarios!$H:$I,2,0),"")</f>
        <v/>
      </c>
      <c r="AQ235" s="28" t="str">
        <f>IFERROR(VLOOKUP(AO235,Horarios!$H:$I,2,0),"")</f>
        <v/>
      </c>
      <c r="AR235" s="28" t="str">
        <f t="shared" si="150"/>
        <v>00:00</v>
      </c>
      <c r="AS235" s="29"/>
      <c r="AT235" s="31" t="str">
        <f t="shared" si="151"/>
        <v/>
      </c>
      <c r="AU235" s="27"/>
      <c r="AV235" s="27"/>
      <c r="AW235" s="28" t="str">
        <f>IFERROR(VLOOKUP(AU235,Horarios!$H:$I,2,0),"")</f>
        <v/>
      </c>
      <c r="AX235" s="28" t="str">
        <f>IFERROR(VLOOKUP(AV235,Horarios!$H:$I,2,0),"")</f>
        <v/>
      </c>
      <c r="AY235" s="28" t="str">
        <f t="shared" si="152"/>
        <v>00:00</v>
      </c>
      <c r="AZ235" s="29"/>
      <c r="BA235" s="27"/>
      <c r="BB235" s="27"/>
      <c r="BC235" s="28" t="str">
        <f>IFERROR(VLOOKUP(BA235,Horarios!$H:$I,2,0),"")</f>
        <v/>
      </c>
      <c r="BD235" s="28" t="str">
        <f>IFERROR(VLOOKUP(BB235,Horarios!$H:$I,2,0),"")</f>
        <v/>
      </c>
      <c r="BE235" s="28" t="str">
        <f t="shared" si="153"/>
        <v>00:00</v>
      </c>
      <c r="BF235" s="29"/>
      <c r="BG235" s="27"/>
      <c r="BH235" s="27"/>
      <c r="BI235" s="28" t="str">
        <f>IFERROR(VLOOKUP(BG235,Horarios!$H:$I,2,0),"")</f>
        <v/>
      </c>
      <c r="BJ235" s="28" t="str">
        <f>IFERROR(VLOOKUP(BH235,Horarios!$H:$I,2,0),"")</f>
        <v/>
      </c>
      <c r="BK235" s="28" t="str">
        <f t="shared" si="154"/>
        <v>00:00</v>
      </c>
      <c r="BL235" s="29"/>
      <c r="BM235" s="27"/>
      <c r="BN235" s="27"/>
      <c r="BO235" s="28" t="str">
        <f>IFERROR(VLOOKUP(BM235,Horarios!$H:$I,2,0),"")</f>
        <v/>
      </c>
      <c r="BP235" s="28" t="str">
        <f>IFERROR(VLOOKUP(BN235,Horarios!$H:$I,2,0),"")</f>
        <v/>
      </c>
      <c r="BQ235" s="28" t="str">
        <f t="shared" si="155"/>
        <v>00:00</v>
      </c>
      <c r="BR235" s="29"/>
      <c r="BS235" s="27"/>
      <c r="BT235" s="27"/>
      <c r="BU235" s="28" t="str">
        <f>IFERROR(VLOOKUP(BS235,Horarios!$H:$I,2,0),"")</f>
        <v/>
      </c>
      <c r="BV235" s="28" t="str">
        <f>IFERROR(VLOOKUP(BT235,Horarios!$H:$I,2,0),"")</f>
        <v/>
      </c>
      <c r="BW235" s="28" t="str">
        <f t="shared" si="156"/>
        <v>00:00</v>
      </c>
      <c r="BX235" s="29"/>
      <c r="BY235" s="27"/>
      <c r="BZ235" s="27"/>
      <c r="CA235" s="28" t="str">
        <f>IFERROR(VLOOKUP(BY235,Horarios!$H:$I,2,0),"")</f>
        <v/>
      </c>
      <c r="CB235" s="28" t="str">
        <f>IFERROR(VLOOKUP(BZ235,Horarios!$H:$I,2,0),"")</f>
        <v/>
      </c>
      <c r="CC235" s="28" t="str">
        <f t="shared" si="157"/>
        <v>00:00</v>
      </c>
      <c r="CD235" s="29"/>
      <c r="CE235" s="27"/>
      <c r="CF235" s="27"/>
      <c r="CG235" s="28" t="str">
        <f>IFERROR(VLOOKUP(CE235,Horarios!$H:$I,2,0),"")</f>
        <v/>
      </c>
      <c r="CH235" s="28" t="str">
        <f>IFERROR(VLOOKUP(CF235,Horarios!$H:$I,2,0),"")</f>
        <v/>
      </c>
      <c r="CI235" s="28" t="str">
        <f t="shared" si="158"/>
        <v>00:00</v>
      </c>
      <c r="CJ235" s="29"/>
      <c r="CK235" s="31" t="str">
        <f t="shared" si="159"/>
        <v/>
      </c>
      <c r="CL235" s="27"/>
      <c r="CM235" s="27"/>
      <c r="CN235" s="28" t="str">
        <f>IFERROR(VLOOKUP(CL235,Horarios!$H:$I,2,0),"")</f>
        <v/>
      </c>
      <c r="CO235" s="28" t="str">
        <f>IFERROR(VLOOKUP(CM235,Horarios!$H:$I,2,0),"")</f>
        <v/>
      </c>
      <c r="CP235" s="28" t="str">
        <f t="shared" si="160"/>
        <v>00:00</v>
      </c>
      <c r="CQ235" s="29"/>
      <c r="CR235" s="27"/>
      <c r="CS235" s="27"/>
      <c r="CT235" s="28" t="str">
        <f>IFERROR(VLOOKUP(CR235,Horarios!$H:$I,2,0),"")</f>
        <v/>
      </c>
      <c r="CU235" s="28" t="str">
        <f>IFERROR(VLOOKUP(CS235,Horarios!$H:$I,2,0),"")</f>
        <v/>
      </c>
      <c r="CV235" s="28" t="str">
        <f t="shared" si="161"/>
        <v>00:00</v>
      </c>
      <c r="CW235" s="29"/>
      <c r="CX235" s="27"/>
      <c r="CY235" s="27"/>
      <c r="CZ235" s="28" t="str">
        <f>IFERROR(VLOOKUP(CX235,Horarios!$H:$I,2,0),"")</f>
        <v/>
      </c>
      <c r="DA235" s="28" t="str">
        <f>IFERROR(VLOOKUP(CY235,Horarios!$H:$I,2,0),"")</f>
        <v/>
      </c>
      <c r="DB235" s="28" t="str">
        <f t="shared" si="162"/>
        <v>00:00</v>
      </c>
      <c r="DC235" s="29"/>
      <c r="DD235" s="27"/>
      <c r="DE235" s="27"/>
      <c r="DF235" s="28" t="str">
        <f>IFERROR(VLOOKUP(DD235,Horarios!$H:$I,2,0),"")</f>
        <v/>
      </c>
      <c r="DG235" s="28" t="str">
        <f>IFERROR(VLOOKUP(DE235,Horarios!$H:$I,2,0),"")</f>
        <v/>
      </c>
      <c r="DH235" s="28" t="str">
        <f t="shared" si="163"/>
        <v>00:00</v>
      </c>
      <c r="DI235" s="29"/>
      <c r="DJ235" s="27"/>
      <c r="DK235" s="27"/>
      <c r="DL235" s="28" t="str">
        <f>IFERROR(VLOOKUP(DJ235,Horarios!$H:$I,2,0),"")</f>
        <v/>
      </c>
      <c r="DM235" s="28" t="str">
        <f>IFERROR(VLOOKUP(DK235,Horarios!$H:$I,2,0),"")</f>
        <v/>
      </c>
      <c r="DN235" s="28" t="str">
        <f t="shared" si="164"/>
        <v>00:00</v>
      </c>
      <c r="DO235" s="29"/>
      <c r="DP235" s="27"/>
      <c r="DQ235" s="27"/>
      <c r="DR235" s="28" t="str">
        <f>IFERROR(VLOOKUP(DP235,Horarios!$H:$I,2,0),"")</f>
        <v/>
      </c>
      <c r="DS235" s="28" t="str">
        <f>IFERROR(VLOOKUP(DQ235,Horarios!$H:$I,2,0),"")</f>
        <v/>
      </c>
      <c r="DT235" s="28" t="str">
        <f t="shared" si="165"/>
        <v>00:00</v>
      </c>
      <c r="DU235" s="29"/>
      <c r="DV235" s="27"/>
      <c r="DW235" s="27"/>
      <c r="DX235" s="28" t="str">
        <f>IFERROR(VLOOKUP(DV235,Horarios!$H:$I,2,0),"")</f>
        <v/>
      </c>
      <c r="DY235" s="28" t="str">
        <f>IFERROR(VLOOKUP(DW235,Horarios!$H:$I,2,0),"")</f>
        <v/>
      </c>
      <c r="DZ235" s="28" t="str">
        <f t="shared" si="166"/>
        <v>00:00</v>
      </c>
      <c r="EA235" s="29"/>
      <c r="EB235" s="31" t="str">
        <f t="shared" si="167"/>
        <v/>
      </c>
      <c r="EC235" s="27"/>
      <c r="ED235" s="27"/>
      <c r="EE235" s="28" t="str">
        <f>IFERROR(VLOOKUP(EC235,Horarios!$H:$I,2,0),"")</f>
        <v/>
      </c>
      <c r="EF235" s="28" t="str">
        <f>IFERROR(VLOOKUP(ED235,Horarios!$H:$I,2,0),"")</f>
        <v/>
      </c>
      <c r="EG235" s="28" t="str">
        <f t="shared" si="168"/>
        <v>00:00</v>
      </c>
      <c r="EH235" s="29"/>
      <c r="EI235" s="27"/>
      <c r="EJ235" s="27"/>
      <c r="EK235" s="28" t="str">
        <f>IFERROR(VLOOKUP(EI235,Horarios!$H:$I,2,0),"")</f>
        <v/>
      </c>
      <c r="EL235" s="28" t="str">
        <f>IFERROR(VLOOKUP(EJ235,Horarios!$H:$I,2,0),"")</f>
        <v/>
      </c>
      <c r="EM235" s="28" t="str">
        <f t="shared" si="169"/>
        <v>00:00</v>
      </c>
      <c r="EN235" s="29"/>
      <c r="EO235" s="27"/>
      <c r="EP235" s="27"/>
      <c r="EQ235" s="28" t="str">
        <f>IFERROR(VLOOKUP(EO235,Horarios!$H:$I,2,0),"")</f>
        <v/>
      </c>
      <c r="ER235" s="28" t="str">
        <f>IFERROR(VLOOKUP(EP235,Horarios!$H:$I,2,0),"")</f>
        <v/>
      </c>
      <c r="ES235" s="28" t="str">
        <f t="shared" si="170"/>
        <v>00:00</v>
      </c>
      <c r="ET235" s="29"/>
      <c r="EU235" s="27"/>
      <c r="EV235" s="27"/>
      <c r="EW235" s="28" t="str">
        <f>IFERROR(VLOOKUP(EU235,Horarios!$H:$I,2,0),"")</f>
        <v/>
      </c>
      <c r="EX235" s="28" t="str">
        <f>IFERROR(VLOOKUP(EV235,Horarios!$H:$I,2,0),"")</f>
        <v/>
      </c>
      <c r="EY235" s="28" t="str">
        <f t="shared" si="171"/>
        <v>00:00</v>
      </c>
      <c r="EZ235" s="29"/>
      <c r="FA235" s="27"/>
      <c r="FB235" s="27"/>
      <c r="FC235" s="28" t="str">
        <f>IFERROR(VLOOKUP(FA235,Horarios!$H:$I,2,0),"")</f>
        <v/>
      </c>
      <c r="FD235" s="28" t="str">
        <f>IFERROR(VLOOKUP(FB235,Horarios!$H:$I,2,0),"")</f>
        <v/>
      </c>
      <c r="FE235" s="28" t="str">
        <f t="shared" si="172"/>
        <v>00:00</v>
      </c>
      <c r="FF235" s="29"/>
      <c r="FG235" s="27"/>
      <c r="FH235" s="27"/>
      <c r="FI235" s="28" t="str">
        <f>IFERROR(VLOOKUP(FG235,Horarios!$H:$I,2,0),"")</f>
        <v/>
      </c>
      <c r="FJ235" s="28" t="str">
        <f>IFERROR(VLOOKUP(FH235,Horarios!$H:$I,2,0),"")</f>
        <v/>
      </c>
      <c r="FK235" s="28" t="str">
        <f t="shared" si="173"/>
        <v>00:00</v>
      </c>
      <c r="FL235" s="29"/>
      <c r="FM235" s="27"/>
      <c r="FN235" s="27"/>
      <c r="FO235" s="28" t="str">
        <f>IFERROR(VLOOKUP(FM235,Horarios!$H:$I,2,0),"")</f>
        <v/>
      </c>
      <c r="FP235" s="28" t="str">
        <f>IFERROR(VLOOKUP(FN235,Horarios!$H:$I,2,0),"")</f>
        <v/>
      </c>
      <c r="FQ235" s="28" t="str">
        <f t="shared" si="174"/>
        <v>00:00</v>
      </c>
      <c r="FR235" s="29"/>
      <c r="FS235" s="31" t="str">
        <f t="shared" si="175"/>
        <v/>
      </c>
      <c r="FT235" s="27"/>
      <c r="FU235" s="27"/>
      <c r="FV235" s="28" t="str">
        <f>IFERROR(VLOOKUP(FT235,Horarios!$H:$I,2,0),"")</f>
        <v/>
      </c>
      <c r="FW235" s="28" t="str">
        <f>IFERROR(VLOOKUP(FU235,Horarios!$H:$I,2,0),"")</f>
        <v/>
      </c>
      <c r="FX235" s="28" t="str">
        <f t="shared" si="176"/>
        <v>00:00</v>
      </c>
      <c r="FY235" s="29"/>
      <c r="FZ235" s="27"/>
      <c r="GA235" s="27"/>
      <c r="GB235" s="28" t="str">
        <f>IFERROR(VLOOKUP(FZ235,Horarios!$H:$I,2,0),"")</f>
        <v/>
      </c>
      <c r="GC235" s="28" t="str">
        <f>IFERROR(VLOOKUP(GA235,Horarios!$H:$I,2,0),"")</f>
        <v/>
      </c>
      <c r="GD235" s="28" t="str">
        <f t="shared" si="177"/>
        <v>00:00</v>
      </c>
      <c r="GE235" s="29"/>
      <c r="GF235" s="27"/>
      <c r="GG235" s="27"/>
      <c r="GH235" s="28" t="str">
        <f>IFERROR(VLOOKUP(GF235,Horarios!$H:$I,2,0),"")</f>
        <v/>
      </c>
      <c r="GI235" s="28" t="str">
        <f>IFERROR(VLOOKUP(GG235,Horarios!$H:$I,2,0),"")</f>
        <v/>
      </c>
      <c r="GJ235" s="28" t="str">
        <f t="shared" si="178"/>
        <v>00:00</v>
      </c>
      <c r="GK235" s="29"/>
      <c r="GL235" s="27"/>
      <c r="GM235" s="27"/>
      <c r="GN235" s="28" t="str">
        <f>IFERROR(VLOOKUP(GL235,Horarios!$H:$I,2,0),"")</f>
        <v/>
      </c>
      <c r="GO235" s="28" t="str">
        <f>IFERROR(VLOOKUP(GM235,Horarios!$H:$I,2,0),"")</f>
        <v/>
      </c>
      <c r="GP235" s="28" t="str">
        <f t="shared" si="179"/>
        <v>00:00</v>
      </c>
      <c r="GQ235" s="29"/>
      <c r="GR235" s="27"/>
      <c r="GS235" s="27"/>
      <c r="GT235" s="28" t="str">
        <f>IFERROR(VLOOKUP(GR235,Horarios!$H:$I,2,0),"")</f>
        <v/>
      </c>
      <c r="GU235" s="28" t="str">
        <f>IFERROR(VLOOKUP(GS235,Horarios!$H:$I,2,0),"")</f>
        <v/>
      </c>
      <c r="GV235" s="28" t="str">
        <f t="shared" si="180"/>
        <v>00:00</v>
      </c>
      <c r="GW235" s="29"/>
      <c r="GX235" s="27"/>
      <c r="GY235" s="27"/>
      <c r="GZ235" s="28" t="str">
        <f>IFERROR(VLOOKUP(GX235,Horarios!$H:$I,2,0),"")</f>
        <v/>
      </c>
      <c r="HA235" s="28" t="str">
        <f>IFERROR(VLOOKUP(GY235,Horarios!$H:$I,2,0),"")</f>
        <v/>
      </c>
      <c r="HB235" s="28" t="str">
        <f t="shared" si="181"/>
        <v>00:00</v>
      </c>
      <c r="HC235" s="29"/>
      <c r="HD235" s="27"/>
      <c r="HE235" s="27"/>
      <c r="HF235" s="28" t="str">
        <f>IFERROR(VLOOKUP(HD235,Horarios!$H:$I,2,0),"")</f>
        <v/>
      </c>
      <c r="HG235" s="28" t="str">
        <f>IFERROR(VLOOKUP(HE235,Horarios!$H:$I,2,0),"")</f>
        <v/>
      </c>
      <c r="HH235" s="28" t="str">
        <f t="shared" si="182"/>
        <v>00:00</v>
      </c>
      <c r="HI235" s="29"/>
      <c r="HJ235" s="31" t="str">
        <f t="shared" si="183"/>
        <v/>
      </c>
      <c r="HK235" s="27"/>
      <c r="HL235" s="27"/>
      <c r="HM235" s="28" t="str">
        <f>IFERROR(VLOOKUP(HK235,Horarios!$H:$I,2,0),"")</f>
        <v/>
      </c>
      <c r="HN235" s="28" t="str">
        <f>IFERROR(VLOOKUP(HL235,Horarios!$H:$I,2,0),"")</f>
        <v/>
      </c>
      <c r="HO235" s="28" t="str">
        <f t="shared" si="184"/>
        <v>00:00</v>
      </c>
      <c r="HP235" s="29"/>
      <c r="HQ235" s="27"/>
      <c r="HR235" s="27"/>
      <c r="HS235" s="28" t="str">
        <f>IFERROR(VLOOKUP(HQ235,Horarios!$H:$I,2,0),"")</f>
        <v/>
      </c>
      <c r="HT235" s="28" t="str">
        <f>IFERROR(VLOOKUP(HR235,Horarios!$H:$I,2,0),"")</f>
        <v/>
      </c>
      <c r="HU235" s="28" t="str">
        <f t="shared" si="185"/>
        <v>00:00</v>
      </c>
      <c r="HV235" s="29"/>
      <c r="HW235" s="27"/>
      <c r="HX235" s="27"/>
      <c r="HY235" s="28" t="str">
        <f>IFERROR(VLOOKUP(HW235,Horarios!$H:$I,2,0),"")</f>
        <v/>
      </c>
      <c r="HZ235" s="28" t="str">
        <f>IFERROR(VLOOKUP(HX235,Horarios!$H:$I,2,0),"")</f>
        <v/>
      </c>
      <c r="IA235" s="28" t="str">
        <f t="shared" si="186"/>
        <v>00:00</v>
      </c>
      <c r="IB235" s="29"/>
      <c r="IC235" s="27"/>
      <c r="ID235" s="27"/>
      <c r="IE235" s="28" t="str">
        <f>IFERROR(VLOOKUP(IC235,Horarios!$H:$I,2,0),"")</f>
        <v/>
      </c>
      <c r="IF235" s="28" t="str">
        <f>IFERROR(VLOOKUP(ID235,Horarios!$H:$I,2,0),"")</f>
        <v/>
      </c>
      <c r="IG235" s="28" t="str">
        <f t="shared" si="187"/>
        <v>00:00</v>
      </c>
      <c r="IH235" s="29"/>
      <c r="II235" s="27"/>
      <c r="IJ235" s="27"/>
      <c r="IK235" s="28" t="str">
        <f>IFERROR(VLOOKUP(II235,Horarios!$H:$I,2,0),"")</f>
        <v/>
      </c>
      <c r="IL235" s="28" t="str">
        <f>IFERROR(VLOOKUP(IJ235,Horarios!$H:$I,2,0),"")</f>
        <v/>
      </c>
      <c r="IM235" s="28" t="str">
        <f t="shared" si="188"/>
        <v>00:00</v>
      </c>
      <c r="IN235" s="29"/>
      <c r="IO235" s="27"/>
      <c r="IP235" s="27"/>
      <c r="IQ235" s="28" t="str">
        <f>IFERROR(VLOOKUP(IO235,Horarios!$H:$I,2,0),"")</f>
        <v/>
      </c>
      <c r="IR235" s="28" t="str">
        <f>IFERROR(VLOOKUP(IP235,Horarios!$H:$I,2,0),"")</f>
        <v/>
      </c>
      <c r="IS235" s="28" t="str">
        <f t="shared" si="189"/>
        <v>00:00</v>
      </c>
      <c r="IT235" s="29"/>
      <c r="IU235" s="27"/>
      <c r="IV235" s="27"/>
      <c r="IW235" s="28" t="str">
        <f>IFERROR(VLOOKUP(IU235,Horarios!$H:$I,2,0),"")</f>
        <v/>
      </c>
      <c r="IX235" s="28" t="str">
        <f>IFERROR(VLOOKUP(IV235,Horarios!$H:$I,2,0),"")</f>
        <v/>
      </c>
      <c r="IY235" s="28" t="str">
        <f t="shared" si="190"/>
        <v>00:00</v>
      </c>
      <c r="IZ235" s="29"/>
      <c r="JA235" s="31" t="str">
        <f t="shared" si="191"/>
        <v/>
      </c>
    </row>
    <row r="236" spans="1:261" s="24" customFormat="1" ht="17.399999999999999" x14ac:dyDescent="0.25">
      <c r="A236" s="25"/>
      <c r="B236" s="26" t="str">
        <f>IFERROR(VLOOKUP(A236,BaseNombres!A:B,2,0),"")</f>
        <v/>
      </c>
      <c r="C236" s="26" t="str">
        <f>IFERROR(VLOOKUP(A236,BaseNombres!A:C,3,0),"")</f>
        <v/>
      </c>
      <c r="D236" s="27"/>
      <c r="E236" s="27"/>
      <c r="F236" s="28" t="str">
        <f>IFERROR(VLOOKUP(D236,Horarios!$H:$I,2,0),"")</f>
        <v/>
      </c>
      <c r="G236" s="28" t="str">
        <f>IFERROR(VLOOKUP(E236,Horarios!$H:$I,2,0),"")</f>
        <v/>
      </c>
      <c r="H236" s="28" t="str">
        <f t="shared" si="144"/>
        <v>00:00</v>
      </c>
      <c r="I236" s="29"/>
      <c r="J236" s="27"/>
      <c r="K236" s="27"/>
      <c r="L236" s="28" t="str">
        <f>IFERROR(VLOOKUP(J236,Horarios!$H:$I,2,0),"")</f>
        <v/>
      </c>
      <c r="M236" s="28" t="str">
        <f>IFERROR(VLOOKUP(K236,Horarios!$H:$I,2,0),"")</f>
        <v/>
      </c>
      <c r="N236" s="28" t="str">
        <f t="shared" si="145"/>
        <v>00:00</v>
      </c>
      <c r="O236" s="29"/>
      <c r="P236" s="27"/>
      <c r="Q236" s="27"/>
      <c r="R236" s="28" t="str">
        <f>IFERROR(VLOOKUP(P236,Horarios!$H:$I,2,0),"")</f>
        <v/>
      </c>
      <c r="S236" s="28" t="str">
        <f>IFERROR(VLOOKUP(Q236,Horarios!$H:$I,2,0),"")</f>
        <v/>
      </c>
      <c r="T236" s="28" t="str">
        <f t="shared" si="146"/>
        <v>00:00</v>
      </c>
      <c r="U236" s="29"/>
      <c r="V236" s="27"/>
      <c r="W236" s="27"/>
      <c r="X236" s="28" t="str">
        <f>IFERROR(VLOOKUP(V236,Horarios!$H:$I,2,0),"")</f>
        <v/>
      </c>
      <c r="Y236" s="28" t="str">
        <f>IFERROR(VLOOKUP(W236,Horarios!$H:$I,2,0),"")</f>
        <v/>
      </c>
      <c r="Z236" s="28" t="str">
        <f t="shared" si="147"/>
        <v>00:00</v>
      </c>
      <c r="AA236" s="29"/>
      <c r="AB236" s="27"/>
      <c r="AC236" s="27"/>
      <c r="AD236" s="28" t="str">
        <f>IFERROR(VLOOKUP(AB236,Horarios!$H:$I,2,0),"")</f>
        <v/>
      </c>
      <c r="AE236" s="28" t="str">
        <f>IFERROR(VLOOKUP(AC236,Horarios!$H:$I,2,0),"")</f>
        <v/>
      </c>
      <c r="AF236" s="28" t="str">
        <f t="shared" si="148"/>
        <v>00:00</v>
      </c>
      <c r="AG236" s="29"/>
      <c r="AH236" s="27"/>
      <c r="AI236" s="27"/>
      <c r="AJ236" s="28" t="str">
        <f>IFERROR(VLOOKUP(AH236,Horarios!$H:$I,2,0),"")</f>
        <v/>
      </c>
      <c r="AK236" s="28" t="str">
        <f>IFERROR(VLOOKUP(AI236,Horarios!$H:$I,2,0),"")</f>
        <v/>
      </c>
      <c r="AL236" s="28" t="str">
        <f t="shared" si="149"/>
        <v>00:00</v>
      </c>
      <c r="AM236" s="29"/>
      <c r="AN236" s="27"/>
      <c r="AO236" s="27"/>
      <c r="AP236" s="28" t="str">
        <f>IFERROR(VLOOKUP(AN236,Horarios!$H:$I,2,0),"")</f>
        <v/>
      </c>
      <c r="AQ236" s="28" t="str">
        <f>IFERROR(VLOOKUP(AO236,Horarios!$H:$I,2,0),"")</f>
        <v/>
      </c>
      <c r="AR236" s="28" t="str">
        <f t="shared" si="150"/>
        <v>00:00</v>
      </c>
      <c r="AS236" s="29"/>
      <c r="AT236" s="31" t="str">
        <f t="shared" si="151"/>
        <v/>
      </c>
      <c r="AU236" s="27"/>
      <c r="AV236" s="27"/>
      <c r="AW236" s="28" t="str">
        <f>IFERROR(VLOOKUP(AU236,Horarios!$H:$I,2,0),"")</f>
        <v/>
      </c>
      <c r="AX236" s="28" t="str">
        <f>IFERROR(VLOOKUP(AV236,Horarios!$H:$I,2,0),"")</f>
        <v/>
      </c>
      <c r="AY236" s="28" t="str">
        <f t="shared" si="152"/>
        <v>00:00</v>
      </c>
      <c r="AZ236" s="29"/>
      <c r="BA236" s="27"/>
      <c r="BB236" s="27"/>
      <c r="BC236" s="28" t="str">
        <f>IFERROR(VLOOKUP(BA236,Horarios!$H:$I,2,0),"")</f>
        <v/>
      </c>
      <c r="BD236" s="28" t="str">
        <f>IFERROR(VLOOKUP(BB236,Horarios!$H:$I,2,0),"")</f>
        <v/>
      </c>
      <c r="BE236" s="28" t="str">
        <f t="shared" si="153"/>
        <v>00:00</v>
      </c>
      <c r="BF236" s="29"/>
      <c r="BG236" s="27"/>
      <c r="BH236" s="27"/>
      <c r="BI236" s="28" t="str">
        <f>IFERROR(VLOOKUP(BG236,Horarios!$H:$I,2,0),"")</f>
        <v/>
      </c>
      <c r="BJ236" s="28" t="str">
        <f>IFERROR(VLOOKUP(BH236,Horarios!$H:$I,2,0),"")</f>
        <v/>
      </c>
      <c r="BK236" s="28" t="str">
        <f t="shared" si="154"/>
        <v>00:00</v>
      </c>
      <c r="BL236" s="29"/>
      <c r="BM236" s="27"/>
      <c r="BN236" s="27"/>
      <c r="BO236" s="28" t="str">
        <f>IFERROR(VLOOKUP(BM236,Horarios!$H:$I,2,0),"")</f>
        <v/>
      </c>
      <c r="BP236" s="28" t="str">
        <f>IFERROR(VLOOKUP(BN236,Horarios!$H:$I,2,0),"")</f>
        <v/>
      </c>
      <c r="BQ236" s="28" t="str">
        <f t="shared" si="155"/>
        <v>00:00</v>
      </c>
      <c r="BR236" s="29"/>
      <c r="BS236" s="27"/>
      <c r="BT236" s="27"/>
      <c r="BU236" s="28" t="str">
        <f>IFERROR(VLOOKUP(BS236,Horarios!$H:$I,2,0),"")</f>
        <v/>
      </c>
      <c r="BV236" s="28" t="str">
        <f>IFERROR(VLOOKUP(BT236,Horarios!$H:$I,2,0),"")</f>
        <v/>
      </c>
      <c r="BW236" s="28" t="str">
        <f t="shared" si="156"/>
        <v>00:00</v>
      </c>
      <c r="BX236" s="29"/>
      <c r="BY236" s="27"/>
      <c r="BZ236" s="27"/>
      <c r="CA236" s="28" t="str">
        <f>IFERROR(VLOOKUP(BY236,Horarios!$H:$I,2,0),"")</f>
        <v/>
      </c>
      <c r="CB236" s="28" t="str">
        <f>IFERROR(VLOOKUP(BZ236,Horarios!$H:$I,2,0),"")</f>
        <v/>
      </c>
      <c r="CC236" s="28" t="str">
        <f t="shared" si="157"/>
        <v>00:00</v>
      </c>
      <c r="CD236" s="29"/>
      <c r="CE236" s="27"/>
      <c r="CF236" s="27"/>
      <c r="CG236" s="28" t="str">
        <f>IFERROR(VLOOKUP(CE236,Horarios!$H:$I,2,0),"")</f>
        <v/>
      </c>
      <c r="CH236" s="28" t="str">
        <f>IFERROR(VLOOKUP(CF236,Horarios!$H:$I,2,0),"")</f>
        <v/>
      </c>
      <c r="CI236" s="28" t="str">
        <f t="shared" si="158"/>
        <v>00:00</v>
      </c>
      <c r="CJ236" s="29"/>
      <c r="CK236" s="31" t="str">
        <f t="shared" si="159"/>
        <v/>
      </c>
      <c r="CL236" s="27"/>
      <c r="CM236" s="27"/>
      <c r="CN236" s="28" t="str">
        <f>IFERROR(VLOOKUP(CL236,Horarios!$H:$I,2,0),"")</f>
        <v/>
      </c>
      <c r="CO236" s="28" t="str">
        <f>IFERROR(VLOOKUP(CM236,Horarios!$H:$I,2,0),"")</f>
        <v/>
      </c>
      <c r="CP236" s="28" t="str">
        <f t="shared" si="160"/>
        <v>00:00</v>
      </c>
      <c r="CQ236" s="29"/>
      <c r="CR236" s="27"/>
      <c r="CS236" s="27"/>
      <c r="CT236" s="28" t="str">
        <f>IFERROR(VLOOKUP(CR236,Horarios!$H:$I,2,0),"")</f>
        <v/>
      </c>
      <c r="CU236" s="28" t="str">
        <f>IFERROR(VLOOKUP(CS236,Horarios!$H:$I,2,0),"")</f>
        <v/>
      </c>
      <c r="CV236" s="28" t="str">
        <f t="shared" si="161"/>
        <v>00:00</v>
      </c>
      <c r="CW236" s="29"/>
      <c r="CX236" s="27"/>
      <c r="CY236" s="27"/>
      <c r="CZ236" s="28" t="str">
        <f>IFERROR(VLOOKUP(CX236,Horarios!$H:$I,2,0),"")</f>
        <v/>
      </c>
      <c r="DA236" s="28" t="str">
        <f>IFERROR(VLOOKUP(CY236,Horarios!$H:$I,2,0),"")</f>
        <v/>
      </c>
      <c r="DB236" s="28" t="str">
        <f t="shared" si="162"/>
        <v>00:00</v>
      </c>
      <c r="DC236" s="29"/>
      <c r="DD236" s="27"/>
      <c r="DE236" s="27"/>
      <c r="DF236" s="28" t="str">
        <f>IFERROR(VLOOKUP(DD236,Horarios!$H:$I,2,0),"")</f>
        <v/>
      </c>
      <c r="DG236" s="28" t="str">
        <f>IFERROR(VLOOKUP(DE236,Horarios!$H:$I,2,0),"")</f>
        <v/>
      </c>
      <c r="DH236" s="28" t="str">
        <f t="shared" si="163"/>
        <v>00:00</v>
      </c>
      <c r="DI236" s="29"/>
      <c r="DJ236" s="27"/>
      <c r="DK236" s="27"/>
      <c r="DL236" s="28" t="str">
        <f>IFERROR(VLOOKUP(DJ236,Horarios!$H:$I,2,0),"")</f>
        <v/>
      </c>
      <c r="DM236" s="28" t="str">
        <f>IFERROR(VLOOKUP(DK236,Horarios!$H:$I,2,0),"")</f>
        <v/>
      </c>
      <c r="DN236" s="28" t="str">
        <f t="shared" si="164"/>
        <v>00:00</v>
      </c>
      <c r="DO236" s="29"/>
      <c r="DP236" s="27"/>
      <c r="DQ236" s="27"/>
      <c r="DR236" s="28" t="str">
        <f>IFERROR(VLOOKUP(DP236,Horarios!$H:$I,2,0),"")</f>
        <v/>
      </c>
      <c r="DS236" s="28" t="str">
        <f>IFERROR(VLOOKUP(DQ236,Horarios!$H:$I,2,0),"")</f>
        <v/>
      </c>
      <c r="DT236" s="28" t="str">
        <f t="shared" si="165"/>
        <v>00:00</v>
      </c>
      <c r="DU236" s="29"/>
      <c r="DV236" s="27"/>
      <c r="DW236" s="27"/>
      <c r="DX236" s="28" t="str">
        <f>IFERROR(VLOOKUP(DV236,Horarios!$H:$I,2,0),"")</f>
        <v/>
      </c>
      <c r="DY236" s="28" t="str">
        <f>IFERROR(VLOOKUP(DW236,Horarios!$H:$I,2,0),"")</f>
        <v/>
      </c>
      <c r="DZ236" s="28" t="str">
        <f t="shared" si="166"/>
        <v>00:00</v>
      </c>
      <c r="EA236" s="29"/>
      <c r="EB236" s="31" t="str">
        <f t="shared" si="167"/>
        <v/>
      </c>
      <c r="EC236" s="27"/>
      <c r="ED236" s="27"/>
      <c r="EE236" s="28" t="str">
        <f>IFERROR(VLOOKUP(EC236,Horarios!$H:$I,2,0),"")</f>
        <v/>
      </c>
      <c r="EF236" s="28" t="str">
        <f>IFERROR(VLOOKUP(ED236,Horarios!$H:$I,2,0),"")</f>
        <v/>
      </c>
      <c r="EG236" s="28" t="str">
        <f t="shared" si="168"/>
        <v>00:00</v>
      </c>
      <c r="EH236" s="29"/>
      <c r="EI236" s="27"/>
      <c r="EJ236" s="27"/>
      <c r="EK236" s="28" t="str">
        <f>IFERROR(VLOOKUP(EI236,Horarios!$H:$I,2,0),"")</f>
        <v/>
      </c>
      <c r="EL236" s="28" t="str">
        <f>IFERROR(VLOOKUP(EJ236,Horarios!$H:$I,2,0),"")</f>
        <v/>
      </c>
      <c r="EM236" s="28" t="str">
        <f t="shared" si="169"/>
        <v>00:00</v>
      </c>
      <c r="EN236" s="29"/>
      <c r="EO236" s="27"/>
      <c r="EP236" s="27"/>
      <c r="EQ236" s="28" t="str">
        <f>IFERROR(VLOOKUP(EO236,Horarios!$H:$I,2,0),"")</f>
        <v/>
      </c>
      <c r="ER236" s="28" t="str">
        <f>IFERROR(VLOOKUP(EP236,Horarios!$H:$I,2,0),"")</f>
        <v/>
      </c>
      <c r="ES236" s="28" t="str">
        <f t="shared" si="170"/>
        <v>00:00</v>
      </c>
      <c r="ET236" s="29"/>
      <c r="EU236" s="27"/>
      <c r="EV236" s="27"/>
      <c r="EW236" s="28" t="str">
        <f>IFERROR(VLOOKUP(EU236,Horarios!$H:$I,2,0),"")</f>
        <v/>
      </c>
      <c r="EX236" s="28" t="str">
        <f>IFERROR(VLOOKUP(EV236,Horarios!$H:$I,2,0),"")</f>
        <v/>
      </c>
      <c r="EY236" s="28" t="str">
        <f t="shared" si="171"/>
        <v>00:00</v>
      </c>
      <c r="EZ236" s="29"/>
      <c r="FA236" s="27"/>
      <c r="FB236" s="27"/>
      <c r="FC236" s="28" t="str">
        <f>IFERROR(VLOOKUP(FA236,Horarios!$H:$I,2,0),"")</f>
        <v/>
      </c>
      <c r="FD236" s="28" t="str">
        <f>IFERROR(VLOOKUP(FB236,Horarios!$H:$I,2,0),"")</f>
        <v/>
      </c>
      <c r="FE236" s="28" t="str">
        <f t="shared" si="172"/>
        <v>00:00</v>
      </c>
      <c r="FF236" s="29"/>
      <c r="FG236" s="27"/>
      <c r="FH236" s="27"/>
      <c r="FI236" s="28" t="str">
        <f>IFERROR(VLOOKUP(FG236,Horarios!$H:$I,2,0),"")</f>
        <v/>
      </c>
      <c r="FJ236" s="28" t="str">
        <f>IFERROR(VLOOKUP(FH236,Horarios!$H:$I,2,0),"")</f>
        <v/>
      </c>
      <c r="FK236" s="28" t="str">
        <f t="shared" si="173"/>
        <v>00:00</v>
      </c>
      <c r="FL236" s="29"/>
      <c r="FM236" s="27"/>
      <c r="FN236" s="27"/>
      <c r="FO236" s="28" t="str">
        <f>IFERROR(VLOOKUP(FM236,Horarios!$H:$I,2,0),"")</f>
        <v/>
      </c>
      <c r="FP236" s="28" t="str">
        <f>IFERROR(VLOOKUP(FN236,Horarios!$H:$I,2,0),"")</f>
        <v/>
      </c>
      <c r="FQ236" s="28" t="str">
        <f t="shared" si="174"/>
        <v>00:00</v>
      </c>
      <c r="FR236" s="29"/>
      <c r="FS236" s="31" t="str">
        <f t="shared" si="175"/>
        <v/>
      </c>
      <c r="FT236" s="27"/>
      <c r="FU236" s="27"/>
      <c r="FV236" s="28" t="str">
        <f>IFERROR(VLOOKUP(FT236,Horarios!$H:$I,2,0),"")</f>
        <v/>
      </c>
      <c r="FW236" s="28" t="str">
        <f>IFERROR(VLOOKUP(FU236,Horarios!$H:$I,2,0),"")</f>
        <v/>
      </c>
      <c r="FX236" s="28" t="str">
        <f t="shared" si="176"/>
        <v>00:00</v>
      </c>
      <c r="FY236" s="29"/>
      <c r="FZ236" s="27"/>
      <c r="GA236" s="27"/>
      <c r="GB236" s="28" t="str">
        <f>IFERROR(VLOOKUP(FZ236,Horarios!$H:$I,2,0),"")</f>
        <v/>
      </c>
      <c r="GC236" s="28" t="str">
        <f>IFERROR(VLOOKUP(GA236,Horarios!$H:$I,2,0),"")</f>
        <v/>
      </c>
      <c r="GD236" s="28" t="str">
        <f t="shared" si="177"/>
        <v>00:00</v>
      </c>
      <c r="GE236" s="29"/>
      <c r="GF236" s="27"/>
      <c r="GG236" s="27"/>
      <c r="GH236" s="28" t="str">
        <f>IFERROR(VLOOKUP(GF236,Horarios!$H:$I,2,0),"")</f>
        <v/>
      </c>
      <c r="GI236" s="28" t="str">
        <f>IFERROR(VLOOKUP(GG236,Horarios!$H:$I,2,0),"")</f>
        <v/>
      </c>
      <c r="GJ236" s="28" t="str">
        <f t="shared" si="178"/>
        <v>00:00</v>
      </c>
      <c r="GK236" s="29"/>
      <c r="GL236" s="27"/>
      <c r="GM236" s="27"/>
      <c r="GN236" s="28" t="str">
        <f>IFERROR(VLOOKUP(GL236,Horarios!$H:$I,2,0),"")</f>
        <v/>
      </c>
      <c r="GO236" s="28" t="str">
        <f>IFERROR(VLOOKUP(GM236,Horarios!$H:$I,2,0),"")</f>
        <v/>
      </c>
      <c r="GP236" s="28" t="str">
        <f t="shared" si="179"/>
        <v>00:00</v>
      </c>
      <c r="GQ236" s="29"/>
      <c r="GR236" s="27"/>
      <c r="GS236" s="27"/>
      <c r="GT236" s="28" t="str">
        <f>IFERROR(VLOOKUP(GR236,Horarios!$H:$I,2,0),"")</f>
        <v/>
      </c>
      <c r="GU236" s="28" t="str">
        <f>IFERROR(VLOOKUP(GS236,Horarios!$H:$I,2,0),"")</f>
        <v/>
      </c>
      <c r="GV236" s="28" t="str">
        <f t="shared" si="180"/>
        <v>00:00</v>
      </c>
      <c r="GW236" s="29"/>
      <c r="GX236" s="27"/>
      <c r="GY236" s="27"/>
      <c r="GZ236" s="28" t="str">
        <f>IFERROR(VLOOKUP(GX236,Horarios!$H:$I,2,0),"")</f>
        <v/>
      </c>
      <c r="HA236" s="28" t="str">
        <f>IFERROR(VLOOKUP(GY236,Horarios!$H:$I,2,0),"")</f>
        <v/>
      </c>
      <c r="HB236" s="28" t="str">
        <f t="shared" si="181"/>
        <v>00:00</v>
      </c>
      <c r="HC236" s="29"/>
      <c r="HD236" s="27"/>
      <c r="HE236" s="27"/>
      <c r="HF236" s="28" t="str">
        <f>IFERROR(VLOOKUP(HD236,Horarios!$H:$I,2,0),"")</f>
        <v/>
      </c>
      <c r="HG236" s="28" t="str">
        <f>IFERROR(VLOOKUP(HE236,Horarios!$H:$I,2,0),"")</f>
        <v/>
      </c>
      <c r="HH236" s="28" t="str">
        <f t="shared" si="182"/>
        <v>00:00</v>
      </c>
      <c r="HI236" s="29"/>
      <c r="HJ236" s="31" t="str">
        <f t="shared" si="183"/>
        <v/>
      </c>
      <c r="HK236" s="27"/>
      <c r="HL236" s="27"/>
      <c r="HM236" s="28" t="str">
        <f>IFERROR(VLOOKUP(HK236,Horarios!$H:$I,2,0),"")</f>
        <v/>
      </c>
      <c r="HN236" s="28" t="str">
        <f>IFERROR(VLOOKUP(HL236,Horarios!$H:$I,2,0),"")</f>
        <v/>
      </c>
      <c r="HO236" s="28" t="str">
        <f t="shared" si="184"/>
        <v>00:00</v>
      </c>
      <c r="HP236" s="29"/>
      <c r="HQ236" s="27"/>
      <c r="HR236" s="27"/>
      <c r="HS236" s="28" t="str">
        <f>IFERROR(VLOOKUP(HQ236,Horarios!$H:$I,2,0),"")</f>
        <v/>
      </c>
      <c r="HT236" s="28" t="str">
        <f>IFERROR(VLOOKUP(HR236,Horarios!$H:$I,2,0),"")</f>
        <v/>
      </c>
      <c r="HU236" s="28" t="str">
        <f t="shared" si="185"/>
        <v>00:00</v>
      </c>
      <c r="HV236" s="29"/>
      <c r="HW236" s="27"/>
      <c r="HX236" s="27"/>
      <c r="HY236" s="28" t="str">
        <f>IFERROR(VLOOKUP(HW236,Horarios!$H:$I,2,0),"")</f>
        <v/>
      </c>
      <c r="HZ236" s="28" t="str">
        <f>IFERROR(VLOOKUP(HX236,Horarios!$H:$I,2,0),"")</f>
        <v/>
      </c>
      <c r="IA236" s="28" t="str">
        <f t="shared" si="186"/>
        <v>00:00</v>
      </c>
      <c r="IB236" s="29"/>
      <c r="IC236" s="27"/>
      <c r="ID236" s="27"/>
      <c r="IE236" s="28" t="str">
        <f>IFERROR(VLOOKUP(IC236,Horarios!$H:$I,2,0),"")</f>
        <v/>
      </c>
      <c r="IF236" s="28" t="str">
        <f>IFERROR(VLOOKUP(ID236,Horarios!$H:$I,2,0),"")</f>
        <v/>
      </c>
      <c r="IG236" s="28" t="str">
        <f t="shared" si="187"/>
        <v>00:00</v>
      </c>
      <c r="IH236" s="29"/>
      <c r="II236" s="27"/>
      <c r="IJ236" s="27"/>
      <c r="IK236" s="28" t="str">
        <f>IFERROR(VLOOKUP(II236,Horarios!$H:$I,2,0),"")</f>
        <v/>
      </c>
      <c r="IL236" s="28" t="str">
        <f>IFERROR(VLOOKUP(IJ236,Horarios!$H:$I,2,0),"")</f>
        <v/>
      </c>
      <c r="IM236" s="28" t="str">
        <f t="shared" si="188"/>
        <v>00:00</v>
      </c>
      <c r="IN236" s="29"/>
      <c r="IO236" s="27"/>
      <c r="IP236" s="27"/>
      <c r="IQ236" s="28" t="str">
        <f>IFERROR(VLOOKUP(IO236,Horarios!$H:$I,2,0),"")</f>
        <v/>
      </c>
      <c r="IR236" s="28" t="str">
        <f>IFERROR(VLOOKUP(IP236,Horarios!$H:$I,2,0),"")</f>
        <v/>
      </c>
      <c r="IS236" s="28" t="str">
        <f t="shared" si="189"/>
        <v>00:00</v>
      </c>
      <c r="IT236" s="29"/>
      <c r="IU236" s="27"/>
      <c r="IV236" s="27"/>
      <c r="IW236" s="28" t="str">
        <f>IFERROR(VLOOKUP(IU236,Horarios!$H:$I,2,0),"")</f>
        <v/>
      </c>
      <c r="IX236" s="28" t="str">
        <f>IFERROR(VLOOKUP(IV236,Horarios!$H:$I,2,0),"")</f>
        <v/>
      </c>
      <c r="IY236" s="28" t="str">
        <f t="shared" si="190"/>
        <v>00:00</v>
      </c>
      <c r="IZ236" s="29"/>
      <c r="JA236" s="31" t="str">
        <f t="shared" si="191"/>
        <v/>
      </c>
    </row>
    <row r="237" spans="1:261" s="24" customFormat="1" ht="17.399999999999999" x14ac:dyDescent="0.25">
      <c r="A237" s="25"/>
      <c r="B237" s="26" t="str">
        <f>IFERROR(VLOOKUP(A237,BaseNombres!A:B,2,0),"")</f>
        <v/>
      </c>
      <c r="C237" s="26" t="str">
        <f>IFERROR(VLOOKUP(A237,BaseNombres!A:C,3,0),"")</f>
        <v/>
      </c>
      <c r="D237" s="27"/>
      <c r="E237" s="27"/>
      <c r="F237" s="28" t="str">
        <f>IFERROR(VLOOKUP(D237,Horarios!$H:$I,2,0),"")</f>
        <v/>
      </c>
      <c r="G237" s="28" t="str">
        <f>IFERROR(VLOOKUP(E237,Horarios!$H:$I,2,0),"")</f>
        <v/>
      </c>
      <c r="H237" s="28" t="str">
        <f t="shared" si="144"/>
        <v>00:00</v>
      </c>
      <c r="I237" s="29"/>
      <c r="J237" s="27"/>
      <c r="K237" s="27"/>
      <c r="L237" s="28" t="str">
        <f>IFERROR(VLOOKUP(J237,Horarios!$H:$I,2,0),"")</f>
        <v/>
      </c>
      <c r="M237" s="28" t="str">
        <f>IFERROR(VLOOKUP(K237,Horarios!$H:$I,2,0),"")</f>
        <v/>
      </c>
      <c r="N237" s="28" t="str">
        <f t="shared" si="145"/>
        <v>00:00</v>
      </c>
      <c r="O237" s="29"/>
      <c r="P237" s="27"/>
      <c r="Q237" s="27"/>
      <c r="R237" s="28" t="str">
        <f>IFERROR(VLOOKUP(P237,Horarios!$H:$I,2,0),"")</f>
        <v/>
      </c>
      <c r="S237" s="28" t="str">
        <f>IFERROR(VLOOKUP(Q237,Horarios!$H:$I,2,0),"")</f>
        <v/>
      </c>
      <c r="T237" s="28" t="str">
        <f t="shared" si="146"/>
        <v>00:00</v>
      </c>
      <c r="U237" s="29"/>
      <c r="V237" s="27"/>
      <c r="W237" s="27"/>
      <c r="X237" s="28" t="str">
        <f>IFERROR(VLOOKUP(V237,Horarios!$H:$I,2,0),"")</f>
        <v/>
      </c>
      <c r="Y237" s="28" t="str">
        <f>IFERROR(VLOOKUP(W237,Horarios!$H:$I,2,0),"")</f>
        <v/>
      </c>
      <c r="Z237" s="28" t="str">
        <f t="shared" si="147"/>
        <v>00:00</v>
      </c>
      <c r="AA237" s="29"/>
      <c r="AB237" s="27"/>
      <c r="AC237" s="27"/>
      <c r="AD237" s="28" t="str">
        <f>IFERROR(VLOOKUP(AB237,Horarios!$H:$I,2,0),"")</f>
        <v/>
      </c>
      <c r="AE237" s="28" t="str">
        <f>IFERROR(VLOOKUP(AC237,Horarios!$H:$I,2,0),"")</f>
        <v/>
      </c>
      <c r="AF237" s="28" t="str">
        <f t="shared" si="148"/>
        <v>00:00</v>
      </c>
      <c r="AG237" s="29"/>
      <c r="AH237" s="27"/>
      <c r="AI237" s="27"/>
      <c r="AJ237" s="28" t="str">
        <f>IFERROR(VLOOKUP(AH237,Horarios!$H:$I,2,0),"")</f>
        <v/>
      </c>
      <c r="AK237" s="28" t="str">
        <f>IFERROR(VLOOKUP(AI237,Horarios!$H:$I,2,0),"")</f>
        <v/>
      </c>
      <c r="AL237" s="28" t="str">
        <f t="shared" si="149"/>
        <v>00:00</v>
      </c>
      <c r="AM237" s="29"/>
      <c r="AN237" s="27"/>
      <c r="AO237" s="27"/>
      <c r="AP237" s="28" t="str">
        <f>IFERROR(VLOOKUP(AN237,Horarios!$H:$I,2,0),"")</f>
        <v/>
      </c>
      <c r="AQ237" s="28" t="str">
        <f>IFERROR(VLOOKUP(AO237,Horarios!$H:$I,2,0),"")</f>
        <v/>
      </c>
      <c r="AR237" s="28" t="str">
        <f t="shared" si="150"/>
        <v>00:00</v>
      </c>
      <c r="AS237" s="29"/>
      <c r="AT237" s="31" t="str">
        <f t="shared" si="151"/>
        <v/>
      </c>
      <c r="AU237" s="27"/>
      <c r="AV237" s="27"/>
      <c r="AW237" s="28" t="str">
        <f>IFERROR(VLOOKUP(AU237,Horarios!$H:$I,2,0),"")</f>
        <v/>
      </c>
      <c r="AX237" s="28" t="str">
        <f>IFERROR(VLOOKUP(AV237,Horarios!$H:$I,2,0),"")</f>
        <v/>
      </c>
      <c r="AY237" s="28" t="str">
        <f t="shared" si="152"/>
        <v>00:00</v>
      </c>
      <c r="AZ237" s="29"/>
      <c r="BA237" s="27"/>
      <c r="BB237" s="27"/>
      <c r="BC237" s="28" t="str">
        <f>IFERROR(VLOOKUP(BA237,Horarios!$H:$I,2,0),"")</f>
        <v/>
      </c>
      <c r="BD237" s="28" t="str">
        <f>IFERROR(VLOOKUP(BB237,Horarios!$H:$I,2,0),"")</f>
        <v/>
      </c>
      <c r="BE237" s="28" t="str">
        <f t="shared" si="153"/>
        <v>00:00</v>
      </c>
      <c r="BF237" s="29"/>
      <c r="BG237" s="27"/>
      <c r="BH237" s="27"/>
      <c r="BI237" s="28" t="str">
        <f>IFERROR(VLOOKUP(BG237,Horarios!$H:$I,2,0),"")</f>
        <v/>
      </c>
      <c r="BJ237" s="28" t="str">
        <f>IFERROR(VLOOKUP(BH237,Horarios!$H:$I,2,0),"")</f>
        <v/>
      </c>
      <c r="BK237" s="28" t="str">
        <f t="shared" si="154"/>
        <v>00:00</v>
      </c>
      <c r="BL237" s="29"/>
      <c r="BM237" s="27"/>
      <c r="BN237" s="27"/>
      <c r="BO237" s="28" t="str">
        <f>IFERROR(VLOOKUP(BM237,Horarios!$H:$I,2,0),"")</f>
        <v/>
      </c>
      <c r="BP237" s="28" t="str">
        <f>IFERROR(VLOOKUP(BN237,Horarios!$H:$I,2,0),"")</f>
        <v/>
      </c>
      <c r="BQ237" s="28" t="str">
        <f t="shared" si="155"/>
        <v>00:00</v>
      </c>
      <c r="BR237" s="29"/>
      <c r="BS237" s="27"/>
      <c r="BT237" s="27"/>
      <c r="BU237" s="28" t="str">
        <f>IFERROR(VLOOKUP(BS237,Horarios!$H:$I,2,0),"")</f>
        <v/>
      </c>
      <c r="BV237" s="28" t="str">
        <f>IFERROR(VLOOKUP(BT237,Horarios!$H:$I,2,0),"")</f>
        <v/>
      </c>
      <c r="BW237" s="28" t="str">
        <f t="shared" si="156"/>
        <v>00:00</v>
      </c>
      <c r="BX237" s="29"/>
      <c r="BY237" s="27"/>
      <c r="BZ237" s="27"/>
      <c r="CA237" s="28" t="str">
        <f>IFERROR(VLOOKUP(BY237,Horarios!$H:$I,2,0),"")</f>
        <v/>
      </c>
      <c r="CB237" s="28" t="str">
        <f>IFERROR(VLOOKUP(BZ237,Horarios!$H:$I,2,0),"")</f>
        <v/>
      </c>
      <c r="CC237" s="28" t="str">
        <f t="shared" si="157"/>
        <v>00:00</v>
      </c>
      <c r="CD237" s="29"/>
      <c r="CE237" s="27"/>
      <c r="CF237" s="27"/>
      <c r="CG237" s="28" t="str">
        <f>IFERROR(VLOOKUP(CE237,Horarios!$H:$I,2,0),"")</f>
        <v/>
      </c>
      <c r="CH237" s="28" t="str">
        <f>IFERROR(VLOOKUP(CF237,Horarios!$H:$I,2,0),"")</f>
        <v/>
      </c>
      <c r="CI237" s="28" t="str">
        <f t="shared" si="158"/>
        <v>00:00</v>
      </c>
      <c r="CJ237" s="29"/>
      <c r="CK237" s="31" t="str">
        <f t="shared" si="159"/>
        <v/>
      </c>
      <c r="CL237" s="27"/>
      <c r="CM237" s="27"/>
      <c r="CN237" s="28" t="str">
        <f>IFERROR(VLOOKUP(CL237,Horarios!$H:$I,2,0),"")</f>
        <v/>
      </c>
      <c r="CO237" s="28" t="str">
        <f>IFERROR(VLOOKUP(CM237,Horarios!$H:$I,2,0),"")</f>
        <v/>
      </c>
      <c r="CP237" s="28" t="str">
        <f t="shared" si="160"/>
        <v>00:00</v>
      </c>
      <c r="CQ237" s="29"/>
      <c r="CR237" s="27"/>
      <c r="CS237" s="27"/>
      <c r="CT237" s="28" t="str">
        <f>IFERROR(VLOOKUP(CR237,Horarios!$H:$I,2,0),"")</f>
        <v/>
      </c>
      <c r="CU237" s="28" t="str">
        <f>IFERROR(VLOOKUP(CS237,Horarios!$H:$I,2,0),"")</f>
        <v/>
      </c>
      <c r="CV237" s="28" t="str">
        <f t="shared" si="161"/>
        <v>00:00</v>
      </c>
      <c r="CW237" s="29"/>
      <c r="CX237" s="27"/>
      <c r="CY237" s="27"/>
      <c r="CZ237" s="28" t="str">
        <f>IFERROR(VLOOKUP(CX237,Horarios!$H:$I,2,0),"")</f>
        <v/>
      </c>
      <c r="DA237" s="28" t="str">
        <f>IFERROR(VLOOKUP(CY237,Horarios!$H:$I,2,0),"")</f>
        <v/>
      </c>
      <c r="DB237" s="28" t="str">
        <f t="shared" si="162"/>
        <v>00:00</v>
      </c>
      <c r="DC237" s="29"/>
      <c r="DD237" s="27"/>
      <c r="DE237" s="27"/>
      <c r="DF237" s="28" t="str">
        <f>IFERROR(VLOOKUP(DD237,Horarios!$H:$I,2,0),"")</f>
        <v/>
      </c>
      <c r="DG237" s="28" t="str">
        <f>IFERROR(VLOOKUP(DE237,Horarios!$H:$I,2,0),"")</f>
        <v/>
      </c>
      <c r="DH237" s="28" t="str">
        <f t="shared" si="163"/>
        <v>00:00</v>
      </c>
      <c r="DI237" s="29"/>
      <c r="DJ237" s="27"/>
      <c r="DK237" s="27"/>
      <c r="DL237" s="28" t="str">
        <f>IFERROR(VLOOKUP(DJ237,Horarios!$H:$I,2,0),"")</f>
        <v/>
      </c>
      <c r="DM237" s="28" t="str">
        <f>IFERROR(VLOOKUP(DK237,Horarios!$H:$I,2,0),"")</f>
        <v/>
      </c>
      <c r="DN237" s="28" t="str">
        <f t="shared" si="164"/>
        <v>00:00</v>
      </c>
      <c r="DO237" s="29"/>
      <c r="DP237" s="27"/>
      <c r="DQ237" s="27"/>
      <c r="DR237" s="28" t="str">
        <f>IFERROR(VLOOKUP(DP237,Horarios!$H:$I,2,0),"")</f>
        <v/>
      </c>
      <c r="DS237" s="28" t="str">
        <f>IFERROR(VLOOKUP(DQ237,Horarios!$H:$I,2,0),"")</f>
        <v/>
      </c>
      <c r="DT237" s="28" t="str">
        <f t="shared" si="165"/>
        <v>00:00</v>
      </c>
      <c r="DU237" s="29"/>
      <c r="DV237" s="27"/>
      <c r="DW237" s="27"/>
      <c r="DX237" s="28" t="str">
        <f>IFERROR(VLOOKUP(DV237,Horarios!$H:$I,2,0),"")</f>
        <v/>
      </c>
      <c r="DY237" s="28" t="str">
        <f>IFERROR(VLOOKUP(DW237,Horarios!$H:$I,2,0),"")</f>
        <v/>
      </c>
      <c r="DZ237" s="28" t="str">
        <f t="shared" si="166"/>
        <v>00:00</v>
      </c>
      <c r="EA237" s="29"/>
      <c r="EB237" s="31" t="str">
        <f t="shared" si="167"/>
        <v/>
      </c>
      <c r="EC237" s="27"/>
      <c r="ED237" s="27"/>
      <c r="EE237" s="28" t="str">
        <f>IFERROR(VLOOKUP(EC237,Horarios!$H:$I,2,0),"")</f>
        <v/>
      </c>
      <c r="EF237" s="28" t="str">
        <f>IFERROR(VLOOKUP(ED237,Horarios!$H:$I,2,0),"")</f>
        <v/>
      </c>
      <c r="EG237" s="28" t="str">
        <f t="shared" si="168"/>
        <v>00:00</v>
      </c>
      <c r="EH237" s="29"/>
      <c r="EI237" s="27"/>
      <c r="EJ237" s="27"/>
      <c r="EK237" s="28" t="str">
        <f>IFERROR(VLOOKUP(EI237,Horarios!$H:$I,2,0),"")</f>
        <v/>
      </c>
      <c r="EL237" s="28" t="str">
        <f>IFERROR(VLOOKUP(EJ237,Horarios!$H:$I,2,0),"")</f>
        <v/>
      </c>
      <c r="EM237" s="28" t="str">
        <f t="shared" si="169"/>
        <v>00:00</v>
      </c>
      <c r="EN237" s="29"/>
      <c r="EO237" s="27"/>
      <c r="EP237" s="27"/>
      <c r="EQ237" s="28" t="str">
        <f>IFERROR(VLOOKUP(EO237,Horarios!$H:$I,2,0),"")</f>
        <v/>
      </c>
      <c r="ER237" s="28" t="str">
        <f>IFERROR(VLOOKUP(EP237,Horarios!$H:$I,2,0),"")</f>
        <v/>
      </c>
      <c r="ES237" s="28" t="str">
        <f t="shared" si="170"/>
        <v>00:00</v>
      </c>
      <c r="ET237" s="29"/>
      <c r="EU237" s="27"/>
      <c r="EV237" s="27"/>
      <c r="EW237" s="28" t="str">
        <f>IFERROR(VLOOKUP(EU237,Horarios!$H:$I,2,0),"")</f>
        <v/>
      </c>
      <c r="EX237" s="28" t="str">
        <f>IFERROR(VLOOKUP(EV237,Horarios!$H:$I,2,0),"")</f>
        <v/>
      </c>
      <c r="EY237" s="28" t="str">
        <f t="shared" si="171"/>
        <v>00:00</v>
      </c>
      <c r="EZ237" s="29"/>
      <c r="FA237" s="27"/>
      <c r="FB237" s="27"/>
      <c r="FC237" s="28" t="str">
        <f>IFERROR(VLOOKUP(FA237,Horarios!$H:$I,2,0),"")</f>
        <v/>
      </c>
      <c r="FD237" s="28" t="str">
        <f>IFERROR(VLOOKUP(FB237,Horarios!$H:$I,2,0),"")</f>
        <v/>
      </c>
      <c r="FE237" s="28" t="str">
        <f t="shared" si="172"/>
        <v>00:00</v>
      </c>
      <c r="FF237" s="29"/>
      <c r="FG237" s="27"/>
      <c r="FH237" s="27"/>
      <c r="FI237" s="28" t="str">
        <f>IFERROR(VLOOKUP(FG237,Horarios!$H:$I,2,0),"")</f>
        <v/>
      </c>
      <c r="FJ237" s="28" t="str">
        <f>IFERROR(VLOOKUP(FH237,Horarios!$H:$I,2,0),"")</f>
        <v/>
      </c>
      <c r="FK237" s="28" t="str">
        <f t="shared" si="173"/>
        <v>00:00</v>
      </c>
      <c r="FL237" s="29"/>
      <c r="FM237" s="27"/>
      <c r="FN237" s="27"/>
      <c r="FO237" s="28" t="str">
        <f>IFERROR(VLOOKUP(FM237,Horarios!$H:$I,2,0),"")</f>
        <v/>
      </c>
      <c r="FP237" s="28" t="str">
        <f>IFERROR(VLOOKUP(FN237,Horarios!$H:$I,2,0),"")</f>
        <v/>
      </c>
      <c r="FQ237" s="28" t="str">
        <f t="shared" si="174"/>
        <v>00:00</v>
      </c>
      <c r="FR237" s="29"/>
      <c r="FS237" s="31" t="str">
        <f t="shared" si="175"/>
        <v/>
      </c>
      <c r="FT237" s="27"/>
      <c r="FU237" s="27"/>
      <c r="FV237" s="28" t="str">
        <f>IFERROR(VLOOKUP(FT237,Horarios!$H:$I,2,0),"")</f>
        <v/>
      </c>
      <c r="FW237" s="28" t="str">
        <f>IFERROR(VLOOKUP(FU237,Horarios!$H:$I,2,0),"")</f>
        <v/>
      </c>
      <c r="FX237" s="28" t="str">
        <f t="shared" si="176"/>
        <v>00:00</v>
      </c>
      <c r="FY237" s="29"/>
      <c r="FZ237" s="27"/>
      <c r="GA237" s="27"/>
      <c r="GB237" s="28" t="str">
        <f>IFERROR(VLOOKUP(FZ237,Horarios!$H:$I,2,0),"")</f>
        <v/>
      </c>
      <c r="GC237" s="28" t="str">
        <f>IFERROR(VLOOKUP(GA237,Horarios!$H:$I,2,0),"")</f>
        <v/>
      </c>
      <c r="GD237" s="28" t="str">
        <f t="shared" si="177"/>
        <v>00:00</v>
      </c>
      <c r="GE237" s="29"/>
      <c r="GF237" s="27"/>
      <c r="GG237" s="27"/>
      <c r="GH237" s="28" t="str">
        <f>IFERROR(VLOOKUP(GF237,Horarios!$H:$I,2,0),"")</f>
        <v/>
      </c>
      <c r="GI237" s="28" t="str">
        <f>IFERROR(VLOOKUP(GG237,Horarios!$H:$I,2,0),"")</f>
        <v/>
      </c>
      <c r="GJ237" s="28" t="str">
        <f t="shared" si="178"/>
        <v>00:00</v>
      </c>
      <c r="GK237" s="29"/>
      <c r="GL237" s="27"/>
      <c r="GM237" s="27"/>
      <c r="GN237" s="28" t="str">
        <f>IFERROR(VLOOKUP(GL237,Horarios!$H:$I,2,0),"")</f>
        <v/>
      </c>
      <c r="GO237" s="28" t="str">
        <f>IFERROR(VLOOKUP(GM237,Horarios!$H:$I,2,0),"")</f>
        <v/>
      </c>
      <c r="GP237" s="28" t="str">
        <f t="shared" si="179"/>
        <v>00:00</v>
      </c>
      <c r="GQ237" s="29"/>
      <c r="GR237" s="27"/>
      <c r="GS237" s="27"/>
      <c r="GT237" s="28" t="str">
        <f>IFERROR(VLOOKUP(GR237,Horarios!$H:$I,2,0),"")</f>
        <v/>
      </c>
      <c r="GU237" s="28" t="str">
        <f>IFERROR(VLOOKUP(GS237,Horarios!$H:$I,2,0),"")</f>
        <v/>
      </c>
      <c r="GV237" s="28" t="str">
        <f t="shared" si="180"/>
        <v>00:00</v>
      </c>
      <c r="GW237" s="29"/>
      <c r="GX237" s="27"/>
      <c r="GY237" s="27"/>
      <c r="GZ237" s="28" t="str">
        <f>IFERROR(VLOOKUP(GX237,Horarios!$H:$I,2,0),"")</f>
        <v/>
      </c>
      <c r="HA237" s="28" t="str">
        <f>IFERROR(VLOOKUP(GY237,Horarios!$H:$I,2,0),"")</f>
        <v/>
      </c>
      <c r="HB237" s="28" t="str">
        <f t="shared" si="181"/>
        <v>00:00</v>
      </c>
      <c r="HC237" s="29"/>
      <c r="HD237" s="27"/>
      <c r="HE237" s="27"/>
      <c r="HF237" s="28" t="str">
        <f>IFERROR(VLOOKUP(HD237,Horarios!$H:$I,2,0),"")</f>
        <v/>
      </c>
      <c r="HG237" s="28" t="str">
        <f>IFERROR(VLOOKUP(HE237,Horarios!$H:$I,2,0),"")</f>
        <v/>
      </c>
      <c r="HH237" s="28" t="str">
        <f t="shared" si="182"/>
        <v>00:00</v>
      </c>
      <c r="HI237" s="29"/>
      <c r="HJ237" s="31" t="str">
        <f t="shared" si="183"/>
        <v/>
      </c>
      <c r="HK237" s="27"/>
      <c r="HL237" s="27"/>
      <c r="HM237" s="28" t="str">
        <f>IFERROR(VLOOKUP(HK237,Horarios!$H:$I,2,0),"")</f>
        <v/>
      </c>
      <c r="HN237" s="28" t="str">
        <f>IFERROR(VLOOKUP(HL237,Horarios!$H:$I,2,0),"")</f>
        <v/>
      </c>
      <c r="HO237" s="28" t="str">
        <f t="shared" si="184"/>
        <v>00:00</v>
      </c>
      <c r="HP237" s="29"/>
      <c r="HQ237" s="27"/>
      <c r="HR237" s="27"/>
      <c r="HS237" s="28" t="str">
        <f>IFERROR(VLOOKUP(HQ237,Horarios!$H:$I,2,0),"")</f>
        <v/>
      </c>
      <c r="HT237" s="28" t="str">
        <f>IFERROR(VLOOKUP(HR237,Horarios!$H:$I,2,0),"")</f>
        <v/>
      </c>
      <c r="HU237" s="28" t="str">
        <f t="shared" si="185"/>
        <v>00:00</v>
      </c>
      <c r="HV237" s="29"/>
      <c r="HW237" s="27"/>
      <c r="HX237" s="27"/>
      <c r="HY237" s="28" t="str">
        <f>IFERROR(VLOOKUP(HW237,Horarios!$H:$I,2,0),"")</f>
        <v/>
      </c>
      <c r="HZ237" s="28" t="str">
        <f>IFERROR(VLOOKUP(HX237,Horarios!$H:$I,2,0),"")</f>
        <v/>
      </c>
      <c r="IA237" s="28" t="str">
        <f t="shared" si="186"/>
        <v>00:00</v>
      </c>
      <c r="IB237" s="29"/>
      <c r="IC237" s="27"/>
      <c r="ID237" s="27"/>
      <c r="IE237" s="28" t="str">
        <f>IFERROR(VLOOKUP(IC237,Horarios!$H:$I,2,0),"")</f>
        <v/>
      </c>
      <c r="IF237" s="28" t="str">
        <f>IFERROR(VLOOKUP(ID237,Horarios!$H:$I,2,0),"")</f>
        <v/>
      </c>
      <c r="IG237" s="28" t="str">
        <f t="shared" si="187"/>
        <v>00:00</v>
      </c>
      <c r="IH237" s="29"/>
      <c r="II237" s="27"/>
      <c r="IJ237" s="27"/>
      <c r="IK237" s="28" t="str">
        <f>IFERROR(VLOOKUP(II237,Horarios!$H:$I,2,0),"")</f>
        <v/>
      </c>
      <c r="IL237" s="28" t="str">
        <f>IFERROR(VLOOKUP(IJ237,Horarios!$H:$I,2,0),"")</f>
        <v/>
      </c>
      <c r="IM237" s="28" t="str">
        <f t="shared" si="188"/>
        <v>00:00</v>
      </c>
      <c r="IN237" s="29"/>
      <c r="IO237" s="27"/>
      <c r="IP237" s="27"/>
      <c r="IQ237" s="28" t="str">
        <f>IFERROR(VLOOKUP(IO237,Horarios!$H:$I,2,0),"")</f>
        <v/>
      </c>
      <c r="IR237" s="28" t="str">
        <f>IFERROR(VLOOKUP(IP237,Horarios!$H:$I,2,0),"")</f>
        <v/>
      </c>
      <c r="IS237" s="28" t="str">
        <f t="shared" si="189"/>
        <v>00:00</v>
      </c>
      <c r="IT237" s="29"/>
      <c r="IU237" s="27"/>
      <c r="IV237" s="27"/>
      <c r="IW237" s="28" t="str">
        <f>IFERROR(VLOOKUP(IU237,Horarios!$H:$I,2,0),"")</f>
        <v/>
      </c>
      <c r="IX237" s="28" t="str">
        <f>IFERROR(VLOOKUP(IV237,Horarios!$H:$I,2,0),"")</f>
        <v/>
      </c>
      <c r="IY237" s="28" t="str">
        <f t="shared" si="190"/>
        <v>00:00</v>
      </c>
      <c r="IZ237" s="29"/>
      <c r="JA237" s="31" t="str">
        <f t="shared" si="191"/>
        <v/>
      </c>
    </row>
    <row r="238" spans="1:261" s="24" customFormat="1" ht="17.399999999999999" x14ac:dyDescent="0.25">
      <c r="A238" s="25"/>
      <c r="B238" s="26" t="str">
        <f>IFERROR(VLOOKUP(A238,BaseNombres!A:B,2,0),"")</f>
        <v/>
      </c>
      <c r="C238" s="26" t="str">
        <f>IFERROR(VLOOKUP(A238,BaseNombres!A:C,3,0),"")</f>
        <v/>
      </c>
      <c r="D238" s="27"/>
      <c r="E238" s="27"/>
      <c r="F238" s="28" t="str">
        <f>IFERROR(VLOOKUP(D238,Horarios!$H:$I,2,0),"")</f>
        <v/>
      </c>
      <c r="G238" s="28" t="str">
        <f>IFERROR(VLOOKUP(E238,Horarios!$H:$I,2,0),"")</f>
        <v/>
      </c>
      <c r="H238" s="28" t="str">
        <f t="shared" si="144"/>
        <v>00:00</v>
      </c>
      <c r="I238" s="29"/>
      <c r="J238" s="27"/>
      <c r="K238" s="27"/>
      <c r="L238" s="28" t="str">
        <f>IFERROR(VLOOKUP(J238,Horarios!$H:$I,2,0),"")</f>
        <v/>
      </c>
      <c r="M238" s="28" t="str">
        <f>IFERROR(VLOOKUP(K238,Horarios!$H:$I,2,0),"")</f>
        <v/>
      </c>
      <c r="N238" s="28" t="str">
        <f t="shared" si="145"/>
        <v>00:00</v>
      </c>
      <c r="O238" s="29"/>
      <c r="P238" s="27"/>
      <c r="Q238" s="27"/>
      <c r="R238" s="28" t="str">
        <f>IFERROR(VLOOKUP(P238,Horarios!$H:$I,2,0),"")</f>
        <v/>
      </c>
      <c r="S238" s="28" t="str">
        <f>IFERROR(VLOOKUP(Q238,Horarios!$H:$I,2,0),"")</f>
        <v/>
      </c>
      <c r="T238" s="28" t="str">
        <f t="shared" si="146"/>
        <v>00:00</v>
      </c>
      <c r="U238" s="29"/>
      <c r="V238" s="27"/>
      <c r="W238" s="27"/>
      <c r="X238" s="28" t="str">
        <f>IFERROR(VLOOKUP(V238,Horarios!$H:$I,2,0),"")</f>
        <v/>
      </c>
      <c r="Y238" s="28" t="str">
        <f>IFERROR(VLOOKUP(W238,Horarios!$H:$I,2,0),"")</f>
        <v/>
      </c>
      <c r="Z238" s="28" t="str">
        <f t="shared" si="147"/>
        <v>00:00</v>
      </c>
      <c r="AA238" s="29"/>
      <c r="AB238" s="27"/>
      <c r="AC238" s="27"/>
      <c r="AD238" s="28" t="str">
        <f>IFERROR(VLOOKUP(AB238,Horarios!$H:$I,2,0),"")</f>
        <v/>
      </c>
      <c r="AE238" s="28" t="str">
        <f>IFERROR(VLOOKUP(AC238,Horarios!$H:$I,2,0),"")</f>
        <v/>
      </c>
      <c r="AF238" s="28" t="str">
        <f t="shared" si="148"/>
        <v>00:00</v>
      </c>
      <c r="AG238" s="29"/>
      <c r="AH238" s="27"/>
      <c r="AI238" s="27"/>
      <c r="AJ238" s="28" t="str">
        <f>IFERROR(VLOOKUP(AH238,Horarios!$H:$I,2,0),"")</f>
        <v/>
      </c>
      <c r="AK238" s="28" t="str">
        <f>IFERROR(VLOOKUP(AI238,Horarios!$H:$I,2,0),"")</f>
        <v/>
      </c>
      <c r="AL238" s="28" t="str">
        <f t="shared" si="149"/>
        <v>00:00</v>
      </c>
      <c r="AM238" s="29"/>
      <c r="AN238" s="27"/>
      <c r="AO238" s="27"/>
      <c r="AP238" s="28" t="str">
        <f>IFERROR(VLOOKUP(AN238,Horarios!$H:$I,2,0),"")</f>
        <v/>
      </c>
      <c r="AQ238" s="28" t="str">
        <f>IFERROR(VLOOKUP(AO238,Horarios!$H:$I,2,0),"")</f>
        <v/>
      </c>
      <c r="AR238" s="28" t="str">
        <f t="shared" si="150"/>
        <v>00:00</v>
      </c>
      <c r="AS238" s="29"/>
      <c r="AT238" s="31" t="str">
        <f t="shared" si="151"/>
        <v/>
      </c>
      <c r="AU238" s="27"/>
      <c r="AV238" s="27"/>
      <c r="AW238" s="28" t="str">
        <f>IFERROR(VLOOKUP(AU238,Horarios!$H:$I,2,0),"")</f>
        <v/>
      </c>
      <c r="AX238" s="28" t="str">
        <f>IFERROR(VLOOKUP(AV238,Horarios!$H:$I,2,0),"")</f>
        <v/>
      </c>
      <c r="AY238" s="28" t="str">
        <f t="shared" si="152"/>
        <v>00:00</v>
      </c>
      <c r="AZ238" s="29"/>
      <c r="BA238" s="27"/>
      <c r="BB238" s="27"/>
      <c r="BC238" s="28" t="str">
        <f>IFERROR(VLOOKUP(BA238,Horarios!$H:$I,2,0),"")</f>
        <v/>
      </c>
      <c r="BD238" s="28" t="str">
        <f>IFERROR(VLOOKUP(BB238,Horarios!$H:$I,2,0),"")</f>
        <v/>
      </c>
      <c r="BE238" s="28" t="str">
        <f t="shared" si="153"/>
        <v>00:00</v>
      </c>
      <c r="BF238" s="29"/>
      <c r="BG238" s="27"/>
      <c r="BH238" s="27"/>
      <c r="BI238" s="28" t="str">
        <f>IFERROR(VLOOKUP(BG238,Horarios!$H:$I,2,0),"")</f>
        <v/>
      </c>
      <c r="BJ238" s="28" t="str">
        <f>IFERROR(VLOOKUP(BH238,Horarios!$H:$I,2,0),"")</f>
        <v/>
      </c>
      <c r="BK238" s="28" t="str">
        <f t="shared" si="154"/>
        <v>00:00</v>
      </c>
      <c r="BL238" s="29"/>
      <c r="BM238" s="27"/>
      <c r="BN238" s="27"/>
      <c r="BO238" s="28" t="str">
        <f>IFERROR(VLOOKUP(BM238,Horarios!$H:$I,2,0),"")</f>
        <v/>
      </c>
      <c r="BP238" s="28" t="str">
        <f>IFERROR(VLOOKUP(BN238,Horarios!$H:$I,2,0),"")</f>
        <v/>
      </c>
      <c r="BQ238" s="28" t="str">
        <f t="shared" si="155"/>
        <v>00:00</v>
      </c>
      <c r="BR238" s="29"/>
      <c r="BS238" s="27"/>
      <c r="BT238" s="27"/>
      <c r="BU238" s="28" t="str">
        <f>IFERROR(VLOOKUP(BS238,Horarios!$H:$I,2,0),"")</f>
        <v/>
      </c>
      <c r="BV238" s="28" t="str">
        <f>IFERROR(VLOOKUP(BT238,Horarios!$H:$I,2,0),"")</f>
        <v/>
      </c>
      <c r="BW238" s="28" t="str">
        <f t="shared" si="156"/>
        <v>00:00</v>
      </c>
      <c r="BX238" s="29"/>
      <c r="BY238" s="27"/>
      <c r="BZ238" s="27"/>
      <c r="CA238" s="28" t="str">
        <f>IFERROR(VLOOKUP(BY238,Horarios!$H:$I,2,0),"")</f>
        <v/>
      </c>
      <c r="CB238" s="28" t="str">
        <f>IFERROR(VLOOKUP(BZ238,Horarios!$H:$I,2,0),"")</f>
        <v/>
      </c>
      <c r="CC238" s="28" t="str">
        <f t="shared" si="157"/>
        <v>00:00</v>
      </c>
      <c r="CD238" s="29"/>
      <c r="CE238" s="27"/>
      <c r="CF238" s="27"/>
      <c r="CG238" s="28" t="str">
        <f>IFERROR(VLOOKUP(CE238,Horarios!$H:$I,2,0),"")</f>
        <v/>
      </c>
      <c r="CH238" s="28" t="str">
        <f>IFERROR(VLOOKUP(CF238,Horarios!$H:$I,2,0),"")</f>
        <v/>
      </c>
      <c r="CI238" s="28" t="str">
        <f t="shared" si="158"/>
        <v>00:00</v>
      </c>
      <c r="CJ238" s="29"/>
      <c r="CK238" s="31" t="str">
        <f t="shared" si="159"/>
        <v/>
      </c>
      <c r="CL238" s="27"/>
      <c r="CM238" s="27"/>
      <c r="CN238" s="28" t="str">
        <f>IFERROR(VLOOKUP(CL238,Horarios!$H:$I,2,0),"")</f>
        <v/>
      </c>
      <c r="CO238" s="28" t="str">
        <f>IFERROR(VLOOKUP(CM238,Horarios!$H:$I,2,0),"")</f>
        <v/>
      </c>
      <c r="CP238" s="28" t="str">
        <f t="shared" si="160"/>
        <v>00:00</v>
      </c>
      <c r="CQ238" s="29"/>
      <c r="CR238" s="27"/>
      <c r="CS238" s="27"/>
      <c r="CT238" s="28" t="str">
        <f>IFERROR(VLOOKUP(CR238,Horarios!$H:$I,2,0),"")</f>
        <v/>
      </c>
      <c r="CU238" s="28" t="str">
        <f>IFERROR(VLOOKUP(CS238,Horarios!$H:$I,2,0),"")</f>
        <v/>
      </c>
      <c r="CV238" s="28" t="str">
        <f t="shared" si="161"/>
        <v>00:00</v>
      </c>
      <c r="CW238" s="29"/>
      <c r="CX238" s="27"/>
      <c r="CY238" s="27"/>
      <c r="CZ238" s="28" t="str">
        <f>IFERROR(VLOOKUP(CX238,Horarios!$H:$I,2,0),"")</f>
        <v/>
      </c>
      <c r="DA238" s="28" t="str">
        <f>IFERROR(VLOOKUP(CY238,Horarios!$H:$I,2,0),"")</f>
        <v/>
      </c>
      <c r="DB238" s="28" t="str">
        <f t="shared" si="162"/>
        <v>00:00</v>
      </c>
      <c r="DC238" s="29"/>
      <c r="DD238" s="27"/>
      <c r="DE238" s="27"/>
      <c r="DF238" s="28" t="str">
        <f>IFERROR(VLOOKUP(DD238,Horarios!$H:$I,2,0),"")</f>
        <v/>
      </c>
      <c r="DG238" s="28" t="str">
        <f>IFERROR(VLOOKUP(DE238,Horarios!$H:$I,2,0),"")</f>
        <v/>
      </c>
      <c r="DH238" s="28" t="str">
        <f t="shared" si="163"/>
        <v>00:00</v>
      </c>
      <c r="DI238" s="29"/>
      <c r="DJ238" s="27"/>
      <c r="DK238" s="27"/>
      <c r="DL238" s="28" t="str">
        <f>IFERROR(VLOOKUP(DJ238,Horarios!$H:$I,2,0),"")</f>
        <v/>
      </c>
      <c r="DM238" s="28" t="str">
        <f>IFERROR(VLOOKUP(DK238,Horarios!$H:$I,2,0),"")</f>
        <v/>
      </c>
      <c r="DN238" s="28" t="str">
        <f t="shared" si="164"/>
        <v>00:00</v>
      </c>
      <c r="DO238" s="29"/>
      <c r="DP238" s="27"/>
      <c r="DQ238" s="27"/>
      <c r="DR238" s="28" t="str">
        <f>IFERROR(VLOOKUP(DP238,Horarios!$H:$I,2,0),"")</f>
        <v/>
      </c>
      <c r="DS238" s="28" t="str">
        <f>IFERROR(VLOOKUP(DQ238,Horarios!$H:$I,2,0),"")</f>
        <v/>
      </c>
      <c r="DT238" s="28" t="str">
        <f t="shared" si="165"/>
        <v>00:00</v>
      </c>
      <c r="DU238" s="29"/>
      <c r="DV238" s="27"/>
      <c r="DW238" s="27"/>
      <c r="DX238" s="28" t="str">
        <f>IFERROR(VLOOKUP(DV238,Horarios!$H:$I,2,0),"")</f>
        <v/>
      </c>
      <c r="DY238" s="28" t="str">
        <f>IFERROR(VLOOKUP(DW238,Horarios!$H:$I,2,0),"")</f>
        <v/>
      </c>
      <c r="DZ238" s="28" t="str">
        <f t="shared" si="166"/>
        <v>00:00</v>
      </c>
      <c r="EA238" s="29"/>
      <c r="EB238" s="31" t="str">
        <f t="shared" si="167"/>
        <v/>
      </c>
      <c r="EC238" s="27"/>
      <c r="ED238" s="27"/>
      <c r="EE238" s="28" t="str">
        <f>IFERROR(VLOOKUP(EC238,Horarios!$H:$I,2,0),"")</f>
        <v/>
      </c>
      <c r="EF238" s="28" t="str">
        <f>IFERROR(VLOOKUP(ED238,Horarios!$H:$I,2,0),"")</f>
        <v/>
      </c>
      <c r="EG238" s="28" t="str">
        <f t="shared" si="168"/>
        <v>00:00</v>
      </c>
      <c r="EH238" s="29"/>
      <c r="EI238" s="27"/>
      <c r="EJ238" s="27"/>
      <c r="EK238" s="28" t="str">
        <f>IFERROR(VLOOKUP(EI238,Horarios!$H:$I,2,0),"")</f>
        <v/>
      </c>
      <c r="EL238" s="28" t="str">
        <f>IFERROR(VLOOKUP(EJ238,Horarios!$H:$I,2,0),"")</f>
        <v/>
      </c>
      <c r="EM238" s="28" t="str">
        <f t="shared" si="169"/>
        <v>00:00</v>
      </c>
      <c r="EN238" s="29"/>
      <c r="EO238" s="27"/>
      <c r="EP238" s="27"/>
      <c r="EQ238" s="28" t="str">
        <f>IFERROR(VLOOKUP(EO238,Horarios!$H:$I,2,0),"")</f>
        <v/>
      </c>
      <c r="ER238" s="28" t="str">
        <f>IFERROR(VLOOKUP(EP238,Horarios!$H:$I,2,0),"")</f>
        <v/>
      </c>
      <c r="ES238" s="28" t="str">
        <f t="shared" si="170"/>
        <v>00:00</v>
      </c>
      <c r="ET238" s="29"/>
      <c r="EU238" s="27"/>
      <c r="EV238" s="27"/>
      <c r="EW238" s="28" t="str">
        <f>IFERROR(VLOOKUP(EU238,Horarios!$H:$I,2,0),"")</f>
        <v/>
      </c>
      <c r="EX238" s="28" t="str">
        <f>IFERROR(VLOOKUP(EV238,Horarios!$H:$I,2,0),"")</f>
        <v/>
      </c>
      <c r="EY238" s="28" t="str">
        <f t="shared" si="171"/>
        <v>00:00</v>
      </c>
      <c r="EZ238" s="29"/>
      <c r="FA238" s="27"/>
      <c r="FB238" s="27"/>
      <c r="FC238" s="28" t="str">
        <f>IFERROR(VLOOKUP(FA238,Horarios!$H:$I,2,0),"")</f>
        <v/>
      </c>
      <c r="FD238" s="28" t="str">
        <f>IFERROR(VLOOKUP(FB238,Horarios!$H:$I,2,0),"")</f>
        <v/>
      </c>
      <c r="FE238" s="28" t="str">
        <f t="shared" si="172"/>
        <v>00:00</v>
      </c>
      <c r="FF238" s="29"/>
      <c r="FG238" s="27"/>
      <c r="FH238" s="27"/>
      <c r="FI238" s="28" t="str">
        <f>IFERROR(VLOOKUP(FG238,Horarios!$H:$I,2,0),"")</f>
        <v/>
      </c>
      <c r="FJ238" s="28" t="str">
        <f>IFERROR(VLOOKUP(FH238,Horarios!$H:$I,2,0),"")</f>
        <v/>
      </c>
      <c r="FK238" s="28" t="str">
        <f t="shared" si="173"/>
        <v>00:00</v>
      </c>
      <c r="FL238" s="29"/>
      <c r="FM238" s="27"/>
      <c r="FN238" s="27"/>
      <c r="FO238" s="28" t="str">
        <f>IFERROR(VLOOKUP(FM238,Horarios!$H:$I,2,0),"")</f>
        <v/>
      </c>
      <c r="FP238" s="28" t="str">
        <f>IFERROR(VLOOKUP(FN238,Horarios!$H:$I,2,0),"")</f>
        <v/>
      </c>
      <c r="FQ238" s="28" t="str">
        <f t="shared" si="174"/>
        <v>00:00</v>
      </c>
      <c r="FR238" s="29"/>
      <c r="FS238" s="31" t="str">
        <f t="shared" si="175"/>
        <v/>
      </c>
      <c r="FT238" s="27"/>
      <c r="FU238" s="27"/>
      <c r="FV238" s="28" t="str">
        <f>IFERROR(VLOOKUP(FT238,Horarios!$H:$I,2,0),"")</f>
        <v/>
      </c>
      <c r="FW238" s="28" t="str">
        <f>IFERROR(VLOOKUP(FU238,Horarios!$H:$I,2,0),"")</f>
        <v/>
      </c>
      <c r="FX238" s="28" t="str">
        <f t="shared" si="176"/>
        <v>00:00</v>
      </c>
      <c r="FY238" s="29"/>
      <c r="FZ238" s="27"/>
      <c r="GA238" s="27"/>
      <c r="GB238" s="28" t="str">
        <f>IFERROR(VLOOKUP(FZ238,Horarios!$H:$I,2,0),"")</f>
        <v/>
      </c>
      <c r="GC238" s="28" t="str">
        <f>IFERROR(VLOOKUP(GA238,Horarios!$H:$I,2,0),"")</f>
        <v/>
      </c>
      <c r="GD238" s="28" t="str">
        <f t="shared" si="177"/>
        <v>00:00</v>
      </c>
      <c r="GE238" s="29"/>
      <c r="GF238" s="27"/>
      <c r="GG238" s="27"/>
      <c r="GH238" s="28" t="str">
        <f>IFERROR(VLOOKUP(GF238,Horarios!$H:$I,2,0),"")</f>
        <v/>
      </c>
      <c r="GI238" s="28" t="str">
        <f>IFERROR(VLOOKUP(GG238,Horarios!$H:$I,2,0),"")</f>
        <v/>
      </c>
      <c r="GJ238" s="28" t="str">
        <f t="shared" si="178"/>
        <v>00:00</v>
      </c>
      <c r="GK238" s="29"/>
      <c r="GL238" s="27"/>
      <c r="GM238" s="27"/>
      <c r="GN238" s="28" t="str">
        <f>IFERROR(VLOOKUP(GL238,Horarios!$H:$I,2,0),"")</f>
        <v/>
      </c>
      <c r="GO238" s="28" t="str">
        <f>IFERROR(VLOOKUP(GM238,Horarios!$H:$I,2,0),"")</f>
        <v/>
      </c>
      <c r="GP238" s="28" t="str">
        <f t="shared" si="179"/>
        <v>00:00</v>
      </c>
      <c r="GQ238" s="29"/>
      <c r="GR238" s="27"/>
      <c r="GS238" s="27"/>
      <c r="GT238" s="28" t="str">
        <f>IFERROR(VLOOKUP(GR238,Horarios!$H:$I,2,0),"")</f>
        <v/>
      </c>
      <c r="GU238" s="28" t="str">
        <f>IFERROR(VLOOKUP(GS238,Horarios!$H:$I,2,0),"")</f>
        <v/>
      </c>
      <c r="GV238" s="28" t="str">
        <f t="shared" si="180"/>
        <v>00:00</v>
      </c>
      <c r="GW238" s="29"/>
      <c r="GX238" s="27"/>
      <c r="GY238" s="27"/>
      <c r="GZ238" s="28" t="str">
        <f>IFERROR(VLOOKUP(GX238,Horarios!$H:$I,2,0),"")</f>
        <v/>
      </c>
      <c r="HA238" s="28" t="str">
        <f>IFERROR(VLOOKUP(GY238,Horarios!$H:$I,2,0),"")</f>
        <v/>
      </c>
      <c r="HB238" s="28" t="str">
        <f t="shared" si="181"/>
        <v>00:00</v>
      </c>
      <c r="HC238" s="29"/>
      <c r="HD238" s="27"/>
      <c r="HE238" s="27"/>
      <c r="HF238" s="28" t="str">
        <f>IFERROR(VLOOKUP(HD238,Horarios!$H:$I,2,0),"")</f>
        <v/>
      </c>
      <c r="HG238" s="28" t="str">
        <f>IFERROR(VLOOKUP(HE238,Horarios!$H:$I,2,0),"")</f>
        <v/>
      </c>
      <c r="HH238" s="28" t="str">
        <f t="shared" si="182"/>
        <v>00:00</v>
      </c>
      <c r="HI238" s="29"/>
      <c r="HJ238" s="31" t="str">
        <f t="shared" si="183"/>
        <v/>
      </c>
      <c r="HK238" s="27"/>
      <c r="HL238" s="27"/>
      <c r="HM238" s="28" t="str">
        <f>IFERROR(VLOOKUP(HK238,Horarios!$H:$I,2,0),"")</f>
        <v/>
      </c>
      <c r="HN238" s="28" t="str">
        <f>IFERROR(VLOOKUP(HL238,Horarios!$H:$I,2,0),"")</f>
        <v/>
      </c>
      <c r="HO238" s="28" t="str">
        <f t="shared" si="184"/>
        <v>00:00</v>
      </c>
      <c r="HP238" s="29"/>
      <c r="HQ238" s="27"/>
      <c r="HR238" s="27"/>
      <c r="HS238" s="28" t="str">
        <f>IFERROR(VLOOKUP(HQ238,Horarios!$H:$I,2,0),"")</f>
        <v/>
      </c>
      <c r="HT238" s="28" t="str">
        <f>IFERROR(VLOOKUP(HR238,Horarios!$H:$I,2,0),"")</f>
        <v/>
      </c>
      <c r="HU238" s="28" t="str">
        <f t="shared" si="185"/>
        <v>00:00</v>
      </c>
      <c r="HV238" s="29"/>
      <c r="HW238" s="27"/>
      <c r="HX238" s="27"/>
      <c r="HY238" s="28" t="str">
        <f>IFERROR(VLOOKUP(HW238,Horarios!$H:$I,2,0),"")</f>
        <v/>
      </c>
      <c r="HZ238" s="28" t="str">
        <f>IFERROR(VLOOKUP(HX238,Horarios!$H:$I,2,0),"")</f>
        <v/>
      </c>
      <c r="IA238" s="28" t="str">
        <f t="shared" si="186"/>
        <v>00:00</v>
      </c>
      <c r="IB238" s="29"/>
      <c r="IC238" s="27"/>
      <c r="ID238" s="27"/>
      <c r="IE238" s="28" t="str">
        <f>IFERROR(VLOOKUP(IC238,Horarios!$H:$I,2,0),"")</f>
        <v/>
      </c>
      <c r="IF238" s="28" t="str">
        <f>IFERROR(VLOOKUP(ID238,Horarios!$H:$I,2,0),"")</f>
        <v/>
      </c>
      <c r="IG238" s="28" t="str">
        <f t="shared" si="187"/>
        <v>00:00</v>
      </c>
      <c r="IH238" s="29"/>
      <c r="II238" s="27"/>
      <c r="IJ238" s="27"/>
      <c r="IK238" s="28" t="str">
        <f>IFERROR(VLOOKUP(II238,Horarios!$H:$I,2,0),"")</f>
        <v/>
      </c>
      <c r="IL238" s="28" t="str">
        <f>IFERROR(VLOOKUP(IJ238,Horarios!$H:$I,2,0),"")</f>
        <v/>
      </c>
      <c r="IM238" s="28" t="str">
        <f t="shared" si="188"/>
        <v>00:00</v>
      </c>
      <c r="IN238" s="29"/>
      <c r="IO238" s="27"/>
      <c r="IP238" s="27"/>
      <c r="IQ238" s="28" t="str">
        <f>IFERROR(VLOOKUP(IO238,Horarios!$H:$I,2,0),"")</f>
        <v/>
      </c>
      <c r="IR238" s="28" t="str">
        <f>IFERROR(VLOOKUP(IP238,Horarios!$H:$I,2,0),"")</f>
        <v/>
      </c>
      <c r="IS238" s="28" t="str">
        <f t="shared" si="189"/>
        <v>00:00</v>
      </c>
      <c r="IT238" s="29"/>
      <c r="IU238" s="27"/>
      <c r="IV238" s="27"/>
      <c r="IW238" s="28" t="str">
        <f>IFERROR(VLOOKUP(IU238,Horarios!$H:$I,2,0),"")</f>
        <v/>
      </c>
      <c r="IX238" s="28" t="str">
        <f>IFERROR(VLOOKUP(IV238,Horarios!$H:$I,2,0),"")</f>
        <v/>
      </c>
      <c r="IY238" s="28" t="str">
        <f t="shared" si="190"/>
        <v>00:00</v>
      </c>
      <c r="IZ238" s="29"/>
      <c r="JA238" s="31" t="str">
        <f t="shared" si="191"/>
        <v/>
      </c>
    </row>
    <row r="239" spans="1:261" s="24" customFormat="1" ht="17.399999999999999" x14ac:dyDescent="0.25">
      <c r="A239" s="25"/>
      <c r="B239" s="26" t="str">
        <f>IFERROR(VLOOKUP(A239,BaseNombres!A:B,2,0),"")</f>
        <v/>
      </c>
      <c r="C239" s="26" t="str">
        <f>IFERROR(VLOOKUP(A239,BaseNombres!A:C,3,0),"")</f>
        <v/>
      </c>
      <c r="D239" s="27"/>
      <c r="E239" s="27"/>
      <c r="F239" s="28" t="str">
        <f>IFERROR(VLOOKUP(D239,Horarios!$H:$I,2,0),"")</f>
        <v/>
      </c>
      <c r="G239" s="28" t="str">
        <f>IFERROR(VLOOKUP(E239,Horarios!$H:$I,2,0),"")</f>
        <v/>
      </c>
      <c r="H239" s="28" t="str">
        <f t="shared" si="144"/>
        <v>00:00</v>
      </c>
      <c r="I239" s="29"/>
      <c r="J239" s="27"/>
      <c r="K239" s="27"/>
      <c r="L239" s="28" t="str">
        <f>IFERROR(VLOOKUP(J239,Horarios!$H:$I,2,0),"")</f>
        <v/>
      </c>
      <c r="M239" s="28" t="str">
        <f>IFERROR(VLOOKUP(K239,Horarios!$H:$I,2,0),"")</f>
        <v/>
      </c>
      <c r="N239" s="28" t="str">
        <f t="shared" si="145"/>
        <v>00:00</v>
      </c>
      <c r="O239" s="29"/>
      <c r="P239" s="27"/>
      <c r="Q239" s="27"/>
      <c r="R239" s="28" t="str">
        <f>IFERROR(VLOOKUP(P239,Horarios!$H:$I,2,0),"")</f>
        <v/>
      </c>
      <c r="S239" s="28" t="str">
        <f>IFERROR(VLOOKUP(Q239,Horarios!$H:$I,2,0),"")</f>
        <v/>
      </c>
      <c r="T239" s="28" t="str">
        <f t="shared" si="146"/>
        <v>00:00</v>
      </c>
      <c r="U239" s="29"/>
      <c r="V239" s="27"/>
      <c r="W239" s="27"/>
      <c r="X239" s="28" t="str">
        <f>IFERROR(VLOOKUP(V239,Horarios!$H:$I,2,0),"")</f>
        <v/>
      </c>
      <c r="Y239" s="28" t="str">
        <f>IFERROR(VLOOKUP(W239,Horarios!$H:$I,2,0),"")</f>
        <v/>
      </c>
      <c r="Z239" s="28" t="str">
        <f t="shared" si="147"/>
        <v>00:00</v>
      </c>
      <c r="AA239" s="29"/>
      <c r="AB239" s="27"/>
      <c r="AC239" s="27"/>
      <c r="AD239" s="28" t="str">
        <f>IFERROR(VLOOKUP(AB239,Horarios!$H:$I,2,0),"")</f>
        <v/>
      </c>
      <c r="AE239" s="28" t="str">
        <f>IFERROR(VLOOKUP(AC239,Horarios!$H:$I,2,0),"")</f>
        <v/>
      </c>
      <c r="AF239" s="28" t="str">
        <f t="shared" si="148"/>
        <v>00:00</v>
      </c>
      <c r="AG239" s="29"/>
      <c r="AH239" s="27"/>
      <c r="AI239" s="27"/>
      <c r="AJ239" s="28" t="str">
        <f>IFERROR(VLOOKUP(AH239,Horarios!$H:$I,2,0),"")</f>
        <v/>
      </c>
      <c r="AK239" s="28" t="str">
        <f>IFERROR(VLOOKUP(AI239,Horarios!$H:$I,2,0),"")</f>
        <v/>
      </c>
      <c r="AL239" s="28" t="str">
        <f t="shared" si="149"/>
        <v>00:00</v>
      </c>
      <c r="AM239" s="29"/>
      <c r="AN239" s="27"/>
      <c r="AO239" s="27"/>
      <c r="AP239" s="28" t="str">
        <f>IFERROR(VLOOKUP(AN239,Horarios!$H:$I,2,0),"")</f>
        <v/>
      </c>
      <c r="AQ239" s="28" t="str">
        <f>IFERROR(VLOOKUP(AO239,Horarios!$H:$I,2,0),"")</f>
        <v/>
      </c>
      <c r="AR239" s="28" t="str">
        <f t="shared" si="150"/>
        <v>00:00</v>
      </c>
      <c r="AS239" s="29"/>
      <c r="AT239" s="31" t="str">
        <f t="shared" si="151"/>
        <v/>
      </c>
      <c r="AU239" s="27"/>
      <c r="AV239" s="27"/>
      <c r="AW239" s="28" t="str">
        <f>IFERROR(VLOOKUP(AU239,Horarios!$H:$I,2,0),"")</f>
        <v/>
      </c>
      <c r="AX239" s="28" t="str">
        <f>IFERROR(VLOOKUP(AV239,Horarios!$H:$I,2,0),"")</f>
        <v/>
      </c>
      <c r="AY239" s="28" t="str">
        <f t="shared" si="152"/>
        <v>00:00</v>
      </c>
      <c r="AZ239" s="29"/>
      <c r="BA239" s="27"/>
      <c r="BB239" s="27"/>
      <c r="BC239" s="28" t="str">
        <f>IFERROR(VLOOKUP(BA239,Horarios!$H:$I,2,0),"")</f>
        <v/>
      </c>
      <c r="BD239" s="28" t="str">
        <f>IFERROR(VLOOKUP(BB239,Horarios!$H:$I,2,0),"")</f>
        <v/>
      </c>
      <c r="BE239" s="28" t="str">
        <f t="shared" si="153"/>
        <v>00:00</v>
      </c>
      <c r="BF239" s="29"/>
      <c r="BG239" s="27"/>
      <c r="BH239" s="27"/>
      <c r="BI239" s="28" t="str">
        <f>IFERROR(VLOOKUP(BG239,Horarios!$H:$I,2,0),"")</f>
        <v/>
      </c>
      <c r="BJ239" s="28" t="str">
        <f>IFERROR(VLOOKUP(BH239,Horarios!$H:$I,2,0),"")</f>
        <v/>
      </c>
      <c r="BK239" s="28" t="str">
        <f t="shared" si="154"/>
        <v>00:00</v>
      </c>
      <c r="BL239" s="29"/>
      <c r="BM239" s="27"/>
      <c r="BN239" s="27"/>
      <c r="BO239" s="28" t="str">
        <f>IFERROR(VLOOKUP(BM239,Horarios!$H:$I,2,0),"")</f>
        <v/>
      </c>
      <c r="BP239" s="28" t="str">
        <f>IFERROR(VLOOKUP(BN239,Horarios!$H:$I,2,0),"")</f>
        <v/>
      </c>
      <c r="BQ239" s="28" t="str">
        <f t="shared" si="155"/>
        <v>00:00</v>
      </c>
      <c r="BR239" s="29"/>
      <c r="BS239" s="27"/>
      <c r="BT239" s="27"/>
      <c r="BU239" s="28" t="str">
        <f>IFERROR(VLOOKUP(BS239,Horarios!$H:$I,2,0),"")</f>
        <v/>
      </c>
      <c r="BV239" s="28" t="str">
        <f>IFERROR(VLOOKUP(BT239,Horarios!$H:$I,2,0),"")</f>
        <v/>
      </c>
      <c r="BW239" s="28" t="str">
        <f t="shared" si="156"/>
        <v>00:00</v>
      </c>
      <c r="BX239" s="29"/>
      <c r="BY239" s="27"/>
      <c r="BZ239" s="27"/>
      <c r="CA239" s="28" t="str">
        <f>IFERROR(VLOOKUP(BY239,Horarios!$H:$I,2,0),"")</f>
        <v/>
      </c>
      <c r="CB239" s="28" t="str">
        <f>IFERROR(VLOOKUP(BZ239,Horarios!$H:$I,2,0),"")</f>
        <v/>
      </c>
      <c r="CC239" s="28" t="str">
        <f t="shared" si="157"/>
        <v>00:00</v>
      </c>
      <c r="CD239" s="29"/>
      <c r="CE239" s="27"/>
      <c r="CF239" s="27"/>
      <c r="CG239" s="28" t="str">
        <f>IFERROR(VLOOKUP(CE239,Horarios!$H:$I,2,0),"")</f>
        <v/>
      </c>
      <c r="CH239" s="28" t="str">
        <f>IFERROR(VLOOKUP(CF239,Horarios!$H:$I,2,0),"")</f>
        <v/>
      </c>
      <c r="CI239" s="28" t="str">
        <f t="shared" si="158"/>
        <v>00:00</v>
      </c>
      <c r="CJ239" s="29"/>
      <c r="CK239" s="31" t="str">
        <f t="shared" si="159"/>
        <v/>
      </c>
      <c r="CL239" s="27"/>
      <c r="CM239" s="27"/>
      <c r="CN239" s="28" t="str">
        <f>IFERROR(VLOOKUP(CL239,Horarios!$H:$I,2,0),"")</f>
        <v/>
      </c>
      <c r="CO239" s="28" t="str">
        <f>IFERROR(VLOOKUP(CM239,Horarios!$H:$I,2,0),"")</f>
        <v/>
      </c>
      <c r="CP239" s="28" t="str">
        <f t="shared" si="160"/>
        <v>00:00</v>
      </c>
      <c r="CQ239" s="29"/>
      <c r="CR239" s="27"/>
      <c r="CS239" s="27"/>
      <c r="CT239" s="28" t="str">
        <f>IFERROR(VLOOKUP(CR239,Horarios!$H:$I,2,0),"")</f>
        <v/>
      </c>
      <c r="CU239" s="28" t="str">
        <f>IFERROR(VLOOKUP(CS239,Horarios!$H:$I,2,0),"")</f>
        <v/>
      </c>
      <c r="CV239" s="28" t="str">
        <f t="shared" si="161"/>
        <v>00:00</v>
      </c>
      <c r="CW239" s="29"/>
      <c r="CX239" s="27"/>
      <c r="CY239" s="27"/>
      <c r="CZ239" s="28" t="str">
        <f>IFERROR(VLOOKUP(CX239,Horarios!$H:$I,2,0),"")</f>
        <v/>
      </c>
      <c r="DA239" s="28" t="str">
        <f>IFERROR(VLOOKUP(CY239,Horarios!$H:$I,2,0),"")</f>
        <v/>
      </c>
      <c r="DB239" s="28" t="str">
        <f t="shared" si="162"/>
        <v>00:00</v>
      </c>
      <c r="DC239" s="29"/>
      <c r="DD239" s="27"/>
      <c r="DE239" s="27"/>
      <c r="DF239" s="28" t="str">
        <f>IFERROR(VLOOKUP(DD239,Horarios!$H:$I,2,0),"")</f>
        <v/>
      </c>
      <c r="DG239" s="28" t="str">
        <f>IFERROR(VLOOKUP(DE239,Horarios!$H:$I,2,0),"")</f>
        <v/>
      </c>
      <c r="DH239" s="28" t="str">
        <f t="shared" si="163"/>
        <v>00:00</v>
      </c>
      <c r="DI239" s="29"/>
      <c r="DJ239" s="27"/>
      <c r="DK239" s="27"/>
      <c r="DL239" s="28" t="str">
        <f>IFERROR(VLOOKUP(DJ239,Horarios!$H:$I,2,0),"")</f>
        <v/>
      </c>
      <c r="DM239" s="28" t="str">
        <f>IFERROR(VLOOKUP(DK239,Horarios!$H:$I,2,0),"")</f>
        <v/>
      </c>
      <c r="DN239" s="28" t="str">
        <f t="shared" si="164"/>
        <v>00:00</v>
      </c>
      <c r="DO239" s="29"/>
      <c r="DP239" s="27"/>
      <c r="DQ239" s="27"/>
      <c r="DR239" s="28" t="str">
        <f>IFERROR(VLOOKUP(DP239,Horarios!$H:$I,2,0),"")</f>
        <v/>
      </c>
      <c r="DS239" s="28" t="str">
        <f>IFERROR(VLOOKUP(DQ239,Horarios!$H:$I,2,0),"")</f>
        <v/>
      </c>
      <c r="DT239" s="28" t="str">
        <f t="shared" si="165"/>
        <v>00:00</v>
      </c>
      <c r="DU239" s="29"/>
      <c r="DV239" s="27"/>
      <c r="DW239" s="27"/>
      <c r="DX239" s="28" t="str">
        <f>IFERROR(VLOOKUP(DV239,Horarios!$H:$I,2,0),"")</f>
        <v/>
      </c>
      <c r="DY239" s="28" t="str">
        <f>IFERROR(VLOOKUP(DW239,Horarios!$H:$I,2,0),"")</f>
        <v/>
      </c>
      <c r="DZ239" s="28" t="str">
        <f t="shared" si="166"/>
        <v>00:00</v>
      </c>
      <c r="EA239" s="29"/>
      <c r="EB239" s="31" t="str">
        <f t="shared" si="167"/>
        <v/>
      </c>
      <c r="EC239" s="27"/>
      <c r="ED239" s="27"/>
      <c r="EE239" s="28" t="str">
        <f>IFERROR(VLOOKUP(EC239,Horarios!$H:$I,2,0),"")</f>
        <v/>
      </c>
      <c r="EF239" s="28" t="str">
        <f>IFERROR(VLOOKUP(ED239,Horarios!$H:$I,2,0),"")</f>
        <v/>
      </c>
      <c r="EG239" s="28" t="str">
        <f t="shared" si="168"/>
        <v>00:00</v>
      </c>
      <c r="EH239" s="29"/>
      <c r="EI239" s="27"/>
      <c r="EJ239" s="27"/>
      <c r="EK239" s="28" t="str">
        <f>IFERROR(VLOOKUP(EI239,Horarios!$H:$I,2,0),"")</f>
        <v/>
      </c>
      <c r="EL239" s="28" t="str">
        <f>IFERROR(VLOOKUP(EJ239,Horarios!$H:$I,2,0),"")</f>
        <v/>
      </c>
      <c r="EM239" s="28" t="str">
        <f t="shared" si="169"/>
        <v>00:00</v>
      </c>
      <c r="EN239" s="29"/>
      <c r="EO239" s="27"/>
      <c r="EP239" s="27"/>
      <c r="EQ239" s="28" t="str">
        <f>IFERROR(VLOOKUP(EO239,Horarios!$H:$I,2,0),"")</f>
        <v/>
      </c>
      <c r="ER239" s="28" t="str">
        <f>IFERROR(VLOOKUP(EP239,Horarios!$H:$I,2,0),"")</f>
        <v/>
      </c>
      <c r="ES239" s="28" t="str">
        <f t="shared" si="170"/>
        <v>00:00</v>
      </c>
      <c r="ET239" s="29"/>
      <c r="EU239" s="27"/>
      <c r="EV239" s="27"/>
      <c r="EW239" s="28" t="str">
        <f>IFERROR(VLOOKUP(EU239,Horarios!$H:$I,2,0),"")</f>
        <v/>
      </c>
      <c r="EX239" s="28" t="str">
        <f>IFERROR(VLOOKUP(EV239,Horarios!$H:$I,2,0),"")</f>
        <v/>
      </c>
      <c r="EY239" s="28" t="str">
        <f t="shared" si="171"/>
        <v>00:00</v>
      </c>
      <c r="EZ239" s="29"/>
      <c r="FA239" s="27"/>
      <c r="FB239" s="27"/>
      <c r="FC239" s="28" t="str">
        <f>IFERROR(VLOOKUP(FA239,Horarios!$H:$I,2,0),"")</f>
        <v/>
      </c>
      <c r="FD239" s="28" t="str">
        <f>IFERROR(VLOOKUP(FB239,Horarios!$H:$I,2,0),"")</f>
        <v/>
      </c>
      <c r="FE239" s="28" t="str">
        <f t="shared" si="172"/>
        <v>00:00</v>
      </c>
      <c r="FF239" s="29"/>
      <c r="FG239" s="27"/>
      <c r="FH239" s="27"/>
      <c r="FI239" s="28" t="str">
        <f>IFERROR(VLOOKUP(FG239,Horarios!$H:$I,2,0),"")</f>
        <v/>
      </c>
      <c r="FJ239" s="28" t="str">
        <f>IFERROR(VLOOKUP(FH239,Horarios!$H:$I,2,0),"")</f>
        <v/>
      </c>
      <c r="FK239" s="28" t="str">
        <f t="shared" si="173"/>
        <v>00:00</v>
      </c>
      <c r="FL239" s="29"/>
      <c r="FM239" s="27"/>
      <c r="FN239" s="27"/>
      <c r="FO239" s="28" t="str">
        <f>IFERROR(VLOOKUP(FM239,Horarios!$H:$I,2,0),"")</f>
        <v/>
      </c>
      <c r="FP239" s="28" t="str">
        <f>IFERROR(VLOOKUP(FN239,Horarios!$H:$I,2,0),"")</f>
        <v/>
      </c>
      <c r="FQ239" s="28" t="str">
        <f t="shared" si="174"/>
        <v>00:00</v>
      </c>
      <c r="FR239" s="29"/>
      <c r="FS239" s="31" t="str">
        <f t="shared" si="175"/>
        <v/>
      </c>
      <c r="FT239" s="27"/>
      <c r="FU239" s="27"/>
      <c r="FV239" s="28" t="str">
        <f>IFERROR(VLOOKUP(FT239,Horarios!$H:$I,2,0),"")</f>
        <v/>
      </c>
      <c r="FW239" s="28" t="str">
        <f>IFERROR(VLOOKUP(FU239,Horarios!$H:$I,2,0),"")</f>
        <v/>
      </c>
      <c r="FX239" s="28" t="str">
        <f t="shared" si="176"/>
        <v>00:00</v>
      </c>
      <c r="FY239" s="29"/>
      <c r="FZ239" s="27"/>
      <c r="GA239" s="27"/>
      <c r="GB239" s="28" t="str">
        <f>IFERROR(VLOOKUP(FZ239,Horarios!$H:$I,2,0),"")</f>
        <v/>
      </c>
      <c r="GC239" s="28" t="str">
        <f>IFERROR(VLOOKUP(GA239,Horarios!$H:$I,2,0),"")</f>
        <v/>
      </c>
      <c r="GD239" s="28" t="str">
        <f t="shared" si="177"/>
        <v>00:00</v>
      </c>
      <c r="GE239" s="29"/>
      <c r="GF239" s="27"/>
      <c r="GG239" s="27"/>
      <c r="GH239" s="28" t="str">
        <f>IFERROR(VLOOKUP(GF239,Horarios!$H:$I,2,0),"")</f>
        <v/>
      </c>
      <c r="GI239" s="28" t="str">
        <f>IFERROR(VLOOKUP(GG239,Horarios!$H:$I,2,0),"")</f>
        <v/>
      </c>
      <c r="GJ239" s="28" t="str">
        <f t="shared" si="178"/>
        <v>00:00</v>
      </c>
      <c r="GK239" s="29"/>
      <c r="GL239" s="27"/>
      <c r="GM239" s="27"/>
      <c r="GN239" s="28" t="str">
        <f>IFERROR(VLOOKUP(GL239,Horarios!$H:$I,2,0),"")</f>
        <v/>
      </c>
      <c r="GO239" s="28" t="str">
        <f>IFERROR(VLOOKUP(GM239,Horarios!$H:$I,2,0),"")</f>
        <v/>
      </c>
      <c r="GP239" s="28" t="str">
        <f t="shared" si="179"/>
        <v>00:00</v>
      </c>
      <c r="GQ239" s="29"/>
      <c r="GR239" s="27"/>
      <c r="GS239" s="27"/>
      <c r="GT239" s="28" t="str">
        <f>IFERROR(VLOOKUP(GR239,Horarios!$H:$I,2,0),"")</f>
        <v/>
      </c>
      <c r="GU239" s="28" t="str">
        <f>IFERROR(VLOOKUP(GS239,Horarios!$H:$I,2,0),"")</f>
        <v/>
      </c>
      <c r="GV239" s="28" t="str">
        <f t="shared" si="180"/>
        <v>00:00</v>
      </c>
      <c r="GW239" s="29"/>
      <c r="GX239" s="27"/>
      <c r="GY239" s="27"/>
      <c r="GZ239" s="28" t="str">
        <f>IFERROR(VLOOKUP(GX239,Horarios!$H:$I,2,0),"")</f>
        <v/>
      </c>
      <c r="HA239" s="28" t="str">
        <f>IFERROR(VLOOKUP(GY239,Horarios!$H:$I,2,0),"")</f>
        <v/>
      </c>
      <c r="HB239" s="28" t="str">
        <f t="shared" si="181"/>
        <v>00:00</v>
      </c>
      <c r="HC239" s="29"/>
      <c r="HD239" s="27"/>
      <c r="HE239" s="27"/>
      <c r="HF239" s="28" t="str">
        <f>IFERROR(VLOOKUP(HD239,Horarios!$H:$I,2,0),"")</f>
        <v/>
      </c>
      <c r="HG239" s="28" t="str">
        <f>IFERROR(VLOOKUP(HE239,Horarios!$H:$I,2,0),"")</f>
        <v/>
      </c>
      <c r="HH239" s="28" t="str">
        <f t="shared" si="182"/>
        <v>00:00</v>
      </c>
      <c r="HI239" s="29"/>
      <c r="HJ239" s="31" t="str">
        <f t="shared" si="183"/>
        <v/>
      </c>
      <c r="HK239" s="27"/>
      <c r="HL239" s="27"/>
      <c r="HM239" s="28" t="str">
        <f>IFERROR(VLOOKUP(HK239,Horarios!$H:$I,2,0),"")</f>
        <v/>
      </c>
      <c r="HN239" s="28" t="str">
        <f>IFERROR(VLOOKUP(HL239,Horarios!$H:$I,2,0),"")</f>
        <v/>
      </c>
      <c r="HO239" s="28" t="str">
        <f t="shared" si="184"/>
        <v>00:00</v>
      </c>
      <c r="HP239" s="29"/>
      <c r="HQ239" s="27"/>
      <c r="HR239" s="27"/>
      <c r="HS239" s="28" t="str">
        <f>IFERROR(VLOOKUP(HQ239,Horarios!$H:$I,2,0),"")</f>
        <v/>
      </c>
      <c r="HT239" s="28" t="str">
        <f>IFERROR(VLOOKUP(HR239,Horarios!$H:$I,2,0),"")</f>
        <v/>
      </c>
      <c r="HU239" s="28" t="str">
        <f t="shared" si="185"/>
        <v>00:00</v>
      </c>
      <c r="HV239" s="29"/>
      <c r="HW239" s="27"/>
      <c r="HX239" s="27"/>
      <c r="HY239" s="28" t="str">
        <f>IFERROR(VLOOKUP(HW239,Horarios!$H:$I,2,0),"")</f>
        <v/>
      </c>
      <c r="HZ239" s="28" t="str">
        <f>IFERROR(VLOOKUP(HX239,Horarios!$H:$I,2,0),"")</f>
        <v/>
      </c>
      <c r="IA239" s="28" t="str">
        <f t="shared" si="186"/>
        <v>00:00</v>
      </c>
      <c r="IB239" s="29"/>
      <c r="IC239" s="27"/>
      <c r="ID239" s="27"/>
      <c r="IE239" s="28" t="str">
        <f>IFERROR(VLOOKUP(IC239,Horarios!$H:$I,2,0),"")</f>
        <v/>
      </c>
      <c r="IF239" s="28" t="str">
        <f>IFERROR(VLOOKUP(ID239,Horarios!$H:$I,2,0),"")</f>
        <v/>
      </c>
      <c r="IG239" s="28" t="str">
        <f t="shared" si="187"/>
        <v>00:00</v>
      </c>
      <c r="IH239" s="29"/>
      <c r="II239" s="27"/>
      <c r="IJ239" s="27"/>
      <c r="IK239" s="28" t="str">
        <f>IFERROR(VLOOKUP(II239,Horarios!$H:$I,2,0),"")</f>
        <v/>
      </c>
      <c r="IL239" s="28" t="str">
        <f>IFERROR(VLOOKUP(IJ239,Horarios!$H:$I,2,0),"")</f>
        <v/>
      </c>
      <c r="IM239" s="28" t="str">
        <f t="shared" si="188"/>
        <v>00:00</v>
      </c>
      <c r="IN239" s="29"/>
      <c r="IO239" s="27"/>
      <c r="IP239" s="27"/>
      <c r="IQ239" s="28" t="str">
        <f>IFERROR(VLOOKUP(IO239,Horarios!$H:$I,2,0),"")</f>
        <v/>
      </c>
      <c r="IR239" s="28" t="str">
        <f>IFERROR(VLOOKUP(IP239,Horarios!$H:$I,2,0),"")</f>
        <v/>
      </c>
      <c r="IS239" s="28" t="str">
        <f t="shared" si="189"/>
        <v>00:00</v>
      </c>
      <c r="IT239" s="29"/>
      <c r="IU239" s="27"/>
      <c r="IV239" s="27"/>
      <c r="IW239" s="28" t="str">
        <f>IFERROR(VLOOKUP(IU239,Horarios!$H:$I,2,0),"")</f>
        <v/>
      </c>
      <c r="IX239" s="28" t="str">
        <f>IFERROR(VLOOKUP(IV239,Horarios!$H:$I,2,0),"")</f>
        <v/>
      </c>
      <c r="IY239" s="28" t="str">
        <f t="shared" si="190"/>
        <v>00:00</v>
      </c>
      <c r="IZ239" s="29"/>
      <c r="JA239" s="31" t="str">
        <f t="shared" si="191"/>
        <v/>
      </c>
    </row>
    <row r="240" spans="1:261" s="24" customFormat="1" ht="17.399999999999999" x14ac:dyDescent="0.25">
      <c r="A240" s="25"/>
      <c r="B240" s="26" t="str">
        <f>IFERROR(VLOOKUP(A240,BaseNombres!A:B,2,0),"")</f>
        <v/>
      </c>
      <c r="C240" s="26" t="str">
        <f>IFERROR(VLOOKUP(A240,BaseNombres!A:C,3,0),"")</f>
        <v/>
      </c>
      <c r="D240" s="27"/>
      <c r="E240" s="27"/>
      <c r="F240" s="28" t="str">
        <f>IFERROR(VLOOKUP(D240,Horarios!$H:$I,2,0),"")</f>
        <v/>
      </c>
      <c r="G240" s="28" t="str">
        <f>IFERROR(VLOOKUP(E240,Horarios!$H:$I,2,0),"")</f>
        <v/>
      </c>
      <c r="H240" s="28" t="str">
        <f t="shared" si="144"/>
        <v>00:00</v>
      </c>
      <c r="I240" s="29"/>
      <c r="J240" s="27"/>
      <c r="K240" s="27"/>
      <c r="L240" s="28" t="str">
        <f>IFERROR(VLOOKUP(J240,Horarios!$H:$I,2,0),"")</f>
        <v/>
      </c>
      <c r="M240" s="28" t="str">
        <f>IFERROR(VLOOKUP(K240,Horarios!$H:$I,2,0),"")</f>
        <v/>
      </c>
      <c r="N240" s="28" t="str">
        <f t="shared" si="145"/>
        <v>00:00</v>
      </c>
      <c r="O240" s="29"/>
      <c r="P240" s="27"/>
      <c r="Q240" s="27"/>
      <c r="R240" s="28" t="str">
        <f>IFERROR(VLOOKUP(P240,Horarios!$H:$I,2,0),"")</f>
        <v/>
      </c>
      <c r="S240" s="28" t="str">
        <f>IFERROR(VLOOKUP(Q240,Horarios!$H:$I,2,0),"")</f>
        <v/>
      </c>
      <c r="T240" s="28" t="str">
        <f t="shared" si="146"/>
        <v>00:00</v>
      </c>
      <c r="U240" s="29"/>
      <c r="V240" s="27"/>
      <c r="W240" s="27"/>
      <c r="X240" s="28" t="str">
        <f>IFERROR(VLOOKUP(V240,Horarios!$H:$I,2,0),"")</f>
        <v/>
      </c>
      <c r="Y240" s="28" t="str">
        <f>IFERROR(VLOOKUP(W240,Horarios!$H:$I,2,0),"")</f>
        <v/>
      </c>
      <c r="Z240" s="28" t="str">
        <f t="shared" si="147"/>
        <v>00:00</v>
      </c>
      <c r="AA240" s="29"/>
      <c r="AB240" s="27"/>
      <c r="AC240" s="27"/>
      <c r="AD240" s="28" t="str">
        <f>IFERROR(VLOOKUP(AB240,Horarios!$H:$I,2,0),"")</f>
        <v/>
      </c>
      <c r="AE240" s="28" t="str">
        <f>IFERROR(VLOOKUP(AC240,Horarios!$H:$I,2,0),"")</f>
        <v/>
      </c>
      <c r="AF240" s="28" t="str">
        <f t="shared" si="148"/>
        <v>00:00</v>
      </c>
      <c r="AG240" s="29"/>
      <c r="AH240" s="27"/>
      <c r="AI240" s="27"/>
      <c r="AJ240" s="28" t="str">
        <f>IFERROR(VLOOKUP(AH240,Horarios!$H:$I,2,0),"")</f>
        <v/>
      </c>
      <c r="AK240" s="28" t="str">
        <f>IFERROR(VLOOKUP(AI240,Horarios!$H:$I,2,0),"")</f>
        <v/>
      </c>
      <c r="AL240" s="28" t="str">
        <f t="shared" si="149"/>
        <v>00:00</v>
      </c>
      <c r="AM240" s="29"/>
      <c r="AN240" s="27"/>
      <c r="AO240" s="27"/>
      <c r="AP240" s="28" t="str">
        <f>IFERROR(VLOOKUP(AN240,Horarios!$H:$I,2,0),"")</f>
        <v/>
      </c>
      <c r="AQ240" s="28" t="str">
        <f>IFERROR(VLOOKUP(AO240,Horarios!$H:$I,2,0),"")</f>
        <v/>
      </c>
      <c r="AR240" s="28" t="str">
        <f t="shared" si="150"/>
        <v>00:00</v>
      </c>
      <c r="AS240" s="29"/>
      <c r="AT240" s="31" t="str">
        <f t="shared" si="151"/>
        <v/>
      </c>
      <c r="AU240" s="27"/>
      <c r="AV240" s="27"/>
      <c r="AW240" s="28" t="str">
        <f>IFERROR(VLOOKUP(AU240,Horarios!$H:$I,2,0),"")</f>
        <v/>
      </c>
      <c r="AX240" s="28" t="str">
        <f>IFERROR(VLOOKUP(AV240,Horarios!$H:$I,2,0),"")</f>
        <v/>
      </c>
      <c r="AY240" s="28" t="str">
        <f t="shared" si="152"/>
        <v>00:00</v>
      </c>
      <c r="AZ240" s="29"/>
      <c r="BA240" s="27"/>
      <c r="BB240" s="27"/>
      <c r="BC240" s="28" t="str">
        <f>IFERROR(VLOOKUP(BA240,Horarios!$H:$I,2,0),"")</f>
        <v/>
      </c>
      <c r="BD240" s="28" t="str">
        <f>IFERROR(VLOOKUP(BB240,Horarios!$H:$I,2,0),"")</f>
        <v/>
      </c>
      <c r="BE240" s="28" t="str">
        <f t="shared" si="153"/>
        <v>00:00</v>
      </c>
      <c r="BF240" s="29"/>
      <c r="BG240" s="27"/>
      <c r="BH240" s="27"/>
      <c r="BI240" s="28" t="str">
        <f>IFERROR(VLOOKUP(BG240,Horarios!$H:$I,2,0),"")</f>
        <v/>
      </c>
      <c r="BJ240" s="28" t="str">
        <f>IFERROR(VLOOKUP(BH240,Horarios!$H:$I,2,0),"")</f>
        <v/>
      </c>
      <c r="BK240" s="28" t="str">
        <f t="shared" si="154"/>
        <v>00:00</v>
      </c>
      <c r="BL240" s="29"/>
      <c r="BM240" s="27"/>
      <c r="BN240" s="27"/>
      <c r="BO240" s="28" t="str">
        <f>IFERROR(VLOOKUP(BM240,Horarios!$H:$I,2,0),"")</f>
        <v/>
      </c>
      <c r="BP240" s="28" t="str">
        <f>IFERROR(VLOOKUP(BN240,Horarios!$H:$I,2,0),"")</f>
        <v/>
      </c>
      <c r="BQ240" s="28" t="str">
        <f t="shared" si="155"/>
        <v>00:00</v>
      </c>
      <c r="BR240" s="29"/>
      <c r="BS240" s="27"/>
      <c r="BT240" s="27"/>
      <c r="BU240" s="28" t="str">
        <f>IFERROR(VLOOKUP(BS240,Horarios!$H:$I,2,0),"")</f>
        <v/>
      </c>
      <c r="BV240" s="28" t="str">
        <f>IFERROR(VLOOKUP(BT240,Horarios!$H:$I,2,0),"")</f>
        <v/>
      </c>
      <c r="BW240" s="28" t="str">
        <f t="shared" si="156"/>
        <v>00:00</v>
      </c>
      <c r="BX240" s="29"/>
      <c r="BY240" s="27"/>
      <c r="BZ240" s="27"/>
      <c r="CA240" s="28" t="str">
        <f>IFERROR(VLOOKUP(BY240,Horarios!$H:$I,2,0),"")</f>
        <v/>
      </c>
      <c r="CB240" s="28" t="str">
        <f>IFERROR(VLOOKUP(BZ240,Horarios!$H:$I,2,0),"")</f>
        <v/>
      </c>
      <c r="CC240" s="28" t="str">
        <f t="shared" si="157"/>
        <v>00:00</v>
      </c>
      <c r="CD240" s="29"/>
      <c r="CE240" s="27"/>
      <c r="CF240" s="27"/>
      <c r="CG240" s="28" t="str">
        <f>IFERROR(VLOOKUP(CE240,Horarios!$H:$I,2,0),"")</f>
        <v/>
      </c>
      <c r="CH240" s="28" t="str">
        <f>IFERROR(VLOOKUP(CF240,Horarios!$H:$I,2,0),"")</f>
        <v/>
      </c>
      <c r="CI240" s="28" t="str">
        <f t="shared" si="158"/>
        <v>00:00</v>
      </c>
      <c r="CJ240" s="29"/>
      <c r="CK240" s="31" t="str">
        <f t="shared" si="159"/>
        <v/>
      </c>
      <c r="CL240" s="27"/>
      <c r="CM240" s="27"/>
      <c r="CN240" s="28" t="str">
        <f>IFERROR(VLOOKUP(CL240,Horarios!$H:$I,2,0),"")</f>
        <v/>
      </c>
      <c r="CO240" s="28" t="str">
        <f>IFERROR(VLOOKUP(CM240,Horarios!$H:$I,2,0),"")</f>
        <v/>
      </c>
      <c r="CP240" s="28" t="str">
        <f t="shared" si="160"/>
        <v>00:00</v>
      </c>
      <c r="CQ240" s="29"/>
      <c r="CR240" s="27"/>
      <c r="CS240" s="27"/>
      <c r="CT240" s="28" t="str">
        <f>IFERROR(VLOOKUP(CR240,Horarios!$H:$I,2,0),"")</f>
        <v/>
      </c>
      <c r="CU240" s="28" t="str">
        <f>IFERROR(VLOOKUP(CS240,Horarios!$H:$I,2,0),"")</f>
        <v/>
      </c>
      <c r="CV240" s="28" t="str">
        <f t="shared" si="161"/>
        <v>00:00</v>
      </c>
      <c r="CW240" s="29"/>
      <c r="CX240" s="27"/>
      <c r="CY240" s="27"/>
      <c r="CZ240" s="28" t="str">
        <f>IFERROR(VLOOKUP(CX240,Horarios!$H:$I,2,0),"")</f>
        <v/>
      </c>
      <c r="DA240" s="28" t="str">
        <f>IFERROR(VLOOKUP(CY240,Horarios!$H:$I,2,0),"")</f>
        <v/>
      </c>
      <c r="DB240" s="28" t="str">
        <f t="shared" si="162"/>
        <v>00:00</v>
      </c>
      <c r="DC240" s="29"/>
      <c r="DD240" s="27"/>
      <c r="DE240" s="27"/>
      <c r="DF240" s="28" t="str">
        <f>IFERROR(VLOOKUP(DD240,Horarios!$H:$I,2,0),"")</f>
        <v/>
      </c>
      <c r="DG240" s="28" t="str">
        <f>IFERROR(VLOOKUP(DE240,Horarios!$H:$I,2,0),"")</f>
        <v/>
      </c>
      <c r="DH240" s="28" t="str">
        <f t="shared" si="163"/>
        <v>00:00</v>
      </c>
      <c r="DI240" s="29"/>
      <c r="DJ240" s="27"/>
      <c r="DK240" s="27"/>
      <c r="DL240" s="28" t="str">
        <f>IFERROR(VLOOKUP(DJ240,Horarios!$H:$I,2,0),"")</f>
        <v/>
      </c>
      <c r="DM240" s="28" t="str">
        <f>IFERROR(VLOOKUP(DK240,Horarios!$H:$I,2,0),"")</f>
        <v/>
      </c>
      <c r="DN240" s="28" t="str">
        <f t="shared" si="164"/>
        <v>00:00</v>
      </c>
      <c r="DO240" s="29"/>
      <c r="DP240" s="27"/>
      <c r="DQ240" s="27"/>
      <c r="DR240" s="28" t="str">
        <f>IFERROR(VLOOKUP(DP240,Horarios!$H:$I,2,0),"")</f>
        <v/>
      </c>
      <c r="DS240" s="28" t="str">
        <f>IFERROR(VLOOKUP(DQ240,Horarios!$H:$I,2,0),"")</f>
        <v/>
      </c>
      <c r="DT240" s="28" t="str">
        <f t="shared" si="165"/>
        <v>00:00</v>
      </c>
      <c r="DU240" s="29"/>
      <c r="DV240" s="27"/>
      <c r="DW240" s="27"/>
      <c r="DX240" s="28" t="str">
        <f>IFERROR(VLOOKUP(DV240,Horarios!$H:$I,2,0),"")</f>
        <v/>
      </c>
      <c r="DY240" s="28" t="str">
        <f>IFERROR(VLOOKUP(DW240,Horarios!$H:$I,2,0),"")</f>
        <v/>
      </c>
      <c r="DZ240" s="28" t="str">
        <f t="shared" si="166"/>
        <v>00:00</v>
      </c>
      <c r="EA240" s="29"/>
      <c r="EB240" s="31" t="str">
        <f t="shared" si="167"/>
        <v/>
      </c>
      <c r="EC240" s="27"/>
      <c r="ED240" s="27"/>
      <c r="EE240" s="28" t="str">
        <f>IFERROR(VLOOKUP(EC240,Horarios!$H:$I,2,0),"")</f>
        <v/>
      </c>
      <c r="EF240" s="28" t="str">
        <f>IFERROR(VLOOKUP(ED240,Horarios!$H:$I,2,0),"")</f>
        <v/>
      </c>
      <c r="EG240" s="28" t="str">
        <f t="shared" si="168"/>
        <v>00:00</v>
      </c>
      <c r="EH240" s="29"/>
      <c r="EI240" s="27"/>
      <c r="EJ240" s="27"/>
      <c r="EK240" s="28" t="str">
        <f>IFERROR(VLOOKUP(EI240,Horarios!$H:$I,2,0),"")</f>
        <v/>
      </c>
      <c r="EL240" s="28" t="str">
        <f>IFERROR(VLOOKUP(EJ240,Horarios!$H:$I,2,0),"")</f>
        <v/>
      </c>
      <c r="EM240" s="28" t="str">
        <f t="shared" si="169"/>
        <v>00:00</v>
      </c>
      <c r="EN240" s="29"/>
      <c r="EO240" s="27"/>
      <c r="EP240" s="27"/>
      <c r="EQ240" s="28" t="str">
        <f>IFERROR(VLOOKUP(EO240,Horarios!$H:$I,2,0),"")</f>
        <v/>
      </c>
      <c r="ER240" s="28" t="str">
        <f>IFERROR(VLOOKUP(EP240,Horarios!$H:$I,2,0),"")</f>
        <v/>
      </c>
      <c r="ES240" s="28" t="str">
        <f t="shared" si="170"/>
        <v>00:00</v>
      </c>
      <c r="ET240" s="29"/>
      <c r="EU240" s="27"/>
      <c r="EV240" s="27"/>
      <c r="EW240" s="28" t="str">
        <f>IFERROR(VLOOKUP(EU240,Horarios!$H:$I,2,0),"")</f>
        <v/>
      </c>
      <c r="EX240" s="28" t="str">
        <f>IFERROR(VLOOKUP(EV240,Horarios!$H:$I,2,0),"")</f>
        <v/>
      </c>
      <c r="EY240" s="28" t="str">
        <f t="shared" si="171"/>
        <v>00:00</v>
      </c>
      <c r="EZ240" s="29"/>
      <c r="FA240" s="27"/>
      <c r="FB240" s="27"/>
      <c r="FC240" s="28" t="str">
        <f>IFERROR(VLOOKUP(FA240,Horarios!$H:$I,2,0),"")</f>
        <v/>
      </c>
      <c r="FD240" s="28" t="str">
        <f>IFERROR(VLOOKUP(FB240,Horarios!$H:$I,2,0),"")</f>
        <v/>
      </c>
      <c r="FE240" s="28" t="str">
        <f t="shared" si="172"/>
        <v>00:00</v>
      </c>
      <c r="FF240" s="29"/>
      <c r="FG240" s="27"/>
      <c r="FH240" s="27"/>
      <c r="FI240" s="28" t="str">
        <f>IFERROR(VLOOKUP(FG240,Horarios!$H:$I,2,0),"")</f>
        <v/>
      </c>
      <c r="FJ240" s="28" t="str">
        <f>IFERROR(VLOOKUP(FH240,Horarios!$H:$I,2,0),"")</f>
        <v/>
      </c>
      <c r="FK240" s="28" t="str">
        <f t="shared" si="173"/>
        <v>00:00</v>
      </c>
      <c r="FL240" s="29"/>
      <c r="FM240" s="27"/>
      <c r="FN240" s="27"/>
      <c r="FO240" s="28" t="str">
        <f>IFERROR(VLOOKUP(FM240,Horarios!$H:$I,2,0),"")</f>
        <v/>
      </c>
      <c r="FP240" s="28" t="str">
        <f>IFERROR(VLOOKUP(FN240,Horarios!$H:$I,2,0),"")</f>
        <v/>
      </c>
      <c r="FQ240" s="28" t="str">
        <f t="shared" si="174"/>
        <v>00:00</v>
      </c>
      <c r="FR240" s="29"/>
      <c r="FS240" s="31" t="str">
        <f t="shared" si="175"/>
        <v/>
      </c>
      <c r="FT240" s="27"/>
      <c r="FU240" s="27"/>
      <c r="FV240" s="28" t="str">
        <f>IFERROR(VLOOKUP(FT240,Horarios!$H:$I,2,0),"")</f>
        <v/>
      </c>
      <c r="FW240" s="28" t="str">
        <f>IFERROR(VLOOKUP(FU240,Horarios!$H:$I,2,0),"")</f>
        <v/>
      </c>
      <c r="FX240" s="28" t="str">
        <f t="shared" si="176"/>
        <v>00:00</v>
      </c>
      <c r="FY240" s="29"/>
      <c r="FZ240" s="27"/>
      <c r="GA240" s="27"/>
      <c r="GB240" s="28" t="str">
        <f>IFERROR(VLOOKUP(FZ240,Horarios!$H:$I,2,0),"")</f>
        <v/>
      </c>
      <c r="GC240" s="28" t="str">
        <f>IFERROR(VLOOKUP(GA240,Horarios!$H:$I,2,0),"")</f>
        <v/>
      </c>
      <c r="GD240" s="28" t="str">
        <f t="shared" si="177"/>
        <v>00:00</v>
      </c>
      <c r="GE240" s="29"/>
      <c r="GF240" s="27"/>
      <c r="GG240" s="27"/>
      <c r="GH240" s="28" t="str">
        <f>IFERROR(VLOOKUP(GF240,Horarios!$H:$I,2,0),"")</f>
        <v/>
      </c>
      <c r="GI240" s="28" t="str">
        <f>IFERROR(VLOOKUP(GG240,Horarios!$H:$I,2,0),"")</f>
        <v/>
      </c>
      <c r="GJ240" s="28" t="str">
        <f t="shared" si="178"/>
        <v>00:00</v>
      </c>
      <c r="GK240" s="29"/>
      <c r="GL240" s="27"/>
      <c r="GM240" s="27"/>
      <c r="GN240" s="28" t="str">
        <f>IFERROR(VLOOKUP(GL240,Horarios!$H:$I,2,0),"")</f>
        <v/>
      </c>
      <c r="GO240" s="28" t="str">
        <f>IFERROR(VLOOKUP(GM240,Horarios!$H:$I,2,0),"")</f>
        <v/>
      </c>
      <c r="GP240" s="28" t="str">
        <f t="shared" si="179"/>
        <v>00:00</v>
      </c>
      <c r="GQ240" s="29"/>
      <c r="GR240" s="27"/>
      <c r="GS240" s="27"/>
      <c r="GT240" s="28" t="str">
        <f>IFERROR(VLOOKUP(GR240,Horarios!$H:$I,2,0),"")</f>
        <v/>
      </c>
      <c r="GU240" s="28" t="str">
        <f>IFERROR(VLOOKUP(GS240,Horarios!$H:$I,2,0),"")</f>
        <v/>
      </c>
      <c r="GV240" s="28" t="str">
        <f t="shared" si="180"/>
        <v>00:00</v>
      </c>
      <c r="GW240" s="29"/>
      <c r="GX240" s="27"/>
      <c r="GY240" s="27"/>
      <c r="GZ240" s="28" t="str">
        <f>IFERROR(VLOOKUP(GX240,Horarios!$H:$I,2,0),"")</f>
        <v/>
      </c>
      <c r="HA240" s="28" t="str">
        <f>IFERROR(VLOOKUP(GY240,Horarios!$H:$I,2,0),"")</f>
        <v/>
      </c>
      <c r="HB240" s="28" t="str">
        <f t="shared" si="181"/>
        <v>00:00</v>
      </c>
      <c r="HC240" s="29"/>
      <c r="HD240" s="27"/>
      <c r="HE240" s="27"/>
      <c r="HF240" s="28" t="str">
        <f>IFERROR(VLOOKUP(HD240,Horarios!$H:$I,2,0),"")</f>
        <v/>
      </c>
      <c r="HG240" s="28" t="str">
        <f>IFERROR(VLOOKUP(HE240,Horarios!$H:$I,2,0),"")</f>
        <v/>
      </c>
      <c r="HH240" s="28" t="str">
        <f t="shared" si="182"/>
        <v>00:00</v>
      </c>
      <c r="HI240" s="29"/>
      <c r="HJ240" s="31" t="str">
        <f t="shared" si="183"/>
        <v/>
      </c>
      <c r="HK240" s="27"/>
      <c r="HL240" s="27"/>
      <c r="HM240" s="28" t="str">
        <f>IFERROR(VLOOKUP(HK240,Horarios!$H:$I,2,0),"")</f>
        <v/>
      </c>
      <c r="HN240" s="28" t="str">
        <f>IFERROR(VLOOKUP(HL240,Horarios!$H:$I,2,0),"")</f>
        <v/>
      </c>
      <c r="HO240" s="28" t="str">
        <f t="shared" si="184"/>
        <v>00:00</v>
      </c>
      <c r="HP240" s="29"/>
      <c r="HQ240" s="27"/>
      <c r="HR240" s="27"/>
      <c r="HS240" s="28" t="str">
        <f>IFERROR(VLOOKUP(HQ240,Horarios!$H:$I,2,0),"")</f>
        <v/>
      </c>
      <c r="HT240" s="28" t="str">
        <f>IFERROR(VLOOKUP(HR240,Horarios!$H:$I,2,0),"")</f>
        <v/>
      </c>
      <c r="HU240" s="28" t="str">
        <f t="shared" si="185"/>
        <v>00:00</v>
      </c>
      <c r="HV240" s="29"/>
      <c r="HW240" s="27"/>
      <c r="HX240" s="27"/>
      <c r="HY240" s="28" t="str">
        <f>IFERROR(VLOOKUP(HW240,Horarios!$H:$I,2,0),"")</f>
        <v/>
      </c>
      <c r="HZ240" s="28" t="str">
        <f>IFERROR(VLOOKUP(HX240,Horarios!$H:$I,2,0),"")</f>
        <v/>
      </c>
      <c r="IA240" s="28" t="str">
        <f t="shared" si="186"/>
        <v>00:00</v>
      </c>
      <c r="IB240" s="29"/>
      <c r="IC240" s="27"/>
      <c r="ID240" s="27"/>
      <c r="IE240" s="28" t="str">
        <f>IFERROR(VLOOKUP(IC240,Horarios!$H:$I,2,0),"")</f>
        <v/>
      </c>
      <c r="IF240" s="28" t="str">
        <f>IFERROR(VLOOKUP(ID240,Horarios!$H:$I,2,0),"")</f>
        <v/>
      </c>
      <c r="IG240" s="28" t="str">
        <f t="shared" si="187"/>
        <v>00:00</v>
      </c>
      <c r="IH240" s="29"/>
      <c r="II240" s="27"/>
      <c r="IJ240" s="27"/>
      <c r="IK240" s="28" t="str">
        <f>IFERROR(VLOOKUP(II240,Horarios!$H:$I,2,0),"")</f>
        <v/>
      </c>
      <c r="IL240" s="28" t="str">
        <f>IFERROR(VLOOKUP(IJ240,Horarios!$H:$I,2,0),"")</f>
        <v/>
      </c>
      <c r="IM240" s="28" t="str">
        <f t="shared" si="188"/>
        <v>00:00</v>
      </c>
      <c r="IN240" s="29"/>
      <c r="IO240" s="27"/>
      <c r="IP240" s="27"/>
      <c r="IQ240" s="28" t="str">
        <f>IFERROR(VLOOKUP(IO240,Horarios!$H:$I,2,0),"")</f>
        <v/>
      </c>
      <c r="IR240" s="28" t="str">
        <f>IFERROR(VLOOKUP(IP240,Horarios!$H:$I,2,0),"")</f>
        <v/>
      </c>
      <c r="IS240" s="28" t="str">
        <f t="shared" si="189"/>
        <v>00:00</v>
      </c>
      <c r="IT240" s="29"/>
      <c r="IU240" s="27"/>
      <c r="IV240" s="27"/>
      <c r="IW240" s="28" t="str">
        <f>IFERROR(VLOOKUP(IU240,Horarios!$H:$I,2,0),"")</f>
        <v/>
      </c>
      <c r="IX240" s="28" t="str">
        <f>IFERROR(VLOOKUP(IV240,Horarios!$H:$I,2,0),"")</f>
        <v/>
      </c>
      <c r="IY240" s="28" t="str">
        <f t="shared" si="190"/>
        <v>00:00</v>
      </c>
      <c r="IZ240" s="29"/>
      <c r="JA240" s="31" t="str">
        <f t="shared" si="191"/>
        <v/>
      </c>
    </row>
    <row r="241" spans="1:261" s="24" customFormat="1" ht="17.399999999999999" x14ac:dyDescent="0.25">
      <c r="A241" s="25"/>
      <c r="B241" s="26" t="str">
        <f>IFERROR(VLOOKUP(A241,BaseNombres!A:B,2,0),"")</f>
        <v/>
      </c>
      <c r="C241" s="26" t="str">
        <f>IFERROR(VLOOKUP(A241,BaseNombres!A:C,3,0),"")</f>
        <v/>
      </c>
      <c r="D241" s="27"/>
      <c r="E241" s="27"/>
      <c r="F241" s="28" t="str">
        <f>IFERROR(VLOOKUP(D241,Horarios!$H:$I,2,0),"")</f>
        <v/>
      </c>
      <c r="G241" s="28" t="str">
        <f>IFERROR(VLOOKUP(E241,Horarios!$H:$I,2,0),"")</f>
        <v/>
      </c>
      <c r="H241" s="28" t="str">
        <f t="shared" si="144"/>
        <v>00:00</v>
      </c>
      <c r="I241" s="29"/>
      <c r="J241" s="27"/>
      <c r="K241" s="27"/>
      <c r="L241" s="28" t="str">
        <f>IFERROR(VLOOKUP(J241,Horarios!$H:$I,2,0),"")</f>
        <v/>
      </c>
      <c r="M241" s="28" t="str">
        <f>IFERROR(VLOOKUP(K241,Horarios!$H:$I,2,0),"")</f>
        <v/>
      </c>
      <c r="N241" s="28" t="str">
        <f t="shared" si="145"/>
        <v>00:00</v>
      </c>
      <c r="O241" s="29"/>
      <c r="P241" s="27"/>
      <c r="Q241" s="27"/>
      <c r="R241" s="28" t="str">
        <f>IFERROR(VLOOKUP(P241,Horarios!$H:$I,2,0),"")</f>
        <v/>
      </c>
      <c r="S241" s="28" t="str">
        <f>IFERROR(VLOOKUP(Q241,Horarios!$H:$I,2,0),"")</f>
        <v/>
      </c>
      <c r="T241" s="28" t="str">
        <f t="shared" si="146"/>
        <v>00:00</v>
      </c>
      <c r="U241" s="29"/>
      <c r="V241" s="27"/>
      <c r="W241" s="27"/>
      <c r="X241" s="28" t="str">
        <f>IFERROR(VLOOKUP(V241,Horarios!$H:$I,2,0),"")</f>
        <v/>
      </c>
      <c r="Y241" s="28" t="str">
        <f>IFERROR(VLOOKUP(W241,Horarios!$H:$I,2,0),"")</f>
        <v/>
      </c>
      <c r="Z241" s="28" t="str">
        <f t="shared" si="147"/>
        <v>00:00</v>
      </c>
      <c r="AA241" s="29"/>
      <c r="AB241" s="27"/>
      <c r="AC241" s="27"/>
      <c r="AD241" s="28" t="str">
        <f>IFERROR(VLOOKUP(AB241,Horarios!$H:$I,2,0),"")</f>
        <v/>
      </c>
      <c r="AE241" s="28" t="str">
        <f>IFERROR(VLOOKUP(AC241,Horarios!$H:$I,2,0),"")</f>
        <v/>
      </c>
      <c r="AF241" s="28" t="str">
        <f t="shared" si="148"/>
        <v>00:00</v>
      </c>
      <c r="AG241" s="29"/>
      <c r="AH241" s="27"/>
      <c r="AI241" s="27"/>
      <c r="AJ241" s="28" t="str">
        <f>IFERROR(VLOOKUP(AH241,Horarios!$H:$I,2,0),"")</f>
        <v/>
      </c>
      <c r="AK241" s="28" t="str">
        <f>IFERROR(VLOOKUP(AI241,Horarios!$H:$I,2,0),"")</f>
        <v/>
      </c>
      <c r="AL241" s="28" t="str">
        <f t="shared" si="149"/>
        <v>00:00</v>
      </c>
      <c r="AM241" s="29"/>
      <c r="AN241" s="27"/>
      <c r="AO241" s="27"/>
      <c r="AP241" s="28" t="str">
        <f>IFERROR(VLOOKUP(AN241,Horarios!$H:$I,2,0),"")</f>
        <v/>
      </c>
      <c r="AQ241" s="28" t="str">
        <f>IFERROR(VLOOKUP(AO241,Horarios!$H:$I,2,0),"")</f>
        <v/>
      </c>
      <c r="AR241" s="28" t="str">
        <f t="shared" si="150"/>
        <v>00:00</v>
      </c>
      <c r="AS241" s="29"/>
      <c r="AT241" s="31" t="str">
        <f t="shared" si="151"/>
        <v/>
      </c>
      <c r="AU241" s="27"/>
      <c r="AV241" s="27"/>
      <c r="AW241" s="28" t="str">
        <f>IFERROR(VLOOKUP(AU241,Horarios!$H:$I,2,0),"")</f>
        <v/>
      </c>
      <c r="AX241" s="28" t="str">
        <f>IFERROR(VLOOKUP(AV241,Horarios!$H:$I,2,0),"")</f>
        <v/>
      </c>
      <c r="AY241" s="28" t="str">
        <f t="shared" si="152"/>
        <v>00:00</v>
      </c>
      <c r="AZ241" s="29"/>
      <c r="BA241" s="27"/>
      <c r="BB241" s="27"/>
      <c r="BC241" s="28" t="str">
        <f>IFERROR(VLOOKUP(BA241,Horarios!$H:$I,2,0),"")</f>
        <v/>
      </c>
      <c r="BD241" s="28" t="str">
        <f>IFERROR(VLOOKUP(BB241,Horarios!$H:$I,2,0),"")</f>
        <v/>
      </c>
      <c r="BE241" s="28" t="str">
        <f t="shared" si="153"/>
        <v>00:00</v>
      </c>
      <c r="BF241" s="29"/>
      <c r="BG241" s="27"/>
      <c r="BH241" s="27"/>
      <c r="BI241" s="28" t="str">
        <f>IFERROR(VLOOKUP(BG241,Horarios!$H:$I,2,0),"")</f>
        <v/>
      </c>
      <c r="BJ241" s="28" t="str">
        <f>IFERROR(VLOOKUP(BH241,Horarios!$H:$I,2,0),"")</f>
        <v/>
      </c>
      <c r="BK241" s="28" t="str">
        <f t="shared" si="154"/>
        <v>00:00</v>
      </c>
      <c r="BL241" s="29"/>
      <c r="BM241" s="27"/>
      <c r="BN241" s="27"/>
      <c r="BO241" s="28" t="str">
        <f>IFERROR(VLOOKUP(BM241,Horarios!$H:$I,2,0),"")</f>
        <v/>
      </c>
      <c r="BP241" s="28" t="str">
        <f>IFERROR(VLOOKUP(BN241,Horarios!$H:$I,2,0),"")</f>
        <v/>
      </c>
      <c r="BQ241" s="28" t="str">
        <f t="shared" si="155"/>
        <v>00:00</v>
      </c>
      <c r="BR241" s="29"/>
      <c r="BS241" s="27"/>
      <c r="BT241" s="27"/>
      <c r="BU241" s="28" t="str">
        <f>IFERROR(VLOOKUP(BS241,Horarios!$H:$I,2,0),"")</f>
        <v/>
      </c>
      <c r="BV241" s="28" t="str">
        <f>IFERROR(VLOOKUP(BT241,Horarios!$H:$I,2,0),"")</f>
        <v/>
      </c>
      <c r="BW241" s="28" t="str">
        <f t="shared" si="156"/>
        <v>00:00</v>
      </c>
      <c r="BX241" s="29"/>
      <c r="BY241" s="27"/>
      <c r="BZ241" s="27"/>
      <c r="CA241" s="28" t="str">
        <f>IFERROR(VLOOKUP(BY241,Horarios!$H:$I,2,0),"")</f>
        <v/>
      </c>
      <c r="CB241" s="28" t="str">
        <f>IFERROR(VLOOKUP(BZ241,Horarios!$H:$I,2,0),"")</f>
        <v/>
      </c>
      <c r="CC241" s="28" t="str">
        <f t="shared" si="157"/>
        <v>00:00</v>
      </c>
      <c r="CD241" s="29"/>
      <c r="CE241" s="27"/>
      <c r="CF241" s="27"/>
      <c r="CG241" s="28" t="str">
        <f>IFERROR(VLOOKUP(CE241,Horarios!$H:$I,2,0),"")</f>
        <v/>
      </c>
      <c r="CH241" s="28" t="str">
        <f>IFERROR(VLOOKUP(CF241,Horarios!$H:$I,2,0),"")</f>
        <v/>
      </c>
      <c r="CI241" s="28" t="str">
        <f t="shared" si="158"/>
        <v>00:00</v>
      </c>
      <c r="CJ241" s="29"/>
      <c r="CK241" s="31" t="str">
        <f t="shared" si="159"/>
        <v/>
      </c>
      <c r="CL241" s="27"/>
      <c r="CM241" s="27"/>
      <c r="CN241" s="28" t="str">
        <f>IFERROR(VLOOKUP(CL241,Horarios!$H:$I,2,0),"")</f>
        <v/>
      </c>
      <c r="CO241" s="28" t="str">
        <f>IFERROR(VLOOKUP(CM241,Horarios!$H:$I,2,0),"")</f>
        <v/>
      </c>
      <c r="CP241" s="28" t="str">
        <f t="shared" si="160"/>
        <v>00:00</v>
      </c>
      <c r="CQ241" s="29"/>
      <c r="CR241" s="27"/>
      <c r="CS241" s="27"/>
      <c r="CT241" s="28" t="str">
        <f>IFERROR(VLOOKUP(CR241,Horarios!$H:$I,2,0),"")</f>
        <v/>
      </c>
      <c r="CU241" s="28" t="str">
        <f>IFERROR(VLOOKUP(CS241,Horarios!$H:$I,2,0),"")</f>
        <v/>
      </c>
      <c r="CV241" s="28" t="str">
        <f t="shared" si="161"/>
        <v>00:00</v>
      </c>
      <c r="CW241" s="29"/>
      <c r="CX241" s="27"/>
      <c r="CY241" s="27"/>
      <c r="CZ241" s="28" t="str">
        <f>IFERROR(VLOOKUP(CX241,Horarios!$H:$I,2,0),"")</f>
        <v/>
      </c>
      <c r="DA241" s="28" t="str">
        <f>IFERROR(VLOOKUP(CY241,Horarios!$H:$I,2,0),"")</f>
        <v/>
      </c>
      <c r="DB241" s="28" t="str">
        <f t="shared" si="162"/>
        <v>00:00</v>
      </c>
      <c r="DC241" s="29"/>
      <c r="DD241" s="27"/>
      <c r="DE241" s="27"/>
      <c r="DF241" s="28" t="str">
        <f>IFERROR(VLOOKUP(DD241,Horarios!$H:$I,2,0),"")</f>
        <v/>
      </c>
      <c r="DG241" s="28" t="str">
        <f>IFERROR(VLOOKUP(DE241,Horarios!$H:$I,2,0),"")</f>
        <v/>
      </c>
      <c r="DH241" s="28" t="str">
        <f t="shared" si="163"/>
        <v>00:00</v>
      </c>
      <c r="DI241" s="29"/>
      <c r="DJ241" s="27"/>
      <c r="DK241" s="27"/>
      <c r="DL241" s="28" t="str">
        <f>IFERROR(VLOOKUP(DJ241,Horarios!$H:$I,2,0),"")</f>
        <v/>
      </c>
      <c r="DM241" s="28" t="str">
        <f>IFERROR(VLOOKUP(DK241,Horarios!$H:$I,2,0),"")</f>
        <v/>
      </c>
      <c r="DN241" s="28" t="str">
        <f t="shared" si="164"/>
        <v>00:00</v>
      </c>
      <c r="DO241" s="29"/>
      <c r="DP241" s="27"/>
      <c r="DQ241" s="27"/>
      <c r="DR241" s="28" t="str">
        <f>IFERROR(VLOOKUP(DP241,Horarios!$H:$I,2,0),"")</f>
        <v/>
      </c>
      <c r="DS241" s="28" t="str">
        <f>IFERROR(VLOOKUP(DQ241,Horarios!$H:$I,2,0),"")</f>
        <v/>
      </c>
      <c r="DT241" s="28" t="str">
        <f t="shared" si="165"/>
        <v>00:00</v>
      </c>
      <c r="DU241" s="29"/>
      <c r="DV241" s="27"/>
      <c r="DW241" s="27"/>
      <c r="DX241" s="28" t="str">
        <f>IFERROR(VLOOKUP(DV241,Horarios!$H:$I,2,0),"")</f>
        <v/>
      </c>
      <c r="DY241" s="28" t="str">
        <f>IFERROR(VLOOKUP(DW241,Horarios!$H:$I,2,0),"")</f>
        <v/>
      </c>
      <c r="DZ241" s="28" t="str">
        <f t="shared" si="166"/>
        <v>00:00</v>
      </c>
      <c r="EA241" s="29"/>
      <c r="EB241" s="31" t="str">
        <f t="shared" si="167"/>
        <v/>
      </c>
      <c r="EC241" s="27"/>
      <c r="ED241" s="27"/>
      <c r="EE241" s="28" t="str">
        <f>IFERROR(VLOOKUP(EC241,Horarios!$H:$I,2,0),"")</f>
        <v/>
      </c>
      <c r="EF241" s="28" t="str">
        <f>IFERROR(VLOOKUP(ED241,Horarios!$H:$I,2,0),"")</f>
        <v/>
      </c>
      <c r="EG241" s="28" t="str">
        <f t="shared" si="168"/>
        <v>00:00</v>
      </c>
      <c r="EH241" s="29"/>
      <c r="EI241" s="27"/>
      <c r="EJ241" s="27"/>
      <c r="EK241" s="28" t="str">
        <f>IFERROR(VLOOKUP(EI241,Horarios!$H:$I,2,0),"")</f>
        <v/>
      </c>
      <c r="EL241" s="28" t="str">
        <f>IFERROR(VLOOKUP(EJ241,Horarios!$H:$I,2,0),"")</f>
        <v/>
      </c>
      <c r="EM241" s="28" t="str">
        <f t="shared" si="169"/>
        <v>00:00</v>
      </c>
      <c r="EN241" s="29"/>
      <c r="EO241" s="27"/>
      <c r="EP241" s="27"/>
      <c r="EQ241" s="28" t="str">
        <f>IFERROR(VLOOKUP(EO241,Horarios!$H:$I,2,0),"")</f>
        <v/>
      </c>
      <c r="ER241" s="28" t="str">
        <f>IFERROR(VLOOKUP(EP241,Horarios!$H:$I,2,0),"")</f>
        <v/>
      </c>
      <c r="ES241" s="28" t="str">
        <f t="shared" si="170"/>
        <v>00:00</v>
      </c>
      <c r="ET241" s="29"/>
      <c r="EU241" s="27"/>
      <c r="EV241" s="27"/>
      <c r="EW241" s="28" t="str">
        <f>IFERROR(VLOOKUP(EU241,Horarios!$H:$I,2,0),"")</f>
        <v/>
      </c>
      <c r="EX241" s="28" t="str">
        <f>IFERROR(VLOOKUP(EV241,Horarios!$H:$I,2,0),"")</f>
        <v/>
      </c>
      <c r="EY241" s="28" t="str">
        <f t="shared" si="171"/>
        <v>00:00</v>
      </c>
      <c r="EZ241" s="29"/>
      <c r="FA241" s="27"/>
      <c r="FB241" s="27"/>
      <c r="FC241" s="28" t="str">
        <f>IFERROR(VLOOKUP(FA241,Horarios!$H:$I,2,0),"")</f>
        <v/>
      </c>
      <c r="FD241" s="28" t="str">
        <f>IFERROR(VLOOKUP(FB241,Horarios!$H:$I,2,0),"")</f>
        <v/>
      </c>
      <c r="FE241" s="28" t="str">
        <f t="shared" si="172"/>
        <v>00:00</v>
      </c>
      <c r="FF241" s="29"/>
      <c r="FG241" s="27"/>
      <c r="FH241" s="27"/>
      <c r="FI241" s="28" t="str">
        <f>IFERROR(VLOOKUP(FG241,Horarios!$H:$I,2,0),"")</f>
        <v/>
      </c>
      <c r="FJ241" s="28" t="str">
        <f>IFERROR(VLOOKUP(FH241,Horarios!$H:$I,2,0),"")</f>
        <v/>
      </c>
      <c r="FK241" s="28" t="str">
        <f t="shared" si="173"/>
        <v>00:00</v>
      </c>
      <c r="FL241" s="29"/>
      <c r="FM241" s="27"/>
      <c r="FN241" s="27"/>
      <c r="FO241" s="28" t="str">
        <f>IFERROR(VLOOKUP(FM241,Horarios!$H:$I,2,0),"")</f>
        <v/>
      </c>
      <c r="FP241" s="28" t="str">
        <f>IFERROR(VLOOKUP(FN241,Horarios!$H:$I,2,0),"")</f>
        <v/>
      </c>
      <c r="FQ241" s="28" t="str">
        <f t="shared" si="174"/>
        <v>00:00</v>
      </c>
      <c r="FR241" s="29"/>
      <c r="FS241" s="31" t="str">
        <f t="shared" si="175"/>
        <v/>
      </c>
      <c r="FT241" s="27"/>
      <c r="FU241" s="27"/>
      <c r="FV241" s="28" t="str">
        <f>IFERROR(VLOOKUP(FT241,Horarios!$H:$I,2,0),"")</f>
        <v/>
      </c>
      <c r="FW241" s="28" t="str">
        <f>IFERROR(VLOOKUP(FU241,Horarios!$H:$I,2,0),"")</f>
        <v/>
      </c>
      <c r="FX241" s="28" t="str">
        <f t="shared" si="176"/>
        <v>00:00</v>
      </c>
      <c r="FY241" s="29"/>
      <c r="FZ241" s="27"/>
      <c r="GA241" s="27"/>
      <c r="GB241" s="28" t="str">
        <f>IFERROR(VLOOKUP(FZ241,Horarios!$H:$I,2,0),"")</f>
        <v/>
      </c>
      <c r="GC241" s="28" t="str">
        <f>IFERROR(VLOOKUP(GA241,Horarios!$H:$I,2,0),"")</f>
        <v/>
      </c>
      <c r="GD241" s="28" t="str">
        <f t="shared" si="177"/>
        <v>00:00</v>
      </c>
      <c r="GE241" s="29"/>
      <c r="GF241" s="27"/>
      <c r="GG241" s="27"/>
      <c r="GH241" s="28" t="str">
        <f>IFERROR(VLOOKUP(GF241,Horarios!$H:$I,2,0),"")</f>
        <v/>
      </c>
      <c r="GI241" s="28" t="str">
        <f>IFERROR(VLOOKUP(GG241,Horarios!$H:$I,2,0),"")</f>
        <v/>
      </c>
      <c r="GJ241" s="28" t="str">
        <f t="shared" si="178"/>
        <v>00:00</v>
      </c>
      <c r="GK241" s="29"/>
      <c r="GL241" s="27"/>
      <c r="GM241" s="27"/>
      <c r="GN241" s="28" t="str">
        <f>IFERROR(VLOOKUP(GL241,Horarios!$H:$I,2,0),"")</f>
        <v/>
      </c>
      <c r="GO241" s="28" t="str">
        <f>IFERROR(VLOOKUP(GM241,Horarios!$H:$I,2,0),"")</f>
        <v/>
      </c>
      <c r="GP241" s="28" t="str">
        <f t="shared" si="179"/>
        <v>00:00</v>
      </c>
      <c r="GQ241" s="29"/>
      <c r="GR241" s="27"/>
      <c r="GS241" s="27"/>
      <c r="GT241" s="28" t="str">
        <f>IFERROR(VLOOKUP(GR241,Horarios!$H:$I,2,0),"")</f>
        <v/>
      </c>
      <c r="GU241" s="28" t="str">
        <f>IFERROR(VLOOKUP(GS241,Horarios!$H:$I,2,0),"")</f>
        <v/>
      </c>
      <c r="GV241" s="28" t="str">
        <f t="shared" si="180"/>
        <v>00:00</v>
      </c>
      <c r="GW241" s="29"/>
      <c r="GX241" s="27"/>
      <c r="GY241" s="27"/>
      <c r="GZ241" s="28" t="str">
        <f>IFERROR(VLOOKUP(GX241,Horarios!$H:$I,2,0),"")</f>
        <v/>
      </c>
      <c r="HA241" s="28" t="str">
        <f>IFERROR(VLOOKUP(GY241,Horarios!$H:$I,2,0),"")</f>
        <v/>
      </c>
      <c r="HB241" s="28" t="str">
        <f t="shared" si="181"/>
        <v>00:00</v>
      </c>
      <c r="HC241" s="29"/>
      <c r="HD241" s="27"/>
      <c r="HE241" s="27"/>
      <c r="HF241" s="28" t="str">
        <f>IFERROR(VLOOKUP(HD241,Horarios!$H:$I,2,0),"")</f>
        <v/>
      </c>
      <c r="HG241" s="28" t="str">
        <f>IFERROR(VLOOKUP(HE241,Horarios!$H:$I,2,0),"")</f>
        <v/>
      </c>
      <c r="HH241" s="28" t="str">
        <f t="shared" si="182"/>
        <v>00:00</v>
      </c>
      <c r="HI241" s="29"/>
      <c r="HJ241" s="31" t="str">
        <f t="shared" si="183"/>
        <v/>
      </c>
      <c r="HK241" s="27"/>
      <c r="HL241" s="27"/>
      <c r="HM241" s="28" t="str">
        <f>IFERROR(VLOOKUP(HK241,Horarios!$H:$I,2,0),"")</f>
        <v/>
      </c>
      <c r="HN241" s="28" t="str">
        <f>IFERROR(VLOOKUP(HL241,Horarios!$H:$I,2,0),"")</f>
        <v/>
      </c>
      <c r="HO241" s="28" t="str">
        <f t="shared" si="184"/>
        <v>00:00</v>
      </c>
      <c r="HP241" s="29"/>
      <c r="HQ241" s="27"/>
      <c r="HR241" s="27"/>
      <c r="HS241" s="28" t="str">
        <f>IFERROR(VLOOKUP(HQ241,Horarios!$H:$I,2,0),"")</f>
        <v/>
      </c>
      <c r="HT241" s="28" t="str">
        <f>IFERROR(VLOOKUP(HR241,Horarios!$H:$I,2,0),"")</f>
        <v/>
      </c>
      <c r="HU241" s="28" t="str">
        <f t="shared" si="185"/>
        <v>00:00</v>
      </c>
      <c r="HV241" s="29"/>
      <c r="HW241" s="27"/>
      <c r="HX241" s="27"/>
      <c r="HY241" s="28" t="str">
        <f>IFERROR(VLOOKUP(HW241,Horarios!$H:$I,2,0),"")</f>
        <v/>
      </c>
      <c r="HZ241" s="28" t="str">
        <f>IFERROR(VLOOKUP(HX241,Horarios!$H:$I,2,0),"")</f>
        <v/>
      </c>
      <c r="IA241" s="28" t="str">
        <f t="shared" si="186"/>
        <v>00:00</v>
      </c>
      <c r="IB241" s="29"/>
      <c r="IC241" s="27"/>
      <c r="ID241" s="27"/>
      <c r="IE241" s="28" t="str">
        <f>IFERROR(VLOOKUP(IC241,Horarios!$H:$I,2,0),"")</f>
        <v/>
      </c>
      <c r="IF241" s="28" t="str">
        <f>IFERROR(VLOOKUP(ID241,Horarios!$H:$I,2,0),"")</f>
        <v/>
      </c>
      <c r="IG241" s="28" t="str">
        <f t="shared" si="187"/>
        <v>00:00</v>
      </c>
      <c r="IH241" s="29"/>
      <c r="II241" s="27"/>
      <c r="IJ241" s="27"/>
      <c r="IK241" s="28" t="str">
        <f>IFERROR(VLOOKUP(II241,Horarios!$H:$I,2,0),"")</f>
        <v/>
      </c>
      <c r="IL241" s="28" t="str">
        <f>IFERROR(VLOOKUP(IJ241,Horarios!$H:$I,2,0),"")</f>
        <v/>
      </c>
      <c r="IM241" s="28" t="str">
        <f t="shared" si="188"/>
        <v>00:00</v>
      </c>
      <c r="IN241" s="29"/>
      <c r="IO241" s="27"/>
      <c r="IP241" s="27"/>
      <c r="IQ241" s="28" t="str">
        <f>IFERROR(VLOOKUP(IO241,Horarios!$H:$I,2,0),"")</f>
        <v/>
      </c>
      <c r="IR241" s="28" t="str">
        <f>IFERROR(VLOOKUP(IP241,Horarios!$H:$I,2,0),"")</f>
        <v/>
      </c>
      <c r="IS241" s="28" t="str">
        <f t="shared" si="189"/>
        <v>00:00</v>
      </c>
      <c r="IT241" s="29"/>
      <c r="IU241" s="27"/>
      <c r="IV241" s="27"/>
      <c r="IW241" s="28" t="str">
        <f>IFERROR(VLOOKUP(IU241,Horarios!$H:$I,2,0),"")</f>
        <v/>
      </c>
      <c r="IX241" s="28" t="str">
        <f>IFERROR(VLOOKUP(IV241,Horarios!$H:$I,2,0),"")</f>
        <v/>
      </c>
      <c r="IY241" s="28" t="str">
        <f t="shared" si="190"/>
        <v>00:00</v>
      </c>
      <c r="IZ241" s="29"/>
      <c r="JA241" s="31" t="str">
        <f t="shared" si="191"/>
        <v/>
      </c>
    </row>
    <row r="242" spans="1:261" s="24" customFormat="1" ht="17.399999999999999" x14ac:dyDescent="0.25">
      <c r="A242" s="25"/>
      <c r="B242" s="26" t="str">
        <f>IFERROR(VLOOKUP(A242,BaseNombres!A:B,2,0),"")</f>
        <v/>
      </c>
      <c r="C242" s="26" t="str">
        <f>IFERROR(VLOOKUP(A242,BaseNombres!A:C,3,0),"")</f>
        <v/>
      </c>
      <c r="D242" s="27"/>
      <c r="E242" s="27"/>
      <c r="F242" s="28" t="str">
        <f>IFERROR(VLOOKUP(D242,Horarios!$H:$I,2,0),"")</f>
        <v/>
      </c>
      <c r="G242" s="28" t="str">
        <f>IFERROR(VLOOKUP(E242,Horarios!$H:$I,2,0),"")</f>
        <v/>
      </c>
      <c r="H242" s="28" t="str">
        <f t="shared" si="144"/>
        <v>00:00</v>
      </c>
      <c r="I242" s="29"/>
      <c r="J242" s="27"/>
      <c r="K242" s="27"/>
      <c r="L242" s="28" t="str">
        <f>IFERROR(VLOOKUP(J242,Horarios!$H:$I,2,0),"")</f>
        <v/>
      </c>
      <c r="M242" s="28" t="str">
        <f>IFERROR(VLOOKUP(K242,Horarios!$H:$I,2,0),"")</f>
        <v/>
      </c>
      <c r="N242" s="28" t="str">
        <f t="shared" si="145"/>
        <v>00:00</v>
      </c>
      <c r="O242" s="29"/>
      <c r="P242" s="27"/>
      <c r="Q242" s="27"/>
      <c r="R242" s="28" t="str">
        <f>IFERROR(VLOOKUP(P242,Horarios!$H:$I,2,0),"")</f>
        <v/>
      </c>
      <c r="S242" s="28" t="str">
        <f>IFERROR(VLOOKUP(Q242,Horarios!$H:$I,2,0),"")</f>
        <v/>
      </c>
      <c r="T242" s="28" t="str">
        <f t="shared" si="146"/>
        <v>00:00</v>
      </c>
      <c r="U242" s="29"/>
      <c r="V242" s="27"/>
      <c r="W242" s="27"/>
      <c r="X242" s="28" t="str">
        <f>IFERROR(VLOOKUP(V242,Horarios!$H:$I,2,0),"")</f>
        <v/>
      </c>
      <c r="Y242" s="28" t="str">
        <f>IFERROR(VLOOKUP(W242,Horarios!$H:$I,2,0),"")</f>
        <v/>
      </c>
      <c r="Z242" s="28" t="str">
        <f t="shared" si="147"/>
        <v>00:00</v>
      </c>
      <c r="AA242" s="29"/>
      <c r="AB242" s="27"/>
      <c r="AC242" s="27"/>
      <c r="AD242" s="28" t="str">
        <f>IFERROR(VLOOKUP(AB242,Horarios!$H:$I,2,0),"")</f>
        <v/>
      </c>
      <c r="AE242" s="28" t="str">
        <f>IFERROR(VLOOKUP(AC242,Horarios!$H:$I,2,0),"")</f>
        <v/>
      </c>
      <c r="AF242" s="28" t="str">
        <f t="shared" si="148"/>
        <v>00:00</v>
      </c>
      <c r="AG242" s="29"/>
      <c r="AH242" s="27"/>
      <c r="AI242" s="27"/>
      <c r="AJ242" s="28" t="str">
        <f>IFERROR(VLOOKUP(AH242,Horarios!$H:$I,2,0),"")</f>
        <v/>
      </c>
      <c r="AK242" s="28" t="str">
        <f>IFERROR(VLOOKUP(AI242,Horarios!$H:$I,2,0),"")</f>
        <v/>
      </c>
      <c r="AL242" s="28" t="str">
        <f t="shared" si="149"/>
        <v>00:00</v>
      </c>
      <c r="AM242" s="29"/>
      <c r="AN242" s="27"/>
      <c r="AO242" s="27"/>
      <c r="AP242" s="28" t="str">
        <f>IFERROR(VLOOKUP(AN242,Horarios!$H:$I,2,0),"")</f>
        <v/>
      </c>
      <c r="AQ242" s="28" t="str">
        <f>IFERROR(VLOOKUP(AO242,Horarios!$H:$I,2,0),"")</f>
        <v/>
      </c>
      <c r="AR242" s="28" t="str">
        <f t="shared" si="150"/>
        <v>00:00</v>
      </c>
      <c r="AS242" s="29"/>
      <c r="AT242" s="31" t="str">
        <f t="shared" si="151"/>
        <v/>
      </c>
      <c r="AU242" s="27"/>
      <c r="AV242" s="27"/>
      <c r="AW242" s="28" t="str">
        <f>IFERROR(VLOOKUP(AU242,Horarios!$H:$I,2,0),"")</f>
        <v/>
      </c>
      <c r="AX242" s="28" t="str">
        <f>IFERROR(VLOOKUP(AV242,Horarios!$H:$I,2,0),"")</f>
        <v/>
      </c>
      <c r="AY242" s="28" t="str">
        <f t="shared" si="152"/>
        <v>00:00</v>
      </c>
      <c r="AZ242" s="29"/>
      <c r="BA242" s="27"/>
      <c r="BB242" s="27"/>
      <c r="BC242" s="28" t="str">
        <f>IFERROR(VLOOKUP(BA242,Horarios!$H:$I,2,0),"")</f>
        <v/>
      </c>
      <c r="BD242" s="28" t="str">
        <f>IFERROR(VLOOKUP(BB242,Horarios!$H:$I,2,0),"")</f>
        <v/>
      </c>
      <c r="BE242" s="28" t="str">
        <f t="shared" si="153"/>
        <v>00:00</v>
      </c>
      <c r="BF242" s="29"/>
      <c r="BG242" s="27"/>
      <c r="BH242" s="27"/>
      <c r="BI242" s="28" t="str">
        <f>IFERROR(VLOOKUP(BG242,Horarios!$H:$I,2,0),"")</f>
        <v/>
      </c>
      <c r="BJ242" s="28" t="str">
        <f>IFERROR(VLOOKUP(BH242,Horarios!$H:$I,2,0),"")</f>
        <v/>
      </c>
      <c r="BK242" s="28" t="str">
        <f t="shared" si="154"/>
        <v>00:00</v>
      </c>
      <c r="BL242" s="29"/>
      <c r="BM242" s="27"/>
      <c r="BN242" s="27"/>
      <c r="BO242" s="28" t="str">
        <f>IFERROR(VLOOKUP(BM242,Horarios!$H:$I,2,0),"")</f>
        <v/>
      </c>
      <c r="BP242" s="28" t="str">
        <f>IFERROR(VLOOKUP(BN242,Horarios!$H:$I,2,0),"")</f>
        <v/>
      </c>
      <c r="BQ242" s="28" t="str">
        <f t="shared" si="155"/>
        <v>00:00</v>
      </c>
      <c r="BR242" s="29"/>
      <c r="BS242" s="27"/>
      <c r="BT242" s="27"/>
      <c r="BU242" s="28" t="str">
        <f>IFERROR(VLOOKUP(BS242,Horarios!$H:$I,2,0),"")</f>
        <v/>
      </c>
      <c r="BV242" s="28" t="str">
        <f>IFERROR(VLOOKUP(BT242,Horarios!$H:$I,2,0),"")</f>
        <v/>
      </c>
      <c r="BW242" s="28" t="str">
        <f t="shared" si="156"/>
        <v>00:00</v>
      </c>
      <c r="BX242" s="29"/>
      <c r="BY242" s="27"/>
      <c r="BZ242" s="27"/>
      <c r="CA242" s="28" t="str">
        <f>IFERROR(VLOOKUP(BY242,Horarios!$H:$I,2,0),"")</f>
        <v/>
      </c>
      <c r="CB242" s="28" t="str">
        <f>IFERROR(VLOOKUP(BZ242,Horarios!$H:$I,2,0),"")</f>
        <v/>
      </c>
      <c r="CC242" s="28" t="str">
        <f t="shared" si="157"/>
        <v>00:00</v>
      </c>
      <c r="CD242" s="29"/>
      <c r="CE242" s="27"/>
      <c r="CF242" s="27"/>
      <c r="CG242" s="28" t="str">
        <f>IFERROR(VLOOKUP(CE242,Horarios!$H:$I,2,0),"")</f>
        <v/>
      </c>
      <c r="CH242" s="28" t="str">
        <f>IFERROR(VLOOKUP(CF242,Horarios!$H:$I,2,0),"")</f>
        <v/>
      </c>
      <c r="CI242" s="28" t="str">
        <f t="shared" si="158"/>
        <v>00:00</v>
      </c>
      <c r="CJ242" s="29"/>
      <c r="CK242" s="31" t="str">
        <f t="shared" si="159"/>
        <v/>
      </c>
      <c r="CL242" s="27"/>
      <c r="CM242" s="27"/>
      <c r="CN242" s="28" t="str">
        <f>IFERROR(VLOOKUP(CL242,Horarios!$H:$I,2,0),"")</f>
        <v/>
      </c>
      <c r="CO242" s="28" t="str">
        <f>IFERROR(VLOOKUP(CM242,Horarios!$H:$I,2,0),"")</f>
        <v/>
      </c>
      <c r="CP242" s="28" t="str">
        <f t="shared" si="160"/>
        <v>00:00</v>
      </c>
      <c r="CQ242" s="29"/>
      <c r="CR242" s="27"/>
      <c r="CS242" s="27"/>
      <c r="CT242" s="28" t="str">
        <f>IFERROR(VLOOKUP(CR242,Horarios!$H:$I,2,0),"")</f>
        <v/>
      </c>
      <c r="CU242" s="28" t="str">
        <f>IFERROR(VLOOKUP(CS242,Horarios!$H:$I,2,0),"")</f>
        <v/>
      </c>
      <c r="CV242" s="28" t="str">
        <f t="shared" si="161"/>
        <v>00:00</v>
      </c>
      <c r="CW242" s="29"/>
      <c r="CX242" s="27"/>
      <c r="CY242" s="27"/>
      <c r="CZ242" s="28" t="str">
        <f>IFERROR(VLOOKUP(CX242,Horarios!$H:$I,2,0),"")</f>
        <v/>
      </c>
      <c r="DA242" s="28" t="str">
        <f>IFERROR(VLOOKUP(CY242,Horarios!$H:$I,2,0),"")</f>
        <v/>
      </c>
      <c r="DB242" s="28" t="str">
        <f t="shared" si="162"/>
        <v>00:00</v>
      </c>
      <c r="DC242" s="29"/>
      <c r="DD242" s="27"/>
      <c r="DE242" s="27"/>
      <c r="DF242" s="28" t="str">
        <f>IFERROR(VLOOKUP(DD242,Horarios!$H:$I,2,0),"")</f>
        <v/>
      </c>
      <c r="DG242" s="28" t="str">
        <f>IFERROR(VLOOKUP(DE242,Horarios!$H:$I,2,0),"")</f>
        <v/>
      </c>
      <c r="DH242" s="28" t="str">
        <f t="shared" si="163"/>
        <v>00:00</v>
      </c>
      <c r="DI242" s="29"/>
      <c r="DJ242" s="27"/>
      <c r="DK242" s="27"/>
      <c r="DL242" s="28" t="str">
        <f>IFERROR(VLOOKUP(DJ242,Horarios!$H:$I,2,0),"")</f>
        <v/>
      </c>
      <c r="DM242" s="28" t="str">
        <f>IFERROR(VLOOKUP(DK242,Horarios!$H:$I,2,0),"")</f>
        <v/>
      </c>
      <c r="DN242" s="28" t="str">
        <f t="shared" si="164"/>
        <v>00:00</v>
      </c>
      <c r="DO242" s="29"/>
      <c r="DP242" s="27"/>
      <c r="DQ242" s="27"/>
      <c r="DR242" s="28" t="str">
        <f>IFERROR(VLOOKUP(DP242,Horarios!$H:$I,2,0),"")</f>
        <v/>
      </c>
      <c r="DS242" s="28" t="str">
        <f>IFERROR(VLOOKUP(DQ242,Horarios!$H:$I,2,0),"")</f>
        <v/>
      </c>
      <c r="DT242" s="28" t="str">
        <f t="shared" si="165"/>
        <v>00:00</v>
      </c>
      <c r="DU242" s="29"/>
      <c r="DV242" s="27"/>
      <c r="DW242" s="27"/>
      <c r="DX242" s="28" t="str">
        <f>IFERROR(VLOOKUP(DV242,Horarios!$H:$I,2,0),"")</f>
        <v/>
      </c>
      <c r="DY242" s="28" t="str">
        <f>IFERROR(VLOOKUP(DW242,Horarios!$H:$I,2,0),"")</f>
        <v/>
      </c>
      <c r="DZ242" s="28" t="str">
        <f t="shared" si="166"/>
        <v>00:00</v>
      </c>
      <c r="EA242" s="29"/>
      <c r="EB242" s="31" t="str">
        <f t="shared" si="167"/>
        <v/>
      </c>
      <c r="EC242" s="27"/>
      <c r="ED242" s="27"/>
      <c r="EE242" s="28" t="str">
        <f>IFERROR(VLOOKUP(EC242,Horarios!$H:$I,2,0),"")</f>
        <v/>
      </c>
      <c r="EF242" s="28" t="str">
        <f>IFERROR(VLOOKUP(ED242,Horarios!$H:$I,2,0),"")</f>
        <v/>
      </c>
      <c r="EG242" s="28" t="str">
        <f t="shared" si="168"/>
        <v>00:00</v>
      </c>
      <c r="EH242" s="29"/>
      <c r="EI242" s="27"/>
      <c r="EJ242" s="27"/>
      <c r="EK242" s="28" t="str">
        <f>IFERROR(VLOOKUP(EI242,Horarios!$H:$I,2,0),"")</f>
        <v/>
      </c>
      <c r="EL242" s="28" t="str">
        <f>IFERROR(VLOOKUP(EJ242,Horarios!$H:$I,2,0),"")</f>
        <v/>
      </c>
      <c r="EM242" s="28" t="str">
        <f t="shared" si="169"/>
        <v>00:00</v>
      </c>
      <c r="EN242" s="29"/>
      <c r="EO242" s="27"/>
      <c r="EP242" s="27"/>
      <c r="EQ242" s="28" t="str">
        <f>IFERROR(VLOOKUP(EO242,Horarios!$H:$I,2,0),"")</f>
        <v/>
      </c>
      <c r="ER242" s="28" t="str">
        <f>IFERROR(VLOOKUP(EP242,Horarios!$H:$I,2,0),"")</f>
        <v/>
      </c>
      <c r="ES242" s="28" t="str">
        <f t="shared" si="170"/>
        <v>00:00</v>
      </c>
      <c r="ET242" s="29"/>
      <c r="EU242" s="27"/>
      <c r="EV242" s="27"/>
      <c r="EW242" s="28" t="str">
        <f>IFERROR(VLOOKUP(EU242,Horarios!$H:$I,2,0),"")</f>
        <v/>
      </c>
      <c r="EX242" s="28" t="str">
        <f>IFERROR(VLOOKUP(EV242,Horarios!$H:$I,2,0),"")</f>
        <v/>
      </c>
      <c r="EY242" s="28" t="str">
        <f t="shared" si="171"/>
        <v>00:00</v>
      </c>
      <c r="EZ242" s="29"/>
      <c r="FA242" s="27"/>
      <c r="FB242" s="27"/>
      <c r="FC242" s="28" t="str">
        <f>IFERROR(VLOOKUP(FA242,Horarios!$H:$I,2,0),"")</f>
        <v/>
      </c>
      <c r="FD242" s="28" t="str">
        <f>IFERROR(VLOOKUP(FB242,Horarios!$H:$I,2,0),"")</f>
        <v/>
      </c>
      <c r="FE242" s="28" t="str">
        <f t="shared" si="172"/>
        <v>00:00</v>
      </c>
      <c r="FF242" s="29"/>
      <c r="FG242" s="27"/>
      <c r="FH242" s="27"/>
      <c r="FI242" s="28" t="str">
        <f>IFERROR(VLOOKUP(FG242,Horarios!$H:$I,2,0),"")</f>
        <v/>
      </c>
      <c r="FJ242" s="28" t="str">
        <f>IFERROR(VLOOKUP(FH242,Horarios!$H:$I,2,0),"")</f>
        <v/>
      </c>
      <c r="FK242" s="28" t="str">
        <f t="shared" si="173"/>
        <v>00:00</v>
      </c>
      <c r="FL242" s="29"/>
      <c r="FM242" s="27"/>
      <c r="FN242" s="27"/>
      <c r="FO242" s="28" t="str">
        <f>IFERROR(VLOOKUP(FM242,Horarios!$H:$I,2,0),"")</f>
        <v/>
      </c>
      <c r="FP242" s="28" t="str">
        <f>IFERROR(VLOOKUP(FN242,Horarios!$H:$I,2,0),"")</f>
        <v/>
      </c>
      <c r="FQ242" s="28" t="str">
        <f t="shared" si="174"/>
        <v>00:00</v>
      </c>
      <c r="FR242" s="29"/>
      <c r="FS242" s="31" t="str">
        <f t="shared" si="175"/>
        <v/>
      </c>
      <c r="FT242" s="27"/>
      <c r="FU242" s="27"/>
      <c r="FV242" s="28" t="str">
        <f>IFERROR(VLOOKUP(FT242,Horarios!$H:$I,2,0),"")</f>
        <v/>
      </c>
      <c r="FW242" s="28" t="str">
        <f>IFERROR(VLOOKUP(FU242,Horarios!$H:$I,2,0),"")</f>
        <v/>
      </c>
      <c r="FX242" s="28" t="str">
        <f t="shared" si="176"/>
        <v>00:00</v>
      </c>
      <c r="FY242" s="29"/>
      <c r="FZ242" s="27"/>
      <c r="GA242" s="27"/>
      <c r="GB242" s="28" t="str">
        <f>IFERROR(VLOOKUP(FZ242,Horarios!$H:$I,2,0),"")</f>
        <v/>
      </c>
      <c r="GC242" s="28" t="str">
        <f>IFERROR(VLOOKUP(GA242,Horarios!$H:$I,2,0),"")</f>
        <v/>
      </c>
      <c r="GD242" s="28" t="str">
        <f t="shared" si="177"/>
        <v>00:00</v>
      </c>
      <c r="GE242" s="29"/>
      <c r="GF242" s="27"/>
      <c r="GG242" s="27"/>
      <c r="GH242" s="28" t="str">
        <f>IFERROR(VLOOKUP(GF242,Horarios!$H:$I,2,0),"")</f>
        <v/>
      </c>
      <c r="GI242" s="28" t="str">
        <f>IFERROR(VLOOKUP(GG242,Horarios!$H:$I,2,0),"")</f>
        <v/>
      </c>
      <c r="GJ242" s="28" t="str">
        <f t="shared" si="178"/>
        <v>00:00</v>
      </c>
      <c r="GK242" s="29"/>
      <c r="GL242" s="27"/>
      <c r="GM242" s="27"/>
      <c r="GN242" s="28" t="str">
        <f>IFERROR(VLOOKUP(GL242,Horarios!$H:$I,2,0),"")</f>
        <v/>
      </c>
      <c r="GO242" s="28" t="str">
        <f>IFERROR(VLOOKUP(GM242,Horarios!$H:$I,2,0),"")</f>
        <v/>
      </c>
      <c r="GP242" s="28" t="str">
        <f t="shared" si="179"/>
        <v>00:00</v>
      </c>
      <c r="GQ242" s="29"/>
      <c r="GR242" s="27"/>
      <c r="GS242" s="27"/>
      <c r="GT242" s="28" t="str">
        <f>IFERROR(VLOOKUP(GR242,Horarios!$H:$I,2,0),"")</f>
        <v/>
      </c>
      <c r="GU242" s="28" t="str">
        <f>IFERROR(VLOOKUP(GS242,Horarios!$H:$I,2,0),"")</f>
        <v/>
      </c>
      <c r="GV242" s="28" t="str">
        <f t="shared" si="180"/>
        <v>00:00</v>
      </c>
      <c r="GW242" s="29"/>
      <c r="GX242" s="27"/>
      <c r="GY242" s="27"/>
      <c r="GZ242" s="28" t="str">
        <f>IFERROR(VLOOKUP(GX242,Horarios!$H:$I,2,0),"")</f>
        <v/>
      </c>
      <c r="HA242" s="28" t="str">
        <f>IFERROR(VLOOKUP(GY242,Horarios!$H:$I,2,0),"")</f>
        <v/>
      </c>
      <c r="HB242" s="28" t="str">
        <f t="shared" si="181"/>
        <v>00:00</v>
      </c>
      <c r="HC242" s="29"/>
      <c r="HD242" s="27"/>
      <c r="HE242" s="27"/>
      <c r="HF242" s="28" t="str">
        <f>IFERROR(VLOOKUP(HD242,Horarios!$H:$I,2,0),"")</f>
        <v/>
      </c>
      <c r="HG242" s="28" t="str">
        <f>IFERROR(VLOOKUP(HE242,Horarios!$H:$I,2,0),"")</f>
        <v/>
      </c>
      <c r="HH242" s="28" t="str">
        <f t="shared" si="182"/>
        <v>00:00</v>
      </c>
      <c r="HI242" s="29"/>
      <c r="HJ242" s="31" t="str">
        <f t="shared" si="183"/>
        <v/>
      </c>
      <c r="HK242" s="27"/>
      <c r="HL242" s="27"/>
      <c r="HM242" s="28" t="str">
        <f>IFERROR(VLOOKUP(HK242,Horarios!$H:$I,2,0),"")</f>
        <v/>
      </c>
      <c r="HN242" s="28" t="str">
        <f>IFERROR(VLOOKUP(HL242,Horarios!$H:$I,2,0),"")</f>
        <v/>
      </c>
      <c r="HO242" s="28" t="str">
        <f t="shared" si="184"/>
        <v>00:00</v>
      </c>
      <c r="HP242" s="29"/>
      <c r="HQ242" s="27"/>
      <c r="HR242" s="27"/>
      <c r="HS242" s="28" t="str">
        <f>IFERROR(VLOOKUP(HQ242,Horarios!$H:$I,2,0),"")</f>
        <v/>
      </c>
      <c r="HT242" s="28" t="str">
        <f>IFERROR(VLOOKUP(HR242,Horarios!$H:$I,2,0),"")</f>
        <v/>
      </c>
      <c r="HU242" s="28" t="str">
        <f t="shared" si="185"/>
        <v>00:00</v>
      </c>
      <c r="HV242" s="29"/>
      <c r="HW242" s="27"/>
      <c r="HX242" s="27"/>
      <c r="HY242" s="28" t="str">
        <f>IFERROR(VLOOKUP(HW242,Horarios!$H:$I,2,0),"")</f>
        <v/>
      </c>
      <c r="HZ242" s="28" t="str">
        <f>IFERROR(VLOOKUP(HX242,Horarios!$H:$I,2,0),"")</f>
        <v/>
      </c>
      <c r="IA242" s="28" t="str">
        <f t="shared" si="186"/>
        <v>00:00</v>
      </c>
      <c r="IB242" s="29"/>
      <c r="IC242" s="27"/>
      <c r="ID242" s="27"/>
      <c r="IE242" s="28" t="str">
        <f>IFERROR(VLOOKUP(IC242,Horarios!$H:$I,2,0),"")</f>
        <v/>
      </c>
      <c r="IF242" s="28" t="str">
        <f>IFERROR(VLOOKUP(ID242,Horarios!$H:$I,2,0),"")</f>
        <v/>
      </c>
      <c r="IG242" s="28" t="str">
        <f t="shared" si="187"/>
        <v>00:00</v>
      </c>
      <c r="IH242" s="29"/>
      <c r="II242" s="27"/>
      <c r="IJ242" s="27"/>
      <c r="IK242" s="28" t="str">
        <f>IFERROR(VLOOKUP(II242,Horarios!$H:$I,2,0),"")</f>
        <v/>
      </c>
      <c r="IL242" s="28" t="str">
        <f>IFERROR(VLOOKUP(IJ242,Horarios!$H:$I,2,0),"")</f>
        <v/>
      </c>
      <c r="IM242" s="28" t="str">
        <f t="shared" si="188"/>
        <v>00:00</v>
      </c>
      <c r="IN242" s="29"/>
      <c r="IO242" s="27"/>
      <c r="IP242" s="27"/>
      <c r="IQ242" s="28" t="str">
        <f>IFERROR(VLOOKUP(IO242,Horarios!$H:$I,2,0),"")</f>
        <v/>
      </c>
      <c r="IR242" s="28" t="str">
        <f>IFERROR(VLOOKUP(IP242,Horarios!$H:$I,2,0),"")</f>
        <v/>
      </c>
      <c r="IS242" s="28" t="str">
        <f t="shared" si="189"/>
        <v>00:00</v>
      </c>
      <c r="IT242" s="29"/>
      <c r="IU242" s="27"/>
      <c r="IV242" s="27"/>
      <c r="IW242" s="28" t="str">
        <f>IFERROR(VLOOKUP(IU242,Horarios!$H:$I,2,0),"")</f>
        <v/>
      </c>
      <c r="IX242" s="28" t="str">
        <f>IFERROR(VLOOKUP(IV242,Horarios!$H:$I,2,0),"")</f>
        <v/>
      </c>
      <c r="IY242" s="28" t="str">
        <f t="shared" si="190"/>
        <v>00:00</v>
      </c>
      <c r="IZ242" s="29"/>
      <c r="JA242" s="31" t="str">
        <f t="shared" si="191"/>
        <v/>
      </c>
    </row>
    <row r="243" spans="1:261" s="24" customFormat="1" ht="17.399999999999999" x14ac:dyDescent="0.25">
      <c r="A243" s="25"/>
      <c r="B243" s="26" t="str">
        <f>IFERROR(VLOOKUP(A243,BaseNombres!A:B,2,0),"")</f>
        <v/>
      </c>
      <c r="C243" s="26" t="str">
        <f>IFERROR(VLOOKUP(A243,BaseNombres!A:C,3,0),"")</f>
        <v/>
      </c>
      <c r="D243" s="27"/>
      <c r="E243" s="27"/>
      <c r="F243" s="28" t="str">
        <f>IFERROR(VLOOKUP(D243,Horarios!$H:$I,2,0),"")</f>
        <v/>
      </c>
      <c r="G243" s="28" t="str">
        <f>IFERROR(VLOOKUP(E243,Horarios!$H:$I,2,0),"")</f>
        <v/>
      </c>
      <c r="H243" s="28" t="str">
        <f t="shared" si="144"/>
        <v>00:00</v>
      </c>
      <c r="I243" s="29"/>
      <c r="J243" s="27"/>
      <c r="K243" s="27"/>
      <c r="L243" s="28" t="str">
        <f>IFERROR(VLOOKUP(J243,Horarios!$H:$I,2,0),"")</f>
        <v/>
      </c>
      <c r="M243" s="28" t="str">
        <f>IFERROR(VLOOKUP(K243,Horarios!$H:$I,2,0),"")</f>
        <v/>
      </c>
      <c r="N243" s="28" t="str">
        <f t="shared" si="145"/>
        <v>00:00</v>
      </c>
      <c r="O243" s="29"/>
      <c r="P243" s="27"/>
      <c r="Q243" s="27"/>
      <c r="R243" s="28" t="str">
        <f>IFERROR(VLOOKUP(P243,Horarios!$H:$I,2,0),"")</f>
        <v/>
      </c>
      <c r="S243" s="28" t="str">
        <f>IFERROR(VLOOKUP(Q243,Horarios!$H:$I,2,0),"")</f>
        <v/>
      </c>
      <c r="T243" s="28" t="str">
        <f t="shared" si="146"/>
        <v>00:00</v>
      </c>
      <c r="U243" s="29"/>
      <c r="V243" s="27"/>
      <c r="W243" s="27"/>
      <c r="X243" s="28" t="str">
        <f>IFERROR(VLOOKUP(V243,Horarios!$H:$I,2,0),"")</f>
        <v/>
      </c>
      <c r="Y243" s="28" t="str">
        <f>IFERROR(VLOOKUP(W243,Horarios!$H:$I,2,0),"")</f>
        <v/>
      </c>
      <c r="Z243" s="28" t="str">
        <f t="shared" si="147"/>
        <v>00:00</v>
      </c>
      <c r="AA243" s="29"/>
      <c r="AB243" s="27"/>
      <c r="AC243" s="27"/>
      <c r="AD243" s="28" t="str">
        <f>IFERROR(VLOOKUP(AB243,Horarios!$H:$I,2,0),"")</f>
        <v/>
      </c>
      <c r="AE243" s="28" t="str">
        <f>IFERROR(VLOOKUP(AC243,Horarios!$H:$I,2,0),"")</f>
        <v/>
      </c>
      <c r="AF243" s="28" t="str">
        <f t="shared" si="148"/>
        <v>00:00</v>
      </c>
      <c r="AG243" s="29"/>
      <c r="AH243" s="27"/>
      <c r="AI243" s="27"/>
      <c r="AJ243" s="28" t="str">
        <f>IFERROR(VLOOKUP(AH243,Horarios!$H:$I,2,0),"")</f>
        <v/>
      </c>
      <c r="AK243" s="28" t="str">
        <f>IFERROR(VLOOKUP(AI243,Horarios!$H:$I,2,0),"")</f>
        <v/>
      </c>
      <c r="AL243" s="28" t="str">
        <f t="shared" si="149"/>
        <v>00:00</v>
      </c>
      <c r="AM243" s="29"/>
      <c r="AN243" s="27"/>
      <c r="AO243" s="27"/>
      <c r="AP243" s="28" t="str">
        <f>IFERROR(VLOOKUP(AN243,Horarios!$H:$I,2,0),"")</f>
        <v/>
      </c>
      <c r="AQ243" s="28" t="str">
        <f>IFERROR(VLOOKUP(AO243,Horarios!$H:$I,2,0),"")</f>
        <v/>
      </c>
      <c r="AR243" s="28" t="str">
        <f t="shared" si="150"/>
        <v>00:00</v>
      </c>
      <c r="AS243" s="29"/>
      <c r="AT243" s="31" t="str">
        <f t="shared" si="151"/>
        <v/>
      </c>
      <c r="AU243" s="27"/>
      <c r="AV243" s="27"/>
      <c r="AW243" s="28" t="str">
        <f>IFERROR(VLOOKUP(AU243,Horarios!$H:$I,2,0),"")</f>
        <v/>
      </c>
      <c r="AX243" s="28" t="str">
        <f>IFERROR(VLOOKUP(AV243,Horarios!$H:$I,2,0),"")</f>
        <v/>
      </c>
      <c r="AY243" s="28" t="str">
        <f t="shared" si="152"/>
        <v>00:00</v>
      </c>
      <c r="AZ243" s="29"/>
      <c r="BA243" s="27"/>
      <c r="BB243" s="27"/>
      <c r="BC243" s="28" t="str">
        <f>IFERROR(VLOOKUP(BA243,Horarios!$H:$I,2,0),"")</f>
        <v/>
      </c>
      <c r="BD243" s="28" t="str">
        <f>IFERROR(VLOOKUP(BB243,Horarios!$H:$I,2,0),"")</f>
        <v/>
      </c>
      <c r="BE243" s="28" t="str">
        <f t="shared" si="153"/>
        <v>00:00</v>
      </c>
      <c r="BF243" s="29"/>
      <c r="BG243" s="27"/>
      <c r="BH243" s="27"/>
      <c r="BI243" s="28" t="str">
        <f>IFERROR(VLOOKUP(BG243,Horarios!$H:$I,2,0),"")</f>
        <v/>
      </c>
      <c r="BJ243" s="28" t="str">
        <f>IFERROR(VLOOKUP(BH243,Horarios!$H:$I,2,0),"")</f>
        <v/>
      </c>
      <c r="BK243" s="28" t="str">
        <f t="shared" si="154"/>
        <v>00:00</v>
      </c>
      <c r="BL243" s="29"/>
      <c r="BM243" s="27"/>
      <c r="BN243" s="27"/>
      <c r="BO243" s="28" t="str">
        <f>IFERROR(VLOOKUP(BM243,Horarios!$H:$I,2,0),"")</f>
        <v/>
      </c>
      <c r="BP243" s="28" t="str">
        <f>IFERROR(VLOOKUP(BN243,Horarios!$H:$I,2,0),"")</f>
        <v/>
      </c>
      <c r="BQ243" s="28" t="str">
        <f t="shared" si="155"/>
        <v>00:00</v>
      </c>
      <c r="BR243" s="29"/>
      <c r="BS243" s="27"/>
      <c r="BT243" s="27"/>
      <c r="BU243" s="28" t="str">
        <f>IFERROR(VLOOKUP(BS243,Horarios!$H:$I,2,0),"")</f>
        <v/>
      </c>
      <c r="BV243" s="28" t="str">
        <f>IFERROR(VLOOKUP(BT243,Horarios!$H:$I,2,0),"")</f>
        <v/>
      </c>
      <c r="BW243" s="28" t="str">
        <f t="shared" si="156"/>
        <v>00:00</v>
      </c>
      <c r="BX243" s="29"/>
      <c r="BY243" s="27"/>
      <c r="BZ243" s="27"/>
      <c r="CA243" s="28" t="str">
        <f>IFERROR(VLOOKUP(BY243,Horarios!$H:$I,2,0),"")</f>
        <v/>
      </c>
      <c r="CB243" s="28" t="str">
        <f>IFERROR(VLOOKUP(BZ243,Horarios!$H:$I,2,0),"")</f>
        <v/>
      </c>
      <c r="CC243" s="28" t="str">
        <f t="shared" si="157"/>
        <v>00:00</v>
      </c>
      <c r="CD243" s="29"/>
      <c r="CE243" s="27"/>
      <c r="CF243" s="27"/>
      <c r="CG243" s="28" t="str">
        <f>IFERROR(VLOOKUP(CE243,Horarios!$H:$I,2,0),"")</f>
        <v/>
      </c>
      <c r="CH243" s="28" t="str">
        <f>IFERROR(VLOOKUP(CF243,Horarios!$H:$I,2,0),"")</f>
        <v/>
      </c>
      <c r="CI243" s="28" t="str">
        <f t="shared" si="158"/>
        <v>00:00</v>
      </c>
      <c r="CJ243" s="29"/>
      <c r="CK243" s="31" t="str">
        <f t="shared" si="159"/>
        <v/>
      </c>
      <c r="CL243" s="27"/>
      <c r="CM243" s="27"/>
      <c r="CN243" s="28" t="str">
        <f>IFERROR(VLOOKUP(CL243,Horarios!$H:$I,2,0),"")</f>
        <v/>
      </c>
      <c r="CO243" s="28" t="str">
        <f>IFERROR(VLOOKUP(CM243,Horarios!$H:$I,2,0),"")</f>
        <v/>
      </c>
      <c r="CP243" s="28" t="str">
        <f t="shared" si="160"/>
        <v>00:00</v>
      </c>
      <c r="CQ243" s="29"/>
      <c r="CR243" s="27"/>
      <c r="CS243" s="27"/>
      <c r="CT243" s="28" t="str">
        <f>IFERROR(VLOOKUP(CR243,Horarios!$H:$I,2,0),"")</f>
        <v/>
      </c>
      <c r="CU243" s="28" t="str">
        <f>IFERROR(VLOOKUP(CS243,Horarios!$H:$I,2,0),"")</f>
        <v/>
      </c>
      <c r="CV243" s="28" t="str">
        <f t="shared" si="161"/>
        <v>00:00</v>
      </c>
      <c r="CW243" s="29"/>
      <c r="CX243" s="27"/>
      <c r="CY243" s="27"/>
      <c r="CZ243" s="28" t="str">
        <f>IFERROR(VLOOKUP(CX243,Horarios!$H:$I,2,0),"")</f>
        <v/>
      </c>
      <c r="DA243" s="28" t="str">
        <f>IFERROR(VLOOKUP(CY243,Horarios!$H:$I,2,0),"")</f>
        <v/>
      </c>
      <c r="DB243" s="28" t="str">
        <f t="shared" si="162"/>
        <v>00:00</v>
      </c>
      <c r="DC243" s="29"/>
      <c r="DD243" s="27"/>
      <c r="DE243" s="27"/>
      <c r="DF243" s="28" t="str">
        <f>IFERROR(VLOOKUP(DD243,Horarios!$H:$I,2,0),"")</f>
        <v/>
      </c>
      <c r="DG243" s="28" t="str">
        <f>IFERROR(VLOOKUP(DE243,Horarios!$H:$I,2,0),"")</f>
        <v/>
      </c>
      <c r="DH243" s="28" t="str">
        <f t="shared" si="163"/>
        <v>00:00</v>
      </c>
      <c r="DI243" s="29"/>
      <c r="DJ243" s="27"/>
      <c r="DK243" s="27"/>
      <c r="DL243" s="28" t="str">
        <f>IFERROR(VLOOKUP(DJ243,Horarios!$H:$I,2,0),"")</f>
        <v/>
      </c>
      <c r="DM243" s="28" t="str">
        <f>IFERROR(VLOOKUP(DK243,Horarios!$H:$I,2,0),"")</f>
        <v/>
      </c>
      <c r="DN243" s="28" t="str">
        <f t="shared" si="164"/>
        <v>00:00</v>
      </c>
      <c r="DO243" s="29"/>
      <c r="DP243" s="27"/>
      <c r="DQ243" s="27"/>
      <c r="DR243" s="28" t="str">
        <f>IFERROR(VLOOKUP(DP243,Horarios!$H:$I,2,0),"")</f>
        <v/>
      </c>
      <c r="DS243" s="28" t="str">
        <f>IFERROR(VLOOKUP(DQ243,Horarios!$H:$I,2,0),"")</f>
        <v/>
      </c>
      <c r="DT243" s="28" t="str">
        <f t="shared" si="165"/>
        <v>00:00</v>
      </c>
      <c r="DU243" s="29"/>
      <c r="DV243" s="27"/>
      <c r="DW243" s="27"/>
      <c r="DX243" s="28" t="str">
        <f>IFERROR(VLOOKUP(DV243,Horarios!$H:$I,2,0),"")</f>
        <v/>
      </c>
      <c r="DY243" s="28" t="str">
        <f>IFERROR(VLOOKUP(DW243,Horarios!$H:$I,2,0),"")</f>
        <v/>
      </c>
      <c r="DZ243" s="28" t="str">
        <f t="shared" si="166"/>
        <v>00:00</v>
      </c>
      <c r="EA243" s="29"/>
      <c r="EB243" s="31" t="str">
        <f t="shared" si="167"/>
        <v/>
      </c>
      <c r="EC243" s="27"/>
      <c r="ED243" s="27"/>
      <c r="EE243" s="28" t="str">
        <f>IFERROR(VLOOKUP(EC243,Horarios!$H:$I,2,0),"")</f>
        <v/>
      </c>
      <c r="EF243" s="28" t="str">
        <f>IFERROR(VLOOKUP(ED243,Horarios!$H:$I,2,0),"")</f>
        <v/>
      </c>
      <c r="EG243" s="28" t="str">
        <f t="shared" si="168"/>
        <v>00:00</v>
      </c>
      <c r="EH243" s="29"/>
      <c r="EI243" s="27"/>
      <c r="EJ243" s="27"/>
      <c r="EK243" s="28" t="str">
        <f>IFERROR(VLOOKUP(EI243,Horarios!$H:$I,2,0),"")</f>
        <v/>
      </c>
      <c r="EL243" s="28" t="str">
        <f>IFERROR(VLOOKUP(EJ243,Horarios!$H:$I,2,0),"")</f>
        <v/>
      </c>
      <c r="EM243" s="28" t="str">
        <f t="shared" si="169"/>
        <v>00:00</v>
      </c>
      <c r="EN243" s="29"/>
      <c r="EO243" s="27"/>
      <c r="EP243" s="27"/>
      <c r="EQ243" s="28" t="str">
        <f>IFERROR(VLOOKUP(EO243,Horarios!$H:$I,2,0),"")</f>
        <v/>
      </c>
      <c r="ER243" s="28" t="str">
        <f>IFERROR(VLOOKUP(EP243,Horarios!$H:$I,2,0),"")</f>
        <v/>
      </c>
      <c r="ES243" s="28" t="str">
        <f t="shared" si="170"/>
        <v>00:00</v>
      </c>
      <c r="ET243" s="29"/>
      <c r="EU243" s="27"/>
      <c r="EV243" s="27"/>
      <c r="EW243" s="28" t="str">
        <f>IFERROR(VLOOKUP(EU243,Horarios!$H:$I,2,0),"")</f>
        <v/>
      </c>
      <c r="EX243" s="28" t="str">
        <f>IFERROR(VLOOKUP(EV243,Horarios!$H:$I,2,0),"")</f>
        <v/>
      </c>
      <c r="EY243" s="28" t="str">
        <f t="shared" si="171"/>
        <v>00:00</v>
      </c>
      <c r="EZ243" s="29"/>
      <c r="FA243" s="27"/>
      <c r="FB243" s="27"/>
      <c r="FC243" s="28" t="str">
        <f>IFERROR(VLOOKUP(FA243,Horarios!$H:$I,2,0),"")</f>
        <v/>
      </c>
      <c r="FD243" s="28" t="str">
        <f>IFERROR(VLOOKUP(FB243,Horarios!$H:$I,2,0),"")</f>
        <v/>
      </c>
      <c r="FE243" s="28" t="str">
        <f t="shared" si="172"/>
        <v>00:00</v>
      </c>
      <c r="FF243" s="29"/>
      <c r="FG243" s="27"/>
      <c r="FH243" s="27"/>
      <c r="FI243" s="28" t="str">
        <f>IFERROR(VLOOKUP(FG243,Horarios!$H:$I,2,0),"")</f>
        <v/>
      </c>
      <c r="FJ243" s="28" t="str">
        <f>IFERROR(VLOOKUP(FH243,Horarios!$H:$I,2,0),"")</f>
        <v/>
      </c>
      <c r="FK243" s="28" t="str">
        <f t="shared" si="173"/>
        <v>00:00</v>
      </c>
      <c r="FL243" s="29"/>
      <c r="FM243" s="27"/>
      <c r="FN243" s="27"/>
      <c r="FO243" s="28" t="str">
        <f>IFERROR(VLOOKUP(FM243,Horarios!$H:$I,2,0),"")</f>
        <v/>
      </c>
      <c r="FP243" s="28" t="str">
        <f>IFERROR(VLOOKUP(FN243,Horarios!$H:$I,2,0),"")</f>
        <v/>
      </c>
      <c r="FQ243" s="28" t="str">
        <f t="shared" si="174"/>
        <v>00:00</v>
      </c>
      <c r="FR243" s="29"/>
      <c r="FS243" s="31" t="str">
        <f t="shared" si="175"/>
        <v/>
      </c>
      <c r="FT243" s="27"/>
      <c r="FU243" s="27"/>
      <c r="FV243" s="28" t="str">
        <f>IFERROR(VLOOKUP(FT243,Horarios!$H:$I,2,0),"")</f>
        <v/>
      </c>
      <c r="FW243" s="28" t="str">
        <f>IFERROR(VLOOKUP(FU243,Horarios!$H:$I,2,0),"")</f>
        <v/>
      </c>
      <c r="FX243" s="28" t="str">
        <f t="shared" si="176"/>
        <v>00:00</v>
      </c>
      <c r="FY243" s="29"/>
      <c r="FZ243" s="27"/>
      <c r="GA243" s="27"/>
      <c r="GB243" s="28" t="str">
        <f>IFERROR(VLOOKUP(FZ243,Horarios!$H:$I,2,0),"")</f>
        <v/>
      </c>
      <c r="GC243" s="28" t="str">
        <f>IFERROR(VLOOKUP(GA243,Horarios!$H:$I,2,0),"")</f>
        <v/>
      </c>
      <c r="GD243" s="28" t="str">
        <f t="shared" si="177"/>
        <v>00:00</v>
      </c>
      <c r="GE243" s="29"/>
      <c r="GF243" s="27"/>
      <c r="GG243" s="27"/>
      <c r="GH243" s="28" t="str">
        <f>IFERROR(VLOOKUP(GF243,Horarios!$H:$I,2,0),"")</f>
        <v/>
      </c>
      <c r="GI243" s="28" t="str">
        <f>IFERROR(VLOOKUP(GG243,Horarios!$H:$I,2,0),"")</f>
        <v/>
      </c>
      <c r="GJ243" s="28" t="str">
        <f t="shared" si="178"/>
        <v>00:00</v>
      </c>
      <c r="GK243" s="29"/>
      <c r="GL243" s="27"/>
      <c r="GM243" s="27"/>
      <c r="GN243" s="28" t="str">
        <f>IFERROR(VLOOKUP(GL243,Horarios!$H:$I,2,0),"")</f>
        <v/>
      </c>
      <c r="GO243" s="28" t="str">
        <f>IFERROR(VLOOKUP(GM243,Horarios!$H:$I,2,0),"")</f>
        <v/>
      </c>
      <c r="GP243" s="28" t="str">
        <f t="shared" si="179"/>
        <v>00:00</v>
      </c>
      <c r="GQ243" s="29"/>
      <c r="GR243" s="27"/>
      <c r="GS243" s="27"/>
      <c r="GT243" s="28" t="str">
        <f>IFERROR(VLOOKUP(GR243,Horarios!$H:$I,2,0),"")</f>
        <v/>
      </c>
      <c r="GU243" s="28" t="str">
        <f>IFERROR(VLOOKUP(GS243,Horarios!$H:$I,2,0),"")</f>
        <v/>
      </c>
      <c r="GV243" s="28" t="str">
        <f t="shared" si="180"/>
        <v>00:00</v>
      </c>
      <c r="GW243" s="29"/>
      <c r="GX243" s="27"/>
      <c r="GY243" s="27"/>
      <c r="GZ243" s="28" t="str">
        <f>IFERROR(VLOOKUP(GX243,Horarios!$H:$I,2,0),"")</f>
        <v/>
      </c>
      <c r="HA243" s="28" t="str">
        <f>IFERROR(VLOOKUP(GY243,Horarios!$H:$I,2,0),"")</f>
        <v/>
      </c>
      <c r="HB243" s="28" t="str">
        <f t="shared" si="181"/>
        <v>00:00</v>
      </c>
      <c r="HC243" s="29"/>
      <c r="HD243" s="27"/>
      <c r="HE243" s="27"/>
      <c r="HF243" s="28" t="str">
        <f>IFERROR(VLOOKUP(HD243,Horarios!$H:$I,2,0),"")</f>
        <v/>
      </c>
      <c r="HG243" s="28" t="str">
        <f>IFERROR(VLOOKUP(HE243,Horarios!$H:$I,2,0),"")</f>
        <v/>
      </c>
      <c r="HH243" s="28" t="str">
        <f t="shared" si="182"/>
        <v>00:00</v>
      </c>
      <c r="HI243" s="29"/>
      <c r="HJ243" s="31" t="str">
        <f t="shared" si="183"/>
        <v/>
      </c>
      <c r="HK243" s="27"/>
      <c r="HL243" s="27"/>
      <c r="HM243" s="28" t="str">
        <f>IFERROR(VLOOKUP(HK243,Horarios!$H:$I,2,0),"")</f>
        <v/>
      </c>
      <c r="HN243" s="28" t="str">
        <f>IFERROR(VLOOKUP(HL243,Horarios!$H:$I,2,0),"")</f>
        <v/>
      </c>
      <c r="HO243" s="28" t="str">
        <f t="shared" si="184"/>
        <v>00:00</v>
      </c>
      <c r="HP243" s="29"/>
      <c r="HQ243" s="27"/>
      <c r="HR243" s="27"/>
      <c r="HS243" s="28" t="str">
        <f>IFERROR(VLOOKUP(HQ243,Horarios!$H:$I,2,0),"")</f>
        <v/>
      </c>
      <c r="HT243" s="28" t="str">
        <f>IFERROR(VLOOKUP(HR243,Horarios!$H:$I,2,0),"")</f>
        <v/>
      </c>
      <c r="HU243" s="28" t="str">
        <f t="shared" si="185"/>
        <v>00:00</v>
      </c>
      <c r="HV243" s="29"/>
      <c r="HW243" s="27"/>
      <c r="HX243" s="27"/>
      <c r="HY243" s="28" t="str">
        <f>IFERROR(VLOOKUP(HW243,Horarios!$H:$I,2,0),"")</f>
        <v/>
      </c>
      <c r="HZ243" s="28" t="str">
        <f>IFERROR(VLOOKUP(HX243,Horarios!$H:$I,2,0),"")</f>
        <v/>
      </c>
      <c r="IA243" s="28" t="str">
        <f t="shared" si="186"/>
        <v>00:00</v>
      </c>
      <c r="IB243" s="29"/>
      <c r="IC243" s="27"/>
      <c r="ID243" s="27"/>
      <c r="IE243" s="28" t="str">
        <f>IFERROR(VLOOKUP(IC243,Horarios!$H:$I,2,0),"")</f>
        <v/>
      </c>
      <c r="IF243" s="28" t="str">
        <f>IFERROR(VLOOKUP(ID243,Horarios!$H:$I,2,0),"")</f>
        <v/>
      </c>
      <c r="IG243" s="28" t="str">
        <f t="shared" si="187"/>
        <v>00:00</v>
      </c>
      <c r="IH243" s="29"/>
      <c r="II243" s="27"/>
      <c r="IJ243" s="27"/>
      <c r="IK243" s="28" t="str">
        <f>IFERROR(VLOOKUP(II243,Horarios!$H:$I,2,0),"")</f>
        <v/>
      </c>
      <c r="IL243" s="28" t="str">
        <f>IFERROR(VLOOKUP(IJ243,Horarios!$H:$I,2,0),"")</f>
        <v/>
      </c>
      <c r="IM243" s="28" t="str">
        <f t="shared" si="188"/>
        <v>00:00</v>
      </c>
      <c r="IN243" s="29"/>
      <c r="IO243" s="27"/>
      <c r="IP243" s="27"/>
      <c r="IQ243" s="28" t="str">
        <f>IFERROR(VLOOKUP(IO243,Horarios!$H:$I,2,0),"")</f>
        <v/>
      </c>
      <c r="IR243" s="28" t="str">
        <f>IFERROR(VLOOKUP(IP243,Horarios!$H:$I,2,0),"")</f>
        <v/>
      </c>
      <c r="IS243" s="28" t="str">
        <f t="shared" si="189"/>
        <v>00:00</v>
      </c>
      <c r="IT243" s="29"/>
      <c r="IU243" s="27"/>
      <c r="IV243" s="27"/>
      <c r="IW243" s="28" t="str">
        <f>IFERROR(VLOOKUP(IU243,Horarios!$H:$I,2,0),"")</f>
        <v/>
      </c>
      <c r="IX243" s="28" t="str">
        <f>IFERROR(VLOOKUP(IV243,Horarios!$H:$I,2,0),"")</f>
        <v/>
      </c>
      <c r="IY243" s="28" t="str">
        <f t="shared" si="190"/>
        <v>00:00</v>
      </c>
      <c r="IZ243" s="29"/>
      <c r="JA243" s="31" t="str">
        <f t="shared" si="191"/>
        <v/>
      </c>
    </row>
    <row r="244" spans="1:261" s="24" customFormat="1" ht="17.399999999999999" x14ac:dyDescent="0.25">
      <c r="A244" s="25"/>
      <c r="B244" s="26" t="str">
        <f>IFERROR(VLOOKUP(A244,BaseNombres!A:B,2,0),"")</f>
        <v/>
      </c>
      <c r="C244" s="26" t="str">
        <f>IFERROR(VLOOKUP(A244,BaseNombres!A:C,3,0),"")</f>
        <v/>
      </c>
      <c r="D244" s="27"/>
      <c r="E244" s="27"/>
      <c r="F244" s="28" t="str">
        <f>IFERROR(VLOOKUP(D244,Horarios!$H:$I,2,0),"")</f>
        <v/>
      </c>
      <c r="G244" s="28" t="str">
        <f>IFERROR(VLOOKUP(E244,Horarios!$H:$I,2,0),"")</f>
        <v/>
      </c>
      <c r="H244" s="28" t="str">
        <f t="shared" si="144"/>
        <v>00:00</v>
      </c>
      <c r="I244" s="29"/>
      <c r="J244" s="27"/>
      <c r="K244" s="27"/>
      <c r="L244" s="28" t="str">
        <f>IFERROR(VLOOKUP(J244,Horarios!$H:$I,2,0),"")</f>
        <v/>
      </c>
      <c r="M244" s="28" t="str">
        <f>IFERROR(VLOOKUP(K244,Horarios!$H:$I,2,0),"")</f>
        <v/>
      </c>
      <c r="N244" s="28" t="str">
        <f t="shared" si="145"/>
        <v>00:00</v>
      </c>
      <c r="O244" s="29"/>
      <c r="P244" s="27"/>
      <c r="Q244" s="27"/>
      <c r="R244" s="28" t="str">
        <f>IFERROR(VLOOKUP(P244,Horarios!$H:$I,2,0),"")</f>
        <v/>
      </c>
      <c r="S244" s="28" t="str">
        <f>IFERROR(VLOOKUP(Q244,Horarios!$H:$I,2,0),"")</f>
        <v/>
      </c>
      <c r="T244" s="28" t="str">
        <f t="shared" si="146"/>
        <v>00:00</v>
      </c>
      <c r="U244" s="29"/>
      <c r="V244" s="27"/>
      <c r="W244" s="27"/>
      <c r="X244" s="28" t="str">
        <f>IFERROR(VLOOKUP(V244,Horarios!$H:$I,2,0),"")</f>
        <v/>
      </c>
      <c r="Y244" s="28" t="str">
        <f>IFERROR(VLOOKUP(W244,Horarios!$H:$I,2,0),"")</f>
        <v/>
      </c>
      <c r="Z244" s="28" t="str">
        <f t="shared" si="147"/>
        <v>00:00</v>
      </c>
      <c r="AA244" s="29"/>
      <c r="AB244" s="27"/>
      <c r="AC244" s="27"/>
      <c r="AD244" s="28" t="str">
        <f>IFERROR(VLOOKUP(AB244,Horarios!$H:$I,2,0),"")</f>
        <v/>
      </c>
      <c r="AE244" s="28" t="str">
        <f>IFERROR(VLOOKUP(AC244,Horarios!$H:$I,2,0),"")</f>
        <v/>
      </c>
      <c r="AF244" s="28" t="str">
        <f t="shared" si="148"/>
        <v>00:00</v>
      </c>
      <c r="AG244" s="29"/>
      <c r="AH244" s="27"/>
      <c r="AI244" s="27"/>
      <c r="AJ244" s="28" t="str">
        <f>IFERROR(VLOOKUP(AH244,Horarios!$H:$I,2,0),"")</f>
        <v/>
      </c>
      <c r="AK244" s="28" t="str">
        <f>IFERROR(VLOOKUP(AI244,Horarios!$H:$I,2,0),"")</f>
        <v/>
      </c>
      <c r="AL244" s="28" t="str">
        <f t="shared" si="149"/>
        <v>00:00</v>
      </c>
      <c r="AM244" s="29"/>
      <c r="AN244" s="27"/>
      <c r="AO244" s="27"/>
      <c r="AP244" s="28" t="str">
        <f>IFERROR(VLOOKUP(AN244,Horarios!$H:$I,2,0),"")</f>
        <v/>
      </c>
      <c r="AQ244" s="28" t="str">
        <f>IFERROR(VLOOKUP(AO244,Horarios!$H:$I,2,0),"")</f>
        <v/>
      </c>
      <c r="AR244" s="28" t="str">
        <f t="shared" si="150"/>
        <v>00:00</v>
      </c>
      <c r="AS244" s="29"/>
      <c r="AT244" s="31" t="str">
        <f t="shared" si="151"/>
        <v/>
      </c>
      <c r="AU244" s="27"/>
      <c r="AV244" s="27"/>
      <c r="AW244" s="28" t="str">
        <f>IFERROR(VLOOKUP(AU244,Horarios!$H:$I,2,0),"")</f>
        <v/>
      </c>
      <c r="AX244" s="28" t="str">
        <f>IFERROR(VLOOKUP(AV244,Horarios!$H:$I,2,0),"")</f>
        <v/>
      </c>
      <c r="AY244" s="28" t="str">
        <f t="shared" si="152"/>
        <v>00:00</v>
      </c>
      <c r="AZ244" s="29"/>
      <c r="BA244" s="27"/>
      <c r="BB244" s="27"/>
      <c r="BC244" s="28" t="str">
        <f>IFERROR(VLOOKUP(BA244,Horarios!$H:$I,2,0),"")</f>
        <v/>
      </c>
      <c r="BD244" s="28" t="str">
        <f>IFERROR(VLOOKUP(BB244,Horarios!$H:$I,2,0),"")</f>
        <v/>
      </c>
      <c r="BE244" s="28" t="str">
        <f t="shared" si="153"/>
        <v>00:00</v>
      </c>
      <c r="BF244" s="29"/>
      <c r="BG244" s="27"/>
      <c r="BH244" s="27"/>
      <c r="BI244" s="28" t="str">
        <f>IFERROR(VLOOKUP(BG244,Horarios!$H:$I,2,0),"")</f>
        <v/>
      </c>
      <c r="BJ244" s="28" t="str">
        <f>IFERROR(VLOOKUP(BH244,Horarios!$H:$I,2,0),"")</f>
        <v/>
      </c>
      <c r="BK244" s="28" t="str">
        <f t="shared" si="154"/>
        <v>00:00</v>
      </c>
      <c r="BL244" s="29"/>
      <c r="BM244" s="27"/>
      <c r="BN244" s="27"/>
      <c r="BO244" s="28" t="str">
        <f>IFERROR(VLOOKUP(BM244,Horarios!$H:$I,2,0),"")</f>
        <v/>
      </c>
      <c r="BP244" s="28" t="str">
        <f>IFERROR(VLOOKUP(BN244,Horarios!$H:$I,2,0),"")</f>
        <v/>
      </c>
      <c r="BQ244" s="28" t="str">
        <f t="shared" si="155"/>
        <v>00:00</v>
      </c>
      <c r="BR244" s="29"/>
      <c r="BS244" s="27"/>
      <c r="BT244" s="27"/>
      <c r="BU244" s="28" t="str">
        <f>IFERROR(VLOOKUP(BS244,Horarios!$H:$I,2,0),"")</f>
        <v/>
      </c>
      <c r="BV244" s="28" t="str">
        <f>IFERROR(VLOOKUP(BT244,Horarios!$H:$I,2,0),"")</f>
        <v/>
      </c>
      <c r="BW244" s="28" t="str">
        <f t="shared" si="156"/>
        <v>00:00</v>
      </c>
      <c r="BX244" s="29"/>
      <c r="BY244" s="27"/>
      <c r="BZ244" s="27"/>
      <c r="CA244" s="28" t="str">
        <f>IFERROR(VLOOKUP(BY244,Horarios!$H:$I,2,0),"")</f>
        <v/>
      </c>
      <c r="CB244" s="28" t="str">
        <f>IFERROR(VLOOKUP(BZ244,Horarios!$H:$I,2,0),"")</f>
        <v/>
      </c>
      <c r="CC244" s="28" t="str">
        <f t="shared" si="157"/>
        <v>00:00</v>
      </c>
      <c r="CD244" s="29"/>
      <c r="CE244" s="27"/>
      <c r="CF244" s="27"/>
      <c r="CG244" s="28" t="str">
        <f>IFERROR(VLOOKUP(CE244,Horarios!$H:$I,2,0),"")</f>
        <v/>
      </c>
      <c r="CH244" s="28" t="str">
        <f>IFERROR(VLOOKUP(CF244,Horarios!$H:$I,2,0),"")</f>
        <v/>
      </c>
      <c r="CI244" s="28" t="str">
        <f t="shared" si="158"/>
        <v>00:00</v>
      </c>
      <c r="CJ244" s="29"/>
      <c r="CK244" s="31" t="str">
        <f t="shared" si="159"/>
        <v/>
      </c>
      <c r="CL244" s="27"/>
      <c r="CM244" s="27"/>
      <c r="CN244" s="28" t="str">
        <f>IFERROR(VLOOKUP(CL244,Horarios!$H:$I,2,0),"")</f>
        <v/>
      </c>
      <c r="CO244" s="28" t="str">
        <f>IFERROR(VLOOKUP(CM244,Horarios!$H:$I,2,0),"")</f>
        <v/>
      </c>
      <c r="CP244" s="28" t="str">
        <f t="shared" si="160"/>
        <v>00:00</v>
      </c>
      <c r="CQ244" s="29"/>
      <c r="CR244" s="27"/>
      <c r="CS244" s="27"/>
      <c r="CT244" s="28" t="str">
        <f>IFERROR(VLOOKUP(CR244,Horarios!$H:$I,2,0),"")</f>
        <v/>
      </c>
      <c r="CU244" s="28" t="str">
        <f>IFERROR(VLOOKUP(CS244,Horarios!$H:$I,2,0),"")</f>
        <v/>
      </c>
      <c r="CV244" s="28" t="str">
        <f t="shared" si="161"/>
        <v>00:00</v>
      </c>
      <c r="CW244" s="29"/>
      <c r="CX244" s="27"/>
      <c r="CY244" s="27"/>
      <c r="CZ244" s="28" t="str">
        <f>IFERROR(VLOOKUP(CX244,Horarios!$H:$I,2,0),"")</f>
        <v/>
      </c>
      <c r="DA244" s="28" t="str">
        <f>IFERROR(VLOOKUP(CY244,Horarios!$H:$I,2,0),"")</f>
        <v/>
      </c>
      <c r="DB244" s="28" t="str">
        <f t="shared" si="162"/>
        <v>00:00</v>
      </c>
      <c r="DC244" s="29"/>
      <c r="DD244" s="27"/>
      <c r="DE244" s="27"/>
      <c r="DF244" s="28" t="str">
        <f>IFERROR(VLOOKUP(DD244,Horarios!$H:$I,2,0),"")</f>
        <v/>
      </c>
      <c r="DG244" s="28" t="str">
        <f>IFERROR(VLOOKUP(DE244,Horarios!$H:$I,2,0),"")</f>
        <v/>
      </c>
      <c r="DH244" s="28" t="str">
        <f t="shared" si="163"/>
        <v>00:00</v>
      </c>
      <c r="DI244" s="29"/>
      <c r="DJ244" s="27"/>
      <c r="DK244" s="27"/>
      <c r="DL244" s="28" t="str">
        <f>IFERROR(VLOOKUP(DJ244,Horarios!$H:$I,2,0),"")</f>
        <v/>
      </c>
      <c r="DM244" s="28" t="str">
        <f>IFERROR(VLOOKUP(DK244,Horarios!$H:$I,2,0),"")</f>
        <v/>
      </c>
      <c r="DN244" s="28" t="str">
        <f t="shared" si="164"/>
        <v>00:00</v>
      </c>
      <c r="DO244" s="29"/>
      <c r="DP244" s="27"/>
      <c r="DQ244" s="27"/>
      <c r="DR244" s="28" t="str">
        <f>IFERROR(VLOOKUP(DP244,Horarios!$H:$I,2,0),"")</f>
        <v/>
      </c>
      <c r="DS244" s="28" t="str">
        <f>IFERROR(VLOOKUP(DQ244,Horarios!$H:$I,2,0),"")</f>
        <v/>
      </c>
      <c r="DT244" s="28" t="str">
        <f t="shared" si="165"/>
        <v>00:00</v>
      </c>
      <c r="DU244" s="29"/>
      <c r="DV244" s="27"/>
      <c r="DW244" s="27"/>
      <c r="DX244" s="28" t="str">
        <f>IFERROR(VLOOKUP(DV244,Horarios!$H:$I,2,0),"")</f>
        <v/>
      </c>
      <c r="DY244" s="28" t="str">
        <f>IFERROR(VLOOKUP(DW244,Horarios!$H:$I,2,0),"")</f>
        <v/>
      </c>
      <c r="DZ244" s="28" t="str">
        <f t="shared" si="166"/>
        <v>00:00</v>
      </c>
      <c r="EA244" s="29"/>
      <c r="EB244" s="31" t="str">
        <f t="shared" si="167"/>
        <v/>
      </c>
      <c r="EC244" s="27"/>
      <c r="ED244" s="27"/>
      <c r="EE244" s="28" t="str">
        <f>IFERROR(VLOOKUP(EC244,Horarios!$H:$I,2,0),"")</f>
        <v/>
      </c>
      <c r="EF244" s="28" t="str">
        <f>IFERROR(VLOOKUP(ED244,Horarios!$H:$I,2,0),"")</f>
        <v/>
      </c>
      <c r="EG244" s="28" t="str">
        <f t="shared" si="168"/>
        <v>00:00</v>
      </c>
      <c r="EH244" s="29"/>
      <c r="EI244" s="27"/>
      <c r="EJ244" s="27"/>
      <c r="EK244" s="28" t="str">
        <f>IFERROR(VLOOKUP(EI244,Horarios!$H:$I,2,0),"")</f>
        <v/>
      </c>
      <c r="EL244" s="28" t="str">
        <f>IFERROR(VLOOKUP(EJ244,Horarios!$H:$I,2,0),"")</f>
        <v/>
      </c>
      <c r="EM244" s="28" t="str">
        <f t="shared" si="169"/>
        <v>00:00</v>
      </c>
      <c r="EN244" s="29"/>
      <c r="EO244" s="27"/>
      <c r="EP244" s="27"/>
      <c r="EQ244" s="28" t="str">
        <f>IFERROR(VLOOKUP(EO244,Horarios!$H:$I,2,0),"")</f>
        <v/>
      </c>
      <c r="ER244" s="28" t="str">
        <f>IFERROR(VLOOKUP(EP244,Horarios!$H:$I,2,0),"")</f>
        <v/>
      </c>
      <c r="ES244" s="28" t="str">
        <f t="shared" si="170"/>
        <v>00:00</v>
      </c>
      <c r="ET244" s="29"/>
      <c r="EU244" s="27"/>
      <c r="EV244" s="27"/>
      <c r="EW244" s="28" t="str">
        <f>IFERROR(VLOOKUP(EU244,Horarios!$H:$I,2,0),"")</f>
        <v/>
      </c>
      <c r="EX244" s="28" t="str">
        <f>IFERROR(VLOOKUP(EV244,Horarios!$H:$I,2,0),"")</f>
        <v/>
      </c>
      <c r="EY244" s="28" t="str">
        <f t="shared" si="171"/>
        <v>00:00</v>
      </c>
      <c r="EZ244" s="29"/>
      <c r="FA244" s="27"/>
      <c r="FB244" s="27"/>
      <c r="FC244" s="28" t="str">
        <f>IFERROR(VLOOKUP(FA244,Horarios!$H:$I,2,0),"")</f>
        <v/>
      </c>
      <c r="FD244" s="28" t="str">
        <f>IFERROR(VLOOKUP(FB244,Horarios!$H:$I,2,0),"")</f>
        <v/>
      </c>
      <c r="FE244" s="28" t="str">
        <f t="shared" si="172"/>
        <v>00:00</v>
      </c>
      <c r="FF244" s="29"/>
      <c r="FG244" s="27"/>
      <c r="FH244" s="27"/>
      <c r="FI244" s="28" t="str">
        <f>IFERROR(VLOOKUP(FG244,Horarios!$H:$I,2,0),"")</f>
        <v/>
      </c>
      <c r="FJ244" s="28" t="str">
        <f>IFERROR(VLOOKUP(FH244,Horarios!$H:$I,2,0),"")</f>
        <v/>
      </c>
      <c r="FK244" s="28" t="str">
        <f t="shared" si="173"/>
        <v>00:00</v>
      </c>
      <c r="FL244" s="29"/>
      <c r="FM244" s="27"/>
      <c r="FN244" s="27"/>
      <c r="FO244" s="28" t="str">
        <f>IFERROR(VLOOKUP(FM244,Horarios!$H:$I,2,0),"")</f>
        <v/>
      </c>
      <c r="FP244" s="28" t="str">
        <f>IFERROR(VLOOKUP(FN244,Horarios!$H:$I,2,0),"")</f>
        <v/>
      </c>
      <c r="FQ244" s="28" t="str">
        <f t="shared" si="174"/>
        <v>00:00</v>
      </c>
      <c r="FR244" s="29"/>
      <c r="FS244" s="31" t="str">
        <f t="shared" si="175"/>
        <v/>
      </c>
      <c r="FT244" s="27"/>
      <c r="FU244" s="27"/>
      <c r="FV244" s="28" t="str">
        <f>IFERROR(VLOOKUP(FT244,Horarios!$H:$I,2,0),"")</f>
        <v/>
      </c>
      <c r="FW244" s="28" t="str">
        <f>IFERROR(VLOOKUP(FU244,Horarios!$H:$I,2,0),"")</f>
        <v/>
      </c>
      <c r="FX244" s="28" t="str">
        <f t="shared" si="176"/>
        <v>00:00</v>
      </c>
      <c r="FY244" s="29"/>
      <c r="FZ244" s="27"/>
      <c r="GA244" s="27"/>
      <c r="GB244" s="28" t="str">
        <f>IFERROR(VLOOKUP(FZ244,Horarios!$H:$I,2,0),"")</f>
        <v/>
      </c>
      <c r="GC244" s="28" t="str">
        <f>IFERROR(VLOOKUP(GA244,Horarios!$H:$I,2,0),"")</f>
        <v/>
      </c>
      <c r="GD244" s="28" t="str">
        <f t="shared" si="177"/>
        <v>00:00</v>
      </c>
      <c r="GE244" s="29"/>
      <c r="GF244" s="27"/>
      <c r="GG244" s="27"/>
      <c r="GH244" s="28" t="str">
        <f>IFERROR(VLOOKUP(GF244,Horarios!$H:$I,2,0),"")</f>
        <v/>
      </c>
      <c r="GI244" s="28" t="str">
        <f>IFERROR(VLOOKUP(GG244,Horarios!$H:$I,2,0),"")</f>
        <v/>
      </c>
      <c r="GJ244" s="28" t="str">
        <f t="shared" si="178"/>
        <v>00:00</v>
      </c>
      <c r="GK244" s="29"/>
      <c r="GL244" s="27"/>
      <c r="GM244" s="27"/>
      <c r="GN244" s="28" t="str">
        <f>IFERROR(VLOOKUP(GL244,Horarios!$H:$I,2,0),"")</f>
        <v/>
      </c>
      <c r="GO244" s="28" t="str">
        <f>IFERROR(VLOOKUP(GM244,Horarios!$H:$I,2,0),"")</f>
        <v/>
      </c>
      <c r="GP244" s="28" t="str">
        <f t="shared" si="179"/>
        <v>00:00</v>
      </c>
      <c r="GQ244" s="29"/>
      <c r="GR244" s="27"/>
      <c r="GS244" s="27"/>
      <c r="GT244" s="28" t="str">
        <f>IFERROR(VLOOKUP(GR244,Horarios!$H:$I,2,0),"")</f>
        <v/>
      </c>
      <c r="GU244" s="28" t="str">
        <f>IFERROR(VLOOKUP(GS244,Horarios!$H:$I,2,0),"")</f>
        <v/>
      </c>
      <c r="GV244" s="28" t="str">
        <f t="shared" si="180"/>
        <v>00:00</v>
      </c>
      <c r="GW244" s="29"/>
      <c r="GX244" s="27"/>
      <c r="GY244" s="27"/>
      <c r="GZ244" s="28" t="str">
        <f>IFERROR(VLOOKUP(GX244,Horarios!$H:$I,2,0),"")</f>
        <v/>
      </c>
      <c r="HA244" s="28" t="str">
        <f>IFERROR(VLOOKUP(GY244,Horarios!$H:$I,2,0),"")</f>
        <v/>
      </c>
      <c r="HB244" s="28" t="str">
        <f t="shared" si="181"/>
        <v>00:00</v>
      </c>
      <c r="HC244" s="29"/>
      <c r="HD244" s="27"/>
      <c r="HE244" s="27"/>
      <c r="HF244" s="28" t="str">
        <f>IFERROR(VLOOKUP(HD244,Horarios!$H:$I,2,0),"")</f>
        <v/>
      </c>
      <c r="HG244" s="28" t="str">
        <f>IFERROR(VLOOKUP(HE244,Horarios!$H:$I,2,0),"")</f>
        <v/>
      </c>
      <c r="HH244" s="28" t="str">
        <f t="shared" si="182"/>
        <v>00:00</v>
      </c>
      <c r="HI244" s="29"/>
      <c r="HJ244" s="31" t="str">
        <f t="shared" si="183"/>
        <v/>
      </c>
      <c r="HK244" s="27"/>
      <c r="HL244" s="27"/>
      <c r="HM244" s="28" t="str">
        <f>IFERROR(VLOOKUP(HK244,Horarios!$H:$I,2,0),"")</f>
        <v/>
      </c>
      <c r="HN244" s="28" t="str">
        <f>IFERROR(VLOOKUP(HL244,Horarios!$H:$I,2,0),"")</f>
        <v/>
      </c>
      <c r="HO244" s="28" t="str">
        <f t="shared" si="184"/>
        <v>00:00</v>
      </c>
      <c r="HP244" s="29"/>
      <c r="HQ244" s="27"/>
      <c r="HR244" s="27"/>
      <c r="HS244" s="28" t="str">
        <f>IFERROR(VLOOKUP(HQ244,Horarios!$H:$I,2,0),"")</f>
        <v/>
      </c>
      <c r="HT244" s="28" t="str">
        <f>IFERROR(VLOOKUP(HR244,Horarios!$H:$I,2,0),"")</f>
        <v/>
      </c>
      <c r="HU244" s="28" t="str">
        <f t="shared" si="185"/>
        <v>00:00</v>
      </c>
      <c r="HV244" s="29"/>
      <c r="HW244" s="27"/>
      <c r="HX244" s="27"/>
      <c r="HY244" s="28" t="str">
        <f>IFERROR(VLOOKUP(HW244,Horarios!$H:$I,2,0),"")</f>
        <v/>
      </c>
      <c r="HZ244" s="28" t="str">
        <f>IFERROR(VLOOKUP(HX244,Horarios!$H:$I,2,0),"")</f>
        <v/>
      </c>
      <c r="IA244" s="28" t="str">
        <f t="shared" si="186"/>
        <v>00:00</v>
      </c>
      <c r="IB244" s="29"/>
      <c r="IC244" s="27"/>
      <c r="ID244" s="27"/>
      <c r="IE244" s="28" t="str">
        <f>IFERROR(VLOOKUP(IC244,Horarios!$H:$I,2,0),"")</f>
        <v/>
      </c>
      <c r="IF244" s="28" t="str">
        <f>IFERROR(VLOOKUP(ID244,Horarios!$H:$I,2,0),"")</f>
        <v/>
      </c>
      <c r="IG244" s="28" t="str">
        <f t="shared" si="187"/>
        <v>00:00</v>
      </c>
      <c r="IH244" s="29"/>
      <c r="II244" s="27"/>
      <c r="IJ244" s="27"/>
      <c r="IK244" s="28" t="str">
        <f>IFERROR(VLOOKUP(II244,Horarios!$H:$I,2,0),"")</f>
        <v/>
      </c>
      <c r="IL244" s="28" t="str">
        <f>IFERROR(VLOOKUP(IJ244,Horarios!$H:$I,2,0),"")</f>
        <v/>
      </c>
      <c r="IM244" s="28" t="str">
        <f t="shared" si="188"/>
        <v>00:00</v>
      </c>
      <c r="IN244" s="29"/>
      <c r="IO244" s="27"/>
      <c r="IP244" s="27"/>
      <c r="IQ244" s="28" t="str">
        <f>IFERROR(VLOOKUP(IO244,Horarios!$H:$I,2,0),"")</f>
        <v/>
      </c>
      <c r="IR244" s="28" t="str">
        <f>IFERROR(VLOOKUP(IP244,Horarios!$H:$I,2,0),"")</f>
        <v/>
      </c>
      <c r="IS244" s="28" t="str">
        <f t="shared" si="189"/>
        <v>00:00</v>
      </c>
      <c r="IT244" s="29"/>
      <c r="IU244" s="27"/>
      <c r="IV244" s="27"/>
      <c r="IW244" s="28" t="str">
        <f>IFERROR(VLOOKUP(IU244,Horarios!$H:$I,2,0),"")</f>
        <v/>
      </c>
      <c r="IX244" s="28" t="str">
        <f>IFERROR(VLOOKUP(IV244,Horarios!$H:$I,2,0),"")</f>
        <v/>
      </c>
      <c r="IY244" s="28" t="str">
        <f t="shared" si="190"/>
        <v>00:00</v>
      </c>
      <c r="IZ244" s="29"/>
      <c r="JA244" s="31" t="str">
        <f t="shared" si="191"/>
        <v/>
      </c>
    </row>
    <row r="245" spans="1:261" s="24" customFormat="1" ht="17.399999999999999" x14ac:dyDescent="0.25">
      <c r="A245" s="25"/>
      <c r="B245" s="26" t="str">
        <f>IFERROR(VLOOKUP(A245,BaseNombres!A:B,2,0),"")</f>
        <v/>
      </c>
      <c r="C245" s="26" t="str">
        <f>IFERROR(VLOOKUP(A245,BaseNombres!A:C,3,0),"")</f>
        <v/>
      </c>
      <c r="D245" s="27"/>
      <c r="E245" s="27"/>
      <c r="F245" s="28" t="str">
        <f>IFERROR(VLOOKUP(D245,Horarios!$H:$I,2,0),"")</f>
        <v/>
      </c>
      <c r="G245" s="28" t="str">
        <f>IFERROR(VLOOKUP(E245,Horarios!$H:$I,2,0),"")</f>
        <v/>
      </c>
      <c r="H245" s="28" t="str">
        <f t="shared" si="144"/>
        <v>00:00</v>
      </c>
      <c r="I245" s="29"/>
      <c r="J245" s="27"/>
      <c r="K245" s="27"/>
      <c r="L245" s="28" t="str">
        <f>IFERROR(VLOOKUP(J245,Horarios!$H:$I,2,0),"")</f>
        <v/>
      </c>
      <c r="M245" s="28" t="str">
        <f>IFERROR(VLOOKUP(K245,Horarios!$H:$I,2,0),"")</f>
        <v/>
      </c>
      <c r="N245" s="28" t="str">
        <f t="shared" si="145"/>
        <v>00:00</v>
      </c>
      <c r="O245" s="29"/>
      <c r="P245" s="27"/>
      <c r="Q245" s="27"/>
      <c r="R245" s="28" t="str">
        <f>IFERROR(VLOOKUP(P245,Horarios!$H:$I,2,0),"")</f>
        <v/>
      </c>
      <c r="S245" s="28" t="str">
        <f>IFERROR(VLOOKUP(Q245,Horarios!$H:$I,2,0),"")</f>
        <v/>
      </c>
      <c r="T245" s="28" t="str">
        <f t="shared" si="146"/>
        <v>00:00</v>
      </c>
      <c r="U245" s="29"/>
      <c r="V245" s="27"/>
      <c r="W245" s="27"/>
      <c r="X245" s="28" t="str">
        <f>IFERROR(VLOOKUP(V245,Horarios!$H:$I,2,0),"")</f>
        <v/>
      </c>
      <c r="Y245" s="28" t="str">
        <f>IFERROR(VLOOKUP(W245,Horarios!$H:$I,2,0),"")</f>
        <v/>
      </c>
      <c r="Z245" s="28" t="str">
        <f t="shared" si="147"/>
        <v>00:00</v>
      </c>
      <c r="AA245" s="29"/>
      <c r="AB245" s="27"/>
      <c r="AC245" s="27"/>
      <c r="AD245" s="28" t="str">
        <f>IFERROR(VLOOKUP(AB245,Horarios!$H:$I,2,0),"")</f>
        <v/>
      </c>
      <c r="AE245" s="28" t="str">
        <f>IFERROR(VLOOKUP(AC245,Horarios!$H:$I,2,0),"")</f>
        <v/>
      </c>
      <c r="AF245" s="28" t="str">
        <f t="shared" si="148"/>
        <v>00:00</v>
      </c>
      <c r="AG245" s="29"/>
      <c r="AH245" s="27"/>
      <c r="AI245" s="27"/>
      <c r="AJ245" s="28" t="str">
        <f>IFERROR(VLOOKUP(AH245,Horarios!$H:$I,2,0),"")</f>
        <v/>
      </c>
      <c r="AK245" s="28" t="str">
        <f>IFERROR(VLOOKUP(AI245,Horarios!$H:$I,2,0),"")</f>
        <v/>
      </c>
      <c r="AL245" s="28" t="str">
        <f t="shared" si="149"/>
        <v>00:00</v>
      </c>
      <c r="AM245" s="29"/>
      <c r="AN245" s="27"/>
      <c r="AO245" s="27"/>
      <c r="AP245" s="28" t="str">
        <f>IFERROR(VLOOKUP(AN245,Horarios!$H:$I,2,0),"")</f>
        <v/>
      </c>
      <c r="AQ245" s="28" t="str">
        <f>IFERROR(VLOOKUP(AO245,Horarios!$H:$I,2,0),"")</f>
        <v/>
      </c>
      <c r="AR245" s="28" t="str">
        <f t="shared" si="150"/>
        <v>00:00</v>
      </c>
      <c r="AS245" s="29"/>
      <c r="AT245" s="31" t="str">
        <f t="shared" si="151"/>
        <v/>
      </c>
      <c r="AU245" s="27"/>
      <c r="AV245" s="27"/>
      <c r="AW245" s="28" t="str">
        <f>IFERROR(VLOOKUP(AU245,Horarios!$H:$I,2,0),"")</f>
        <v/>
      </c>
      <c r="AX245" s="28" t="str">
        <f>IFERROR(VLOOKUP(AV245,Horarios!$H:$I,2,0),"")</f>
        <v/>
      </c>
      <c r="AY245" s="28" t="str">
        <f t="shared" si="152"/>
        <v>00:00</v>
      </c>
      <c r="AZ245" s="29"/>
      <c r="BA245" s="27"/>
      <c r="BB245" s="27"/>
      <c r="BC245" s="28" t="str">
        <f>IFERROR(VLOOKUP(BA245,Horarios!$H:$I,2,0),"")</f>
        <v/>
      </c>
      <c r="BD245" s="28" t="str">
        <f>IFERROR(VLOOKUP(BB245,Horarios!$H:$I,2,0),"")</f>
        <v/>
      </c>
      <c r="BE245" s="28" t="str">
        <f t="shared" si="153"/>
        <v>00:00</v>
      </c>
      <c r="BF245" s="29"/>
      <c r="BG245" s="27"/>
      <c r="BH245" s="27"/>
      <c r="BI245" s="28" t="str">
        <f>IFERROR(VLOOKUP(BG245,Horarios!$H:$I,2,0),"")</f>
        <v/>
      </c>
      <c r="BJ245" s="28" t="str">
        <f>IFERROR(VLOOKUP(BH245,Horarios!$H:$I,2,0),"")</f>
        <v/>
      </c>
      <c r="BK245" s="28" t="str">
        <f t="shared" si="154"/>
        <v>00:00</v>
      </c>
      <c r="BL245" s="29"/>
      <c r="BM245" s="27"/>
      <c r="BN245" s="27"/>
      <c r="BO245" s="28" t="str">
        <f>IFERROR(VLOOKUP(BM245,Horarios!$H:$I,2,0),"")</f>
        <v/>
      </c>
      <c r="BP245" s="28" t="str">
        <f>IFERROR(VLOOKUP(BN245,Horarios!$H:$I,2,0),"")</f>
        <v/>
      </c>
      <c r="BQ245" s="28" t="str">
        <f t="shared" si="155"/>
        <v>00:00</v>
      </c>
      <c r="BR245" s="29"/>
      <c r="BS245" s="27"/>
      <c r="BT245" s="27"/>
      <c r="BU245" s="28" t="str">
        <f>IFERROR(VLOOKUP(BS245,Horarios!$H:$I,2,0),"")</f>
        <v/>
      </c>
      <c r="BV245" s="28" t="str">
        <f>IFERROR(VLOOKUP(BT245,Horarios!$H:$I,2,0),"")</f>
        <v/>
      </c>
      <c r="BW245" s="28" t="str">
        <f t="shared" si="156"/>
        <v>00:00</v>
      </c>
      <c r="BX245" s="29"/>
      <c r="BY245" s="27"/>
      <c r="BZ245" s="27"/>
      <c r="CA245" s="28" t="str">
        <f>IFERROR(VLOOKUP(BY245,Horarios!$H:$I,2,0),"")</f>
        <v/>
      </c>
      <c r="CB245" s="28" t="str">
        <f>IFERROR(VLOOKUP(BZ245,Horarios!$H:$I,2,0),"")</f>
        <v/>
      </c>
      <c r="CC245" s="28" t="str">
        <f t="shared" si="157"/>
        <v>00:00</v>
      </c>
      <c r="CD245" s="29"/>
      <c r="CE245" s="27"/>
      <c r="CF245" s="27"/>
      <c r="CG245" s="28" t="str">
        <f>IFERROR(VLOOKUP(CE245,Horarios!$H:$I,2,0),"")</f>
        <v/>
      </c>
      <c r="CH245" s="28" t="str">
        <f>IFERROR(VLOOKUP(CF245,Horarios!$H:$I,2,0),"")</f>
        <v/>
      </c>
      <c r="CI245" s="28" t="str">
        <f t="shared" si="158"/>
        <v>00:00</v>
      </c>
      <c r="CJ245" s="29"/>
      <c r="CK245" s="31" t="str">
        <f t="shared" si="159"/>
        <v/>
      </c>
      <c r="CL245" s="27"/>
      <c r="CM245" s="27"/>
      <c r="CN245" s="28" t="str">
        <f>IFERROR(VLOOKUP(CL245,Horarios!$H:$I,2,0),"")</f>
        <v/>
      </c>
      <c r="CO245" s="28" t="str">
        <f>IFERROR(VLOOKUP(CM245,Horarios!$H:$I,2,0),"")</f>
        <v/>
      </c>
      <c r="CP245" s="28" t="str">
        <f t="shared" si="160"/>
        <v>00:00</v>
      </c>
      <c r="CQ245" s="29"/>
      <c r="CR245" s="27"/>
      <c r="CS245" s="27"/>
      <c r="CT245" s="28" t="str">
        <f>IFERROR(VLOOKUP(CR245,Horarios!$H:$I,2,0),"")</f>
        <v/>
      </c>
      <c r="CU245" s="28" t="str">
        <f>IFERROR(VLOOKUP(CS245,Horarios!$H:$I,2,0),"")</f>
        <v/>
      </c>
      <c r="CV245" s="28" t="str">
        <f t="shared" si="161"/>
        <v>00:00</v>
      </c>
      <c r="CW245" s="29"/>
      <c r="CX245" s="27"/>
      <c r="CY245" s="27"/>
      <c r="CZ245" s="28" t="str">
        <f>IFERROR(VLOOKUP(CX245,Horarios!$H:$I,2,0),"")</f>
        <v/>
      </c>
      <c r="DA245" s="28" t="str">
        <f>IFERROR(VLOOKUP(CY245,Horarios!$H:$I,2,0),"")</f>
        <v/>
      </c>
      <c r="DB245" s="28" t="str">
        <f t="shared" si="162"/>
        <v>00:00</v>
      </c>
      <c r="DC245" s="29"/>
      <c r="DD245" s="27"/>
      <c r="DE245" s="27"/>
      <c r="DF245" s="28" t="str">
        <f>IFERROR(VLOOKUP(DD245,Horarios!$H:$I,2,0),"")</f>
        <v/>
      </c>
      <c r="DG245" s="28" t="str">
        <f>IFERROR(VLOOKUP(DE245,Horarios!$H:$I,2,0),"")</f>
        <v/>
      </c>
      <c r="DH245" s="28" t="str">
        <f t="shared" si="163"/>
        <v>00:00</v>
      </c>
      <c r="DI245" s="29"/>
      <c r="DJ245" s="27"/>
      <c r="DK245" s="27"/>
      <c r="DL245" s="28" t="str">
        <f>IFERROR(VLOOKUP(DJ245,Horarios!$H:$I,2,0),"")</f>
        <v/>
      </c>
      <c r="DM245" s="28" t="str">
        <f>IFERROR(VLOOKUP(DK245,Horarios!$H:$I,2,0),"")</f>
        <v/>
      </c>
      <c r="DN245" s="28" t="str">
        <f t="shared" si="164"/>
        <v>00:00</v>
      </c>
      <c r="DO245" s="29"/>
      <c r="DP245" s="27"/>
      <c r="DQ245" s="27"/>
      <c r="DR245" s="28" t="str">
        <f>IFERROR(VLOOKUP(DP245,Horarios!$H:$I,2,0),"")</f>
        <v/>
      </c>
      <c r="DS245" s="28" t="str">
        <f>IFERROR(VLOOKUP(DQ245,Horarios!$H:$I,2,0),"")</f>
        <v/>
      </c>
      <c r="DT245" s="28" t="str">
        <f t="shared" si="165"/>
        <v>00:00</v>
      </c>
      <c r="DU245" s="29"/>
      <c r="DV245" s="27"/>
      <c r="DW245" s="27"/>
      <c r="DX245" s="28" t="str">
        <f>IFERROR(VLOOKUP(DV245,Horarios!$H:$I,2,0),"")</f>
        <v/>
      </c>
      <c r="DY245" s="28" t="str">
        <f>IFERROR(VLOOKUP(DW245,Horarios!$H:$I,2,0),"")</f>
        <v/>
      </c>
      <c r="DZ245" s="28" t="str">
        <f t="shared" si="166"/>
        <v>00:00</v>
      </c>
      <c r="EA245" s="29"/>
      <c r="EB245" s="31" t="str">
        <f t="shared" si="167"/>
        <v/>
      </c>
      <c r="EC245" s="27"/>
      <c r="ED245" s="27"/>
      <c r="EE245" s="28" t="str">
        <f>IFERROR(VLOOKUP(EC245,Horarios!$H:$I,2,0),"")</f>
        <v/>
      </c>
      <c r="EF245" s="28" t="str">
        <f>IFERROR(VLOOKUP(ED245,Horarios!$H:$I,2,0),"")</f>
        <v/>
      </c>
      <c r="EG245" s="28" t="str">
        <f t="shared" si="168"/>
        <v>00:00</v>
      </c>
      <c r="EH245" s="29"/>
      <c r="EI245" s="27"/>
      <c r="EJ245" s="27"/>
      <c r="EK245" s="28" t="str">
        <f>IFERROR(VLOOKUP(EI245,Horarios!$H:$I,2,0),"")</f>
        <v/>
      </c>
      <c r="EL245" s="28" t="str">
        <f>IFERROR(VLOOKUP(EJ245,Horarios!$H:$I,2,0),"")</f>
        <v/>
      </c>
      <c r="EM245" s="28" t="str">
        <f t="shared" si="169"/>
        <v>00:00</v>
      </c>
      <c r="EN245" s="29"/>
      <c r="EO245" s="27"/>
      <c r="EP245" s="27"/>
      <c r="EQ245" s="28" t="str">
        <f>IFERROR(VLOOKUP(EO245,Horarios!$H:$I,2,0),"")</f>
        <v/>
      </c>
      <c r="ER245" s="28" t="str">
        <f>IFERROR(VLOOKUP(EP245,Horarios!$H:$I,2,0),"")</f>
        <v/>
      </c>
      <c r="ES245" s="28" t="str">
        <f t="shared" si="170"/>
        <v>00:00</v>
      </c>
      <c r="ET245" s="29"/>
      <c r="EU245" s="27"/>
      <c r="EV245" s="27"/>
      <c r="EW245" s="28" t="str">
        <f>IFERROR(VLOOKUP(EU245,Horarios!$H:$I,2,0),"")</f>
        <v/>
      </c>
      <c r="EX245" s="28" t="str">
        <f>IFERROR(VLOOKUP(EV245,Horarios!$H:$I,2,0),"")</f>
        <v/>
      </c>
      <c r="EY245" s="28" t="str">
        <f t="shared" si="171"/>
        <v>00:00</v>
      </c>
      <c r="EZ245" s="29"/>
      <c r="FA245" s="27"/>
      <c r="FB245" s="27"/>
      <c r="FC245" s="28" t="str">
        <f>IFERROR(VLOOKUP(FA245,Horarios!$H:$I,2,0),"")</f>
        <v/>
      </c>
      <c r="FD245" s="28" t="str">
        <f>IFERROR(VLOOKUP(FB245,Horarios!$H:$I,2,0),"")</f>
        <v/>
      </c>
      <c r="FE245" s="28" t="str">
        <f t="shared" si="172"/>
        <v>00:00</v>
      </c>
      <c r="FF245" s="29"/>
      <c r="FG245" s="27"/>
      <c r="FH245" s="27"/>
      <c r="FI245" s="28" t="str">
        <f>IFERROR(VLOOKUP(FG245,Horarios!$H:$I,2,0),"")</f>
        <v/>
      </c>
      <c r="FJ245" s="28" t="str">
        <f>IFERROR(VLOOKUP(FH245,Horarios!$H:$I,2,0),"")</f>
        <v/>
      </c>
      <c r="FK245" s="28" t="str">
        <f t="shared" si="173"/>
        <v>00:00</v>
      </c>
      <c r="FL245" s="29"/>
      <c r="FM245" s="27"/>
      <c r="FN245" s="27"/>
      <c r="FO245" s="28" t="str">
        <f>IFERROR(VLOOKUP(FM245,Horarios!$H:$I,2,0),"")</f>
        <v/>
      </c>
      <c r="FP245" s="28" t="str">
        <f>IFERROR(VLOOKUP(FN245,Horarios!$H:$I,2,0),"")</f>
        <v/>
      </c>
      <c r="FQ245" s="28" t="str">
        <f t="shared" si="174"/>
        <v>00:00</v>
      </c>
      <c r="FR245" s="29"/>
      <c r="FS245" s="31" t="str">
        <f t="shared" si="175"/>
        <v/>
      </c>
      <c r="FT245" s="27"/>
      <c r="FU245" s="27"/>
      <c r="FV245" s="28" t="str">
        <f>IFERROR(VLOOKUP(FT245,Horarios!$H:$I,2,0),"")</f>
        <v/>
      </c>
      <c r="FW245" s="28" t="str">
        <f>IFERROR(VLOOKUP(FU245,Horarios!$H:$I,2,0),"")</f>
        <v/>
      </c>
      <c r="FX245" s="28" t="str">
        <f t="shared" si="176"/>
        <v>00:00</v>
      </c>
      <c r="FY245" s="29"/>
      <c r="FZ245" s="27"/>
      <c r="GA245" s="27"/>
      <c r="GB245" s="28" t="str">
        <f>IFERROR(VLOOKUP(FZ245,Horarios!$H:$I,2,0),"")</f>
        <v/>
      </c>
      <c r="GC245" s="28" t="str">
        <f>IFERROR(VLOOKUP(GA245,Horarios!$H:$I,2,0),"")</f>
        <v/>
      </c>
      <c r="GD245" s="28" t="str">
        <f t="shared" si="177"/>
        <v>00:00</v>
      </c>
      <c r="GE245" s="29"/>
      <c r="GF245" s="27"/>
      <c r="GG245" s="27"/>
      <c r="GH245" s="28" t="str">
        <f>IFERROR(VLOOKUP(GF245,Horarios!$H:$I,2,0),"")</f>
        <v/>
      </c>
      <c r="GI245" s="28" t="str">
        <f>IFERROR(VLOOKUP(GG245,Horarios!$H:$I,2,0),"")</f>
        <v/>
      </c>
      <c r="GJ245" s="28" t="str">
        <f t="shared" si="178"/>
        <v>00:00</v>
      </c>
      <c r="GK245" s="29"/>
      <c r="GL245" s="27"/>
      <c r="GM245" s="27"/>
      <c r="GN245" s="28" t="str">
        <f>IFERROR(VLOOKUP(GL245,Horarios!$H:$I,2,0),"")</f>
        <v/>
      </c>
      <c r="GO245" s="28" t="str">
        <f>IFERROR(VLOOKUP(GM245,Horarios!$H:$I,2,0),"")</f>
        <v/>
      </c>
      <c r="GP245" s="28" t="str">
        <f t="shared" si="179"/>
        <v>00:00</v>
      </c>
      <c r="GQ245" s="29"/>
      <c r="GR245" s="27"/>
      <c r="GS245" s="27"/>
      <c r="GT245" s="28" t="str">
        <f>IFERROR(VLOOKUP(GR245,Horarios!$H:$I,2,0),"")</f>
        <v/>
      </c>
      <c r="GU245" s="28" t="str">
        <f>IFERROR(VLOOKUP(GS245,Horarios!$H:$I,2,0),"")</f>
        <v/>
      </c>
      <c r="GV245" s="28" t="str">
        <f t="shared" si="180"/>
        <v>00:00</v>
      </c>
      <c r="GW245" s="29"/>
      <c r="GX245" s="27"/>
      <c r="GY245" s="27"/>
      <c r="GZ245" s="28" t="str">
        <f>IFERROR(VLOOKUP(GX245,Horarios!$H:$I,2,0),"")</f>
        <v/>
      </c>
      <c r="HA245" s="28" t="str">
        <f>IFERROR(VLOOKUP(GY245,Horarios!$H:$I,2,0),"")</f>
        <v/>
      </c>
      <c r="HB245" s="28" t="str">
        <f t="shared" si="181"/>
        <v>00:00</v>
      </c>
      <c r="HC245" s="29"/>
      <c r="HD245" s="27"/>
      <c r="HE245" s="27"/>
      <c r="HF245" s="28" t="str">
        <f>IFERROR(VLOOKUP(HD245,Horarios!$H:$I,2,0),"")</f>
        <v/>
      </c>
      <c r="HG245" s="28" t="str">
        <f>IFERROR(VLOOKUP(HE245,Horarios!$H:$I,2,0),"")</f>
        <v/>
      </c>
      <c r="HH245" s="28" t="str">
        <f t="shared" si="182"/>
        <v>00:00</v>
      </c>
      <c r="HI245" s="29"/>
      <c r="HJ245" s="31" t="str">
        <f t="shared" si="183"/>
        <v/>
      </c>
      <c r="HK245" s="27"/>
      <c r="HL245" s="27"/>
      <c r="HM245" s="28" t="str">
        <f>IFERROR(VLOOKUP(HK245,Horarios!$H:$I,2,0),"")</f>
        <v/>
      </c>
      <c r="HN245" s="28" t="str">
        <f>IFERROR(VLOOKUP(HL245,Horarios!$H:$I,2,0),"")</f>
        <v/>
      </c>
      <c r="HO245" s="28" t="str">
        <f t="shared" si="184"/>
        <v>00:00</v>
      </c>
      <c r="HP245" s="29"/>
      <c r="HQ245" s="27"/>
      <c r="HR245" s="27"/>
      <c r="HS245" s="28" t="str">
        <f>IFERROR(VLOOKUP(HQ245,Horarios!$H:$I,2,0),"")</f>
        <v/>
      </c>
      <c r="HT245" s="28" t="str">
        <f>IFERROR(VLOOKUP(HR245,Horarios!$H:$I,2,0),"")</f>
        <v/>
      </c>
      <c r="HU245" s="28" t="str">
        <f t="shared" si="185"/>
        <v>00:00</v>
      </c>
      <c r="HV245" s="29"/>
      <c r="HW245" s="27"/>
      <c r="HX245" s="27"/>
      <c r="HY245" s="28" t="str">
        <f>IFERROR(VLOOKUP(HW245,Horarios!$H:$I,2,0),"")</f>
        <v/>
      </c>
      <c r="HZ245" s="28" t="str">
        <f>IFERROR(VLOOKUP(HX245,Horarios!$H:$I,2,0),"")</f>
        <v/>
      </c>
      <c r="IA245" s="28" t="str">
        <f t="shared" si="186"/>
        <v>00:00</v>
      </c>
      <c r="IB245" s="29"/>
      <c r="IC245" s="27"/>
      <c r="ID245" s="27"/>
      <c r="IE245" s="28" t="str">
        <f>IFERROR(VLOOKUP(IC245,Horarios!$H:$I,2,0),"")</f>
        <v/>
      </c>
      <c r="IF245" s="28" t="str">
        <f>IFERROR(VLOOKUP(ID245,Horarios!$H:$I,2,0),"")</f>
        <v/>
      </c>
      <c r="IG245" s="28" t="str">
        <f t="shared" si="187"/>
        <v>00:00</v>
      </c>
      <c r="IH245" s="29"/>
      <c r="II245" s="27"/>
      <c r="IJ245" s="27"/>
      <c r="IK245" s="28" t="str">
        <f>IFERROR(VLOOKUP(II245,Horarios!$H:$I,2,0),"")</f>
        <v/>
      </c>
      <c r="IL245" s="28" t="str">
        <f>IFERROR(VLOOKUP(IJ245,Horarios!$H:$I,2,0),"")</f>
        <v/>
      </c>
      <c r="IM245" s="28" t="str">
        <f t="shared" si="188"/>
        <v>00:00</v>
      </c>
      <c r="IN245" s="29"/>
      <c r="IO245" s="27"/>
      <c r="IP245" s="27"/>
      <c r="IQ245" s="28" t="str">
        <f>IFERROR(VLOOKUP(IO245,Horarios!$H:$I,2,0),"")</f>
        <v/>
      </c>
      <c r="IR245" s="28" t="str">
        <f>IFERROR(VLOOKUP(IP245,Horarios!$H:$I,2,0),"")</f>
        <v/>
      </c>
      <c r="IS245" s="28" t="str">
        <f t="shared" si="189"/>
        <v>00:00</v>
      </c>
      <c r="IT245" s="29"/>
      <c r="IU245" s="27"/>
      <c r="IV245" s="27"/>
      <c r="IW245" s="28" t="str">
        <f>IFERROR(VLOOKUP(IU245,Horarios!$H:$I,2,0),"")</f>
        <v/>
      </c>
      <c r="IX245" s="28" t="str">
        <f>IFERROR(VLOOKUP(IV245,Horarios!$H:$I,2,0),"")</f>
        <v/>
      </c>
      <c r="IY245" s="28" t="str">
        <f t="shared" si="190"/>
        <v>00:00</v>
      </c>
      <c r="IZ245" s="29"/>
      <c r="JA245" s="31" t="str">
        <f t="shared" si="191"/>
        <v/>
      </c>
    </row>
    <row r="246" spans="1:261" s="24" customFormat="1" ht="17.399999999999999" x14ac:dyDescent="0.25">
      <c r="A246" s="25"/>
      <c r="B246" s="26" t="str">
        <f>IFERROR(VLOOKUP(A246,BaseNombres!A:B,2,0),"")</f>
        <v/>
      </c>
      <c r="C246" s="26" t="str">
        <f>IFERROR(VLOOKUP(A246,BaseNombres!A:C,3,0),"")</f>
        <v/>
      </c>
      <c r="D246" s="27"/>
      <c r="E246" s="27"/>
      <c r="F246" s="28" t="str">
        <f>IFERROR(VLOOKUP(D246,Horarios!$H:$I,2,0),"")</f>
        <v/>
      </c>
      <c r="G246" s="28" t="str">
        <f>IFERROR(VLOOKUP(E246,Horarios!$H:$I,2,0),"")</f>
        <v/>
      </c>
      <c r="H246" s="28" t="str">
        <f t="shared" si="144"/>
        <v>00:00</v>
      </c>
      <c r="I246" s="29"/>
      <c r="J246" s="27"/>
      <c r="K246" s="27"/>
      <c r="L246" s="28" t="str">
        <f>IFERROR(VLOOKUP(J246,Horarios!$H:$I,2,0),"")</f>
        <v/>
      </c>
      <c r="M246" s="28" t="str">
        <f>IFERROR(VLOOKUP(K246,Horarios!$H:$I,2,0),"")</f>
        <v/>
      </c>
      <c r="N246" s="28" t="str">
        <f t="shared" si="145"/>
        <v>00:00</v>
      </c>
      <c r="O246" s="29"/>
      <c r="P246" s="27"/>
      <c r="Q246" s="27"/>
      <c r="R246" s="28" t="str">
        <f>IFERROR(VLOOKUP(P246,Horarios!$H:$I,2,0),"")</f>
        <v/>
      </c>
      <c r="S246" s="28" t="str">
        <f>IFERROR(VLOOKUP(Q246,Horarios!$H:$I,2,0),"")</f>
        <v/>
      </c>
      <c r="T246" s="28" t="str">
        <f t="shared" si="146"/>
        <v>00:00</v>
      </c>
      <c r="U246" s="29"/>
      <c r="V246" s="27"/>
      <c r="W246" s="27"/>
      <c r="X246" s="28" t="str">
        <f>IFERROR(VLOOKUP(V246,Horarios!$H:$I,2,0),"")</f>
        <v/>
      </c>
      <c r="Y246" s="28" t="str">
        <f>IFERROR(VLOOKUP(W246,Horarios!$H:$I,2,0),"")</f>
        <v/>
      </c>
      <c r="Z246" s="28" t="str">
        <f t="shared" si="147"/>
        <v>00:00</v>
      </c>
      <c r="AA246" s="29"/>
      <c r="AB246" s="27"/>
      <c r="AC246" s="27"/>
      <c r="AD246" s="28" t="str">
        <f>IFERROR(VLOOKUP(AB246,Horarios!$H:$I,2,0),"")</f>
        <v/>
      </c>
      <c r="AE246" s="28" t="str">
        <f>IFERROR(VLOOKUP(AC246,Horarios!$H:$I,2,0),"")</f>
        <v/>
      </c>
      <c r="AF246" s="28" t="str">
        <f t="shared" si="148"/>
        <v>00:00</v>
      </c>
      <c r="AG246" s="29"/>
      <c r="AH246" s="27"/>
      <c r="AI246" s="27"/>
      <c r="AJ246" s="28" t="str">
        <f>IFERROR(VLOOKUP(AH246,Horarios!$H:$I,2,0),"")</f>
        <v/>
      </c>
      <c r="AK246" s="28" t="str">
        <f>IFERROR(VLOOKUP(AI246,Horarios!$H:$I,2,0),"")</f>
        <v/>
      </c>
      <c r="AL246" s="28" t="str">
        <f t="shared" si="149"/>
        <v>00:00</v>
      </c>
      <c r="AM246" s="29"/>
      <c r="AN246" s="27"/>
      <c r="AO246" s="27"/>
      <c r="AP246" s="28" t="str">
        <f>IFERROR(VLOOKUP(AN246,Horarios!$H:$I,2,0),"")</f>
        <v/>
      </c>
      <c r="AQ246" s="28" t="str">
        <f>IFERROR(VLOOKUP(AO246,Horarios!$H:$I,2,0),"")</f>
        <v/>
      </c>
      <c r="AR246" s="28" t="str">
        <f t="shared" si="150"/>
        <v>00:00</v>
      </c>
      <c r="AS246" s="29"/>
      <c r="AT246" s="31" t="str">
        <f t="shared" si="151"/>
        <v/>
      </c>
      <c r="AU246" s="27"/>
      <c r="AV246" s="27"/>
      <c r="AW246" s="28" t="str">
        <f>IFERROR(VLOOKUP(AU246,Horarios!$H:$I,2,0),"")</f>
        <v/>
      </c>
      <c r="AX246" s="28" t="str">
        <f>IFERROR(VLOOKUP(AV246,Horarios!$H:$I,2,0),"")</f>
        <v/>
      </c>
      <c r="AY246" s="28" t="str">
        <f t="shared" si="152"/>
        <v>00:00</v>
      </c>
      <c r="AZ246" s="29"/>
      <c r="BA246" s="27"/>
      <c r="BB246" s="27"/>
      <c r="BC246" s="28" t="str">
        <f>IFERROR(VLOOKUP(BA246,Horarios!$H:$I,2,0),"")</f>
        <v/>
      </c>
      <c r="BD246" s="28" t="str">
        <f>IFERROR(VLOOKUP(BB246,Horarios!$H:$I,2,0),"")</f>
        <v/>
      </c>
      <c r="BE246" s="28" t="str">
        <f t="shared" si="153"/>
        <v>00:00</v>
      </c>
      <c r="BF246" s="29"/>
      <c r="BG246" s="27"/>
      <c r="BH246" s="27"/>
      <c r="BI246" s="28" t="str">
        <f>IFERROR(VLOOKUP(BG246,Horarios!$H:$I,2,0),"")</f>
        <v/>
      </c>
      <c r="BJ246" s="28" t="str">
        <f>IFERROR(VLOOKUP(BH246,Horarios!$H:$I,2,0),"")</f>
        <v/>
      </c>
      <c r="BK246" s="28" t="str">
        <f t="shared" si="154"/>
        <v>00:00</v>
      </c>
      <c r="BL246" s="29"/>
      <c r="BM246" s="27"/>
      <c r="BN246" s="27"/>
      <c r="BO246" s="28" t="str">
        <f>IFERROR(VLOOKUP(BM246,Horarios!$H:$I,2,0),"")</f>
        <v/>
      </c>
      <c r="BP246" s="28" t="str">
        <f>IFERROR(VLOOKUP(BN246,Horarios!$H:$I,2,0),"")</f>
        <v/>
      </c>
      <c r="BQ246" s="28" t="str">
        <f t="shared" si="155"/>
        <v>00:00</v>
      </c>
      <c r="BR246" s="29"/>
      <c r="BS246" s="27"/>
      <c r="BT246" s="27"/>
      <c r="BU246" s="28" t="str">
        <f>IFERROR(VLOOKUP(BS246,Horarios!$H:$I,2,0),"")</f>
        <v/>
      </c>
      <c r="BV246" s="28" t="str">
        <f>IFERROR(VLOOKUP(BT246,Horarios!$H:$I,2,0),"")</f>
        <v/>
      </c>
      <c r="BW246" s="28" t="str">
        <f t="shared" si="156"/>
        <v>00:00</v>
      </c>
      <c r="BX246" s="29"/>
      <c r="BY246" s="27"/>
      <c r="BZ246" s="27"/>
      <c r="CA246" s="28" t="str">
        <f>IFERROR(VLOOKUP(BY246,Horarios!$H:$I,2,0),"")</f>
        <v/>
      </c>
      <c r="CB246" s="28" t="str">
        <f>IFERROR(VLOOKUP(BZ246,Horarios!$H:$I,2,0),"")</f>
        <v/>
      </c>
      <c r="CC246" s="28" t="str">
        <f t="shared" si="157"/>
        <v>00:00</v>
      </c>
      <c r="CD246" s="29"/>
      <c r="CE246" s="27"/>
      <c r="CF246" s="27"/>
      <c r="CG246" s="28" t="str">
        <f>IFERROR(VLOOKUP(CE246,Horarios!$H:$I,2,0),"")</f>
        <v/>
      </c>
      <c r="CH246" s="28" t="str">
        <f>IFERROR(VLOOKUP(CF246,Horarios!$H:$I,2,0),"")</f>
        <v/>
      </c>
      <c r="CI246" s="28" t="str">
        <f t="shared" si="158"/>
        <v>00:00</v>
      </c>
      <c r="CJ246" s="29"/>
      <c r="CK246" s="31" t="str">
        <f t="shared" si="159"/>
        <v/>
      </c>
      <c r="CL246" s="27"/>
      <c r="CM246" s="27"/>
      <c r="CN246" s="28" t="str">
        <f>IFERROR(VLOOKUP(CL246,Horarios!$H:$I,2,0),"")</f>
        <v/>
      </c>
      <c r="CO246" s="28" t="str">
        <f>IFERROR(VLOOKUP(CM246,Horarios!$H:$I,2,0),"")</f>
        <v/>
      </c>
      <c r="CP246" s="28" t="str">
        <f t="shared" si="160"/>
        <v>00:00</v>
      </c>
      <c r="CQ246" s="29"/>
      <c r="CR246" s="27"/>
      <c r="CS246" s="27"/>
      <c r="CT246" s="28" t="str">
        <f>IFERROR(VLOOKUP(CR246,Horarios!$H:$I,2,0),"")</f>
        <v/>
      </c>
      <c r="CU246" s="28" t="str">
        <f>IFERROR(VLOOKUP(CS246,Horarios!$H:$I,2,0),"")</f>
        <v/>
      </c>
      <c r="CV246" s="28" t="str">
        <f t="shared" si="161"/>
        <v>00:00</v>
      </c>
      <c r="CW246" s="29"/>
      <c r="CX246" s="27"/>
      <c r="CY246" s="27"/>
      <c r="CZ246" s="28" t="str">
        <f>IFERROR(VLOOKUP(CX246,Horarios!$H:$I,2,0),"")</f>
        <v/>
      </c>
      <c r="DA246" s="28" t="str">
        <f>IFERROR(VLOOKUP(CY246,Horarios!$H:$I,2,0),"")</f>
        <v/>
      </c>
      <c r="DB246" s="28" t="str">
        <f t="shared" si="162"/>
        <v>00:00</v>
      </c>
      <c r="DC246" s="29"/>
      <c r="DD246" s="27"/>
      <c r="DE246" s="27"/>
      <c r="DF246" s="28" t="str">
        <f>IFERROR(VLOOKUP(DD246,Horarios!$H:$I,2,0),"")</f>
        <v/>
      </c>
      <c r="DG246" s="28" t="str">
        <f>IFERROR(VLOOKUP(DE246,Horarios!$H:$I,2,0),"")</f>
        <v/>
      </c>
      <c r="DH246" s="28" t="str">
        <f t="shared" si="163"/>
        <v>00:00</v>
      </c>
      <c r="DI246" s="29"/>
      <c r="DJ246" s="27"/>
      <c r="DK246" s="27"/>
      <c r="DL246" s="28" t="str">
        <f>IFERROR(VLOOKUP(DJ246,Horarios!$H:$I,2,0),"")</f>
        <v/>
      </c>
      <c r="DM246" s="28" t="str">
        <f>IFERROR(VLOOKUP(DK246,Horarios!$H:$I,2,0),"")</f>
        <v/>
      </c>
      <c r="DN246" s="28" t="str">
        <f t="shared" si="164"/>
        <v>00:00</v>
      </c>
      <c r="DO246" s="29"/>
      <c r="DP246" s="27"/>
      <c r="DQ246" s="27"/>
      <c r="DR246" s="28" t="str">
        <f>IFERROR(VLOOKUP(DP246,Horarios!$H:$I,2,0),"")</f>
        <v/>
      </c>
      <c r="DS246" s="28" t="str">
        <f>IFERROR(VLOOKUP(DQ246,Horarios!$H:$I,2,0),"")</f>
        <v/>
      </c>
      <c r="DT246" s="28" t="str">
        <f t="shared" si="165"/>
        <v>00:00</v>
      </c>
      <c r="DU246" s="29"/>
      <c r="DV246" s="27"/>
      <c r="DW246" s="27"/>
      <c r="DX246" s="28" t="str">
        <f>IFERROR(VLOOKUP(DV246,Horarios!$H:$I,2,0),"")</f>
        <v/>
      </c>
      <c r="DY246" s="28" t="str">
        <f>IFERROR(VLOOKUP(DW246,Horarios!$H:$I,2,0),"")</f>
        <v/>
      </c>
      <c r="DZ246" s="28" t="str">
        <f t="shared" si="166"/>
        <v>00:00</v>
      </c>
      <c r="EA246" s="29"/>
      <c r="EB246" s="31" t="str">
        <f t="shared" si="167"/>
        <v/>
      </c>
      <c r="EC246" s="27"/>
      <c r="ED246" s="27"/>
      <c r="EE246" s="28" t="str">
        <f>IFERROR(VLOOKUP(EC246,Horarios!$H:$I,2,0),"")</f>
        <v/>
      </c>
      <c r="EF246" s="28" t="str">
        <f>IFERROR(VLOOKUP(ED246,Horarios!$H:$I,2,0),"")</f>
        <v/>
      </c>
      <c r="EG246" s="28" t="str">
        <f t="shared" si="168"/>
        <v>00:00</v>
      </c>
      <c r="EH246" s="29"/>
      <c r="EI246" s="27"/>
      <c r="EJ246" s="27"/>
      <c r="EK246" s="28" t="str">
        <f>IFERROR(VLOOKUP(EI246,Horarios!$H:$I,2,0),"")</f>
        <v/>
      </c>
      <c r="EL246" s="28" t="str">
        <f>IFERROR(VLOOKUP(EJ246,Horarios!$H:$I,2,0),"")</f>
        <v/>
      </c>
      <c r="EM246" s="28" t="str">
        <f t="shared" si="169"/>
        <v>00:00</v>
      </c>
      <c r="EN246" s="29"/>
      <c r="EO246" s="27"/>
      <c r="EP246" s="27"/>
      <c r="EQ246" s="28" t="str">
        <f>IFERROR(VLOOKUP(EO246,Horarios!$H:$I,2,0),"")</f>
        <v/>
      </c>
      <c r="ER246" s="28" t="str">
        <f>IFERROR(VLOOKUP(EP246,Horarios!$H:$I,2,0),"")</f>
        <v/>
      </c>
      <c r="ES246" s="28" t="str">
        <f t="shared" si="170"/>
        <v>00:00</v>
      </c>
      <c r="ET246" s="29"/>
      <c r="EU246" s="27"/>
      <c r="EV246" s="27"/>
      <c r="EW246" s="28" t="str">
        <f>IFERROR(VLOOKUP(EU246,Horarios!$H:$I,2,0),"")</f>
        <v/>
      </c>
      <c r="EX246" s="28" t="str">
        <f>IFERROR(VLOOKUP(EV246,Horarios!$H:$I,2,0),"")</f>
        <v/>
      </c>
      <c r="EY246" s="28" t="str">
        <f t="shared" si="171"/>
        <v>00:00</v>
      </c>
      <c r="EZ246" s="29"/>
      <c r="FA246" s="27"/>
      <c r="FB246" s="27"/>
      <c r="FC246" s="28" t="str">
        <f>IFERROR(VLOOKUP(FA246,Horarios!$H:$I,2,0),"")</f>
        <v/>
      </c>
      <c r="FD246" s="28" t="str">
        <f>IFERROR(VLOOKUP(FB246,Horarios!$H:$I,2,0),"")</f>
        <v/>
      </c>
      <c r="FE246" s="28" t="str">
        <f t="shared" si="172"/>
        <v>00:00</v>
      </c>
      <c r="FF246" s="29"/>
      <c r="FG246" s="27"/>
      <c r="FH246" s="27"/>
      <c r="FI246" s="28" t="str">
        <f>IFERROR(VLOOKUP(FG246,Horarios!$H:$I,2,0),"")</f>
        <v/>
      </c>
      <c r="FJ246" s="28" t="str">
        <f>IFERROR(VLOOKUP(FH246,Horarios!$H:$I,2,0),"")</f>
        <v/>
      </c>
      <c r="FK246" s="28" t="str">
        <f t="shared" si="173"/>
        <v>00:00</v>
      </c>
      <c r="FL246" s="29"/>
      <c r="FM246" s="27"/>
      <c r="FN246" s="27"/>
      <c r="FO246" s="28" t="str">
        <f>IFERROR(VLOOKUP(FM246,Horarios!$H:$I,2,0),"")</f>
        <v/>
      </c>
      <c r="FP246" s="28" t="str">
        <f>IFERROR(VLOOKUP(FN246,Horarios!$H:$I,2,0),"")</f>
        <v/>
      </c>
      <c r="FQ246" s="28" t="str">
        <f t="shared" si="174"/>
        <v>00:00</v>
      </c>
      <c r="FR246" s="29"/>
      <c r="FS246" s="31" t="str">
        <f t="shared" si="175"/>
        <v/>
      </c>
      <c r="FT246" s="27"/>
      <c r="FU246" s="27"/>
      <c r="FV246" s="28" t="str">
        <f>IFERROR(VLOOKUP(FT246,Horarios!$H:$I,2,0),"")</f>
        <v/>
      </c>
      <c r="FW246" s="28" t="str">
        <f>IFERROR(VLOOKUP(FU246,Horarios!$H:$I,2,0),"")</f>
        <v/>
      </c>
      <c r="FX246" s="28" t="str">
        <f t="shared" si="176"/>
        <v>00:00</v>
      </c>
      <c r="FY246" s="29"/>
      <c r="FZ246" s="27"/>
      <c r="GA246" s="27"/>
      <c r="GB246" s="28" t="str">
        <f>IFERROR(VLOOKUP(FZ246,Horarios!$H:$I,2,0),"")</f>
        <v/>
      </c>
      <c r="GC246" s="28" t="str">
        <f>IFERROR(VLOOKUP(GA246,Horarios!$H:$I,2,0),"")</f>
        <v/>
      </c>
      <c r="GD246" s="28" t="str">
        <f t="shared" si="177"/>
        <v>00:00</v>
      </c>
      <c r="GE246" s="29"/>
      <c r="GF246" s="27"/>
      <c r="GG246" s="27"/>
      <c r="GH246" s="28" t="str">
        <f>IFERROR(VLOOKUP(GF246,Horarios!$H:$I,2,0),"")</f>
        <v/>
      </c>
      <c r="GI246" s="28" t="str">
        <f>IFERROR(VLOOKUP(GG246,Horarios!$H:$I,2,0),"")</f>
        <v/>
      </c>
      <c r="GJ246" s="28" t="str">
        <f t="shared" si="178"/>
        <v>00:00</v>
      </c>
      <c r="GK246" s="29"/>
      <c r="GL246" s="27"/>
      <c r="GM246" s="27"/>
      <c r="GN246" s="28" t="str">
        <f>IFERROR(VLOOKUP(GL246,Horarios!$H:$I,2,0),"")</f>
        <v/>
      </c>
      <c r="GO246" s="28" t="str">
        <f>IFERROR(VLOOKUP(GM246,Horarios!$H:$I,2,0),"")</f>
        <v/>
      </c>
      <c r="GP246" s="28" t="str">
        <f t="shared" si="179"/>
        <v>00:00</v>
      </c>
      <c r="GQ246" s="29"/>
      <c r="GR246" s="27"/>
      <c r="GS246" s="27"/>
      <c r="GT246" s="28" t="str">
        <f>IFERROR(VLOOKUP(GR246,Horarios!$H:$I,2,0),"")</f>
        <v/>
      </c>
      <c r="GU246" s="28" t="str">
        <f>IFERROR(VLOOKUP(GS246,Horarios!$H:$I,2,0),"")</f>
        <v/>
      </c>
      <c r="GV246" s="28" t="str">
        <f t="shared" si="180"/>
        <v>00:00</v>
      </c>
      <c r="GW246" s="29"/>
      <c r="GX246" s="27"/>
      <c r="GY246" s="27"/>
      <c r="GZ246" s="28" t="str">
        <f>IFERROR(VLOOKUP(GX246,Horarios!$H:$I,2,0),"")</f>
        <v/>
      </c>
      <c r="HA246" s="28" t="str">
        <f>IFERROR(VLOOKUP(GY246,Horarios!$H:$I,2,0),"")</f>
        <v/>
      </c>
      <c r="HB246" s="28" t="str">
        <f t="shared" si="181"/>
        <v>00:00</v>
      </c>
      <c r="HC246" s="29"/>
      <c r="HD246" s="27"/>
      <c r="HE246" s="27"/>
      <c r="HF246" s="28" t="str">
        <f>IFERROR(VLOOKUP(HD246,Horarios!$H:$I,2,0),"")</f>
        <v/>
      </c>
      <c r="HG246" s="28" t="str">
        <f>IFERROR(VLOOKUP(HE246,Horarios!$H:$I,2,0),"")</f>
        <v/>
      </c>
      <c r="HH246" s="28" t="str">
        <f t="shared" si="182"/>
        <v>00:00</v>
      </c>
      <c r="HI246" s="29"/>
      <c r="HJ246" s="31" t="str">
        <f t="shared" si="183"/>
        <v/>
      </c>
      <c r="HK246" s="27"/>
      <c r="HL246" s="27"/>
      <c r="HM246" s="28" t="str">
        <f>IFERROR(VLOOKUP(HK246,Horarios!$H:$I,2,0),"")</f>
        <v/>
      </c>
      <c r="HN246" s="28" t="str">
        <f>IFERROR(VLOOKUP(HL246,Horarios!$H:$I,2,0),"")</f>
        <v/>
      </c>
      <c r="HO246" s="28" t="str">
        <f t="shared" si="184"/>
        <v>00:00</v>
      </c>
      <c r="HP246" s="29"/>
      <c r="HQ246" s="27"/>
      <c r="HR246" s="27"/>
      <c r="HS246" s="28" t="str">
        <f>IFERROR(VLOOKUP(HQ246,Horarios!$H:$I,2,0),"")</f>
        <v/>
      </c>
      <c r="HT246" s="28" t="str">
        <f>IFERROR(VLOOKUP(HR246,Horarios!$H:$I,2,0),"")</f>
        <v/>
      </c>
      <c r="HU246" s="28" t="str">
        <f t="shared" si="185"/>
        <v>00:00</v>
      </c>
      <c r="HV246" s="29"/>
      <c r="HW246" s="27"/>
      <c r="HX246" s="27"/>
      <c r="HY246" s="28" t="str">
        <f>IFERROR(VLOOKUP(HW246,Horarios!$H:$I,2,0),"")</f>
        <v/>
      </c>
      <c r="HZ246" s="28" t="str">
        <f>IFERROR(VLOOKUP(HX246,Horarios!$H:$I,2,0),"")</f>
        <v/>
      </c>
      <c r="IA246" s="28" t="str">
        <f t="shared" si="186"/>
        <v>00:00</v>
      </c>
      <c r="IB246" s="29"/>
      <c r="IC246" s="27"/>
      <c r="ID246" s="27"/>
      <c r="IE246" s="28" t="str">
        <f>IFERROR(VLOOKUP(IC246,Horarios!$H:$I,2,0),"")</f>
        <v/>
      </c>
      <c r="IF246" s="28" t="str">
        <f>IFERROR(VLOOKUP(ID246,Horarios!$H:$I,2,0),"")</f>
        <v/>
      </c>
      <c r="IG246" s="28" t="str">
        <f t="shared" si="187"/>
        <v>00:00</v>
      </c>
      <c r="IH246" s="29"/>
      <c r="II246" s="27"/>
      <c r="IJ246" s="27"/>
      <c r="IK246" s="28" t="str">
        <f>IFERROR(VLOOKUP(II246,Horarios!$H:$I,2,0),"")</f>
        <v/>
      </c>
      <c r="IL246" s="28" t="str">
        <f>IFERROR(VLOOKUP(IJ246,Horarios!$H:$I,2,0),"")</f>
        <v/>
      </c>
      <c r="IM246" s="28" t="str">
        <f t="shared" si="188"/>
        <v>00:00</v>
      </c>
      <c r="IN246" s="29"/>
      <c r="IO246" s="27"/>
      <c r="IP246" s="27"/>
      <c r="IQ246" s="28" t="str">
        <f>IFERROR(VLOOKUP(IO246,Horarios!$H:$I,2,0),"")</f>
        <v/>
      </c>
      <c r="IR246" s="28" t="str">
        <f>IFERROR(VLOOKUP(IP246,Horarios!$H:$I,2,0),"")</f>
        <v/>
      </c>
      <c r="IS246" s="28" t="str">
        <f t="shared" si="189"/>
        <v>00:00</v>
      </c>
      <c r="IT246" s="29"/>
      <c r="IU246" s="27"/>
      <c r="IV246" s="27"/>
      <c r="IW246" s="28" t="str">
        <f>IFERROR(VLOOKUP(IU246,Horarios!$H:$I,2,0),"")</f>
        <v/>
      </c>
      <c r="IX246" s="28" t="str">
        <f>IFERROR(VLOOKUP(IV246,Horarios!$H:$I,2,0),"")</f>
        <v/>
      </c>
      <c r="IY246" s="28" t="str">
        <f t="shared" si="190"/>
        <v>00:00</v>
      </c>
      <c r="IZ246" s="29"/>
      <c r="JA246" s="31" t="str">
        <f t="shared" si="191"/>
        <v/>
      </c>
    </row>
    <row r="247" spans="1:261" s="24" customFormat="1" ht="17.399999999999999" x14ac:dyDescent="0.25">
      <c r="A247" s="25"/>
      <c r="B247" s="26" t="str">
        <f>IFERROR(VLOOKUP(A247,BaseNombres!A:B,2,0),"")</f>
        <v/>
      </c>
      <c r="C247" s="26" t="str">
        <f>IFERROR(VLOOKUP(A247,BaseNombres!A:C,3,0),"")</f>
        <v/>
      </c>
      <c r="D247" s="27"/>
      <c r="E247" s="27"/>
      <c r="F247" s="28" t="str">
        <f>IFERROR(VLOOKUP(D247,Horarios!$H:$I,2,0),"")</f>
        <v/>
      </c>
      <c r="G247" s="28" t="str">
        <f>IFERROR(VLOOKUP(E247,Horarios!$H:$I,2,0),"")</f>
        <v/>
      </c>
      <c r="H247" s="28" t="str">
        <f t="shared" si="144"/>
        <v>00:00</v>
      </c>
      <c r="I247" s="29"/>
      <c r="J247" s="27"/>
      <c r="K247" s="27"/>
      <c r="L247" s="28" t="str">
        <f>IFERROR(VLOOKUP(J247,Horarios!$H:$I,2,0),"")</f>
        <v/>
      </c>
      <c r="M247" s="28" t="str">
        <f>IFERROR(VLOOKUP(K247,Horarios!$H:$I,2,0),"")</f>
        <v/>
      </c>
      <c r="N247" s="28" t="str">
        <f t="shared" si="145"/>
        <v>00:00</v>
      </c>
      <c r="O247" s="29"/>
      <c r="P247" s="27"/>
      <c r="Q247" s="27"/>
      <c r="R247" s="28" t="str">
        <f>IFERROR(VLOOKUP(P247,Horarios!$H:$I,2,0),"")</f>
        <v/>
      </c>
      <c r="S247" s="28" t="str">
        <f>IFERROR(VLOOKUP(Q247,Horarios!$H:$I,2,0),"")</f>
        <v/>
      </c>
      <c r="T247" s="28" t="str">
        <f t="shared" si="146"/>
        <v>00:00</v>
      </c>
      <c r="U247" s="29"/>
      <c r="V247" s="27"/>
      <c r="W247" s="27"/>
      <c r="X247" s="28" t="str">
        <f>IFERROR(VLOOKUP(V247,Horarios!$H:$I,2,0),"")</f>
        <v/>
      </c>
      <c r="Y247" s="28" t="str">
        <f>IFERROR(VLOOKUP(W247,Horarios!$H:$I,2,0),"")</f>
        <v/>
      </c>
      <c r="Z247" s="28" t="str">
        <f t="shared" si="147"/>
        <v>00:00</v>
      </c>
      <c r="AA247" s="29"/>
      <c r="AB247" s="27"/>
      <c r="AC247" s="27"/>
      <c r="AD247" s="28" t="str">
        <f>IFERROR(VLOOKUP(AB247,Horarios!$H:$I,2,0),"")</f>
        <v/>
      </c>
      <c r="AE247" s="28" t="str">
        <f>IFERROR(VLOOKUP(AC247,Horarios!$H:$I,2,0),"")</f>
        <v/>
      </c>
      <c r="AF247" s="28" t="str">
        <f t="shared" si="148"/>
        <v>00:00</v>
      </c>
      <c r="AG247" s="29"/>
      <c r="AH247" s="27"/>
      <c r="AI247" s="27"/>
      <c r="AJ247" s="28" t="str">
        <f>IFERROR(VLOOKUP(AH247,Horarios!$H:$I,2,0),"")</f>
        <v/>
      </c>
      <c r="AK247" s="28" t="str">
        <f>IFERROR(VLOOKUP(AI247,Horarios!$H:$I,2,0),"")</f>
        <v/>
      </c>
      <c r="AL247" s="28" t="str">
        <f t="shared" si="149"/>
        <v>00:00</v>
      </c>
      <c r="AM247" s="29"/>
      <c r="AN247" s="27"/>
      <c r="AO247" s="27"/>
      <c r="AP247" s="28" t="str">
        <f>IFERROR(VLOOKUP(AN247,Horarios!$H:$I,2,0),"")</f>
        <v/>
      </c>
      <c r="AQ247" s="28" t="str">
        <f>IFERROR(VLOOKUP(AO247,Horarios!$H:$I,2,0),"")</f>
        <v/>
      </c>
      <c r="AR247" s="28" t="str">
        <f t="shared" si="150"/>
        <v>00:00</v>
      </c>
      <c r="AS247" s="29"/>
      <c r="AT247" s="31" t="str">
        <f t="shared" si="151"/>
        <v/>
      </c>
      <c r="AU247" s="27"/>
      <c r="AV247" s="27"/>
      <c r="AW247" s="28" t="str">
        <f>IFERROR(VLOOKUP(AU247,Horarios!$H:$I,2,0),"")</f>
        <v/>
      </c>
      <c r="AX247" s="28" t="str">
        <f>IFERROR(VLOOKUP(AV247,Horarios!$H:$I,2,0),"")</f>
        <v/>
      </c>
      <c r="AY247" s="28" t="str">
        <f t="shared" si="152"/>
        <v>00:00</v>
      </c>
      <c r="AZ247" s="29"/>
      <c r="BA247" s="27"/>
      <c r="BB247" s="27"/>
      <c r="BC247" s="28" t="str">
        <f>IFERROR(VLOOKUP(BA247,Horarios!$H:$I,2,0),"")</f>
        <v/>
      </c>
      <c r="BD247" s="28" t="str">
        <f>IFERROR(VLOOKUP(BB247,Horarios!$H:$I,2,0),"")</f>
        <v/>
      </c>
      <c r="BE247" s="28" t="str">
        <f t="shared" si="153"/>
        <v>00:00</v>
      </c>
      <c r="BF247" s="29"/>
      <c r="BG247" s="27"/>
      <c r="BH247" s="27"/>
      <c r="BI247" s="28" t="str">
        <f>IFERROR(VLOOKUP(BG247,Horarios!$H:$I,2,0),"")</f>
        <v/>
      </c>
      <c r="BJ247" s="28" t="str">
        <f>IFERROR(VLOOKUP(BH247,Horarios!$H:$I,2,0),"")</f>
        <v/>
      </c>
      <c r="BK247" s="28" t="str">
        <f t="shared" si="154"/>
        <v>00:00</v>
      </c>
      <c r="BL247" s="29"/>
      <c r="BM247" s="27"/>
      <c r="BN247" s="27"/>
      <c r="BO247" s="28" t="str">
        <f>IFERROR(VLOOKUP(BM247,Horarios!$H:$I,2,0),"")</f>
        <v/>
      </c>
      <c r="BP247" s="28" t="str">
        <f>IFERROR(VLOOKUP(BN247,Horarios!$H:$I,2,0),"")</f>
        <v/>
      </c>
      <c r="BQ247" s="28" t="str">
        <f t="shared" si="155"/>
        <v>00:00</v>
      </c>
      <c r="BR247" s="29"/>
      <c r="BS247" s="27"/>
      <c r="BT247" s="27"/>
      <c r="BU247" s="28" t="str">
        <f>IFERROR(VLOOKUP(BS247,Horarios!$H:$I,2,0),"")</f>
        <v/>
      </c>
      <c r="BV247" s="28" t="str">
        <f>IFERROR(VLOOKUP(BT247,Horarios!$H:$I,2,0),"")</f>
        <v/>
      </c>
      <c r="BW247" s="28" t="str">
        <f t="shared" si="156"/>
        <v>00:00</v>
      </c>
      <c r="BX247" s="29"/>
      <c r="BY247" s="27"/>
      <c r="BZ247" s="27"/>
      <c r="CA247" s="28" t="str">
        <f>IFERROR(VLOOKUP(BY247,Horarios!$H:$I,2,0),"")</f>
        <v/>
      </c>
      <c r="CB247" s="28" t="str">
        <f>IFERROR(VLOOKUP(BZ247,Horarios!$H:$I,2,0),"")</f>
        <v/>
      </c>
      <c r="CC247" s="28" t="str">
        <f t="shared" si="157"/>
        <v>00:00</v>
      </c>
      <c r="CD247" s="29"/>
      <c r="CE247" s="27"/>
      <c r="CF247" s="27"/>
      <c r="CG247" s="28" t="str">
        <f>IFERROR(VLOOKUP(CE247,Horarios!$H:$I,2,0),"")</f>
        <v/>
      </c>
      <c r="CH247" s="28" t="str">
        <f>IFERROR(VLOOKUP(CF247,Horarios!$H:$I,2,0),"")</f>
        <v/>
      </c>
      <c r="CI247" s="28" t="str">
        <f t="shared" si="158"/>
        <v>00:00</v>
      </c>
      <c r="CJ247" s="29"/>
      <c r="CK247" s="31" t="str">
        <f t="shared" si="159"/>
        <v/>
      </c>
      <c r="CL247" s="27"/>
      <c r="CM247" s="27"/>
      <c r="CN247" s="28" t="str">
        <f>IFERROR(VLOOKUP(CL247,Horarios!$H:$I,2,0),"")</f>
        <v/>
      </c>
      <c r="CO247" s="28" t="str">
        <f>IFERROR(VLOOKUP(CM247,Horarios!$H:$I,2,0),"")</f>
        <v/>
      </c>
      <c r="CP247" s="28" t="str">
        <f t="shared" si="160"/>
        <v>00:00</v>
      </c>
      <c r="CQ247" s="29"/>
      <c r="CR247" s="27"/>
      <c r="CS247" s="27"/>
      <c r="CT247" s="28" t="str">
        <f>IFERROR(VLOOKUP(CR247,Horarios!$H:$I,2,0),"")</f>
        <v/>
      </c>
      <c r="CU247" s="28" t="str">
        <f>IFERROR(VLOOKUP(CS247,Horarios!$H:$I,2,0),"")</f>
        <v/>
      </c>
      <c r="CV247" s="28" t="str">
        <f t="shared" si="161"/>
        <v>00:00</v>
      </c>
      <c r="CW247" s="29"/>
      <c r="CX247" s="27"/>
      <c r="CY247" s="27"/>
      <c r="CZ247" s="28" t="str">
        <f>IFERROR(VLOOKUP(CX247,Horarios!$H:$I,2,0),"")</f>
        <v/>
      </c>
      <c r="DA247" s="28" t="str">
        <f>IFERROR(VLOOKUP(CY247,Horarios!$H:$I,2,0),"")</f>
        <v/>
      </c>
      <c r="DB247" s="28" t="str">
        <f t="shared" si="162"/>
        <v>00:00</v>
      </c>
      <c r="DC247" s="29"/>
      <c r="DD247" s="27"/>
      <c r="DE247" s="27"/>
      <c r="DF247" s="28" t="str">
        <f>IFERROR(VLOOKUP(DD247,Horarios!$H:$I,2,0),"")</f>
        <v/>
      </c>
      <c r="DG247" s="28" t="str">
        <f>IFERROR(VLOOKUP(DE247,Horarios!$H:$I,2,0),"")</f>
        <v/>
      </c>
      <c r="DH247" s="28" t="str">
        <f t="shared" si="163"/>
        <v>00:00</v>
      </c>
      <c r="DI247" s="29"/>
      <c r="DJ247" s="27"/>
      <c r="DK247" s="27"/>
      <c r="DL247" s="28" t="str">
        <f>IFERROR(VLOOKUP(DJ247,Horarios!$H:$I,2,0),"")</f>
        <v/>
      </c>
      <c r="DM247" s="28" t="str">
        <f>IFERROR(VLOOKUP(DK247,Horarios!$H:$I,2,0),"")</f>
        <v/>
      </c>
      <c r="DN247" s="28" t="str">
        <f t="shared" si="164"/>
        <v>00:00</v>
      </c>
      <c r="DO247" s="29"/>
      <c r="DP247" s="27"/>
      <c r="DQ247" s="27"/>
      <c r="DR247" s="28" t="str">
        <f>IFERROR(VLOOKUP(DP247,Horarios!$H:$I,2,0),"")</f>
        <v/>
      </c>
      <c r="DS247" s="28" t="str">
        <f>IFERROR(VLOOKUP(DQ247,Horarios!$H:$I,2,0),"")</f>
        <v/>
      </c>
      <c r="DT247" s="28" t="str">
        <f t="shared" si="165"/>
        <v>00:00</v>
      </c>
      <c r="DU247" s="29"/>
      <c r="DV247" s="27"/>
      <c r="DW247" s="27"/>
      <c r="DX247" s="28" t="str">
        <f>IFERROR(VLOOKUP(DV247,Horarios!$H:$I,2,0),"")</f>
        <v/>
      </c>
      <c r="DY247" s="28" t="str">
        <f>IFERROR(VLOOKUP(DW247,Horarios!$H:$I,2,0),"")</f>
        <v/>
      </c>
      <c r="DZ247" s="28" t="str">
        <f t="shared" si="166"/>
        <v>00:00</v>
      </c>
      <c r="EA247" s="29"/>
      <c r="EB247" s="31" t="str">
        <f t="shared" si="167"/>
        <v/>
      </c>
      <c r="EC247" s="27"/>
      <c r="ED247" s="27"/>
      <c r="EE247" s="28" t="str">
        <f>IFERROR(VLOOKUP(EC247,Horarios!$H:$I,2,0),"")</f>
        <v/>
      </c>
      <c r="EF247" s="28" t="str">
        <f>IFERROR(VLOOKUP(ED247,Horarios!$H:$I,2,0),"")</f>
        <v/>
      </c>
      <c r="EG247" s="28" t="str">
        <f t="shared" si="168"/>
        <v>00:00</v>
      </c>
      <c r="EH247" s="29"/>
      <c r="EI247" s="27"/>
      <c r="EJ247" s="27"/>
      <c r="EK247" s="28" t="str">
        <f>IFERROR(VLOOKUP(EI247,Horarios!$H:$I,2,0),"")</f>
        <v/>
      </c>
      <c r="EL247" s="28" t="str">
        <f>IFERROR(VLOOKUP(EJ247,Horarios!$H:$I,2,0),"")</f>
        <v/>
      </c>
      <c r="EM247" s="28" t="str">
        <f t="shared" si="169"/>
        <v>00:00</v>
      </c>
      <c r="EN247" s="29"/>
      <c r="EO247" s="27"/>
      <c r="EP247" s="27"/>
      <c r="EQ247" s="28" t="str">
        <f>IFERROR(VLOOKUP(EO247,Horarios!$H:$I,2,0),"")</f>
        <v/>
      </c>
      <c r="ER247" s="28" t="str">
        <f>IFERROR(VLOOKUP(EP247,Horarios!$H:$I,2,0),"")</f>
        <v/>
      </c>
      <c r="ES247" s="28" t="str">
        <f t="shared" si="170"/>
        <v>00:00</v>
      </c>
      <c r="ET247" s="29"/>
      <c r="EU247" s="27"/>
      <c r="EV247" s="27"/>
      <c r="EW247" s="28" t="str">
        <f>IFERROR(VLOOKUP(EU247,Horarios!$H:$I,2,0),"")</f>
        <v/>
      </c>
      <c r="EX247" s="28" t="str">
        <f>IFERROR(VLOOKUP(EV247,Horarios!$H:$I,2,0),"")</f>
        <v/>
      </c>
      <c r="EY247" s="28" t="str">
        <f t="shared" si="171"/>
        <v>00:00</v>
      </c>
      <c r="EZ247" s="29"/>
      <c r="FA247" s="27"/>
      <c r="FB247" s="27"/>
      <c r="FC247" s="28" t="str">
        <f>IFERROR(VLOOKUP(FA247,Horarios!$H:$I,2,0),"")</f>
        <v/>
      </c>
      <c r="FD247" s="28" t="str">
        <f>IFERROR(VLOOKUP(FB247,Horarios!$H:$I,2,0),"")</f>
        <v/>
      </c>
      <c r="FE247" s="28" t="str">
        <f t="shared" si="172"/>
        <v>00:00</v>
      </c>
      <c r="FF247" s="29"/>
      <c r="FG247" s="27"/>
      <c r="FH247" s="27"/>
      <c r="FI247" s="28" t="str">
        <f>IFERROR(VLOOKUP(FG247,Horarios!$H:$I,2,0),"")</f>
        <v/>
      </c>
      <c r="FJ247" s="28" t="str">
        <f>IFERROR(VLOOKUP(FH247,Horarios!$H:$I,2,0),"")</f>
        <v/>
      </c>
      <c r="FK247" s="28" t="str">
        <f t="shared" si="173"/>
        <v>00:00</v>
      </c>
      <c r="FL247" s="29"/>
      <c r="FM247" s="27"/>
      <c r="FN247" s="27"/>
      <c r="FO247" s="28" t="str">
        <f>IFERROR(VLOOKUP(FM247,Horarios!$H:$I,2,0),"")</f>
        <v/>
      </c>
      <c r="FP247" s="28" t="str">
        <f>IFERROR(VLOOKUP(FN247,Horarios!$H:$I,2,0),"")</f>
        <v/>
      </c>
      <c r="FQ247" s="28" t="str">
        <f t="shared" si="174"/>
        <v>00:00</v>
      </c>
      <c r="FR247" s="29"/>
      <c r="FS247" s="31" t="str">
        <f t="shared" si="175"/>
        <v/>
      </c>
      <c r="FT247" s="27"/>
      <c r="FU247" s="27"/>
      <c r="FV247" s="28" t="str">
        <f>IFERROR(VLOOKUP(FT247,Horarios!$H:$I,2,0),"")</f>
        <v/>
      </c>
      <c r="FW247" s="28" t="str">
        <f>IFERROR(VLOOKUP(FU247,Horarios!$H:$I,2,0),"")</f>
        <v/>
      </c>
      <c r="FX247" s="28" t="str">
        <f t="shared" si="176"/>
        <v>00:00</v>
      </c>
      <c r="FY247" s="29"/>
      <c r="FZ247" s="27"/>
      <c r="GA247" s="27"/>
      <c r="GB247" s="28" t="str">
        <f>IFERROR(VLOOKUP(FZ247,Horarios!$H:$I,2,0),"")</f>
        <v/>
      </c>
      <c r="GC247" s="28" t="str">
        <f>IFERROR(VLOOKUP(GA247,Horarios!$H:$I,2,0),"")</f>
        <v/>
      </c>
      <c r="GD247" s="28" t="str">
        <f t="shared" si="177"/>
        <v>00:00</v>
      </c>
      <c r="GE247" s="29"/>
      <c r="GF247" s="27"/>
      <c r="GG247" s="27"/>
      <c r="GH247" s="28" t="str">
        <f>IFERROR(VLOOKUP(GF247,Horarios!$H:$I,2,0),"")</f>
        <v/>
      </c>
      <c r="GI247" s="28" t="str">
        <f>IFERROR(VLOOKUP(GG247,Horarios!$H:$I,2,0),"")</f>
        <v/>
      </c>
      <c r="GJ247" s="28" t="str">
        <f t="shared" si="178"/>
        <v>00:00</v>
      </c>
      <c r="GK247" s="29"/>
      <c r="GL247" s="27"/>
      <c r="GM247" s="27"/>
      <c r="GN247" s="28" t="str">
        <f>IFERROR(VLOOKUP(GL247,Horarios!$H:$I,2,0),"")</f>
        <v/>
      </c>
      <c r="GO247" s="28" t="str">
        <f>IFERROR(VLOOKUP(GM247,Horarios!$H:$I,2,0),"")</f>
        <v/>
      </c>
      <c r="GP247" s="28" t="str">
        <f t="shared" si="179"/>
        <v>00:00</v>
      </c>
      <c r="GQ247" s="29"/>
      <c r="GR247" s="27"/>
      <c r="GS247" s="27"/>
      <c r="GT247" s="28" t="str">
        <f>IFERROR(VLOOKUP(GR247,Horarios!$H:$I,2,0),"")</f>
        <v/>
      </c>
      <c r="GU247" s="28" t="str">
        <f>IFERROR(VLOOKUP(GS247,Horarios!$H:$I,2,0),"")</f>
        <v/>
      </c>
      <c r="GV247" s="28" t="str">
        <f t="shared" si="180"/>
        <v>00:00</v>
      </c>
      <c r="GW247" s="29"/>
      <c r="GX247" s="27"/>
      <c r="GY247" s="27"/>
      <c r="GZ247" s="28" t="str">
        <f>IFERROR(VLOOKUP(GX247,Horarios!$H:$I,2,0),"")</f>
        <v/>
      </c>
      <c r="HA247" s="28" t="str">
        <f>IFERROR(VLOOKUP(GY247,Horarios!$H:$I,2,0),"")</f>
        <v/>
      </c>
      <c r="HB247" s="28" t="str">
        <f t="shared" si="181"/>
        <v>00:00</v>
      </c>
      <c r="HC247" s="29"/>
      <c r="HD247" s="27"/>
      <c r="HE247" s="27"/>
      <c r="HF247" s="28" t="str">
        <f>IFERROR(VLOOKUP(HD247,Horarios!$H:$I,2,0),"")</f>
        <v/>
      </c>
      <c r="HG247" s="28" t="str">
        <f>IFERROR(VLOOKUP(HE247,Horarios!$H:$I,2,0),"")</f>
        <v/>
      </c>
      <c r="HH247" s="28" t="str">
        <f t="shared" si="182"/>
        <v>00:00</v>
      </c>
      <c r="HI247" s="29"/>
      <c r="HJ247" s="31" t="str">
        <f t="shared" si="183"/>
        <v/>
      </c>
      <c r="HK247" s="27"/>
      <c r="HL247" s="27"/>
      <c r="HM247" s="28" t="str">
        <f>IFERROR(VLOOKUP(HK247,Horarios!$H:$I,2,0),"")</f>
        <v/>
      </c>
      <c r="HN247" s="28" t="str">
        <f>IFERROR(VLOOKUP(HL247,Horarios!$H:$I,2,0),"")</f>
        <v/>
      </c>
      <c r="HO247" s="28" t="str">
        <f t="shared" si="184"/>
        <v>00:00</v>
      </c>
      <c r="HP247" s="29"/>
      <c r="HQ247" s="27"/>
      <c r="HR247" s="27"/>
      <c r="HS247" s="28" t="str">
        <f>IFERROR(VLOOKUP(HQ247,Horarios!$H:$I,2,0),"")</f>
        <v/>
      </c>
      <c r="HT247" s="28" t="str">
        <f>IFERROR(VLOOKUP(HR247,Horarios!$H:$I,2,0),"")</f>
        <v/>
      </c>
      <c r="HU247" s="28" t="str">
        <f t="shared" si="185"/>
        <v>00:00</v>
      </c>
      <c r="HV247" s="29"/>
      <c r="HW247" s="27"/>
      <c r="HX247" s="27"/>
      <c r="HY247" s="28" t="str">
        <f>IFERROR(VLOOKUP(HW247,Horarios!$H:$I,2,0),"")</f>
        <v/>
      </c>
      <c r="HZ247" s="28" t="str">
        <f>IFERROR(VLOOKUP(HX247,Horarios!$H:$I,2,0),"")</f>
        <v/>
      </c>
      <c r="IA247" s="28" t="str">
        <f t="shared" si="186"/>
        <v>00:00</v>
      </c>
      <c r="IB247" s="29"/>
      <c r="IC247" s="27"/>
      <c r="ID247" s="27"/>
      <c r="IE247" s="28" t="str">
        <f>IFERROR(VLOOKUP(IC247,Horarios!$H:$I,2,0),"")</f>
        <v/>
      </c>
      <c r="IF247" s="28" t="str">
        <f>IFERROR(VLOOKUP(ID247,Horarios!$H:$I,2,0),"")</f>
        <v/>
      </c>
      <c r="IG247" s="28" t="str">
        <f t="shared" si="187"/>
        <v>00:00</v>
      </c>
      <c r="IH247" s="29"/>
      <c r="II247" s="27"/>
      <c r="IJ247" s="27"/>
      <c r="IK247" s="28" t="str">
        <f>IFERROR(VLOOKUP(II247,Horarios!$H:$I,2,0),"")</f>
        <v/>
      </c>
      <c r="IL247" s="28" t="str">
        <f>IFERROR(VLOOKUP(IJ247,Horarios!$H:$I,2,0),"")</f>
        <v/>
      </c>
      <c r="IM247" s="28" t="str">
        <f t="shared" si="188"/>
        <v>00:00</v>
      </c>
      <c r="IN247" s="29"/>
      <c r="IO247" s="27"/>
      <c r="IP247" s="27"/>
      <c r="IQ247" s="28" t="str">
        <f>IFERROR(VLOOKUP(IO247,Horarios!$H:$I,2,0),"")</f>
        <v/>
      </c>
      <c r="IR247" s="28" t="str">
        <f>IFERROR(VLOOKUP(IP247,Horarios!$H:$I,2,0),"")</f>
        <v/>
      </c>
      <c r="IS247" s="28" t="str">
        <f t="shared" si="189"/>
        <v>00:00</v>
      </c>
      <c r="IT247" s="29"/>
      <c r="IU247" s="27"/>
      <c r="IV247" s="27"/>
      <c r="IW247" s="28" t="str">
        <f>IFERROR(VLOOKUP(IU247,Horarios!$H:$I,2,0),"")</f>
        <v/>
      </c>
      <c r="IX247" s="28" t="str">
        <f>IFERROR(VLOOKUP(IV247,Horarios!$H:$I,2,0),"")</f>
        <v/>
      </c>
      <c r="IY247" s="28" t="str">
        <f t="shared" si="190"/>
        <v>00:00</v>
      </c>
      <c r="IZ247" s="29"/>
      <c r="JA247" s="31" t="str">
        <f t="shared" si="191"/>
        <v/>
      </c>
    </row>
    <row r="248" spans="1:261" s="24" customFormat="1" ht="17.399999999999999" x14ac:dyDescent="0.25">
      <c r="A248" s="25"/>
      <c r="B248" s="26" t="str">
        <f>IFERROR(VLOOKUP(A248,BaseNombres!A:B,2,0),"")</f>
        <v/>
      </c>
      <c r="C248" s="26" t="str">
        <f>IFERROR(VLOOKUP(A248,BaseNombres!A:C,3,0),"")</f>
        <v/>
      </c>
      <c r="D248" s="27"/>
      <c r="E248" s="27"/>
      <c r="F248" s="28" t="str">
        <f>IFERROR(VLOOKUP(D248,Horarios!$H:$I,2,0),"")</f>
        <v/>
      </c>
      <c r="G248" s="28" t="str">
        <f>IFERROR(VLOOKUP(E248,Horarios!$H:$I,2,0),"")</f>
        <v/>
      </c>
      <c r="H248" s="28" t="str">
        <f t="shared" si="144"/>
        <v>00:00</v>
      </c>
      <c r="I248" s="29"/>
      <c r="J248" s="27"/>
      <c r="K248" s="27"/>
      <c r="L248" s="28" t="str">
        <f>IFERROR(VLOOKUP(J248,Horarios!$H:$I,2,0),"")</f>
        <v/>
      </c>
      <c r="M248" s="28" t="str">
        <f>IFERROR(VLOOKUP(K248,Horarios!$H:$I,2,0),"")</f>
        <v/>
      </c>
      <c r="N248" s="28" t="str">
        <f t="shared" si="145"/>
        <v>00:00</v>
      </c>
      <c r="O248" s="29"/>
      <c r="P248" s="27"/>
      <c r="Q248" s="27"/>
      <c r="R248" s="28" t="str">
        <f>IFERROR(VLOOKUP(P248,Horarios!$H:$I,2,0),"")</f>
        <v/>
      </c>
      <c r="S248" s="28" t="str">
        <f>IFERROR(VLOOKUP(Q248,Horarios!$H:$I,2,0),"")</f>
        <v/>
      </c>
      <c r="T248" s="28" t="str">
        <f t="shared" si="146"/>
        <v>00:00</v>
      </c>
      <c r="U248" s="29"/>
      <c r="V248" s="27"/>
      <c r="W248" s="27"/>
      <c r="X248" s="28" t="str">
        <f>IFERROR(VLOOKUP(V248,Horarios!$H:$I,2,0),"")</f>
        <v/>
      </c>
      <c r="Y248" s="28" t="str">
        <f>IFERROR(VLOOKUP(W248,Horarios!$H:$I,2,0),"")</f>
        <v/>
      </c>
      <c r="Z248" s="28" t="str">
        <f t="shared" si="147"/>
        <v>00:00</v>
      </c>
      <c r="AA248" s="29"/>
      <c r="AB248" s="27"/>
      <c r="AC248" s="27"/>
      <c r="AD248" s="28" t="str">
        <f>IFERROR(VLOOKUP(AB248,Horarios!$H:$I,2,0),"")</f>
        <v/>
      </c>
      <c r="AE248" s="28" t="str">
        <f>IFERROR(VLOOKUP(AC248,Horarios!$H:$I,2,0),"")</f>
        <v/>
      </c>
      <c r="AF248" s="28" t="str">
        <f t="shared" si="148"/>
        <v>00:00</v>
      </c>
      <c r="AG248" s="29"/>
      <c r="AH248" s="27"/>
      <c r="AI248" s="27"/>
      <c r="AJ248" s="28" t="str">
        <f>IFERROR(VLOOKUP(AH248,Horarios!$H:$I,2,0),"")</f>
        <v/>
      </c>
      <c r="AK248" s="28" t="str">
        <f>IFERROR(VLOOKUP(AI248,Horarios!$H:$I,2,0),"")</f>
        <v/>
      </c>
      <c r="AL248" s="28" t="str">
        <f t="shared" si="149"/>
        <v>00:00</v>
      </c>
      <c r="AM248" s="29"/>
      <c r="AN248" s="27"/>
      <c r="AO248" s="27"/>
      <c r="AP248" s="28" t="str">
        <f>IFERROR(VLOOKUP(AN248,Horarios!$H:$I,2,0),"")</f>
        <v/>
      </c>
      <c r="AQ248" s="28" t="str">
        <f>IFERROR(VLOOKUP(AO248,Horarios!$H:$I,2,0),"")</f>
        <v/>
      </c>
      <c r="AR248" s="28" t="str">
        <f t="shared" si="150"/>
        <v>00:00</v>
      </c>
      <c r="AS248" s="29"/>
      <c r="AT248" s="31" t="str">
        <f t="shared" si="151"/>
        <v/>
      </c>
      <c r="AU248" s="27"/>
      <c r="AV248" s="27"/>
      <c r="AW248" s="28" t="str">
        <f>IFERROR(VLOOKUP(AU248,Horarios!$H:$I,2,0),"")</f>
        <v/>
      </c>
      <c r="AX248" s="28" t="str">
        <f>IFERROR(VLOOKUP(AV248,Horarios!$H:$I,2,0),"")</f>
        <v/>
      </c>
      <c r="AY248" s="28" t="str">
        <f t="shared" si="152"/>
        <v>00:00</v>
      </c>
      <c r="AZ248" s="29"/>
      <c r="BA248" s="27"/>
      <c r="BB248" s="27"/>
      <c r="BC248" s="28" t="str">
        <f>IFERROR(VLOOKUP(BA248,Horarios!$H:$I,2,0),"")</f>
        <v/>
      </c>
      <c r="BD248" s="28" t="str">
        <f>IFERROR(VLOOKUP(BB248,Horarios!$H:$I,2,0),"")</f>
        <v/>
      </c>
      <c r="BE248" s="28" t="str">
        <f t="shared" si="153"/>
        <v>00:00</v>
      </c>
      <c r="BF248" s="29"/>
      <c r="BG248" s="27"/>
      <c r="BH248" s="27"/>
      <c r="BI248" s="28" t="str">
        <f>IFERROR(VLOOKUP(BG248,Horarios!$H:$I,2,0),"")</f>
        <v/>
      </c>
      <c r="BJ248" s="28" t="str">
        <f>IFERROR(VLOOKUP(BH248,Horarios!$H:$I,2,0),"")</f>
        <v/>
      </c>
      <c r="BK248" s="28" t="str">
        <f t="shared" si="154"/>
        <v>00:00</v>
      </c>
      <c r="BL248" s="29"/>
      <c r="BM248" s="27"/>
      <c r="BN248" s="27"/>
      <c r="BO248" s="28" t="str">
        <f>IFERROR(VLOOKUP(BM248,Horarios!$H:$I,2,0),"")</f>
        <v/>
      </c>
      <c r="BP248" s="28" t="str">
        <f>IFERROR(VLOOKUP(BN248,Horarios!$H:$I,2,0),"")</f>
        <v/>
      </c>
      <c r="BQ248" s="28" t="str">
        <f t="shared" si="155"/>
        <v>00:00</v>
      </c>
      <c r="BR248" s="29"/>
      <c r="BS248" s="27"/>
      <c r="BT248" s="27"/>
      <c r="BU248" s="28" t="str">
        <f>IFERROR(VLOOKUP(BS248,Horarios!$H:$I,2,0),"")</f>
        <v/>
      </c>
      <c r="BV248" s="28" t="str">
        <f>IFERROR(VLOOKUP(BT248,Horarios!$H:$I,2,0),"")</f>
        <v/>
      </c>
      <c r="BW248" s="28" t="str">
        <f t="shared" si="156"/>
        <v>00:00</v>
      </c>
      <c r="BX248" s="29"/>
      <c r="BY248" s="27"/>
      <c r="BZ248" s="27"/>
      <c r="CA248" s="28" t="str">
        <f>IFERROR(VLOOKUP(BY248,Horarios!$H:$I,2,0),"")</f>
        <v/>
      </c>
      <c r="CB248" s="28" t="str">
        <f>IFERROR(VLOOKUP(BZ248,Horarios!$H:$I,2,0),"")</f>
        <v/>
      </c>
      <c r="CC248" s="28" t="str">
        <f t="shared" si="157"/>
        <v>00:00</v>
      </c>
      <c r="CD248" s="29"/>
      <c r="CE248" s="27"/>
      <c r="CF248" s="27"/>
      <c r="CG248" s="28" t="str">
        <f>IFERROR(VLOOKUP(CE248,Horarios!$H:$I,2,0),"")</f>
        <v/>
      </c>
      <c r="CH248" s="28" t="str">
        <f>IFERROR(VLOOKUP(CF248,Horarios!$H:$I,2,0),"")</f>
        <v/>
      </c>
      <c r="CI248" s="28" t="str">
        <f t="shared" si="158"/>
        <v>00:00</v>
      </c>
      <c r="CJ248" s="29"/>
      <c r="CK248" s="31" t="str">
        <f t="shared" si="159"/>
        <v/>
      </c>
      <c r="CL248" s="27"/>
      <c r="CM248" s="27"/>
      <c r="CN248" s="28" t="str">
        <f>IFERROR(VLOOKUP(CL248,Horarios!$H:$I,2,0),"")</f>
        <v/>
      </c>
      <c r="CO248" s="28" t="str">
        <f>IFERROR(VLOOKUP(CM248,Horarios!$H:$I,2,0),"")</f>
        <v/>
      </c>
      <c r="CP248" s="28" t="str">
        <f t="shared" si="160"/>
        <v>00:00</v>
      </c>
      <c r="CQ248" s="29"/>
      <c r="CR248" s="27"/>
      <c r="CS248" s="27"/>
      <c r="CT248" s="28" t="str">
        <f>IFERROR(VLOOKUP(CR248,Horarios!$H:$I,2,0),"")</f>
        <v/>
      </c>
      <c r="CU248" s="28" t="str">
        <f>IFERROR(VLOOKUP(CS248,Horarios!$H:$I,2,0),"")</f>
        <v/>
      </c>
      <c r="CV248" s="28" t="str">
        <f t="shared" si="161"/>
        <v>00:00</v>
      </c>
      <c r="CW248" s="29"/>
      <c r="CX248" s="27"/>
      <c r="CY248" s="27"/>
      <c r="CZ248" s="28" t="str">
        <f>IFERROR(VLOOKUP(CX248,Horarios!$H:$I,2,0),"")</f>
        <v/>
      </c>
      <c r="DA248" s="28" t="str">
        <f>IFERROR(VLOOKUP(CY248,Horarios!$H:$I,2,0),"")</f>
        <v/>
      </c>
      <c r="DB248" s="28" t="str">
        <f t="shared" si="162"/>
        <v>00:00</v>
      </c>
      <c r="DC248" s="29"/>
      <c r="DD248" s="27"/>
      <c r="DE248" s="27"/>
      <c r="DF248" s="28" t="str">
        <f>IFERROR(VLOOKUP(DD248,Horarios!$H:$I,2,0),"")</f>
        <v/>
      </c>
      <c r="DG248" s="28" t="str">
        <f>IFERROR(VLOOKUP(DE248,Horarios!$H:$I,2,0),"")</f>
        <v/>
      </c>
      <c r="DH248" s="28" t="str">
        <f t="shared" si="163"/>
        <v>00:00</v>
      </c>
      <c r="DI248" s="29"/>
      <c r="DJ248" s="27"/>
      <c r="DK248" s="27"/>
      <c r="DL248" s="28" t="str">
        <f>IFERROR(VLOOKUP(DJ248,Horarios!$H:$I,2,0),"")</f>
        <v/>
      </c>
      <c r="DM248" s="28" t="str">
        <f>IFERROR(VLOOKUP(DK248,Horarios!$H:$I,2,0),"")</f>
        <v/>
      </c>
      <c r="DN248" s="28" t="str">
        <f t="shared" si="164"/>
        <v>00:00</v>
      </c>
      <c r="DO248" s="29"/>
      <c r="DP248" s="27"/>
      <c r="DQ248" s="27"/>
      <c r="DR248" s="28" t="str">
        <f>IFERROR(VLOOKUP(DP248,Horarios!$H:$I,2,0),"")</f>
        <v/>
      </c>
      <c r="DS248" s="28" t="str">
        <f>IFERROR(VLOOKUP(DQ248,Horarios!$H:$I,2,0),"")</f>
        <v/>
      </c>
      <c r="DT248" s="28" t="str">
        <f t="shared" si="165"/>
        <v>00:00</v>
      </c>
      <c r="DU248" s="29"/>
      <c r="DV248" s="27"/>
      <c r="DW248" s="27"/>
      <c r="DX248" s="28" t="str">
        <f>IFERROR(VLOOKUP(DV248,Horarios!$H:$I,2,0),"")</f>
        <v/>
      </c>
      <c r="DY248" s="28" t="str">
        <f>IFERROR(VLOOKUP(DW248,Horarios!$H:$I,2,0),"")</f>
        <v/>
      </c>
      <c r="DZ248" s="28" t="str">
        <f t="shared" si="166"/>
        <v>00:00</v>
      </c>
      <c r="EA248" s="29"/>
      <c r="EB248" s="31" t="str">
        <f t="shared" si="167"/>
        <v/>
      </c>
      <c r="EC248" s="27"/>
      <c r="ED248" s="27"/>
      <c r="EE248" s="28" t="str">
        <f>IFERROR(VLOOKUP(EC248,Horarios!$H:$I,2,0),"")</f>
        <v/>
      </c>
      <c r="EF248" s="28" t="str">
        <f>IFERROR(VLOOKUP(ED248,Horarios!$H:$I,2,0),"")</f>
        <v/>
      </c>
      <c r="EG248" s="28" t="str">
        <f t="shared" si="168"/>
        <v>00:00</v>
      </c>
      <c r="EH248" s="29"/>
      <c r="EI248" s="27"/>
      <c r="EJ248" s="27"/>
      <c r="EK248" s="28" t="str">
        <f>IFERROR(VLOOKUP(EI248,Horarios!$H:$I,2,0),"")</f>
        <v/>
      </c>
      <c r="EL248" s="28" t="str">
        <f>IFERROR(VLOOKUP(EJ248,Horarios!$H:$I,2,0),"")</f>
        <v/>
      </c>
      <c r="EM248" s="28" t="str">
        <f t="shared" si="169"/>
        <v>00:00</v>
      </c>
      <c r="EN248" s="29"/>
      <c r="EO248" s="27"/>
      <c r="EP248" s="27"/>
      <c r="EQ248" s="28" t="str">
        <f>IFERROR(VLOOKUP(EO248,Horarios!$H:$I,2,0),"")</f>
        <v/>
      </c>
      <c r="ER248" s="28" t="str">
        <f>IFERROR(VLOOKUP(EP248,Horarios!$H:$I,2,0),"")</f>
        <v/>
      </c>
      <c r="ES248" s="28" t="str">
        <f t="shared" si="170"/>
        <v>00:00</v>
      </c>
      <c r="ET248" s="29"/>
      <c r="EU248" s="27"/>
      <c r="EV248" s="27"/>
      <c r="EW248" s="28" t="str">
        <f>IFERROR(VLOOKUP(EU248,Horarios!$H:$I,2,0),"")</f>
        <v/>
      </c>
      <c r="EX248" s="28" t="str">
        <f>IFERROR(VLOOKUP(EV248,Horarios!$H:$I,2,0),"")</f>
        <v/>
      </c>
      <c r="EY248" s="28" t="str">
        <f t="shared" si="171"/>
        <v>00:00</v>
      </c>
      <c r="EZ248" s="29"/>
      <c r="FA248" s="27"/>
      <c r="FB248" s="27"/>
      <c r="FC248" s="28" t="str">
        <f>IFERROR(VLOOKUP(FA248,Horarios!$H:$I,2,0),"")</f>
        <v/>
      </c>
      <c r="FD248" s="28" t="str">
        <f>IFERROR(VLOOKUP(FB248,Horarios!$H:$I,2,0),"")</f>
        <v/>
      </c>
      <c r="FE248" s="28" t="str">
        <f t="shared" si="172"/>
        <v>00:00</v>
      </c>
      <c r="FF248" s="29"/>
      <c r="FG248" s="27"/>
      <c r="FH248" s="27"/>
      <c r="FI248" s="28" t="str">
        <f>IFERROR(VLOOKUP(FG248,Horarios!$H:$I,2,0),"")</f>
        <v/>
      </c>
      <c r="FJ248" s="28" t="str">
        <f>IFERROR(VLOOKUP(FH248,Horarios!$H:$I,2,0),"")</f>
        <v/>
      </c>
      <c r="FK248" s="28" t="str">
        <f t="shared" si="173"/>
        <v>00:00</v>
      </c>
      <c r="FL248" s="29"/>
      <c r="FM248" s="27"/>
      <c r="FN248" s="27"/>
      <c r="FO248" s="28" t="str">
        <f>IFERROR(VLOOKUP(FM248,Horarios!$H:$I,2,0),"")</f>
        <v/>
      </c>
      <c r="FP248" s="28" t="str">
        <f>IFERROR(VLOOKUP(FN248,Horarios!$H:$I,2,0),"")</f>
        <v/>
      </c>
      <c r="FQ248" s="28" t="str">
        <f t="shared" si="174"/>
        <v>00:00</v>
      </c>
      <c r="FR248" s="29"/>
      <c r="FS248" s="31" t="str">
        <f t="shared" si="175"/>
        <v/>
      </c>
      <c r="FT248" s="27"/>
      <c r="FU248" s="27"/>
      <c r="FV248" s="28" t="str">
        <f>IFERROR(VLOOKUP(FT248,Horarios!$H:$I,2,0),"")</f>
        <v/>
      </c>
      <c r="FW248" s="28" t="str">
        <f>IFERROR(VLOOKUP(FU248,Horarios!$H:$I,2,0),"")</f>
        <v/>
      </c>
      <c r="FX248" s="28" t="str">
        <f t="shared" si="176"/>
        <v>00:00</v>
      </c>
      <c r="FY248" s="29"/>
      <c r="FZ248" s="27"/>
      <c r="GA248" s="27"/>
      <c r="GB248" s="28" t="str">
        <f>IFERROR(VLOOKUP(FZ248,Horarios!$H:$I,2,0),"")</f>
        <v/>
      </c>
      <c r="GC248" s="28" t="str">
        <f>IFERROR(VLOOKUP(GA248,Horarios!$H:$I,2,0),"")</f>
        <v/>
      </c>
      <c r="GD248" s="28" t="str">
        <f t="shared" si="177"/>
        <v>00:00</v>
      </c>
      <c r="GE248" s="29"/>
      <c r="GF248" s="27"/>
      <c r="GG248" s="27"/>
      <c r="GH248" s="28" t="str">
        <f>IFERROR(VLOOKUP(GF248,Horarios!$H:$I,2,0),"")</f>
        <v/>
      </c>
      <c r="GI248" s="28" t="str">
        <f>IFERROR(VLOOKUP(GG248,Horarios!$H:$I,2,0),"")</f>
        <v/>
      </c>
      <c r="GJ248" s="28" t="str">
        <f t="shared" si="178"/>
        <v>00:00</v>
      </c>
      <c r="GK248" s="29"/>
      <c r="GL248" s="27"/>
      <c r="GM248" s="27"/>
      <c r="GN248" s="28" t="str">
        <f>IFERROR(VLOOKUP(GL248,Horarios!$H:$I,2,0),"")</f>
        <v/>
      </c>
      <c r="GO248" s="28" t="str">
        <f>IFERROR(VLOOKUP(GM248,Horarios!$H:$I,2,0),"")</f>
        <v/>
      </c>
      <c r="GP248" s="28" t="str">
        <f t="shared" si="179"/>
        <v>00:00</v>
      </c>
      <c r="GQ248" s="29"/>
      <c r="GR248" s="27"/>
      <c r="GS248" s="27"/>
      <c r="GT248" s="28" t="str">
        <f>IFERROR(VLOOKUP(GR248,Horarios!$H:$I,2,0),"")</f>
        <v/>
      </c>
      <c r="GU248" s="28" t="str">
        <f>IFERROR(VLOOKUP(GS248,Horarios!$H:$I,2,0),"")</f>
        <v/>
      </c>
      <c r="GV248" s="28" t="str">
        <f t="shared" si="180"/>
        <v>00:00</v>
      </c>
      <c r="GW248" s="29"/>
      <c r="GX248" s="27"/>
      <c r="GY248" s="27"/>
      <c r="GZ248" s="28" t="str">
        <f>IFERROR(VLOOKUP(GX248,Horarios!$H:$I,2,0),"")</f>
        <v/>
      </c>
      <c r="HA248" s="28" t="str">
        <f>IFERROR(VLOOKUP(GY248,Horarios!$H:$I,2,0),"")</f>
        <v/>
      </c>
      <c r="HB248" s="28" t="str">
        <f t="shared" si="181"/>
        <v>00:00</v>
      </c>
      <c r="HC248" s="29"/>
      <c r="HD248" s="27"/>
      <c r="HE248" s="27"/>
      <c r="HF248" s="28" t="str">
        <f>IFERROR(VLOOKUP(HD248,Horarios!$H:$I,2,0),"")</f>
        <v/>
      </c>
      <c r="HG248" s="28" t="str">
        <f>IFERROR(VLOOKUP(HE248,Horarios!$H:$I,2,0),"")</f>
        <v/>
      </c>
      <c r="HH248" s="28" t="str">
        <f t="shared" si="182"/>
        <v>00:00</v>
      </c>
      <c r="HI248" s="29"/>
      <c r="HJ248" s="31" t="str">
        <f t="shared" si="183"/>
        <v/>
      </c>
      <c r="HK248" s="27"/>
      <c r="HL248" s="27"/>
      <c r="HM248" s="28" t="str">
        <f>IFERROR(VLOOKUP(HK248,Horarios!$H:$I,2,0),"")</f>
        <v/>
      </c>
      <c r="HN248" s="28" t="str">
        <f>IFERROR(VLOOKUP(HL248,Horarios!$H:$I,2,0),"")</f>
        <v/>
      </c>
      <c r="HO248" s="28" t="str">
        <f t="shared" si="184"/>
        <v>00:00</v>
      </c>
      <c r="HP248" s="29"/>
      <c r="HQ248" s="27"/>
      <c r="HR248" s="27"/>
      <c r="HS248" s="28" t="str">
        <f>IFERROR(VLOOKUP(HQ248,Horarios!$H:$I,2,0),"")</f>
        <v/>
      </c>
      <c r="HT248" s="28" t="str">
        <f>IFERROR(VLOOKUP(HR248,Horarios!$H:$I,2,0),"")</f>
        <v/>
      </c>
      <c r="HU248" s="28" t="str">
        <f t="shared" si="185"/>
        <v>00:00</v>
      </c>
      <c r="HV248" s="29"/>
      <c r="HW248" s="27"/>
      <c r="HX248" s="27"/>
      <c r="HY248" s="28" t="str">
        <f>IFERROR(VLOOKUP(HW248,Horarios!$H:$I,2,0),"")</f>
        <v/>
      </c>
      <c r="HZ248" s="28" t="str">
        <f>IFERROR(VLOOKUP(HX248,Horarios!$H:$I,2,0),"")</f>
        <v/>
      </c>
      <c r="IA248" s="28" t="str">
        <f t="shared" si="186"/>
        <v>00:00</v>
      </c>
      <c r="IB248" s="29"/>
      <c r="IC248" s="27"/>
      <c r="ID248" s="27"/>
      <c r="IE248" s="28" t="str">
        <f>IFERROR(VLOOKUP(IC248,Horarios!$H:$I,2,0),"")</f>
        <v/>
      </c>
      <c r="IF248" s="28" t="str">
        <f>IFERROR(VLOOKUP(ID248,Horarios!$H:$I,2,0),"")</f>
        <v/>
      </c>
      <c r="IG248" s="28" t="str">
        <f t="shared" si="187"/>
        <v>00:00</v>
      </c>
      <c r="IH248" s="29"/>
      <c r="II248" s="27"/>
      <c r="IJ248" s="27"/>
      <c r="IK248" s="28" t="str">
        <f>IFERROR(VLOOKUP(II248,Horarios!$H:$I,2,0),"")</f>
        <v/>
      </c>
      <c r="IL248" s="28" t="str">
        <f>IFERROR(VLOOKUP(IJ248,Horarios!$H:$I,2,0),"")</f>
        <v/>
      </c>
      <c r="IM248" s="28" t="str">
        <f t="shared" si="188"/>
        <v>00:00</v>
      </c>
      <c r="IN248" s="29"/>
      <c r="IO248" s="27"/>
      <c r="IP248" s="27"/>
      <c r="IQ248" s="28" t="str">
        <f>IFERROR(VLOOKUP(IO248,Horarios!$H:$I,2,0),"")</f>
        <v/>
      </c>
      <c r="IR248" s="28" t="str">
        <f>IFERROR(VLOOKUP(IP248,Horarios!$H:$I,2,0),"")</f>
        <v/>
      </c>
      <c r="IS248" s="28" t="str">
        <f t="shared" si="189"/>
        <v>00:00</v>
      </c>
      <c r="IT248" s="29"/>
      <c r="IU248" s="27"/>
      <c r="IV248" s="27"/>
      <c r="IW248" s="28" t="str">
        <f>IFERROR(VLOOKUP(IU248,Horarios!$H:$I,2,0),"")</f>
        <v/>
      </c>
      <c r="IX248" s="28" t="str">
        <f>IFERROR(VLOOKUP(IV248,Horarios!$H:$I,2,0),"")</f>
        <v/>
      </c>
      <c r="IY248" s="28" t="str">
        <f t="shared" si="190"/>
        <v>00:00</v>
      </c>
      <c r="IZ248" s="29"/>
      <c r="JA248" s="31" t="str">
        <f t="shared" si="191"/>
        <v/>
      </c>
    </row>
    <row r="249" spans="1:261" s="24" customFormat="1" ht="17.399999999999999" x14ac:dyDescent="0.25">
      <c r="A249" s="25"/>
      <c r="B249" s="26" t="str">
        <f>IFERROR(VLOOKUP(A249,BaseNombres!A:B,2,0),"")</f>
        <v/>
      </c>
      <c r="C249" s="26" t="str">
        <f>IFERROR(VLOOKUP(A249,BaseNombres!A:C,3,0),"")</f>
        <v/>
      </c>
      <c r="D249" s="27"/>
      <c r="E249" s="27"/>
      <c r="F249" s="28" t="str">
        <f>IFERROR(VLOOKUP(D249,Horarios!$H:$I,2,0),"")</f>
        <v/>
      </c>
      <c r="G249" s="28" t="str">
        <f>IFERROR(VLOOKUP(E249,Horarios!$H:$I,2,0),"")</f>
        <v/>
      </c>
      <c r="H249" s="28" t="str">
        <f t="shared" si="144"/>
        <v>00:00</v>
      </c>
      <c r="I249" s="29"/>
      <c r="J249" s="27"/>
      <c r="K249" s="27"/>
      <c r="L249" s="28" t="str">
        <f>IFERROR(VLOOKUP(J249,Horarios!$H:$I,2,0),"")</f>
        <v/>
      </c>
      <c r="M249" s="28" t="str">
        <f>IFERROR(VLOOKUP(K249,Horarios!$H:$I,2,0),"")</f>
        <v/>
      </c>
      <c r="N249" s="28" t="str">
        <f t="shared" si="145"/>
        <v>00:00</v>
      </c>
      <c r="O249" s="29"/>
      <c r="P249" s="27"/>
      <c r="Q249" s="27"/>
      <c r="R249" s="28" t="str">
        <f>IFERROR(VLOOKUP(P249,Horarios!$H:$I,2,0),"")</f>
        <v/>
      </c>
      <c r="S249" s="28" t="str">
        <f>IFERROR(VLOOKUP(Q249,Horarios!$H:$I,2,0),"")</f>
        <v/>
      </c>
      <c r="T249" s="28" t="str">
        <f t="shared" si="146"/>
        <v>00:00</v>
      </c>
      <c r="U249" s="29"/>
      <c r="V249" s="27"/>
      <c r="W249" s="27"/>
      <c r="X249" s="28" t="str">
        <f>IFERROR(VLOOKUP(V249,Horarios!$H:$I,2,0),"")</f>
        <v/>
      </c>
      <c r="Y249" s="28" t="str">
        <f>IFERROR(VLOOKUP(W249,Horarios!$H:$I,2,0),"")</f>
        <v/>
      </c>
      <c r="Z249" s="28" t="str">
        <f t="shared" si="147"/>
        <v>00:00</v>
      </c>
      <c r="AA249" s="29"/>
      <c r="AB249" s="27"/>
      <c r="AC249" s="27"/>
      <c r="AD249" s="28" t="str">
        <f>IFERROR(VLOOKUP(AB249,Horarios!$H:$I,2,0),"")</f>
        <v/>
      </c>
      <c r="AE249" s="28" t="str">
        <f>IFERROR(VLOOKUP(AC249,Horarios!$H:$I,2,0),"")</f>
        <v/>
      </c>
      <c r="AF249" s="28" t="str">
        <f t="shared" si="148"/>
        <v>00:00</v>
      </c>
      <c r="AG249" s="29"/>
      <c r="AH249" s="27"/>
      <c r="AI249" s="27"/>
      <c r="AJ249" s="28" t="str">
        <f>IFERROR(VLOOKUP(AH249,Horarios!$H:$I,2,0),"")</f>
        <v/>
      </c>
      <c r="AK249" s="28" t="str">
        <f>IFERROR(VLOOKUP(AI249,Horarios!$H:$I,2,0),"")</f>
        <v/>
      </c>
      <c r="AL249" s="28" t="str">
        <f t="shared" si="149"/>
        <v>00:00</v>
      </c>
      <c r="AM249" s="29"/>
      <c r="AN249" s="27"/>
      <c r="AO249" s="27"/>
      <c r="AP249" s="28" t="str">
        <f>IFERROR(VLOOKUP(AN249,Horarios!$H:$I,2,0),"")</f>
        <v/>
      </c>
      <c r="AQ249" s="28" t="str">
        <f>IFERROR(VLOOKUP(AO249,Horarios!$H:$I,2,0),"")</f>
        <v/>
      </c>
      <c r="AR249" s="28" t="str">
        <f t="shared" si="150"/>
        <v>00:00</v>
      </c>
      <c r="AS249" s="29"/>
      <c r="AT249" s="31" t="str">
        <f t="shared" si="151"/>
        <v/>
      </c>
      <c r="AU249" s="27"/>
      <c r="AV249" s="27"/>
      <c r="AW249" s="28" t="str">
        <f>IFERROR(VLOOKUP(AU249,Horarios!$H:$I,2,0),"")</f>
        <v/>
      </c>
      <c r="AX249" s="28" t="str">
        <f>IFERROR(VLOOKUP(AV249,Horarios!$H:$I,2,0),"")</f>
        <v/>
      </c>
      <c r="AY249" s="28" t="str">
        <f t="shared" si="152"/>
        <v>00:00</v>
      </c>
      <c r="AZ249" s="29"/>
      <c r="BA249" s="27"/>
      <c r="BB249" s="27"/>
      <c r="BC249" s="28" t="str">
        <f>IFERROR(VLOOKUP(BA249,Horarios!$H:$I,2,0),"")</f>
        <v/>
      </c>
      <c r="BD249" s="28" t="str">
        <f>IFERROR(VLOOKUP(BB249,Horarios!$H:$I,2,0),"")</f>
        <v/>
      </c>
      <c r="BE249" s="28" t="str">
        <f t="shared" si="153"/>
        <v>00:00</v>
      </c>
      <c r="BF249" s="29"/>
      <c r="BG249" s="27"/>
      <c r="BH249" s="27"/>
      <c r="BI249" s="28" t="str">
        <f>IFERROR(VLOOKUP(BG249,Horarios!$H:$I,2,0),"")</f>
        <v/>
      </c>
      <c r="BJ249" s="28" t="str">
        <f>IFERROR(VLOOKUP(BH249,Horarios!$H:$I,2,0),"")</f>
        <v/>
      </c>
      <c r="BK249" s="28" t="str">
        <f t="shared" si="154"/>
        <v>00:00</v>
      </c>
      <c r="BL249" s="29"/>
      <c r="BM249" s="27"/>
      <c r="BN249" s="27"/>
      <c r="BO249" s="28" t="str">
        <f>IFERROR(VLOOKUP(BM249,Horarios!$H:$I,2,0),"")</f>
        <v/>
      </c>
      <c r="BP249" s="28" t="str">
        <f>IFERROR(VLOOKUP(BN249,Horarios!$H:$I,2,0),"")</f>
        <v/>
      </c>
      <c r="BQ249" s="28" t="str">
        <f t="shared" si="155"/>
        <v>00:00</v>
      </c>
      <c r="BR249" s="29"/>
      <c r="BS249" s="27"/>
      <c r="BT249" s="27"/>
      <c r="BU249" s="28" t="str">
        <f>IFERROR(VLOOKUP(BS249,Horarios!$H:$I,2,0),"")</f>
        <v/>
      </c>
      <c r="BV249" s="28" t="str">
        <f>IFERROR(VLOOKUP(BT249,Horarios!$H:$I,2,0),"")</f>
        <v/>
      </c>
      <c r="BW249" s="28" t="str">
        <f t="shared" si="156"/>
        <v>00:00</v>
      </c>
      <c r="BX249" s="29"/>
      <c r="BY249" s="27"/>
      <c r="BZ249" s="27"/>
      <c r="CA249" s="28" t="str">
        <f>IFERROR(VLOOKUP(BY249,Horarios!$H:$I,2,0),"")</f>
        <v/>
      </c>
      <c r="CB249" s="28" t="str">
        <f>IFERROR(VLOOKUP(BZ249,Horarios!$H:$I,2,0),"")</f>
        <v/>
      </c>
      <c r="CC249" s="28" t="str">
        <f t="shared" si="157"/>
        <v>00:00</v>
      </c>
      <c r="CD249" s="29"/>
      <c r="CE249" s="27"/>
      <c r="CF249" s="27"/>
      <c r="CG249" s="28" t="str">
        <f>IFERROR(VLOOKUP(CE249,Horarios!$H:$I,2,0),"")</f>
        <v/>
      </c>
      <c r="CH249" s="28" t="str">
        <f>IFERROR(VLOOKUP(CF249,Horarios!$H:$I,2,0),"")</f>
        <v/>
      </c>
      <c r="CI249" s="28" t="str">
        <f t="shared" si="158"/>
        <v>00:00</v>
      </c>
      <c r="CJ249" s="29"/>
      <c r="CK249" s="31" t="str">
        <f t="shared" si="159"/>
        <v/>
      </c>
      <c r="CL249" s="27"/>
      <c r="CM249" s="27"/>
      <c r="CN249" s="28" t="str">
        <f>IFERROR(VLOOKUP(CL249,Horarios!$H:$I,2,0),"")</f>
        <v/>
      </c>
      <c r="CO249" s="28" t="str">
        <f>IFERROR(VLOOKUP(CM249,Horarios!$H:$I,2,0),"")</f>
        <v/>
      </c>
      <c r="CP249" s="28" t="str">
        <f t="shared" si="160"/>
        <v>00:00</v>
      </c>
      <c r="CQ249" s="29"/>
      <c r="CR249" s="27"/>
      <c r="CS249" s="27"/>
      <c r="CT249" s="28" t="str">
        <f>IFERROR(VLOOKUP(CR249,Horarios!$H:$I,2,0),"")</f>
        <v/>
      </c>
      <c r="CU249" s="28" t="str">
        <f>IFERROR(VLOOKUP(CS249,Horarios!$H:$I,2,0),"")</f>
        <v/>
      </c>
      <c r="CV249" s="28" t="str">
        <f t="shared" si="161"/>
        <v>00:00</v>
      </c>
      <c r="CW249" s="29"/>
      <c r="CX249" s="27"/>
      <c r="CY249" s="27"/>
      <c r="CZ249" s="28" t="str">
        <f>IFERROR(VLOOKUP(CX249,Horarios!$H:$I,2,0),"")</f>
        <v/>
      </c>
      <c r="DA249" s="28" t="str">
        <f>IFERROR(VLOOKUP(CY249,Horarios!$H:$I,2,0),"")</f>
        <v/>
      </c>
      <c r="DB249" s="28" t="str">
        <f t="shared" si="162"/>
        <v>00:00</v>
      </c>
      <c r="DC249" s="29"/>
      <c r="DD249" s="27"/>
      <c r="DE249" s="27"/>
      <c r="DF249" s="28" t="str">
        <f>IFERROR(VLOOKUP(DD249,Horarios!$H:$I,2,0),"")</f>
        <v/>
      </c>
      <c r="DG249" s="28" t="str">
        <f>IFERROR(VLOOKUP(DE249,Horarios!$H:$I,2,0),"")</f>
        <v/>
      </c>
      <c r="DH249" s="28" t="str">
        <f t="shared" si="163"/>
        <v>00:00</v>
      </c>
      <c r="DI249" s="29"/>
      <c r="DJ249" s="27"/>
      <c r="DK249" s="27"/>
      <c r="DL249" s="28" t="str">
        <f>IFERROR(VLOOKUP(DJ249,Horarios!$H:$I,2,0),"")</f>
        <v/>
      </c>
      <c r="DM249" s="28" t="str">
        <f>IFERROR(VLOOKUP(DK249,Horarios!$H:$I,2,0),"")</f>
        <v/>
      </c>
      <c r="DN249" s="28" t="str">
        <f t="shared" si="164"/>
        <v>00:00</v>
      </c>
      <c r="DO249" s="29"/>
      <c r="DP249" s="27"/>
      <c r="DQ249" s="27"/>
      <c r="DR249" s="28" t="str">
        <f>IFERROR(VLOOKUP(DP249,Horarios!$H:$I,2,0),"")</f>
        <v/>
      </c>
      <c r="DS249" s="28" t="str">
        <f>IFERROR(VLOOKUP(DQ249,Horarios!$H:$I,2,0),"")</f>
        <v/>
      </c>
      <c r="DT249" s="28" t="str">
        <f t="shared" si="165"/>
        <v>00:00</v>
      </c>
      <c r="DU249" s="29"/>
      <c r="DV249" s="27"/>
      <c r="DW249" s="27"/>
      <c r="DX249" s="28" t="str">
        <f>IFERROR(VLOOKUP(DV249,Horarios!$H:$I,2,0),"")</f>
        <v/>
      </c>
      <c r="DY249" s="28" t="str">
        <f>IFERROR(VLOOKUP(DW249,Horarios!$H:$I,2,0),"")</f>
        <v/>
      </c>
      <c r="DZ249" s="28" t="str">
        <f t="shared" si="166"/>
        <v>00:00</v>
      </c>
      <c r="EA249" s="29"/>
      <c r="EB249" s="31" t="str">
        <f t="shared" si="167"/>
        <v/>
      </c>
      <c r="EC249" s="27"/>
      <c r="ED249" s="27"/>
      <c r="EE249" s="28" t="str">
        <f>IFERROR(VLOOKUP(EC249,Horarios!$H:$I,2,0),"")</f>
        <v/>
      </c>
      <c r="EF249" s="28" t="str">
        <f>IFERROR(VLOOKUP(ED249,Horarios!$H:$I,2,0),"")</f>
        <v/>
      </c>
      <c r="EG249" s="28" t="str">
        <f t="shared" si="168"/>
        <v>00:00</v>
      </c>
      <c r="EH249" s="29"/>
      <c r="EI249" s="27"/>
      <c r="EJ249" s="27"/>
      <c r="EK249" s="28" t="str">
        <f>IFERROR(VLOOKUP(EI249,Horarios!$H:$I,2,0),"")</f>
        <v/>
      </c>
      <c r="EL249" s="28" t="str">
        <f>IFERROR(VLOOKUP(EJ249,Horarios!$H:$I,2,0),"")</f>
        <v/>
      </c>
      <c r="EM249" s="28" t="str">
        <f t="shared" si="169"/>
        <v>00:00</v>
      </c>
      <c r="EN249" s="29"/>
      <c r="EO249" s="27"/>
      <c r="EP249" s="27"/>
      <c r="EQ249" s="28" t="str">
        <f>IFERROR(VLOOKUP(EO249,Horarios!$H:$I,2,0),"")</f>
        <v/>
      </c>
      <c r="ER249" s="28" t="str">
        <f>IFERROR(VLOOKUP(EP249,Horarios!$H:$I,2,0),"")</f>
        <v/>
      </c>
      <c r="ES249" s="28" t="str">
        <f t="shared" si="170"/>
        <v>00:00</v>
      </c>
      <c r="ET249" s="29"/>
      <c r="EU249" s="27"/>
      <c r="EV249" s="27"/>
      <c r="EW249" s="28" t="str">
        <f>IFERROR(VLOOKUP(EU249,Horarios!$H:$I,2,0),"")</f>
        <v/>
      </c>
      <c r="EX249" s="28" t="str">
        <f>IFERROR(VLOOKUP(EV249,Horarios!$H:$I,2,0),"")</f>
        <v/>
      </c>
      <c r="EY249" s="28" t="str">
        <f t="shared" si="171"/>
        <v>00:00</v>
      </c>
      <c r="EZ249" s="29"/>
      <c r="FA249" s="27"/>
      <c r="FB249" s="27"/>
      <c r="FC249" s="28" t="str">
        <f>IFERROR(VLOOKUP(FA249,Horarios!$H:$I,2,0),"")</f>
        <v/>
      </c>
      <c r="FD249" s="28" t="str">
        <f>IFERROR(VLOOKUP(FB249,Horarios!$H:$I,2,0),"")</f>
        <v/>
      </c>
      <c r="FE249" s="28" t="str">
        <f t="shared" si="172"/>
        <v>00:00</v>
      </c>
      <c r="FF249" s="29"/>
      <c r="FG249" s="27"/>
      <c r="FH249" s="27"/>
      <c r="FI249" s="28" t="str">
        <f>IFERROR(VLOOKUP(FG249,Horarios!$H:$I,2,0),"")</f>
        <v/>
      </c>
      <c r="FJ249" s="28" t="str">
        <f>IFERROR(VLOOKUP(FH249,Horarios!$H:$I,2,0),"")</f>
        <v/>
      </c>
      <c r="FK249" s="28" t="str">
        <f t="shared" si="173"/>
        <v>00:00</v>
      </c>
      <c r="FL249" s="29"/>
      <c r="FM249" s="27"/>
      <c r="FN249" s="27"/>
      <c r="FO249" s="28" t="str">
        <f>IFERROR(VLOOKUP(FM249,Horarios!$H:$I,2,0),"")</f>
        <v/>
      </c>
      <c r="FP249" s="28" t="str">
        <f>IFERROR(VLOOKUP(FN249,Horarios!$H:$I,2,0),"")</f>
        <v/>
      </c>
      <c r="FQ249" s="28" t="str">
        <f t="shared" si="174"/>
        <v>00:00</v>
      </c>
      <c r="FR249" s="29"/>
      <c r="FS249" s="31" t="str">
        <f t="shared" si="175"/>
        <v/>
      </c>
      <c r="FT249" s="27"/>
      <c r="FU249" s="27"/>
      <c r="FV249" s="28" t="str">
        <f>IFERROR(VLOOKUP(FT249,Horarios!$H:$I,2,0),"")</f>
        <v/>
      </c>
      <c r="FW249" s="28" t="str">
        <f>IFERROR(VLOOKUP(FU249,Horarios!$H:$I,2,0),"")</f>
        <v/>
      </c>
      <c r="FX249" s="28" t="str">
        <f t="shared" si="176"/>
        <v>00:00</v>
      </c>
      <c r="FY249" s="29"/>
      <c r="FZ249" s="27"/>
      <c r="GA249" s="27"/>
      <c r="GB249" s="28" t="str">
        <f>IFERROR(VLOOKUP(FZ249,Horarios!$H:$I,2,0),"")</f>
        <v/>
      </c>
      <c r="GC249" s="28" t="str">
        <f>IFERROR(VLOOKUP(GA249,Horarios!$H:$I,2,0),"")</f>
        <v/>
      </c>
      <c r="GD249" s="28" t="str">
        <f t="shared" si="177"/>
        <v>00:00</v>
      </c>
      <c r="GE249" s="29"/>
      <c r="GF249" s="27"/>
      <c r="GG249" s="27"/>
      <c r="GH249" s="28" t="str">
        <f>IFERROR(VLOOKUP(GF249,Horarios!$H:$I,2,0),"")</f>
        <v/>
      </c>
      <c r="GI249" s="28" t="str">
        <f>IFERROR(VLOOKUP(GG249,Horarios!$H:$I,2,0),"")</f>
        <v/>
      </c>
      <c r="GJ249" s="28" t="str">
        <f t="shared" si="178"/>
        <v>00:00</v>
      </c>
      <c r="GK249" s="29"/>
      <c r="GL249" s="27"/>
      <c r="GM249" s="27"/>
      <c r="GN249" s="28" t="str">
        <f>IFERROR(VLOOKUP(GL249,Horarios!$H:$I,2,0),"")</f>
        <v/>
      </c>
      <c r="GO249" s="28" t="str">
        <f>IFERROR(VLOOKUP(GM249,Horarios!$H:$I,2,0),"")</f>
        <v/>
      </c>
      <c r="GP249" s="28" t="str">
        <f t="shared" si="179"/>
        <v>00:00</v>
      </c>
      <c r="GQ249" s="29"/>
      <c r="GR249" s="27"/>
      <c r="GS249" s="27"/>
      <c r="GT249" s="28" t="str">
        <f>IFERROR(VLOOKUP(GR249,Horarios!$H:$I,2,0),"")</f>
        <v/>
      </c>
      <c r="GU249" s="28" t="str">
        <f>IFERROR(VLOOKUP(GS249,Horarios!$H:$I,2,0),"")</f>
        <v/>
      </c>
      <c r="GV249" s="28" t="str">
        <f t="shared" si="180"/>
        <v>00:00</v>
      </c>
      <c r="GW249" s="29"/>
      <c r="GX249" s="27"/>
      <c r="GY249" s="27"/>
      <c r="GZ249" s="28" t="str">
        <f>IFERROR(VLOOKUP(GX249,Horarios!$H:$I,2,0),"")</f>
        <v/>
      </c>
      <c r="HA249" s="28" t="str">
        <f>IFERROR(VLOOKUP(GY249,Horarios!$H:$I,2,0),"")</f>
        <v/>
      </c>
      <c r="HB249" s="28" t="str">
        <f t="shared" si="181"/>
        <v>00:00</v>
      </c>
      <c r="HC249" s="29"/>
      <c r="HD249" s="27"/>
      <c r="HE249" s="27"/>
      <c r="HF249" s="28" t="str">
        <f>IFERROR(VLOOKUP(HD249,Horarios!$H:$I,2,0),"")</f>
        <v/>
      </c>
      <c r="HG249" s="28" t="str">
        <f>IFERROR(VLOOKUP(HE249,Horarios!$H:$I,2,0),"")</f>
        <v/>
      </c>
      <c r="HH249" s="28" t="str">
        <f t="shared" si="182"/>
        <v>00:00</v>
      </c>
      <c r="HI249" s="29"/>
      <c r="HJ249" s="31" t="str">
        <f t="shared" si="183"/>
        <v/>
      </c>
      <c r="HK249" s="27"/>
      <c r="HL249" s="27"/>
      <c r="HM249" s="28" t="str">
        <f>IFERROR(VLOOKUP(HK249,Horarios!$H:$I,2,0),"")</f>
        <v/>
      </c>
      <c r="HN249" s="28" t="str">
        <f>IFERROR(VLOOKUP(HL249,Horarios!$H:$I,2,0),"")</f>
        <v/>
      </c>
      <c r="HO249" s="28" t="str">
        <f t="shared" si="184"/>
        <v>00:00</v>
      </c>
      <c r="HP249" s="29"/>
      <c r="HQ249" s="27"/>
      <c r="HR249" s="27"/>
      <c r="HS249" s="28" t="str">
        <f>IFERROR(VLOOKUP(HQ249,Horarios!$H:$I,2,0),"")</f>
        <v/>
      </c>
      <c r="HT249" s="28" t="str">
        <f>IFERROR(VLOOKUP(HR249,Horarios!$H:$I,2,0),"")</f>
        <v/>
      </c>
      <c r="HU249" s="28" t="str">
        <f t="shared" si="185"/>
        <v>00:00</v>
      </c>
      <c r="HV249" s="29"/>
      <c r="HW249" s="27"/>
      <c r="HX249" s="27"/>
      <c r="HY249" s="28" t="str">
        <f>IFERROR(VLOOKUP(HW249,Horarios!$H:$I,2,0),"")</f>
        <v/>
      </c>
      <c r="HZ249" s="28" t="str">
        <f>IFERROR(VLOOKUP(HX249,Horarios!$H:$I,2,0),"")</f>
        <v/>
      </c>
      <c r="IA249" s="28" t="str">
        <f t="shared" si="186"/>
        <v>00:00</v>
      </c>
      <c r="IB249" s="29"/>
      <c r="IC249" s="27"/>
      <c r="ID249" s="27"/>
      <c r="IE249" s="28" t="str">
        <f>IFERROR(VLOOKUP(IC249,Horarios!$H:$I,2,0),"")</f>
        <v/>
      </c>
      <c r="IF249" s="28" t="str">
        <f>IFERROR(VLOOKUP(ID249,Horarios!$H:$I,2,0),"")</f>
        <v/>
      </c>
      <c r="IG249" s="28" t="str">
        <f t="shared" si="187"/>
        <v>00:00</v>
      </c>
      <c r="IH249" s="29"/>
      <c r="II249" s="27"/>
      <c r="IJ249" s="27"/>
      <c r="IK249" s="28" t="str">
        <f>IFERROR(VLOOKUP(II249,Horarios!$H:$I,2,0),"")</f>
        <v/>
      </c>
      <c r="IL249" s="28" t="str">
        <f>IFERROR(VLOOKUP(IJ249,Horarios!$H:$I,2,0),"")</f>
        <v/>
      </c>
      <c r="IM249" s="28" t="str">
        <f t="shared" si="188"/>
        <v>00:00</v>
      </c>
      <c r="IN249" s="29"/>
      <c r="IO249" s="27"/>
      <c r="IP249" s="27"/>
      <c r="IQ249" s="28" t="str">
        <f>IFERROR(VLOOKUP(IO249,Horarios!$H:$I,2,0),"")</f>
        <v/>
      </c>
      <c r="IR249" s="28" t="str">
        <f>IFERROR(VLOOKUP(IP249,Horarios!$H:$I,2,0),"")</f>
        <v/>
      </c>
      <c r="IS249" s="28" t="str">
        <f t="shared" si="189"/>
        <v>00:00</v>
      </c>
      <c r="IT249" s="29"/>
      <c r="IU249" s="27"/>
      <c r="IV249" s="27"/>
      <c r="IW249" s="28" t="str">
        <f>IFERROR(VLOOKUP(IU249,Horarios!$H:$I,2,0),"")</f>
        <v/>
      </c>
      <c r="IX249" s="28" t="str">
        <f>IFERROR(VLOOKUP(IV249,Horarios!$H:$I,2,0),"")</f>
        <v/>
      </c>
      <c r="IY249" s="28" t="str">
        <f t="shared" si="190"/>
        <v>00:00</v>
      </c>
      <c r="IZ249" s="29"/>
      <c r="JA249" s="31" t="str">
        <f t="shared" si="191"/>
        <v/>
      </c>
    </row>
    <row r="250" spans="1:261" s="24" customFormat="1" ht="17.399999999999999" x14ac:dyDescent="0.25">
      <c r="A250" s="25"/>
      <c r="B250" s="26" t="str">
        <f>IFERROR(VLOOKUP(A250,BaseNombres!A:B,2,0),"")</f>
        <v/>
      </c>
      <c r="C250" s="26" t="str">
        <f>IFERROR(VLOOKUP(A250,BaseNombres!A:C,3,0),"")</f>
        <v/>
      </c>
      <c r="D250" s="27"/>
      <c r="E250" s="27"/>
      <c r="F250" s="28" t="str">
        <f>IFERROR(VLOOKUP(D250,Horarios!$H:$I,2,0),"")</f>
        <v/>
      </c>
      <c r="G250" s="28" t="str">
        <f>IFERROR(VLOOKUP(E250,Horarios!$H:$I,2,0),"")</f>
        <v/>
      </c>
      <c r="H250" s="28" t="str">
        <f t="shared" si="144"/>
        <v>00:00</v>
      </c>
      <c r="I250" s="29"/>
      <c r="J250" s="27"/>
      <c r="K250" s="27"/>
      <c r="L250" s="28" t="str">
        <f>IFERROR(VLOOKUP(J250,Horarios!$H:$I,2,0),"")</f>
        <v/>
      </c>
      <c r="M250" s="28" t="str">
        <f>IFERROR(VLOOKUP(K250,Horarios!$H:$I,2,0),"")</f>
        <v/>
      </c>
      <c r="N250" s="28" t="str">
        <f t="shared" si="145"/>
        <v>00:00</v>
      </c>
      <c r="O250" s="29"/>
      <c r="P250" s="27"/>
      <c r="Q250" s="27"/>
      <c r="R250" s="28" t="str">
        <f>IFERROR(VLOOKUP(P250,Horarios!$H:$I,2,0),"")</f>
        <v/>
      </c>
      <c r="S250" s="28" t="str">
        <f>IFERROR(VLOOKUP(Q250,Horarios!$H:$I,2,0),"")</f>
        <v/>
      </c>
      <c r="T250" s="28" t="str">
        <f t="shared" si="146"/>
        <v>00:00</v>
      </c>
      <c r="U250" s="29"/>
      <c r="V250" s="27"/>
      <c r="W250" s="27"/>
      <c r="X250" s="28" t="str">
        <f>IFERROR(VLOOKUP(V250,Horarios!$H:$I,2,0),"")</f>
        <v/>
      </c>
      <c r="Y250" s="28" t="str">
        <f>IFERROR(VLOOKUP(W250,Horarios!$H:$I,2,0),"")</f>
        <v/>
      </c>
      <c r="Z250" s="28" t="str">
        <f t="shared" si="147"/>
        <v>00:00</v>
      </c>
      <c r="AA250" s="29"/>
      <c r="AB250" s="27"/>
      <c r="AC250" s="27"/>
      <c r="AD250" s="28" t="str">
        <f>IFERROR(VLOOKUP(AB250,Horarios!$H:$I,2,0),"")</f>
        <v/>
      </c>
      <c r="AE250" s="28" t="str">
        <f>IFERROR(VLOOKUP(AC250,Horarios!$H:$I,2,0),"")</f>
        <v/>
      </c>
      <c r="AF250" s="28" t="str">
        <f t="shared" si="148"/>
        <v>00:00</v>
      </c>
      <c r="AG250" s="29"/>
      <c r="AH250" s="27"/>
      <c r="AI250" s="27"/>
      <c r="AJ250" s="28" t="str">
        <f>IFERROR(VLOOKUP(AH250,Horarios!$H:$I,2,0),"")</f>
        <v/>
      </c>
      <c r="AK250" s="28" t="str">
        <f>IFERROR(VLOOKUP(AI250,Horarios!$H:$I,2,0),"")</f>
        <v/>
      </c>
      <c r="AL250" s="28" t="str">
        <f t="shared" si="149"/>
        <v>00:00</v>
      </c>
      <c r="AM250" s="29"/>
      <c r="AN250" s="27"/>
      <c r="AO250" s="27"/>
      <c r="AP250" s="28" t="str">
        <f>IFERROR(VLOOKUP(AN250,Horarios!$H:$I,2,0),"")</f>
        <v/>
      </c>
      <c r="AQ250" s="28" t="str">
        <f>IFERROR(VLOOKUP(AO250,Horarios!$H:$I,2,0),"")</f>
        <v/>
      </c>
      <c r="AR250" s="28" t="str">
        <f t="shared" si="150"/>
        <v>00:00</v>
      </c>
      <c r="AS250" s="29"/>
      <c r="AT250" s="31" t="str">
        <f t="shared" si="151"/>
        <v/>
      </c>
      <c r="AU250" s="27"/>
      <c r="AV250" s="27"/>
      <c r="AW250" s="28" t="str">
        <f>IFERROR(VLOOKUP(AU250,Horarios!$H:$I,2,0),"")</f>
        <v/>
      </c>
      <c r="AX250" s="28" t="str">
        <f>IFERROR(VLOOKUP(AV250,Horarios!$H:$I,2,0),"")</f>
        <v/>
      </c>
      <c r="AY250" s="28" t="str">
        <f t="shared" si="152"/>
        <v>00:00</v>
      </c>
      <c r="AZ250" s="29"/>
      <c r="BA250" s="27"/>
      <c r="BB250" s="27"/>
      <c r="BC250" s="28" t="str">
        <f>IFERROR(VLOOKUP(BA250,Horarios!$H:$I,2,0),"")</f>
        <v/>
      </c>
      <c r="BD250" s="28" t="str">
        <f>IFERROR(VLOOKUP(BB250,Horarios!$H:$I,2,0),"")</f>
        <v/>
      </c>
      <c r="BE250" s="28" t="str">
        <f t="shared" si="153"/>
        <v>00:00</v>
      </c>
      <c r="BF250" s="29"/>
      <c r="BG250" s="27"/>
      <c r="BH250" s="27"/>
      <c r="BI250" s="28" t="str">
        <f>IFERROR(VLOOKUP(BG250,Horarios!$H:$I,2,0),"")</f>
        <v/>
      </c>
      <c r="BJ250" s="28" t="str">
        <f>IFERROR(VLOOKUP(BH250,Horarios!$H:$I,2,0),"")</f>
        <v/>
      </c>
      <c r="BK250" s="28" t="str">
        <f t="shared" si="154"/>
        <v>00:00</v>
      </c>
      <c r="BL250" s="29"/>
      <c r="BM250" s="27"/>
      <c r="BN250" s="27"/>
      <c r="BO250" s="28" t="str">
        <f>IFERROR(VLOOKUP(BM250,Horarios!$H:$I,2,0),"")</f>
        <v/>
      </c>
      <c r="BP250" s="28" t="str">
        <f>IFERROR(VLOOKUP(BN250,Horarios!$H:$I,2,0),"")</f>
        <v/>
      </c>
      <c r="BQ250" s="28" t="str">
        <f t="shared" si="155"/>
        <v>00:00</v>
      </c>
      <c r="BR250" s="29"/>
      <c r="BS250" s="27"/>
      <c r="BT250" s="27"/>
      <c r="BU250" s="28" t="str">
        <f>IFERROR(VLOOKUP(BS250,Horarios!$H:$I,2,0),"")</f>
        <v/>
      </c>
      <c r="BV250" s="28" t="str">
        <f>IFERROR(VLOOKUP(BT250,Horarios!$H:$I,2,0),"")</f>
        <v/>
      </c>
      <c r="BW250" s="28" t="str">
        <f t="shared" si="156"/>
        <v>00:00</v>
      </c>
      <c r="BX250" s="29"/>
      <c r="BY250" s="27"/>
      <c r="BZ250" s="27"/>
      <c r="CA250" s="28" t="str">
        <f>IFERROR(VLOOKUP(BY250,Horarios!$H:$I,2,0),"")</f>
        <v/>
      </c>
      <c r="CB250" s="28" t="str">
        <f>IFERROR(VLOOKUP(BZ250,Horarios!$H:$I,2,0),"")</f>
        <v/>
      </c>
      <c r="CC250" s="28" t="str">
        <f t="shared" si="157"/>
        <v>00:00</v>
      </c>
      <c r="CD250" s="29"/>
      <c r="CE250" s="27"/>
      <c r="CF250" s="27"/>
      <c r="CG250" s="28" t="str">
        <f>IFERROR(VLOOKUP(CE250,Horarios!$H:$I,2,0),"")</f>
        <v/>
      </c>
      <c r="CH250" s="28" t="str">
        <f>IFERROR(VLOOKUP(CF250,Horarios!$H:$I,2,0),"")</f>
        <v/>
      </c>
      <c r="CI250" s="28" t="str">
        <f t="shared" si="158"/>
        <v>00:00</v>
      </c>
      <c r="CJ250" s="29"/>
      <c r="CK250" s="31" t="str">
        <f t="shared" si="159"/>
        <v/>
      </c>
      <c r="CL250" s="27"/>
      <c r="CM250" s="27"/>
      <c r="CN250" s="28" t="str">
        <f>IFERROR(VLOOKUP(CL250,Horarios!$H:$I,2,0),"")</f>
        <v/>
      </c>
      <c r="CO250" s="28" t="str">
        <f>IFERROR(VLOOKUP(CM250,Horarios!$H:$I,2,0),"")</f>
        <v/>
      </c>
      <c r="CP250" s="28" t="str">
        <f t="shared" si="160"/>
        <v>00:00</v>
      </c>
      <c r="CQ250" s="29"/>
      <c r="CR250" s="27"/>
      <c r="CS250" s="27"/>
      <c r="CT250" s="28" t="str">
        <f>IFERROR(VLOOKUP(CR250,Horarios!$H:$I,2,0),"")</f>
        <v/>
      </c>
      <c r="CU250" s="28" t="str">
        <f>IFERROR(VLOOKUP(CS250,Horarios!$H:$I,2,0),"")</f>
        <v/>
      </c>
      <c r="CV250" s="28" t="str">
        <f t="shared" si="161"/>
        <v>00:00</v>
      </c>
      <c r="CW250" s="29"/>
      <c r="CX250" s="27"/>
      <c r="CY250" s="27"/>
      <c r="CZ250" s="28" t="str">
        <f>IFERROR(VLOOKUP(CX250,Horarios!$H:$I,2,0),"")</f>
        <v/>
      </c>
      <c r="DA250" s="28" t="str">
        <f>IFERROR(VLOOKUP(CY250,Horarios!$H:$I,2,0),"")</f>
        <v/>
      </c>
      <c r="DB250" s="28" t="str">
        <f t="shared" si="162"/>
        <v>00:00</v>
      </c>
      <c r="DC250" s="29"/>
      <c r="DD250" s="27"/>
      <c r="DE250" s="27"/>
      <c r="DF250" s="28" t="str">
        <f>IFERROR(VLOOKUP(DD250,Horarios!$H:$I,2,0),"")</f>
        <v/>
      </c>
      <c r="DG250" s="28" t="str">
        <f>IFERROR(VLOOKUP(DE250,Horarios!$H:$I,2,0),"")</f>
        <v/>
      </c>
      <c r="DH250" s="28" t="str">
        <f t="shared" si="163"/>
        <v>00:00</v>
      </c>
      <c r="DI250" s="29"/>
      <c r="DJ250" s="27"/>
      <c r="DK250" s="27"/>
      <c r="DL250" s="28" t="str">
        <f>IFERROR(VLOOKUP(DJ250,Horarios!$H:$I,2,0),"")</f>
        <v/>
      </c>
      <c r="DM250" s="28" t="str">
        <f>IFERROR(VLOOKUP(DK250,Horarios!$H:$I,2,0),"")</f>
        <v/>
      </c>
      <c r="DN250" s="28" t="str">
        <f t="shared" si="164"/>
        <v>00:00</v>
      </c>
      <c r="DO250" s="29"/>
      <c r="DP250" s="27"/>
      <c r="DQ250" s="27"/>
      <c r="DR250" s="28" t="str">
        <f>IFERROR(VLOOKUP(DP250,Horarios!$H:$I,2,0),"")</f>
        <v/>
      </c>
      <c r="DS250" s="28" t="str">
        <f>IFERROR(VLOOKUP(DQ250,Horarios!$H:$I,2,0),"")</f>
        <v/>
      </c>
      <c r="DT250" s="28" t="str">
        <f t="shared" si="165"/>
        <v>00:00</v>
      </c>
      <c r="DU250" s="29"/>
      <c r="DV250" s="27"/>
      <c r="DW250" s="27"/>
      <c r="DX250" s="28" t="str">
        <f>IFERROR(VLOOKUP(DV250,Horarios!$H:$I,2,0),"")</f>
        <v/>
      </c>
      <c r="DY250" s="28" t="str">
        <f>IFERROR(VLOOKUP(DW250,Horarios!$H:$I,2,0),"")</f>
        <v/>
      </c>
      <c r="DZ250" s="28" t="str">
        <f t="shared" si="166"/>
        <v>00:00</v>
      </c>
      <c r="EA250" s="29"/>
      <c r="EB250" s="31" t="str">
        <f t="shared" si="167"/>
        <v/>
      </c>
      <c r="EC250" s="27"/>
      <c r="ED250" s="27"/>
      <c r="EE250" s="28" t="str">
        <f>IFERROR(VLOOKUP(EC250,Horarios!$H:$I,2,0),"")</f>
        <v/>
      </c>
      <c r="EF250" s="28" t="str">
        <f>IFERROR(VLOOKUP(ED250,Horarios!$H:$I,2,0),"")</f>
        <v/>
      </c>
      <c r="EG250" s="28" t="str">
        <f t="shared" si="168"/>
        <v>00:00</v>
      </c>
      <c r="EH250" s="29"/>
      <c r="EI250" s="27"/>
      <c r="EJ250" s="27"/>
      <c r="EK250" s="28" t="str">
        <f>IFERROR(VLOOKUP(EI250,Horarios!$H:$I,2,0),"")</f>
        <v/>
      </c>
      <c r="EL250" s="28" t="str">
        <f>IFERROR(VLOOKUP(EJ250,Horarios!$H:$I,2,0),"")</f>
        <v/>
      </c>
      <c r="EM250" s="28" t="str">
        <f t="shared" si="169"/>
        <v>00:00</v>
      </c>
      <c r="EN250" s="29"/>
      <c r="EO250" s="27"/>
      <c r="EP250" s="27"/>
      <c r="EQ250" s="28" t="str">
        <f>IFERROR(VLOOKUP(EO250,Horarios!$H:$I,2,0),"")</f>
        <v/>
      </c>
      <c r="ER250" s="28" t="str">
        <f>IFERROR(VLOOKUP(EP250,Horarios!$H:$I,2,0),"")</f>
        <v/>
      </c>
      <c r="ES250" s="28" t="str">
        <f t="shared" si="170"/>
        <v>00:00</v>
      </c>
      <c r="ET250" s="29"/>
      <c r="EU250" s="27"/>
      <c r="EV250" s="27"/>
      <c r="EW250" s="28" t="str">
        <f>IFERROR(VLOOKUP(EU250,Horarios!$H:$I,2,0),"")</f>
        <v/>
      </c>
      <c r="EX250" s="28" t="str">
        <f>IFERROR(VLOOKUP(EV250,Horarios!$H:$I,2,0),"")</f>
        <v/>
      </c>
      <c r="EY250" s="28" t="str">
        <f t="shared" si="171"/>
        <v>00:00</v>
      </c>
      <c r="EZ250" s="29"/>
      <c r="FA250" s="27"/>
      <c r="FB250" s="27"/>
      <c r="FC250" s="28" t="str">
        <f>IFERROR(VLOOKUP(FA250,Horarios!$H:$I,2,0),"")</f>
        <v/>
      </c>
      <c r="FD250" s="28" t="str">
        <f>IFERROR(VLOOKUP(FB250,Horarios!$H:$I,2,0),"")</f>
        <v/>
      </c>
      <c r="FE250" s="28" t="str">
        <f t="shared" si="172"/>
        <v>00:00</v>
      </c>
      <c r="FF250" s="29"/>
      <c r="FG250" s="27"/>
      <c r="FH250" s="27"/>
      <c r="FI250" s="28" t="str">
        <f>IFERROR(VLOOKUP(FG250,Horarios!$H:$I,2,0),"")</f>
        <v/>
      </c>
      <c r="FJ250" s="28" t="str">
        <f>IFERROR(VLOOKUP(FH250,Horarios!$H:$I,2,0),"")</f>
        <v/>
      </c>
      <c r="FK250" s="28" t="str">
        <f t="shared" si="173"/>
        <v>00:00</v>
      </c>
      <c r="FL250" s="29"/>
      <c r="FM250" s="27"/>
      <c r="FN250" s="27"/>
      <c r="FO250" s="28" t="str">
        <f>IFERROR(VLOOKUP(FM250,Horarios!$H:$I,2,0),"")</f>
        <v/>
      </c>
      <c r="FP250" s="28" t="str">
        <f>IFERROR(VLOOKUP(FN250,Horarios!$H:$I,2,0),"")</f>
        <v/>
      </c>
      <c r="FQ250" s="28" t="str">
        <f t="shared" si="174"/>
        <v>00:00</v>
      </c>
      <c r="FR250" s="29"/>
      <c r="FS250" s="31" t="str">
        <f t="shared" si="175"/>
        <v/>
      </c>
      <c r="FT250" s="27"/>
      <c r="FU250" s="27"/>
      <c r="FV250" s="28" t="str">
        <f>IFERROR(VLOOKUP(FT250,Horarios!$H:$I,2,0),"")</f>
        <v/>
      </c>
      <c r="FW250" s="28" t="str">
        <f>IFERROR(VLOOKUP(FU250,Horarios!$H:$I,2,0),"")</f>
        <v/>
      </c>
      <c r="FX250" s="28" t="str">
        <f t="shared" si="176"/>
        <v>00:00</v>
      </c>
      <c r="FY250" s="29"/>
      <c r="FZ250" s="27"/>
      <c r="GA250" s="27"/>
      <c r="GB250" s="28" t="str">
        <f>IFERROR(VLOOKUP(FZ250,Horarios!$H:$I,2,0),"")</f>
        <v/>
      </c>
      <c r="GC250" s="28" t="str">
        <f>IFERROR(VLOOKUP(GA250,Horarios!$H:$I,2,0),"")</f>
        <v/>
      </c>
      <c r="GD250" s="28" t="str">
        <f t="shared" si="177"/>
        <v>00:00</v>
      </c>
      <c r="GE250" s="29"/>
      <c r="GF250" s="27"/>
      <c r="GG250" s="27"/>
      <c r="GH250" s="28" t="str">
        <f>IFERROR(VLOOKUP(GF250,Horarios!$H:$I,2,0),"")</f>
        <v/>
      </c>
      <c r="GI250" s="28" t="str">
        <f>IFERROR(VLOOKUP(GG250,Horarios!$H:$I,2,0),"")</f>
        <v/>
      </c>
      <c r="GJ250" s="28" t="str">
        <f t="shared" si="178"/>
        <v>00:00</v>
      </c>
      <c r="GK250" s="29"/>
      <c r="GL250" s="27"/>
      <c r="GM250" s="27"/>
      <c r="GN250" s="28" t="str">
        <f>IFERROR(VLOOKUP(GL250,Horarios!$H:$I,2,0),"")</f>
        <v/>
      </c>
      <c r="GO250" s="28" t="str">
        <f>IFERROR(VLOOKUP(GM250,Horarios!$H:$I,2,0),"")</f>
        <v/>
      </c>
      <c r="GP250" s="28" t="str">
        <f t="shared" si="179"/>
        <v>00:00</v>
      </c>
      <c r="GQ250" s="29"/>
      <c r="GR250" s="27"/>
      <c r="GS250" s="27"/>
      <c r="GT250" s="28" t="str">
        <f>IFERROR(VLOOKUP(GR250,Horarios!$H:$I,2,0),"")</f>
        <v/>
      </c>
      <c r="GU250" s="28" t="str">
        <f>IFERROR(VLOOKUP(GS250,Horarios!$H:$I,2,0),"")</f>
        <v/>
      </c>
      <c r="GV250" s="28" t="str">
        <f t="shared" si="180"/>
        <v>00:00</v>
      </c>
      <c r="GW250" s="29"/>
      <c r="GX250" s="27"/>
      <c r="GY250" s="27"/>
      <c r="GZ250" s="28" t="str">
        <f>IFERROR(VLOOKUP(GX250,Horarios!$H:$I,2,0),"")</f>
        <v/>
      </c>
      <c r="HA250" s="28" t="str">
        <f>IFERROR(VLOOKUP(GY250,Horarios!$H:$I,2,0),"")</f>
        <v/>
      </c>
      <c r="HB250" s="28" t="str">
        <f t="shared" si="181"/>
        <v>00:00</v>
      </c>
      <c r="HC250" s="29"/>
      <c r="HD250" s="27"/>
      <c r="HE250" s="27"/>
      <c r="HF250" s="28" t="str">
        <f>IFERROR(VLOOKUP(HD250,Horarios!$H:$I,2,0),"")</f>
        <v/>
      </c>
      <c r="HG250" s="28" t="str">
        <f>IFERROR(VLOOKUP(HE250,Horarios!$H:$I,2,0),"")</f>
        <v/>
      </c>
      <c r="HH250" s="28" t="str">
        <f t="shared" si="182"/>
        <v>00:00</v>
      </c>
      <c r="HI250" s="29"/>
      <c r="HJ250" s="31" t="str">
        <f t="shared" si="183"/>
        <v/>
      </c>
      <c r="HK250" s="27"/>
      <c r="HL250" s="27"/>
      <c r="HM250" s="28" t="str">
        <f>IFERROR(VLOOKUP(HK250,Horarios!$H:$I,2,0),"")</f>
        <v/>
      </c>
      <c r="HN250" s="28" t="str">
        <f>IFERROR(VLOOKUP(HL250,Horarios!$H:$I,2,0),"")</f>
        <v/>
      </c>
      <c r="HO250" s="28" t="str">
        <f t="shared" si="184"/>
        <v>00:00</v>
      </c>
      <c r="HP250" s="29"/>
      <c r="HQ250" s="27"/>
      <c r="HR250" s="27"/>
      <c r="HS250" s="28" t="str">
        <f>IFERROR(VLOOKUP(HQ250,Horarios!$H:$I,2,0),"")</f>
        <v/>
      </c>
      <c r="HT250" s="28" t="str">
        <f>IFERROR(VLOOKUP(HR250,Horarios!$H:$I,2,0),"")</f>
        <v/>
      </c>
      <c r="HU250" s="28" t="str">
        <f t="shared" si="185"/>
        <v>00:00</v>
      </c>
      <c r="HV250" s="29"/>
      <c r="HW250" s="27"/>
      <c r="HX250" s="27"/>
      <c r="HY250" s="28" t="str">
        <f>IFERROR(VLOOKUP(HW250,Horarios!$H:$I,2,0),"")</f>
        <v/>
      </c>
      <c r="HZ250" s="28" t="str">
        <f>IFERROR(VLOOKUP(HX250,Horarios!$H:$I,2,0),"")</f>
        <v/>
      </c>
      <c r="IA250" s="28" t="str">
        <f t="shared" si="186"/>
        <v>00:00</v>
      </c>
      <c r="IB250" s="29"/>
      <c r="IC250" s="27"/>
      <c r="ID250" s="27"/>
      <c r="IE250" s="28" t="str">
        <f>IFERROR(VLOOKUP(IC250,Horarios!$H:$I,2,0),"")</f>
        <v/>
      </c>
      <c r="IF250" s="28" t="str">
        <f>IFERROR(VLOOKUP(ID250,Horarios!$H:$I,2,0),"")</f>
        <v/>
      </c>
      <c r="IG250" s="28" t="str">
        <f t="shared" si="187"/>
        <v>00:00</v>
      </c>
      <c r="IH250" s="29"/>
      <c r="II250" s="27"/>
      <c r="IJ250" s="27"/>
      <c r="IK250" s="28" t="str">
        <f>IFERROR(VLOOKUP(II250,Horarios!$H:$I,2,0),"")</f>
        <v/>
      </c>
      <c r="IL250" s="28" t="str">
        <f>IFERROR(VLOOKUP(IJ250,Horarios!$H:$I,2,0),"")</f>
        <v/>
      </c>
      <c r="IM250" s="28" t="str">
        <f t="shared" si="188"/>
        <v>00:00</v>
      </c>
      <c r="IN250" s="29"/>
      <c r="IO250" s="27"/>
      <c r="IP250" s="27"/>
      <c r="IQ250" s="28" t="str">
        <f>IFERROR(VLOOKUP(IO250,Horarios!$H:$I,2,0),"")</f>
        <v/>
      </c>
      <c r="IR250" s="28" t="str">
        <f>IFERROR(VLOOKUP(IP250,Horarios!$H:$I,2,0),"")</f>
        <v/>
      </c>
      <c r="IS250" s="28" t="str">
        <f t="shared" si="189"/>
        <v>00:00</v>
      </c>
      <c r="IT250" s="29"/>
      <c r="IU250" s="27"/>
      <c r="IV250" s="27"/>
      <c r="IW250" s="28" t="str">
        <f>IFERROR(VLOOKUP(IU250,Horarios!$H:$I,2,0),"")</f>
        <v/>
      </c>
      <c r="IX250" s="28" t="str">
        <f>IFERROR(VLOOKUP(IV250,Horarios!$H:$I,2,0),"")</f>
        <v/>
      </c>
      <c r="IY250" s="28" t="str">
        <f t="shared" si="190"/>
        <v>00:00</v>
      </c>
      <c r="IZ250" s="29"/>
      <c r="JA250" s="31" t="str">
        <f t="shared" si="191"/>
        <v/>
      </c>
    </row>
    <row r="251" spans="1:261" s="24" customFormat="1" ht="17.399999999999999" x14ac:dyDescent="0.25">
      <c r="A251" s="25"/>
      <c r="B251" s="26" t="str">
        <f>IFERROR(VLOOKUP(A251,BaseNombres!A:B,2,0),"")</f>
        <v/>
      </c>
      <c r="C251" s="26" t="str">
        <f>IFERROR(VLOOKUP(A251,BaseNombres!A:C,3,0),"")</f>
        <v/>
      </c>
      <c r="D251" s="27"/>
      <c r="E251" s="27"/>
      <c r="F251" s="28" t="str">
        <f>IFERROR(VLOOKUP(D251,Horarios!$H:$I,2,0),"")</f>
        <v/>
      </c>
      <c r="G251" s="28" t="str">
        <f>IFERROR(VLOOKUP(E251,Horarios!$H:$I,2,0),"")</f>
        <v/>
      </c>
      <c r="H251" s="28" t="str">
        <f t="shared" si="144"/>
        <v>00:00</v>
      </c>
      <c r="I251" s="29"/>
      <c r="J251" s="27"/>
      <c r="K251" s="27"/>
      <c r="L251" s="28" t="str">
        <f>IFERROR(VLOOKUP(J251,Horarios!$H:$I,2,0),"")</f>
        <v/>
      </c>
      <c r="M251" s="28" t="str">
        <f>IFERROR(VLOOKUP(K251,Horarios!$H:$I,2,0),"")</f>
        <v/>
      </c>
      <c r="N251" s="28" t="str">
        <f t="shared" si="145"/>
        <v>00:00</v>
      </c>
      <c r="O251" s="29"/>
      <c r="P251" s="27"/>
      <c r="Q251" s="27"/>
      <c r="R251" s="28" t="str">
        <f>IFERROR(VLOOKUP(P251,Horarios!$H:$I,2,0),"")</f>
        <v/>
      </c>
      <c r="S251" s="28" t="str">
        <f>IFERROR(VLOOKUP(Q251,Horarios!$H:$I,2,0),"")</f>
        <v/>
      </c>
      <c r="T251" s="28" t="str">
        <f t="shared" si="146"/>
        <v>00:00</v>
      </c>
      <c r="U251" s="29"/>
      <c r="V251" s="27"/>
      <c r="W251" s="27"/>
      <c r="X251" s="28" t="str">
        <f>IFERROR(VLOOKUP(V251,Horarios!$H:$I,2,0),"")</f>
        <v/>
      </c>
      <c r="Y251" s="28" t="str">
        <f>IFERROR(VLOOKUP(W251,Horarios!$H:$I,2,0),"")</f>
        <v/>
      </c>
      <c r="Z251" s="28" t="str">
        <f t="shared" si="147"/>
        <v>00:00</v>
      </c>
      <c r="AA251" s="29"/>
      <c r="AB251" s="27"/>
      <c r="AC251" s="27"/>
      <c r="AD251" s="28" t="str">
        <f>IFERROR(VLOOKUP(AB251,Horarios!$H:$I,2,0),"")</f>
        <v/>
      </c>
      <c r="AE251" s="28" t="str">
        <f>IFERROR(VLOOKUP(AC251,Horarios!$H:$I,2,0),"")</f>
        <v/>
      </c>
      <c r="AF251" s="28" t="str">
        <f t="shared" si="148"/>
        <v>00:00</v>
      </c>
      <c r="AG251" s="29"/>
      <c r="AH251" s="27"/>
      <c r="AI251" s="27"/>
      <c r="AJ251" s="28" t="str">
        <f>IFERROR(VLOOKUP(AH251,Horarios!$H:$I,2,0),"")</f>
        <v/>
      </c>
      <c r="AK251" s="28" t="str">
        <f>IFERROR(VLOOKUP(AI251,Horarios!$H:$I,2,0),"")</f>
        <v/>
      </c>
      <c r="AL251" s="28" t="str">
        <f t="shared" si="149"/>
        <v>00:00</v>
      </c>
      <c r="AM251" s="29"/>
      <c r="AN251" s="27"/>
      <c r="AO251" s="27"/>
      <c r="AP251" s="28" t="str">
        <f>IFERROR(VLOOKUP(AN251,Horarios!$H:$I,2,0),"")</f>
        <v/>
      </c>
      <c r="AQ251" s="28" t="str">
        <f>IFERROR(VLOOKUP(AO251,Horarios!$H:$I,2,0),"")</f>
        <v/>
      </c>
      <c r="AR251" s="28" t="str">
        <f t="shared" si="150"/>
        <v>00:00</v>
      </c>
      <c r="AS251" s="29"/>
      <c r="AT251" s="31" t="str">
        <f t="shared" si="151"/>
        <v/>
      </c>
      <c r="AU251" s="27"/>
      <c r="AV251" s="27"/>
      <c r="AW251" s="28" t="str">
        <f>IFERROR(VLOOKUP(AU251,Horarios!$H:$I,2,0),"")</f>
        <v/>
      </c>
      <c r="AX251" s="28" t="str">
        <f>IFERROR(VLOOKUP(AV251,Horarios!$H:$I,2,0),"")</f>
        <v/>
      </c>
      <c r="AY251" s="28" t="str">
        <f t="shared" si="152"/>
        <v>00:00</v>
      </c>
      <c r="AZ251" s="29"/>
      <c r="BA251" s="27"/>
      <c r="BB251" s="27"/>
      <c r="BC251" s="28" t="str">
        <f>IFERROR(VLOOKUP(BA251,Horarios!$H:$I,2,0),"")</f>
        <v/>
      </c>
      <c r="BD251" s="28" t="str">
        <f>IFERROR(VLOOKUP(BB251,Horarios!$H:$I,2,0),"")</f>
        <v/>
      </c>
      <c r="BE251" s="28" t="str">
        <f t="shared" si="153"/>
        <v>00:00</v>
      </c>
      <c r="BF251" s="29"/>
      <c r="BG251" s="27"/>
      <c r="BH251" s="27"/>
      <c r="BI251" s="28" t="str">
        <f>IFERROR(VLOOKUP(BG251,Horarios!$H:$I,2,0),"")</f>
        <v/>
      </c>
      <c r="BJ251" s="28" t="str">
        <f>IFERROR(VLOOKUP(BH251,Horarios!$H:$I,2,0),"")</f>
        <v/>
      </c>
      <c r="BK251" s="28" t="str">
        <f t="shared" si="154"/>
        <v>00:00</v>
      </c>
      <c r="BL251" s="29"/>
      <c r="BM251" s="27"/>
      <c r="BN251" s="27"/>
      <c r="BO251" s="28" t="str">
        <f>IFERROR(VLOOKUP(BM251,Horarios!$H:$I,2,0),"")</f>
        <v/>
      </c>
      <c r="BP251" s="28" t="str">
        <f>IFERROR(VLOOKUP(BN251,Horarios!$H:$I,2,0),"")</f>
        <v/>
      </c>
      <c r="BQ251" s="28" t="str">
        <f t="shared" si="155"/>
        <v>00:00</v>
      </c>
      <c r="BR251" s="29"/>
      <c r="BS251" s="27"/>
      <c r="BT251" s="27"/>
      <c r="BU251" s="28" t="str">
        <f>IFERROR(VLOOKUP(BS251,Horarios!$H:$I,2,0),"")</f>
        <v/>
      </c>
      <c r="BV251" s="28" t="str">
        <f>IFERROR(VLOOKUP(BT251,Horarios!$H:$I,2,0),"")</f>
        <v/>
      </c>
      <c r="BW251" s="28" t="str">
        <f t="shared" si="156"/>
        <v>00:00</v>
      </c>
      <c r="BX251" s="29"/>
      <c r="BY251" s="27"/>
      <c r="BZ251" s="27"/>
      <c r="CA251" s="28" t="str">
        <f>IFERROR(VLOOKUP(BY251,Horarios!$H:$I,2,0),"")</f>
        <v/>
      </c>
      <c r="CB251" s="28" t="str">
        <f>IFERROR(VLOOKUP(BZ251,Horarios!$H:$I,2,0),"")</f>
        <v/>
      </c>
      <c r="CC251" s="28" t="str">
        <f t="shared" si="157"/>
        <v>00:00</v>
      </c>
      <c r="CD251" s="29"/>
      <c r="CE251" s="27"/>
      <c r="CF251" s="27"/>
      <c r="CG251" s="28" t="str">
        <f>IFERROR(VLOOKUP(CE251,Horarios!$H:$I,2,0),"")</f>
        <v/>
      </c>
      <c r="CH251" s="28" t="str">
        <f>IFERROR(VLOOKUP(CF251,Horarios!$H:$I,2,0),"")</f>
        <v/>
      </c>
      <c r="CI251" s="28" t="str">
        <f t="shared" si="158"/>
        <v>00:00</v>
      </c>
      <c r="CJ251" s="29"/>
      <c r="CK251" s="31" t="str">
        <f t="shared" si="159"/>
        <v/>
      </c>
      <c r="CL251" s="27"/>
      <c r="CM251" s="27"/>
      <c r="CN251" s="28" t="str">
        <f>IFERROR(VLOOKUP(CL251,Horarios!$H:$I,2,0),"")</f>
        <v/>
      </c>
      <c r="CO251" s="28" t="str">
        <f>IFERROR(VLOOKUP(CM251,Horarios!$H:$I,2,0),"")</f>
        <v/>
      </c>
      <c r="CP251" s="28" t="str">
        <f t="shared" si="160"/>
        <v>00:00</v>
      </c>
      <c r="CQ251" s="29"/>
      <c r="CR251" s="27"/>
      <c r="CS251" s="27"/>
      <c r="CT251" s="28" t="str">
        <f>IFERROR(VLOOKUP(CR251,Horarios!$H:$I,2,0),"")</f>
        <v/>
      </c>
      <c r="CU251" s="28" t="str">
        <f>IFERROR(VLOOKUP(CS251,Horarios!$H:$I,2,0),"")</f>
        <v/>
      </c>
      <c r="CV251" s="28" t="str">
        <f t="shared" si="161"/>
        <v>00:00</v>
      </c>
      <c r="CW251" s="29"/>
      <c r="CX251" s="27"/>
      <c r="CY251" s="27"/>
      <c r="CZ251" s="28" t="str">
        <f>IFERROR(VLOOKUP(CX251,Horarios!$H:$I,2,0),"")</f>
        <v/>
      </c>
      <c r="DA251" s="28" t="str">
        <f>IFERROR(VLOOKUP(CY251,Horarios!$H:$I,2,0),"")</f>
        <v/>
      </c>
      <c r="DB251" s="28" t="str">
        <f t="shared" si="162"/>
        <v>00:00</v>
      </c>
      <c r="DC251" s="29"/>
      <c r="DD251" s="27"/>
      <c r="DE251" s="27"/>
      <c r="DF251" s="28" t="str">
        <f>IFERROR(VLOOKUP(DD251,Horarios!$H:$I,2,0),"")</f>
        <v/>
      </c>
      <c r="DG251" s="28" t="str">
        <f>IFERROR(VLOOKUP(DE251,Horarios!$H:$I,2,0),"")</f>
        <v/>
      </c>
      <c r="DH251" s="28" t="str">
        <f t="shared" si="163"/>
        <v>00:00</v>
      </c>
      <c r="DI251" s="29"/>
      <c r="DJ251" s="27"/>
      <c r="DK251" s="27"/>
      <c r="DL251" s="28" t="str">
        <f>IFERROR(VLOOKUP(DJ251,Horarios!$H:$I,2,0),"")</f>
        <v/>
      </c>
      <c r="DM251" s="28" t="str">
        <f>IFERROR(VLOOKUP(DK251,Horarios!$H:$I,2,0),"")</f>
        <v/>
      </c>
      <c r="DN251" s="28" t="str">
        <f t="shared" si="164"/>
        <v>00:00</v>
      </c>
      <c r="DO251" s="29"/>
      <c r="DP251" s="27"/>
      <c r="DQ251" s="27"/>
      <c r="DR251" s="28" t="str">
        <f>IFERROR(VLOOKUP(DP251,Horarios!$H:$I,2,0),"")</f>
        <v/>
      </c>
      <c r="DS251" s="28" t="str">
        <f>IFERROR(VLOOKUP(DQ251,Horarios!$H:$I,2,0),"")</f>
        <v/>
      </c>
      <c r="DT251" s="28" t="str">
        <f t="shared" si="165"/>
        <v>00:00</v>
      </c>
      <c r="DU251" s="29"/>
      <c r="DV251" s="27"/>
      <c r="DW251" s="27"/>
      <c r="DX251" s="28" t="str">
        <f>IFERROR(VLOOKUP(DV251,Horarios!$H:$I,2,0),"")</f>
        <v/>
      </c>
      <c r="DY251" s="28" t="str">
        <f>IFERROR(VLOOKUP(DW251,Horarios!$H:$I,2,0),"")</f>
        <v/>
      </c>
      <c r="DZ251" s="28" t="str">
        <f t="shared" si="166"/>
        <v>00:00</v>
      </c>
      <c r="EA251" s="29"/>
      <c r="EB251" s="31" t="str">
        <f t="shared" si="167"/>
        <v/>
      </c>
      <c r="EC251" s="27"/>
      <c r="ED251" s="27"/>
      <c r="EE251" s="28" t="str">
        <f>IFERROR(VLOOKUP(EC251,Horarios!$H:$I,2,0),"")</f>
        <v/>
      </c>
      <c r="EF251" s="28" t="str">
        <f>IFERROR(VLOOKUP(ED251,Horarios!$H:$I,2,0),"")</f>
        <v/>
      </c>
      <c r="EG251" s="28" t="str">
        <f t="shared" si="168"/>
        <v>00:00</v>
      </c>
      <c r="EH251" s="29"/>
      <c r="EI251" s="27"/>
      <c r="EJ251" s="27"/>
      <c r="EK251" s="28" t="str">
        <f>IFERROR(VLOOKUP(EI251,Horarios!$H:$I,2,0),"")</f>
        <v/>
      </c>
      <c r="EL251" s="28" t="str">
        <f>IFERROR(VLOOKUP(EJ251,Horarios!$H:$I,2,0),"")</f>
        <v/>
      </c>
      <c r="EM251" s="28" t="str">
        <f t="shared" si="169"/>
        <v>00:00</v>
      </c>
      <c r="EN251" s="29"/>
      <c r="EO251" s="27"/>
      <c r="EP251" s="27"/>
      <c r="EQ251" s="28" t="str">
        <f>IFERROR(VLOOKUP(EO251,Horarios!$H:$I,2,0),"")</f>
        <v/>
      </c>
      <c r="ER251" s="28" t="str">
        <f>IFERROR(VLOOKUP(EP251,Horarios!$H:$I,2,0),"")</f>
        <v/>
      </c>
      <c r="ES251" s="28" t="str">
        <f t="shared" si="170"/>
        <v>00:00</v>
      </c>
      <c r="ET251" s="29"/>
      <c r="EU251" s="27"/>
      <c r="EV251" s="27"/>
      <c r="EW251" s="28" t="str">
        <f>IFERROR(VLOOKUP(EU251,Horarios!$H:$I,2,0),"")</f>
        <v/>
      </c>
      <c r="EX251" s="28" t="str">
        <f>IFERROR(VLOOKUP(EV251,Horarios!$H:$I,2,0),"")</f>
        <v/>
      </c>
      <c r="EY251" s="28" t="str">
        <f t="shared" si="171"/>
        <v>00:00</v>
      </c>
      <c r="EZ251" s="29"/>
      <c r="FA251" s="27"/>
      <c r="FB251" s="27"/>
      <c r="FC251" s="28" t="str">
        <f>IFERROR(VLOOKUP(FA251,Horarios!$H:$I,2,0),"")</f>
        <v/>
      </c>
      <c r="FD251" s="28" t="str">
        <f>IFERROR(VLOOKUP(FB251,Horarios!$H:$I,2,0),"")</f>
        <v/>
      </c>
      <c r="FE251" s="28" t="str">
        <f t="shared" si="172"/>
        <v>00:00</v>
      </c>
      <c r="FF251" s="29"/>
      <c r="FG251" s="27"/>
      <c r="FH251" s="27"/>
      <c r="FI251" s="28" t="str">
        <f>IFERROR(VLOOKUP(FG251,Horarios!$H:$I,2,0),"")</f>
        <v/>
      </c>
      <c r="FJ251" s="28" t="str">
        <f>IFERROR(VLOOKUP(FH251,Horarios!$H:$I,2,0),"")</f>
        <v/>
      </c>
      <c r="FK251" s="28" t="str">
        <f t="shared" si="173"/>
        <v>00:00</v>
      </c>
      <c r="FL251" s="29"/>
      <c r="FM251" s="27"/>
      <c r="FN251" s="27"/>
      <c r="FO251" s="28" t="str">
        <f>IFERROR(VLOOKUP(FM251,Horarios!$H:$I,2,0),"")</f>
        <v/>
      </c>
      <c r="FP251" s="28" t="str">
        <f>IFERROR(VLOOKUP(FN251,Horarios!$H:$I,2,0),"")</f>
        <v/>
      </c>
      <c r="FQ251" s="28" t="str">
        <f t="shared" si="174"/>
        <v>00:00</v>
      </c>
      <c r="FR251" s="29"/>
      <c r="FS251" s="31" t="str">
        <f t="shared" si="175"/>
        <v/>
      </c>
      <c r="FT251" s="27"/>
      <c r="FU251" s="27"/>
      <c r="FV251" s="28" t="str">
        <f>IFERROR(VLOOKUP(FT251,Horarios!$H:$I,2,0),"")</f>
        <v/>
      </c>
      <c r="FW251" s="28" t="str">
        <f>IFERROR(VLOOKUP(FU251,Horarios!$H:$I,2,0),"")</f>
        <v/>
      </c>
      <c r="FX251" s="28" t="str">
        <f t="shared" si="176"/>
        <v>00:00</v>
      </c>
      <c r="FY251" s="29"/>
      <c r="FZ251" s="27"/>
      <c r="GA251" s="27"/>
      <c r="GB251" s="28" t="str">
        <f>IFERROR(VLOOKUP(FZ251,Horarios!$H:$I,2,0),"")</f>
        <v/>
      </c>
      <c r="GC251" s="28" t="str">
        <f>IFERROR(VLOOKUP(GA251,Horarios!$H:$I,2,0),"")</f>
        <v/>
      </c>
      <c r="GD251" s="28" t="str">
        <f t="shared" si="177"/>
        <v>00:00</v>
      </c>
      <c r="GE251" s="29"/>
      <c r="GF251" s="27"/>
      <c r="GG251" s="27"/>
      <c r="GH251" s="28" t="str">
        <f>IFERROR(VLOOKUP(GF251,Horarios!$H:$I,2,0),"")</f>
        <v/>
      </c>
      <c r="GI251" s="28" t="str">
        <f>IFERROR(VLOOKUP(GG251,Horarios!$H:$I,2,0),"")</f>
        <v/>
      </c>
      <c r="GJ251" s="28" t="str">
        <f t="shared" si="178"/>
        <v>00:00</v>
      </c>
      <c r="GK251" s="29"/>
      <c r="GL251" s="27"/>
      <c r="GM251" s="27"/>
      <c r="GN251" s="28" t="str">
        <f>IFERROR(VLOOKUP(GL251,Horarios!$H:$I,2,0),"")</f>
        <v/>
      </c>
      <c r="GO251" s="28" t="str">
        <f>IFERROR(VLOOKUP(GM251,Horarios!$H:$I,2,0),"")</f>
        <v/>
      </c>
      <c r="GP251" s="28" t="str">
        <f t="shared" si="179"/>
        <v>00:00</v>
      </c>
      <c r="GQ251" s="29"/>
      <c r="GR251" s="27"/>
      <c r="GS251" s="27"/>
      <c r="GT251" s="28" t="str">
        <f>IFERROR(VLOOKUP(GR251,Horarios!$H:$I,2,0),"")</f>
        <v/>
      </c>
      <c r="GU251" s="28" t="str">
        <f>IFERROR(VLOOKUP(GS251,Horarios!$H:$I,2,0),"")</f>
        <v/>
      </c>
      <c r="GV251" s="28" t="str">
        <f t="shared" si="180"/>
        <v>00:00</v>
      </c>
      <c r="GW251" s="29"/>
      <c r="GX251" s="27"/>
      <c r="GY251" s="27"/>
      <c r="GZ251" s="28" t="str">
        <f>IFERROR(VLOOKUP(GX251,Horarios!$H:$I,2,0),"")</f>
        <v/>
      </c>
      <c r="HA251" s="28" t="str">
        <f>IFERROR(VLOOKUP(GY251,Horarios!$H:$I,2,0),"")</f>
        <v/>
      </c>
      <c r="HB251" s="28" t="str">
        <f t="shared" si="181"/>
        <v>00:00</v>
      </c>
      <c r="HC251" s="29"/>
      <c r="HD251" s="27"/>
      <c r="HE251" s="27"/>
      <c r="HF251" s="28" t="str">
        <f>IFERROR(VLOOKUP(HD251,Horarios!$H:$I,2,0),"")</f>
        <v/>
      </c>
      <c r="HG251" s="28" t="str">
        <f>IFERROR(VLOOKUP(HE251,Horarios!$H:$I,2,0),"")</f>
        <v/>
      </c>
      <c r="HH251" s="28" t="str">
        <f t="shared" si="182"/>
        <v>00:00</v>
      </c>
      <c r="HI251" s="29"/>
      <c r="HJ251" s="31" t="str">
        <f t="shared" si="183"/>
        <v/>
      </c>
      <c r="HK251" s="27"/>
      <c r="HL251" s="27"/>
      <c r="HM251" s="28" t="str">
        <f>IFERROR(VLOOKUP(HK251,Horarios!$H:$I,2,0),"")</f>
        <v/>
      </c>
      <c r="HN251" s="28" t="str">
        <f>IFERROR(VLOOKUP(HL251,Horarios!$H:$I,2,0),"")</f>
        <v/>
      </c>
      <c r="HO251" s="28" t="str">
        <f t="shared" si="184"/>
        <v>00:00</v>
      </c>
      <c r="HP251" s="29"/>
      <c r="HQ251" s="27"/>
      <c r="HR251" s="27"/>
      <c r="HS251" s="28" t="str">
        <f>IFERROR(VLOOKUP(HQ251,Horarios!$H:$I,2,0),"")</f>
        <v/>
      </c>
      <c r="HT251" s="28" t="str">
        <f>IFERROR(VLOOKUP(HR251,Horarios!$H:$I,2,0),"")</f>
        <v/>
      </c>
      <c r="HU251" s="28" t="str">
        <f t="shared" si="185"/>
        <v>00:00</v>
      </c>
      <c r="HV251" s="29"/>
      <c r="HW251" s="27"/>
      <c r="HX251" s="27"/>
      <c r="HY251" s="28" t="str">
        <f>IFERROR(VLOOKUP(HW251,Horarios!$H:$I,2,0),"")</f>
        <v/>
      </c>
      <c r="HZ251" s="28" t="str">
        <f>IFERROR(VLOOKUP(HX251,Horarios!$H:$I,2,0),"")</f>
        <v/>
      </c>
      <c r="IA251" s="28" t="str">
        <f t="shared" si="186"/>
        <v>00:00</v>
      </c>
      <c r="IB251" s="29"/>
      <c r="IC251" s="27"/>
      <c r="ID251" s="27"/>
      <c r="IE251" s="28" t="str">
        <f>IFERROR(VLOOKUP(IC251,Horarios!$H:$I,2,0),"")</f>
        <v/>
      </c>
      <c r="IF251" s="28" t="str">
        <f>IFERROR(VLOOKUP(ID251,Horarios!$H:$I,2,0),"")</f>
        <v/>
      </c>
      <c r="IG251" s="28" t="str">
        <f t="shared" si="187"/>
        <v>00:00</v>
      </c>
      <c r="IH251" s="29"/>
      <c r="II251" s="27"/>
      <c r="IJ251" s="27"/>
      <c r="IK251" s="28" t="str">
        <f>IFERROR(VLOOKUP(II251,Horarios!$H:$I,2,0),"")</f>
        <v/>
      </c>
      <c r="IL251" s="28" t="str">
        <f>IFERROR(VLOOKUP(IJ251,Horarios!$H:$I,2,0),"")</f>
        <v/>
      </c>
      <c r="IM251" s="28" t="str">
        <f t="shared" si="188"/>
        <v>00:00</v>
      </c>
      <c r="IN251" s="29"/>
      <c r="IO251" s="27"/>
      <c r="IP251" s="27"/>
      <c r="IQ251" s="28" t="str">
        <f>IFERROR(VLOOKUP(IO251,Horarios!$H:$I,2,0),"")</f>
        <v/>
      </c>
      <c r="IR251" s="28" t="str">
        <f>IFERROR(VLOOKUP(IP251,Horarios!$H:$I,2,0),"")</f>
        <v/>
      </c>
      <c r="IS251" s="28" t="str">
        <f t="shared" si="189"/>
        <v>00:00</v>
      </c>
      <c r="IT251" s="29"/>
      <c r="IU251" s="27"/>
      <c r="IV251" s="27"/>
      <c r="IW251" s="28" t="str">
        <f>IFERROR(VLOOKUP(IU251,Horarios!$H:$I,2,0),"")</f>
        <v/>
      </c>
      <c r="IX251" s="28" t="str">
        <f>IFERROR(VLOOKUP(IV251,Horarios!$H:$I,2,0),"")</f>
        <v/>
      </c>
      <c r="IY251" s="28" t="str">
        <f t="shared" si="190"/>
        <v>00:00</v>
      </c>
      <c r="IZ251" s="29"/>
      <c r="JA251" s="31" t="str">
        <f t="shared" si="191"/>
        <v/>
      </c>
    </row>
    <row r="252" spans="1:261" s="24" customFormat="1" ht="17.399999999999999" x14ac:dyDescent="0.25">
      <c r="A252" s="25"/>
      <c r="B252" s="26" t="str">
        <f>IFERROR(VLOOKUP(A252,BaseNombres!A:B,2,0),"")</f>
        <v/>
      </c>
      <c r="C252" s="26" t="str">
        <f>IFERROR(VLOOKUP(A252,BaseNombres!A:C,3,0),"")</f>
        <v/>
      </c>
      <c r="D252" s="27"/>
      <c r="E252" s="27"/>
      <c r="F252" s="28" t="str">
        <f>IFERROR(VLOOKUP(D252,Horarios!$H:$I,2,0),"")</f>
        <v/>
      </c>
      <c r="G252" s="28" t="str">
        <f>IFERROR(VLOOKUP(E252,Horarios!$H:$I,2,0),"")</f>
        <v/>
      </c>
      <c r="H252" s="28" t="str">
        <f t="shared" si="144"/>
        <v>00:00</v>
      </c>
      <c r="I252" s="29"/>
      <c r="J252" s="27"/>
      <c r="K252" s="27"/>
      <c r="L252" s="28" t="str">
        <f>IFERROR(VLOOKUP(J252,Horarios!$H:$I,2,0),"")</f>
        <v/>
      </c>
      <c r="M252" s="28" t="str">
        <f>IFERROR(VLOOKUP(K252,Horarios!$H:$I,2,0),"")</f>
        <v/>
      </c>
      <c r="N252" s="28" t="str">
        <f t="shared" si="145"/>
        <v>00:00</v>
      </c>
      <c r="O252" s="29"/>
      <c r="P252" s="27"/>
      <c r="Q252" s="27"/>
      <c r="R252" s="28" t="str">
        <f>IFERROR(VLOOKUP(P252,Horarios!$H:$I,2,0),"")</f>
        <v/>
      </c>
      <c r="S252" s="28" t="str">
        <f>IFERROR(VLOOKUP(Q252,Horarios!$H:$I,2,0),"")</f>
        <v/>
      </c>
      <c r="T252" s="28" t="str">
        <f t="shared" si="146"/>
        <v>00:00</v>
      </c>
      <c r="U252" s="29"/>
      <c r="V252" s="27"/>
      <c r="W252" s="27"/>
      <c r="X252" s="28" t="str">
        <f>IFERROR(VLOOKUP(V252,Horarios!$H:$I,2,0),"")</f>
        <v/>
      </c>
      <c r="Y252" s="28" t="str">
        <f>IFERROR(VLOOKUP(W252,Horarios!$H:$I,2,0),"")</f>
        <v/>
      </c>
      <c r="Z252" s="28" t="str">
        <f t="shared" si="147"/>
        <v>00:00</v>
      </c>
      <c r="AA252" s="29"/>
      <c r="AB252" s="27"/>
      <c r="AC252" s="27"/>
      <c r="AD252" s="28" t="str">
        <f>IFERROR(VLOOKUP(AB252,Horarios!$H:$I,2,0),"")</f>
        <v/>
      </c>
      <c r="AE252" s="28" t="str">
        <f>IFERROR(VLOOKUP(AC252,Horarios!$H:$I,2,0),"")</f>
        <v/>
      </c>
      <c r="AF252" s="28" t="str">
        <f t="shared" si="148"/>
        <v>00:00</v>
      </c>
      <c r="AG252" s="29"/>
      <c r="AH252" s="27"/>
      <c r="AI252" s="27"/>
      <c r="AJ252" s="28" t="str">
        <f>IFERROR(VLOOKUP(AH252,Horarios!$H:$I,2,0),"")</f>
        <v/>
      </c>
      <c r="AK252" s="28" t="str">
        <f>IFERROR(VLOOKUP(AI252,Horarios!$H:$I,2,0),"")</f>
        <v/>
      </c>
      <c r="AL252" s="28" t="str">
        <f t="shared" si="149"/>
        <v>00:00</v>
      </c>
      <c r="AM252" s="29"/>
      <c r="AN252" s="27"/>
      <c r="AO252" s="27"/>
      <c r="AP252" s="28" t="str">
        <f>IFERROR(VLOOKUP(AN252,Horarios!$H:$I,2,0),"")</f>
        <v/>
      </c>
      <c r="AQ252" s="28" t="str">
        <f>IFERROR(VLOOKUP(AO252,Horarios!$H:$I,2,0),"")</f>
        <v/>
      </c>
      <c r="AR252" s="28" t="str">
        <f t="shared" si="150"/>
        <v>00:00</v>
      </c>
      <c r="AS252" s="29"/>
      <c r="AT252" s="31" t="str">
        <f t="shared" si="151"/>
        <v/>
      </c>
      <c r="AU252" s="27"/>
      <c r="AV252" s="27"/>
      <c r="AW252" s="28" t="str">
        <f>IFERROR(VLOOKUP(AU252,Horarios!$H:$I,2,0),"")</f>
        <v/>
      </c>
      <c r="AX252" s="28" t="str">
        <f>IFERROR(VLOOKUP(AV252,Horarios!$H:$I,2,0),"")</f>
        <v/>
      </c>
      <c r="AY252" s="28" t="str">
        <f t="shared" si="152"/>
        <v>00:00</v>
      </c>
      <c r="AZ252" s="29"/>
      <c r="BA252" s="27"/>
      <c r="BB252" s="27"/>
      <c r="BC252" s="28" t="str">
        <f>IFERROR(VLOOKUP(BA252,Horarios!$H:$I,2,0),"")</f>
        <v/>
      </c>
      <c r="BD252" s="28" t="str">
        <f>IFERROR(VLOOKUP(BB252,Horarios!$H:$I,2,0),"")</f>
        <v/>
      </c>
      <c r="BE252" s="28" t="str">
        <f t="shared" si="153"/>
        <v>00:00</v>
      </c>
      <c r="BF252" s="29"/>
      <c r="BG252" s="27"/>
      <c r="BH252" s="27"/>
      <c r="BI252" s="28" t="str">
        <f>IFERROR(VLOOKUP(BG252,Horarios!$H:$I,2,0),"")</f>
        <v/>
      </c>
      <c r="BJ252" s="28" t="str">
        <f>IFERROR(VLOOKUP(BH252,Horarios!$H:$I,2,0),"")</f>
        <v/>
      </c>
      <c r="BK252" s="28" t="str">
        <f t="shared" si="154"/>
        <v>00:00</v>
      </c>
      <c r="BL252" s="29"/>
      <c r="BM252" s="27"/>
      <c r="BN252" s="27"/>
      <c r="BO252" s="28" t="str">
        <f>IFERROR(VLOOKUP(BM252,Horarios!$H:$I,2,0),"")</f>
        <v/>
      </c>
      <c r="BP252" s="28" t="str">
        <f>IFERROR(VLOOKUP(BN252,Horarios!$H:$I,2,0),"")</f>
        <v/>
      </c>
      <c r="BQ252" s="28" t="str">
        <f t="shared" si="155"/>
        <v>00:00</v>
      </c>
      <c r="BR252" s="29"/>
      <c r="BS252" s="27"/>
      <c r="BT252" s="27"/>
      <c r="BU252" s="28" t="str">
        <f>IFERROR(VLOOKUP(BS252,Horarios!$H:$I,2,0),"")</f>
        <v/>
      </c>
      <c r="BV252" s="28" t="str">
        <f>IFERROR(VLOOKUP(BT252,Horarios!$H:$I,2,0),"")</f>
        <v/>
      </c>
      <c r="BW252" s="28" t="str">
        <f t="shared" si="156"/>
        <v>00:00</v>
      </c>
      <c r="BX252" s="29"/>
      <c r="BY252" s="27"/>
      <c r="BZ252" s="27"/>
      <c r="CA252" s="28" t="str">
        <f>IFERROR(VLOOKUP(BY252,Horarios!$H:$I,2,0),"")</f>
        <v/>
      </c>
      <c r="CB252" s="28" t="str">
        <f>IFERROR(VLOOKUP(BZ252,Horarios!$H:$I,2,0),"")</f>
        <v/>
      </c>
      <c r="CC252" s="28" t="str">
        <f t="shared" si="157"/>
        <v>00:00</v>
      </c>
      <c r="CD252" s="29"/>
      <c r="CE252" s="27"/>
      <c r="CF252" s="27"/>
      <c r="CG252" s="28" t="str">
        <f>IFERROR(VLOOKUP(CE252,Horarios!$H:$I,2,0),"")</f>
        <v/>
      </c>
      <c r="CH252" s="28" t="str">
        <f>IFERROR(VLOOKUP(CF252,Horarios!$H:$I,2,0),"")</f>
        <v/>
      </c>
      <c r="CI252" s="28" t="str">
        <f t="shared" si="158"/>
        <v>00:00</v>
      </c>
      <c r="CJ252" s="29"/>
      <c r="CK252" s="31" t="str">
        <f t="shared" si="159"/>
        <v/>
      </c>
      <c r="CL252" s="27"/>
      <c r="CM252" s="27"/>
      <c r="CN252" s="28" t="str">
        <f>IFERROR(VLOOKUP(CL252,Horarios!$H:$I,2,0),"")</f>
        <v/>
      </c>
      <c r="CO252" s="28" t="str">
        <f>IFERROR(VLOOKUP(CM252,Horarios!$H:$I,2,0),"")</f>
        <v/>
      </c>
      <c r="CP252" s="28" t="str">
        <f t="shared" si="160"/>
        <v>00:00</v>
      </c>
      <c r="CQ252" s="29"/>
      <c r="CR252" s="27"/>
      <c r="CS252" s="27"/>
      <c r="CT252" s="28" t="str">
        <f>IFERROR(VLOOKUP(CR252,Horarios!$H:$I,2,0),"")</f>
        <v/>
      </c>
      <c r="CU252" s="28" t="str">
        <f>IFERROR(VLOOKUP(CS252,Horarios!$H:$I,2,0),"")</f>
        <v/>
      </c>
      <c r="CV252" s="28" t="str">
        <f t="shared" si="161"/>
        <v>00:00</v>
      </c>
      <c r="CW252" s="29"/>
      <c r="CX252" s="27"/>
      <c r="CY252" s="27"/>
      <c r="CZ252" s="28" t="str">
        <f>IFERROR(VLOOKUP(CX252,Horarios!$H:$I,2,0),"")</f>
        <v/>
      </c>
      <c r="DA252" s="28" t="str">
        <f>IFERROR(VLOOKUP(CY252,Horarios!$H:$I,2,0),"")</f>
        <v/>
      </c>
      <c r="DB252" s="28" t="str">
        <f t="shared" si="162"/>
        <v>00:00</v>
      </c>
      <c r="DC252" s="29"/>
      <c r="DD252" s="27"/>
      <c r="DE252" s="27"/>
      <c r="DF252" s="28" t="str">
        <f>IFERROR(VLOOKUP(DD252,Horarios!$H:$I,2,0),"")</f>
        <v/>
      </c>
      <c r="DG252" s="28" t="str">
        <f>IFERROR(VLOOKUP(DE252,Horarios!$H:$I,2,0),"")</f>
        <v/>
      </c>
      <c r="DH252" s="28" t="str">
        <f t="shared" si="163"/>
        <v>00:00</v>
      </c>
      <c r="DI252" s="29"/>
      <c r="DJ252" s="27"/>
      <c r="DK252" s="27"/>
      <c r="DL252" s="28" t="str">
        <f>IFERROR(VLOOKUP(DJ252,Horarios!$H:$I,2,0),"")</f>
        <v/>
      </c>
      <c r="DM252" s="28" t="str">
        <f>IFERROR(VLOOKUP(DK252,Horarios!$H:$I,2,0),"")</f>
        <v/>
      </c>
      <c r="DN252" s="28" t="str">
        <f t="shared" si="164"/>
        <v>00:00</v>
      </c>
      <c r="DO252" s="29"/>
      <c r="DP252" s="27"/>
      <c r="DQ252" s="27"/>
      <c r="DR252" s="28" t="str">
        <f>IFERROR(VLOOKUP(DP252,Horarios!$H:$I,2,0),"")</f>
        <v/>
      </c>
      <c r="DS252" s="28" t="str">
        <f>IFERROR(VLOOKUP(DQ252,Horarios!$H:$I,2,0),"")</f>
        <v/>
      </c>
      <c r="DT252" s="28" t="str">
        <f t="shared" si="165"/>
        <v>00:00</v>
      </c>
      <c r="DU252" s="29"/>
      <c r="DV252" s="27"/>
      <c r="DW252" s="27"/>
      <c r="DX252" s="28" t="str">
        <f>IFERROR(VLOOKUP(DV252,Horarios!$H:$I,2,0),"")</f>
        <v/>
      </c>
      <c r="DY252" s="28" t="str">
        <f>IFERROR(VLOOKUP(DW252,Horarios!$H:$I,2,0),"")</f>
        <v/>
      </c>
      <c r="DZ252" s="28" t="str">
        <f t="shared" si="166"/>
        <v>00:00</v>
      </c>
      <c r="EA252" s="29"/>
      <c r="EB252" s="31" t="str">
        <f t="shared" si="167"/>
        <v/>
      </c>
      <c r="EC252" s="27"/>
      <c r="ED252" s="27"/>
      <c r="EE252" s="28" t="str">
        <f>IFERROR(VLOOKUP(EC252,Horarios!$H:$I,2,0),"")</f>
        <v/>
      </c>
      <c r="EF252" s="28" t="str">
        <f>IFERROR(VLOOKUP(ED252,Horarios!$H:$I,2,0),"")</f>
        <v/>
      </c>
      <c r="EG252" s="28" t="str">
        <f t="shared" si="168"/>
        <v>00:00</v>
      </c>
      <c r="EH252" s="29"/>
      <c r="EI252" s="27"/>
      <c r="EJ252" s="27"/>
      <c r="EK252" s="28" t="str">
        <f>IFERROR(VLOOKUP(EI252,Horarios!$H:$I,2,0),"")</f>
        <v/>
      </c>
      <c r="EL252" s="28" t="str">
        <f>IFERROR(VLOOKUP(EJ252,Horarios!$H:$I,2,0),"")</f>
        <v/>
      </c>
      <c r="EM252" s="28" t="str">
        <f t="shared" si="169"/>
        <v>00:00</v>
      </c>
      <c r="EN252" s="29"/>
      <c r="EO252" s="27"/>
      <c r="EP252" s="27"/>
      <c r="EQ252" s="28" t="str">
        <f>IFERROR(VLOOKUP(EO252,Horarios!$H:$I,2,0),"")</f>
        <v/>
      </c>
      <c r="ER252" s="28" t="str">
        <f>IFERROR(VLOOKUP(EP252,Horarios!$H:$I,2,0),"")</f>
        <v/>
      </c>
      <c r="ES252" s="28" t="str">
        <f t="shared" si="170"/>
        <v>00:00</v>
      </c>
      <c r="ET252" s="29"/>
      <c r="EU252" s="27"/>
      <c r="EV252" s="27"/>
      <c r="EW252" s="28" t="str">
        <f>IFERROR(VLOOKUP(EU252,Horarios!$H:$I,2,0),"")</f>
        <v/>
      </c>
      <c r="EX252" s="28" t="str">
        <f>IFERROR(VLOOKUP(EV252,Horarios!$H:$I,2,0),"")</f>
        <v/>
      </c>
      <c r="EY252" s="28" t="str">
        <f t="shared" si="171"/>
        <v>00:00</v>
      </c>
      <c r="EZ252" s="29"/>
      <c r="FA252" s="27"/>
      <c r="FB252" s="27"/>
      <c r="FC252" s="28" t="str">
        <f>IFERROR(VLOOKUP(FA252,Horarios!$H:$I,2,0),"")</f>
        <v/>
      </c>
      <c r="FD252" s="28" t="str">
        <f>IFERROR(VLOOKUP(FB252,Horarios!$H:$I,2,0),"")</f>
        <v/>
      </c>
      <c r="FE252" s="28" t="str">
        <f t="shared" si="172"/>
        <v>00:00</v>
      </c>
      <c r="FF252" s="29"/>
      <c r="FG252" s="27"/>
      <c r="FH252" s="27"/>
      <c r="FI252" s="28" t="str">
        <f>IFERROR(VLOOKUP(FG252,Horarios!$H:$I,2,0),"")</f>
        <v/>
      </c>
      <c r="FJ252" s="28" t="str">
        <f>IFERROR(VLOOKUP(FH252,Horarios!$H:$I,2,0),"")</f>
        <v/>
      </c>
      <c r="FK252" s="28" t="str">
        <f t="shared" si="173"/>
        <v>00:00</v>
      </c>
      <c r="FL252" s="29"/>
      <c r="FM252" s="27"/>
      <c r="FN252" s="27"/>
      <c r="FO252" s="28" t="str">
        <f>IFERROR(VLOOKUP(FM252,Horarios!$H:$I,2,0),"")</f>
        <v/>
      </c>
      <c r="FP252" s="28" t="str">
        <f>IFERROR(VLOOKUP(FN252,Horarios!$H:$I,2,0),"")</f>
        <v/>
      </c>
      <c r="FQ252" s="28" t="str">
        <f t="shared" si="174"/>
        <v>00:00</v>
      </c>
      <c r="FR252" s="29"/>
      <c r="FS252" s="31" t="str">
        <f t="shared" si="175"/>
        <v/>
      </c>
      <c r="FT252" s="27"/>
      <c r="FU252" s="27"/>
      <c r="FV252" s="28" t="str">
        <f>IFERROR(VLOOKUP(FT252,Horarios!$H:$I,2,0),"")</f>
        <v/>
      </c>
      <c r="FW252" s="28" t="str">
        <f>IFERROR(VLOOKUP(FU252,Horarios!$H:$I,2,0),"")</f>
        <v/>
      </c>
      <c r="FX252" s="28" t="str">
        <f t="shared" si="176"/>
        <v>00:00</v>
      </c>
      <c r="FY252" s="29"/>
      <c r="FZ252" s="27"/>
      <c r="GA252" s="27"/>
      <c r="GB252" s="28" t="str">
        <f>IFERROR(VLOOKUP(FZ252,Horarios!$H:$I,2,0),"")</f>
        <v/>
      </c>
      <c r="GC252" s="28" t="str">
        <f>IFERROR(VLOOKUP(GA252,Horarios!$H:$I,2,0),"")</f>
        <v/>
      </c>
      <c r="GD252" s="28" t="str">
        <f t="shared" si="177"/>
        <v>00:00</v>
      </c>
      <c r="GE252" s="29"/>
      <c r="GF252" s="27"/>
      <c r="GG252" s="27"/>
      <c r="GH252" s="28" t="str">
        <f>IFERROR(VLOOKUP(GF252,Horarios!$H:$I,2,0),"")</f>
        <v/>
      </c>
      <c r="GI252" s="28" t="str">
        <f>IFERROR(VLOOKUP(GG252,Horarios!$H:$I,2,0),"")</f>
        <v/>
      </c>
      <c r="GJ252" s="28" t="str">
        <f t="shared" si="178"/>
        <v>00:00</v>
      </c>
      <c r="GK252" s="29"/>
      <c r="GL252" s="27"/>
      <c r="GM252" s="27"/>
      <c r="GN252" s="28" t="str">
        <f>IFERROR(VLOOKUP(GL252,Horarios!$H:$I,2,0),"")</f>
        <v/>
      </c>
      <c r="GO252" s="28" t="str">
        <f>IFERROR(VLOOKUP(GM252,Horarios!$H:$I,2,0),"")</f>
        <v/>
      </c>
      <c r="GP252" s="28" t="str">
        <f t="shared" si="179"/>
        <v>00:00</v>
      </c>
      <c r="GQ252" s="29"/>
      <c r="GR252" s="27"/>
      <c r="GS252" s="27"/>
      <c r="GT252" s="28" t="str">
        <f>IFERROR(VLOOKUP(GR252,Horarios!$H:$I,2,0),"")</f>
        <v/>
      </c>
      <c r="GU252" s="28" t="str">
        <f>IFERROR(VLOOKUP(GS252,Horarios!$H:$I,2,0),"")</f>
        <v/>
      </c>
      <c r="GV252" s="28" t="str">
        <f t="shared" si="180"/>
        <v>00:00</v>
      </c>
      <c r="GW252" s="29"/>
      <c r="GX252" s="27"/>
      <c r="GY252" s="27"/>
      <c r="GZ252" s="28" t="str">
        <f>IFERROR(VLOOKUP(GX252,Horarios!$H:$I,2,0),"")</f>
        <v/>
      </c>
      <c r="HA252" s="28" t="str">
        <f>IFERROR(VLOOKUP(GY252,Horarios!$H:$I,2,0),"")</f>
        <v/>
      </c>
      <c r="HB252" s="28" t="str">
        <f t="shared" si="181"/>
        <v>00:00</v>
      </c>
      <c r="HC252" s="29"/>
      <c r="HD252" s="27"/>
      <c r="HE252" s="27"/>
      <c r="HF252" s="28" t="str">
        <f>IFERROR(VLOOKUP(HD252,Horarios!$H:$I,2,0),"")</f>
        <v/>
      </c>
      <c r="HG252" s="28" t="str">
        <f>IFERROR(VLOOKUP(HE252,Horarios!$H:$I,2,0),"")</f>
        <v/>
      </c>
      <c r="HH252" s="28" t="str">
        <f t="shared" si="182"/>
        <v>00:00</v>
      </c>
      <c r="HI252" s="29"/>
      <c r="HJ252" s="31" t="str">
        <f t="shared" si="183"/>
        <v/>
      </c>
      <c r="HK252" s="27"/>
      <c r="HL252" s="27"/>
      <c r="HM252" s="28" t="str">
        <f>IFERROR(VLOOKUP(HK252,Horarios!$H:$I,2,0),"")</f>
        <v/>
      </c>
      <c r="HN252" s="28" t="str">
        <f>IFERROR(VLOOKUP(HL252,Horarios!$H:$I,2,0),"")</f>
        <v/>
      </c>
      <c r="HO252" s="28" t="str">
        <f t="shared" si="184"/>
        <v>00:00</v>
      </c>
      <c r="HP252" s="29"/>
      <c r="HQ252" s="27"/>
      <c r="HR252" s="27"/>
      <c r="HS252" s="28" t="str">
        <f>IFERROR(VLOOKUP(HQ252,Horarios!$H:$I,2,0),"")</f>
        <v/>
      </c>
      <c r="HT252" s="28" t="str">
        <f>IFERROR(VLOOKUP(HR252,Horarios!$H:$I,2,0),"")</f>
        <v/>
      </c>
      <c r="HU252" s="28" t="str">
        <f t="shared" si="185"/>
        <v>00:00</v>
      </c>
      <c r="HV252" s="29"/>
      <c r="HW252" s="27"/>
      <c r="HX252" s="27"/>
      <c r="HY252" s="28" t="str">
        <f>IFERROR(VLOOKUP(HW252,Horarios!$H:$I,2,0),"")</f>
        <v/>
      </c>
      <c r="HZ252" s="28" t="str">
        <f>IFERROR(VLOOKUP(HX252,Horarios!$H:$I,2,0),"")</f>
        <v/>
      </c>
      <c r="IA252" s="28" t="str">
        <f t="shared" si="186"/>
        <v>00:00</v>
      </c>
      <c r="IB252" s="29"/>
      <c r="IC252" s="27"/>
      <c r="ID252" s="27"/>
      <c r="IE252" s="28" t="str">
        <f>IFERROR(VLOOKUP(IC252,Horarios!$H:$I,2,0),"")</f>
        <v/>
      </c>
      <c r="IF252" s="28" t="str">
        <f>IFERROR(VLOOKUP(ID252,Horarios!$H:$I,2,0),"")</f>
        <v/>
      </c>
      <c r="IG252" s="28" t="str">
        <f t="shared" si="187"/>
        <v>00:00</v>
      </c>
      <c r="IH252" s="29"/>
      <c r="II252" s="27"/>
      <c r="IJ252" s="27"/>
      <c r="IK252" s="28" t="str">
        <f>IFERROR(VLOOKUP(II252,Horarios!$H:$I,2,0),"")</f>
        <v/>
      </c>
      <c r="IL252" s="28" t="str">
        <f>IFERROR(VLOOKUP(IJ252,Horarios!$H:$I,2,0),"")</f>
        <v/>
      </c>
      <c r="IM252" s="28" t="str">
        <f t="shared" si="188"/>
        <v>00:00</v>
      </c>
      <c r="IN252" s="29"/>
      <c r="IO252" s="27"/>
      <c r="IP252" s="27"/>
      <c r="IQ252" s="28" t="str">
        <f>IFERROR(VLOOKUP(IO252,Horarios!$H:$I,2,0),"")</f>
        <v/>
      </c>
      <c r="IR252" s="28" t="str">
        <f>IFERROR(VLOOKUP(IP252,Horarios!$H:$I,2,0),"")</f>
        <v/>
      </c>
      <c r="IS252" s="28" t="str">
        <f t="shared" si="189"/>
        <v>00:00</v>
      </c>
      <c r="IT252" s="29"/>
      <c r="IU252" s="27"/>
      <c r="IV252" s="27"/>
      <c r="IW252" s="28" t="str">
        <f>IFERROR(VLOOKUP(IU252,Horarios!$H:$I,2,0),"")</f>
        <v/>
      </c>
      <c r="IX252" s="28" t="str">
        <f>IFERROR(VLOOKUP(IV252,Horarios!$H:$I,2,0),"")</f>
        <v/>
      </c>
      <c r="IY252" s="28" t="str">
        <f t="shared" si="190"/>
        <v>00:00</v>
      </c>
      <c r="IZ252" s="29"/>
      <c r="JA252" s="31" t="str">
        <f t="shared" si="191"/>
        <v/>
      </c>
    </row>
    <row r="253" spans="1:261" s="24" customFormat="1" ht="17.399999999999999" x14ac:dyDescent="0.25">
      <c r="A253" s="25"/>
      <c r="B253" s="26" t="str">
        <f>IFERROR(VLOOKUP(A253,BaseNombres!A:B,2,0),"")</f>
        <v/>
      </c>
      <c r="C253" s="26" t="str">
        <f>IFERROR(VLOOKUP(A253,BaseNombres!A:C,3,0),"")</f>
        <v/>
      </c>
      <c r="D253" s="27"/>
      <c r="E253" s="27"/>
      <c r="F253" s="28" t="str">
        <f>IFERROR(VLOOKUP(D253,Horarios!$H:$I,2,0),"")</f>
        <v/>
      </c>
      <c r="G253" s="28" t="str">
        <f>IFERROR(VLOOKUP(E253,Horarios!$H:$I,2,0),"")</f>
        <v/>
      </c>
      <c r="H253" s="28" t="str">
        <f t="shared" si="144"/>
        <v>00:00</v>
      </c>
      <c r="I253" s="29"/>
      <c r="J253" s="27"/>
      <c r="K253" s="27"/>
      <c r="L253" s="28" t="str">
        <f>IFERROR(VLOOKUP(J253,Horarios!$H:$I,2,0),"")</f>
        <v/>
      </c>
      <c r="M253" s="28" t="str">
        <f>IFERROR(VLOOKUP(K253,Horarios!$H:$I,2,0),"")</f>
        <v/>
      </c>
      <c r="N253" s="28" t="str">
        <f t="shared" si="145"/>
        <v>00:00</v>
      </c>
      <c r="O253" s="29"/>
      <c r="P253" s="27"/>
      <c r="Q253" s="27"/>
      <c r="R253" s="28" t="str">
        <f>IFERROR(VLOOKUP(P253,Horarios!$H:$I,2,0),"")</f>
        <v/>
      </c>
      <c r="S253" s="28" t="str">
        <f>IFERROR(VLOOKUP(Q253,Horarios!$H:$I,2,0),"")</f>
        <v/>
      </c>
      <c r="T253" s="28" t="str">
        <f t="shared" si="146"/>
        <v>00:00</v>
      </c>
      <c r="U253" s="29"/>
      <c r="V253" s="27"/>
      <c r="W253" s="27"/>
      <c r="X253" s="28" t="str">
        <f>IFERROR(VLOOKUP(V253,Horarios!$H:$I,2,0),"")</f>
        <v/>
      </c>
      <c r="Y253" s="28" t="str">
        <f>IFERROR(VLOOKUP(W253,Horarios!$H:$I,2,0),"")</f>
        <v/>
      </c>
      <c r="Z253" s="28" t="str">
        <f t="shared" si="147"/>
        <v>00:00</v>
      </c>
      <c r="AA253" s="29"/>
      <c r="AB253" s="27"/>
      <c r="AC253" s="27"/>
      <c r="AD253" s="28" t="str">
        <f>IFERROR(VLOOKUP(AB253,Horarios!$H:$I,2,0),"")</f>
        <v/>
      </c>
      <c r="AE253" s="28" t="str">
        <f>IFERROR(VLOOKUP(AC253,Horarios!$H:$I,2,0),"")</f>
        <v/>
      </c>
      <c r="AF253" s="28" t="str">
        <f t="shared" si="148"/>
        <v>00:00</v>
      </c>
      <c r="AG253" s="29"/>
      <c r="AH253" s="27"/>
      <c r="AI253" s="27"/>
      <c r="AJ253" s="28" t="str">
        <f>IFERROR(VLOOKUP(AH253,Horarios!$H:$I,2,0),"")</f>
        <v/>
      </c>
      <c r="AK253" s="28" t="str">
        <f>IFERROR(VLOOKUP(AI253,Horarios!$H:$I,2,0),"")</f>
        <v/>
      </c>
      <c r="AL253" s="28" t="str">
        <f t="shared" si="149"/>
        <v>00:00</v>
      </c>
      <c r="AM253" s="29"/>
      <c r="AN253" s="27"/>
      <c r="AO253" s="27"/>
      <c r="AP253" s="28" t="str">
        <f>IFERROR(VLOOKUP(AN253,Horarios!$H:$I,2,0),"")</f>
        <v/>
      </c>
      <c r="AQ253" s="28" t="str">
        <f>IFERROR(VLOOKUP(AO253,Horarios!$H:$I,2,0),"")</f>
        <v/>
      </c>
      <c r="AR253" s="28" t="str">
        <f t="shared" si="150"/>
        <v>00:00</v>
      </c>
      <c r="AS253" s="29"/>
      <c r="AT253" s="31" t="str">
        <f t="shared" si="151"/>
        <v/>
      </c>
      <c r="AU253" s="27"/>
      <c r="AV253" s="27"/>
      <c r="AW253" s="28" t="str">
        <f>IFERROR(VLOOKUP(AU253,Horarios!$H:$I,2,0),"")</f>
        <v/>
      </c>
      <c r="AX253" s="28" t="str">
        <f>IFERROR(VLOOKUP(AV253,Horarios!$H:$I,2,0),"")</f>
        <v/>
      </c>
      <c r="AY253" s="28" t="str">
        <f t="shared" si="152"/>
        <v>00:00</v>
      </c>
      <c r="AZ253" s="29"/>
      <c r="BA253" s="27"/>
      <c r="BB253" s="27"/>
      <c r="BC253" s="28" t="str">
        <f>IFERROR(VLOOKUP(BA253,Horarios!$H:$I,2,0),"")</f>
        <v/>
      </c>
      <c r="BD253" s="28" t="str">
        <f>IFERROR(VLOOKUP(BB253,Horarios!$H:$I,2,0),"")</f>
        <v/>
      </c>
      <c r="BE253" s="28" t="str">
        <f t="shared" si="153"/>
        <v>00:00</v>
      </c>
      <c r="BF253" s="29"/>
      <c r="BG253" s="27"/>
      <c r="BH253" s="27"/>
      <c r="BI253" s="28" t="str">
        <f>IFERROR(VLOOKUP(BG253,Horarios!$H:$I,2,0),"")</f>
        <v/>
      </c>
      <c r="BJ253" s="28" t="str">
        <f>IFERROR(VLOOKUP(BH253,Horarios!$H:$I,2,0),"")</f>
        <v/>
      </c>
      <c r="BK253" s="28" t="str">
        <f t="shared" si="154"/>
        <v>00:00</v>
      </c>
      <c r="BL253" s="29"/>
      <c r="BM253" s="27"/>
      <c r="BN253" s="27"/>
      <c r="BO253" s="28" t="str">
        <f>IFERROR(VLOOKUP(BM253,Horarios!$H:$I,2,0),"")</f>
        <v/>
      </c>
      <c r="BP253" s="28" t="str">
        <f>IFERROR(VLOOKUP(BN253,Horarios!$H:$I,2,0),"")</f>
        <v/>
      </c>
      <c r="BQ253" s="28" t="str">
        <f t="shared" si="155"/>
        <v>00:00</v>
      </c>
      <c r="BR253" s="29"/>
      <c r="BS253" s="27"/>
      <c r="BT253" s="27"/>
      <c r="BU253" s="28" t="str">
        <f>IFERROR(VLOOKUP(BS253,Horarios!$H:$I,2,0),"")</f>
        <v/>
      </c>
      <c r="BV253" s="28" t="str">
        <f>IFERROR(VLOOKUP(BT253,Horarios!$H:$I,2,0),"")</f>
        <v/>
      </c>
      <c r="BW253" s="28" t="str">
        <f t="shared" si="156"/>
        <v>00:00</v>
      </c>
      <c r="BX253" s="29"/>
      <c r="BY253" s="27"/>
      <c r="BZ253" s="27"/>
      <c r="CA253" s="28" t="str">
        <f>IFERROR(VLOOKUP(BY253,Horarios!$H:$I,2,0),"")</f>
        <v/>
      </c>
      <c r="CB253" s="28" t="str">
        <f>IFERROR(VLOOKUP(BZ253,Horarios!$H:$I,2,0),"")</f>
        <v/>
      </c>
      <c r="CC253" s="28" t="str">
        <f t="shared" si="157"/>
        <v>00:00</v>
      </c>
      <c r="CD253" s="29"/>
      <c r="CE253" s="27"/>
      <c r="CF253" s="27"/>
      <c r="CG253" s="28" t="str">
        <f>IFERROR(VLOOKUP(CE253,Horarios!$H:$I,2,0),"")</f>
        <v/>
      </c>
      <c r="CH253" s="28" t="str">
        <f>IFERROR(VLOOKUP(CF253,Horarios!$H:$I,2,0),"")</f>
        <v/>
      </c>
      <c r="CI253" s="28" t="str">
        <f t="shared" si="158"/>
        <v>00:00</v>
      </c>
      <c r="CJ253" s="29"/>
      <c r="CK253" s="31" t="str">
        <f t="shared" si="159"/>
        <v/>
      </c>
      <c r="CL253" s="27"/>
      <c r="CM253" s="27"/>
      <c r="CN253" s="28" t="str">
        <f>IFERROR(VLOOKUP(CL253,Horarios!$H:$I,2,0),"")</f>
        <v/>
      </c>
      <c r="CO253" s="28" t="str">
        <f>IFERROR(VLOOKUP(CM253,Horarios!$H:$I,2,0),"")</f>
        <v/>
      </c>
      <c r="CP253" s="28" t="str">
        <f t="shared" si="160"/>
        <v>00:00</v>
      </c>
      <c r="CQ253" s="29"/>
      <c r="CR253" s="27"/>
      <c r="CS253" s="27"/>
      <c r="CT253" s="28" t="str">
        <f>IFERROR(VLOOKUP(CR253,Horarios!$H:$I,2,0),"")</f>
        <v/>
      </c>
      <c r="CU253" s="28" t="str">
        <f>IFERROR(VLOOKUP(CS253,Horarios!$H:$I,2,0),"")</f>
        <v/>
      </c>
      <c r="CV253" s="28" t="str">
        <f t="shared" si="161"/>
        <v>00:00</v>
      </c>
      <c r="CW253" s="29"/>
      <c r="CX253" s="27"/>
      <c r="CY253" s="27"/>
      <c r="CZ253" s="28" t="str">
        <f>IFERROR(VLOOKUP(CX253,Horarios!$H:$I,2,0),"")</f>
        <v/>
      </c>
      <c r="DA253" s="28" t="str">
        <f>IFERROR(VLOOKUP(CY253,Horarios!$H:$I,2,0),"")</f>
        <v/>
      </c>
      <c r="DB253" s="28" t="str">
        <f t="shared" si="162"/>
        <v>00:00</v>
      </c>
      <c r="DC253" s="29"/>
      <c r="DD253" s="27"/>
      <c r="DE253" s="27"/>
      <c r="DF253" s="28" t="str">
        <f>IFERROR(VLOOKUP(DD253,Horarios!$H:$I,2,0),"")</f>
        <v/>
      </c>
      <c r="DG253" s="28" t="str">
        <f>IFERROR(VLOOKUP(DE253,Horarios!$H:$I,2,0),"")</f>
        <v/>
      </c>
      <c r="DH253" s="28" t="str">
        <f t="shared" si="163"/>
        <v>00:00</v>
      </c>
      <c r="DI253" s="29"/>
      <c r="DJ253" s="27"/>
      <c r="DK253" s="27"/>
      <c r="DL253" s="28" t="str">
        <f>IFERROR(VLOOKUP(DJ253,Horarios!$H:$I,2,0),"")</f>
        <v/>
      </c>
      <c r="DM253" s="28" t="str">
        <f>IFERROR(VLOOKUP(DK253,Horarios!$H:$I,2,0),"")</f>
        <v/>
      </c>
      <c r="DN253" s="28" t="str">
        <f t="shared" si="164"/>
        <v>00:00</v>
      </c>
      <c r="DO253" s="29"/>
      <c r="DP253" s="27"/>
      <c r="DQ253" s="27"/>
      <c r="DR253" s="28" t="str">
        <f>IFERROR(VLOOKUP(DP253,Horarios!$H:$I,2,0),"")</f>
        <v/>
      </c>
      <c r="DS253" s="28" t="str">
        <f>IFERROR(VLOOKUP(DQ253,Horarios!$H:$I,2,0),"")</f>
        <v/>
      </c>
      <c r="DT253" s="28" t="str">
        <f t="shared" si="165"/>
        <v>00:00</v>
      </c>
      <c r="DU253" s="29"/>
      <c r="DV253" s="27"/>
      <c r="DW253" s="27"/>
      <c r="DX253" s="28" t="str">
        <f>IFERROR(VLOOKUP(DV253,Horarios!$H:$I,2,0),"")</f>
        <v/>
      </c>
      <c r="DY253" s="28" t="str">
        <f>IFERROR(VLOOKUP(DW253,Horarios!$H:$I,2,0),"")</f>
        <v/>
      </c>
      <c r="DZ253" s="28" t="str">
        <f t="shared" si="166"/>
        <v>00:00</v>
      </c>
      <c r="EA253" s="29"/>
      <c r="EB253" s="31" t="str">
        <f t="shared" si="167"/>
        <v/>
      </c>
      <c r="EC253" s="27"/>
      <c r="ED253" s="27"/>
      <c r="EE253" s="28" t="str">
        <f>IFERROR(VLOOKUP(EC253,Horarios!$H:$I,2,0),"")</f>
        <v/>
      </c>
      <c r="EF253" s="28" t="str">
        <f>IFERROR(VLOOKUP(ED253,Horarios!$H:$I,2,0),"")</f>
        <v/>
      </c>
      <c r="EG253" s="28" t="str">
        <f t="shared" si="168"/>
        <v>00:00</v>
      </c>
      <c r="EH253" s="29"/>
      <c r="EI253" s="27"/>
      <c r="EJ253" s="27"/>
      <c r="EK253" s="28" t="str">
        <f>IFERROR(VLOOKUP(EI253,Horarios!$H:$I,2,0),"")</f>
        <v/>
      </c>
      <c r="EL253" s="28" t="str">
        <f>IFERROR(VLOOKUP(EJ253,Horarios!$H:$I,2,0),"")</f>
        <v/>
      </c>
      <c r="EM253" s="28" t="str">
        <f t="shared" si="169"/>
        <v>00:00</v>
      </c>
      <c r="EN253" s="29"/>
      <c r="EO253" s="27"/>
      <c r="EP253" s="27"/>
      <c r="EQ253" s="28" t="str">
        <f>IFERROR(VLOOKUP(EO253,Horarios!$H:$I,2,0),"")</f>
        <v/>
      </c>
      <c r="ER253" s="28" t="str">
        <f>IFERROR(VLOOKUP(EP253,Horarios!$H:$I,2,0),"")</f>
        <v/>
      </c>
      <c r="ES253" s="28" t="str">
        <f t="shared" si="170"/>
        <v>00:00</v>
      </c>
      <c r="ET253" s="29"/>
      <c r="EU253" s="27"/>
      <c r="EV253" s="27"/>
      <c r="EW253" s="28" t="str">
        <f>IFERROR(VLOOKUP(EU253,Horarios!$H:$I,2,0),"")</f>
        <v/>
      </c>
      <c r="EX253" s="28" t="str">
        <f>IFERROR(VLOOKUP(EV253,Horarios!$H:$I,2,0),"")</f>
        <v/>
      </c>
      <c r="EY253" s="28" t="str">
        <f t="shared" si="171"/>
        <v>00:00</v>
      </c>
      <c r="EZ253" s="29"/>
      <c r="FA253" s="27"/>
      <c r="FB253" s="27"/>
      <c r="FC253" s="28" t="str">
        <f>IFERROR(VLOOKUP(FA253,Horarios!$H:$I,2,0),"")</f>
        <v/>
      </c>
      <c r="FD253" s="28" t="str">
        <f>IFERROR(VLOOKUP(FB253,Horarios!$H:$I,2,0),"")</f>
        <v/>
      </c>
      <c r="FE253" s="28" t="str">
        <f t="shared" si="172"/>
        <v>00:00</v>
      </c>
      <c r="FF253" s="29"/>
      <c r="FG253" s="27"/>
      <c r="FH253" s="27"/>
      <c r="FI253" s="28" t="str">
        <f>IFERROR(VLOOKUP(FG253,Horarios!$H:$I,2,0),"")</f>
        <v/>
      </c>
      <c r="FJ253" s="28" t="str">
        <f>IFERROR(VLOOKUP(FH253,Horarios!$H:$I,2,0),"")</f>
        <v/>
      </c>
      <c r="FK253" s="28" t="str">
        <f t="shared" si="173"/>
        <v>00:00</v>
      </c>
      <c r="FL253" s="29"/>
      <c r="FM253" s="27"/>
      <c r="FN253" s="27"/>
      <c r="FO253" s="28" t="str">
        <f>IFERROR(VLOOKUP(FM253,Horarios!$H:$I,2,0),"")</f>
        <v/>
      </c>
      <c r="FP253" s="28" t="str">
        <f>IFERROR(VLOOKUP(FN253,Horarios!$H:$I,2,0),"")</f>
        <v/>
      </c>
      <c r="FQ253" s="28" t="str">
        <f t="shared" si="174"/>
        <v>00:00</v>
      </c>
      <c r="FR253" s="29"/>
      <c r="FS253" s="31" t="str">
        <f t="shared" si="175"/>
        <v/>
      </c>
      <c r="FT253" s="27"/>
      <c r="FU253" s="27"/>
      <c r="FV253" s="28" t="str">
        <f>IFERROR(VLOOKUP(FT253,Horarios!$H:$I,2,0),"")</f>
        <v/>
      </c>
      <c r="FW253" s="28" t="str">
        <f>IFERROR(VLOOKUP(FU253,Horarios!$H:$I,2,0),"")</f>
        <v/>
      </c>
      <c r="FX253" s="28" t="str">
        <f t="shared" si="176"/>
        <v>00:00</v>
      </c>
      <c r="FY253" s="29"/>
      <c r="FZ253" s="27"/>
      <c r="GA253" s="27"/>
      <c r="GB253" s="28" t="str">
        <f>IFERROR(VLOOKUP(FZ253,Horarios!$H:$I,2,0),"")</f>
        <v/>
      </c>
      <c r="GC253" s="28" t="str">
        <f>IFERROR(VLOOKUP(GA253,Horarios!$H:$I,2,0),"")</f>
        <v/>
      </c>
      <c r="GD253" s="28" t="str">
        <f t="shared" si="177"/>
        <v>00:00</v>
      </c>
      <c r="GE253" s="29"/>
      <c r="GF253" s="27"/>
      <c r="GG253" s="27"/>
      <c r="GH253" s="28" t="str">
        <f>IFERROR(VLOOKUP(GF253,Horarios!$H:$I,2,0),"")</f>
        <v/>
      </c>
      <c r="GI253" s="28" t="str">
        <f>IFERROR(VLOOKUP(GG253,Horarios!$H:$I,2,0),"")</f>
        <v/>
      </c>
      <c r="GJ253" s="28" t="str">
        <f t="shared" si="178"/>
        <v>00:00</v>
      </c>
      <c r="GK253" s="29"/>
      <c r="GL253" s="27"/>
      <c r="GM253" s="27"/>
      <c r="GN253" s="28" t="str">
        <f>IFERROR(VLOOKUP(GL253,Horarios!$H:$I,2,0),"")</f>
        <v/>
      </c>
      <c r="GO253" s="28" t="str">
        <f>IFERROR(VLOOKUP(GM253,Horarios!$H:$I,2,0),"")</f>
        <v/>
      </c>
      <c r="GP253" s="28" t="str">
        <f t="shared" si="179"/>
        <v>00:00</v>
      </c>
      <c r="GQ253" s="29"/>
      <c r="GR253" s="27"/>
      <c r="GS253" s="27"/>
      <c r="GT253" s="28" t="str">
        <f>IFERROR(VLOOKUP(GR253,Horarios!$H:$I,2,0),"")</f>
        <v/>
      </c>
      <c r="GU253" s="28" t="str">
        <f>IFERROR(VLOOKUP(GS253,Horarios!$H:$I,2,0),"")</f>
        <v/>
      </c>
      <c r="GV253" s="28" t="str">
        <f t="shared" si="180"/>
        <v>00:00</v>
      </c>
      <c r="GW253" s="29"/>
      <c r="GX253" s="27"/>
      <c r="GY253" s="27"/>
      <c r="GZ253" s="28" t="str">
        <f>IFERROR(VLOOKUP(GX253,Horarios!$H:$I,2,0),"")</f>
        <v/>
      </c>
      <c r="HA253" s="28" t="str">
        <f>IFERROR(VLOOKUP(GY253,Horarios!$H:$I,2,0),"")</f>
        <v/>
      </c>
      <c r="HB253" s="28" t="str">
        <f t="shared" si="181"/>
        <v>00:00</v>
      </c>
      <c r="HC253" s="29"/>
      <c r="HD253" s="27"/>
      <c r="HE253" s="27"/>
      <c r="HF253" s="28" t="str">
        <f>IFERROR(VLOOKUP(HD253,Horarios!$H:$I,2,0),"")</f>
        <v/>
      </c>
      <c r="HG253" s="28" t="str">
        <f>IFERROR(VLOOKUP(HE253,Horarios!$H:$I,2,0),"")</f>
        <v/>
      </c>
      <c r="HH253" s="28" t="str">
        <f t="shared" si="182"/>
        <v>00:00</v>
      </c>
      <c r="HI253" s="29"/>
      <c r="HJ253" s="31" t="str">
        <f t="shared" si="183"/>
        <v/>
      </c>
      <c r="HK253" s="27"/>
      <c r="HL253" s="27"/>
      <c r="HM253" s="28" t="str">
        <f>IFERROR(VLOOKUP(HK253,Horarios!$H:$I,2,0),"")</f>
        <v/>
      </c>
      <c r="HN253" s="28" t="str">
        <f>IFERROR(VLOOKUP(HL253,Horarios!$H:$I,2,0),"")</f>
        <v/>
      </c>
      <c r="HO253" s="28" t="str">
        <f t="shared" si="184"/>
        <v>00:00</v>
      </c>
      <c r="HP253" s="29"/>
      <c r="HQ253" s="27"/>
      <c r="HR253" s="27"/>
      <c r="HS253" s="28" t="str">
        <f>IFERROR(VLOOKUP(HQ253,Horarios!$H:$I,2,0),"")</f>
        <v/>
      </c>
      <c r="HT253" s="28" t="str">
        <f>IFERROR(VLOOKUP(HR253,Horarios!$H:$I,2,0),"")</f>
        <v/>
      </c>
      <c r="HU253" s="28" t="str">
        <f t="shared" si="185"/>
        <v>00:00</v>
      </c>
      <c r="HV253" s="29"/>
      <c r="HW253" s="27"/>
      <c r="HX253" s="27"/>
      <c r="HY253" s="28" t="str">
        <f>IFERROR(VLOOKUP(HW253,Horarios!$H:$I,2,0),"")</f>
        <v/>
      </c>
      <c r="HZ253" s="28" t="str">
        <f>IFERROR(VLOOKUP(HX253,Horarios!$H:$I,2,0),"")</f>
        <v/>
      </c>
      <c r="IA253" s="28" t="str">
        <f t="shared" si="186"/>
        <v>00:00</v>
      </c>
      <c r="IB253" s="29"/>
      <c r="IC253" s="27"/>
      <c r="ID253" s="27"/>
      <c r="IE253" s="28" t="str">
        <f>IFERROR(VLOOKUP(IC253,Horarios!$H:$I,2,0),"")</f>
        <v/>
      </c>
      <c r="IF253" s="28" t="str">
        <f>IFERROR(VLOOKUP(ID253,Horarios!$H:$I,2,0),"")</f>
        <v/>
      </c>
      <c r="IG253" s="28" t="str">
        <f t="shared" si="187"/>
        <v>00:00</v>
      </c>
      <c r="IH253" s="29"/>
      <c r="II253" s="27"/>
      <c r="IJ253" s="27"/>
      <c r="IK253" s="28" t="str">
        <f>IFERROR(VLOOKUP(II253,Horarios!$H:$I,2,0),"")</f>
        <v/>
      </c>
      <c r="IL253" s="28" t="str">
        <f>IFERROR(VLOOKUP(IJ253,Horarios!$H:$I,2,0),"")</f>
        <v/>
      </c>
      <c r="IM253" s="28" t="str">
        <f t="shared" si="188"/>
        <v>00:00</v>
      </c>
      <c r="IN253" s="29"/>
      <c r="IO253" s="27"/>
      <c r="IP253" s="27"/>
      <c r="IQ253" s="28" t="str">
        <f>IFERROR(VLOOKUP(IO253,Horarios!$H:$I,2,0),"")</f>
        <v/>
      </c>
      <c r="IR253" s="28" t="str">
        <f>IFERROR(VLOOKUP(IP253,Horarios!$H:$I,2,0),"")</f>
        <v/>
      </c>
      <c r="IS253" s="28" t="str">
        <f t="shared" si="189"/>
        <v>00:00</v>
      </c>
      <c r="IT253" s="29"/>
      <c r="IU253" s="27"/>
      <c r="IV253" s="27"/>
      <c r="IW253" s="28" t="str">
        <f>IFERROR(VLOOKUP(IU253,Horarios!$H:$I,2,0),"")</f>
        <v/>
      </c>
      <c r="IX253" s="28" t="str">
        <f>IFERROR(VLOOKUP(IV253,Horarios!$H:$I,2,0),"")</f>
        <v/>
      </c>
      <c r="IY253" s="28" t="str">
        <f t="shared" si="190"/>
        <v>00:00</v>
      </c>
      <c r="IZ253" s="29"/>
      <c r="JA253" s="31" t="str">
        <f t="shared" si="191"/>
        <v/>
      </c>
    </row>
    <row r="254" spans="1:261" s="24" customFormat="1" ht="17.399999999999999" x14ac:dyDescent="0.25">
      <c r="A254" s="25"/>
      <c r="B254" s="26" t="str">
        <f>IFERROR(VLOOKUP(A254,BaseNombres!A:B,2,0),"")</f>
        <v/>
      </c>
      <c r="C254" s="26" t="str">
        <f>IFERROR(VLOOKUP(A254,BaseNombres!A:C,3,0),"")</f>
        <v/>
      </c>
      <c r="D254" s="27"/>
      <c r="E254" s="27"/>
      <c r="F254" s="28" t="str">
        <f>IFERROR(VLOOKUP(D254,Horarios!$H:$I,2,0),"")</f>
        <v/>
      </c>
      <c r="G254" s="28" t="str">
        <f>IFERROR(VLOOKUP(E254,Horarios!$H:$I,2,0),"")</f>
        <v/>
      </c>
      <c r="H254" s="28" t="str">
        <f t="shared" si="144"/>
        <v>00:00</v>
      </c>
      <c r="I254" s="29"/>
      <c r="J254" s="27"/>
      <c r="K254" s="27"/>
      <c r="L254" s="28" t="str">
        <f>IFERROR(VLOOKUP(J254,Horarios!$H:$I,2,0),"")</f>
        <v/>
      </c>
      <c r="M254" s="28" t="str">
        <f>IFERROR(VLOOKUP(K254,Horarios!$H:$I,2,0),"")</f>
        <v/>
      </c>
      <c r="N254" s="28" t="str">
        <f t="shared" si="145"/>
        <v>00:00</v>
      </c>
      <c r="O254" s="29"/>
      <c r="P254" s="27"/>
      <c r="Q254" s="27"/>
      <c r="R254" s="28" t="str">
        <f>IFERROR(VLOOKUP(P254,Horarios!$H:$I,2,0),"")</f>
        <v/>
      </c>
      <c r="S254" s="28" t="str">
        <f>IFERROR(VLOOKUP(Q254,Horarios!$H:$I,2,0),"")</f>
        <v/>
      </c>
      <c r="T254" s="28" t="str">
        <f t="shared" si="146"/>
        <v>00:00</v>
      </c>
      <c r="U254" s="29"/>
      <c r="V254" s="27"/>
      <c r="W254" s="27"/>
      <c r="X254" s="28" t="str">
        <f>IFERROR(VLOOKUP(V254,Horarios!$H:$I,2,0),"")</f>
        <v/>
      </c>
      <c r="Y254" s="28" t="str">
        <f>IFERROR(VLOOKUP(W254,Horarios!$H:$I,2,0),"")</f>
        <v/>
      </c>
      <c r="Z254" s="28" t="str">
        <f t="shared" si="147"/>
        <v>00:00</v>
      </c>
      <c r="AA254" s="29"/>
      <c r="AB254" s="27"/>
      <c r="AC254" s="27"/>
      <c r="AD254" s="28" t="str">
        <f>IFERROR(VLOOKUP(AB254,Horarios!$H:$I,2,0),"")</f>
        <v/>
      </c>
      <c r="AE254" s="28" t="str">
        <f>IFERROR(VLOOKUP(AC254,Horarios!$H:$I,2,0),"")</f>
        <v/>
      </c>
      <c r="AF254" s="28" t="str">
        <f t="shared" si="148"/>
        <v>00:00</v>
      </c>
      <c r="AG254" s="29"/>
      <c r="AH254" s="27"/>
      <c r="AI254" s="27"/>
      <c r="AJ254" s="28" t="str">
        <f>IFERROR(VLOOKUP(AH254,Horarios!$H:$I,2,0),"")</f>
        <v/>
      </c>
      <c r="AK254" s="28" t="str">
        <f>IFERROR(VLOOKUP(AI254,Horarios!$H:$I,2,0),"")</f>
        <v/>
      </c>
      <c r="AL254" s="28" t="str">
        <f t="shared" si="149"/>
        <v>00:00</v>
      </c>
      <c r="AM254" s="29"/>
      <c r="AN254" s="27"/>
      <c r="AO254" s="27"/>
      <c r="AP254" s="28" t="str">
        <f>IFERROR(VLOOKUP(AN254,Horarios!$H:$I,2,0),"")</f>
        <v/>
      </c>
      <c r="AQ254" s="28" t="str">
        <f>IFERROR(VLOOKUP(AO254,Horarios!$H:$I,2,0),"")</f>
        <v/>
      </c>
      <c r="AR254" s="28" t="str">
        <f t="shared" si="150"/>
        <v>00:00</v>
      </c>
      <c r="AS254" s="29"/>
      <c r="AT254" s="31" t="str">
        <f t="shared" si="151"/>
        <v/>
      </c>
      <c r="AU254" s="27"/>
      <c r="AV254" s="27"/>
      <c r="AW254" s="28" t="str">
        <f>IFERROR(VLOOKUP(AU254,Horarios!$H:$I,2,0),"")</f>
        <v/>
      </c>
      <c r="AX254" s="28" t="str">
        <f>IFERROR(VLOOKUP(AV254,Horarios!$H:$I,2,0),"")</f>
        <v/>
      </c>
      <c r="AY254" s="28" t="str">
        <f t="shared" si="152"/>
        <v>00:00</v>
      </c>
      <c r="AZ254" s="29"/>
      <c r="BA254" s="27"/>
      <c r="BB254" s="27"/>
      <c r="BC254" s="28" t="str">
        <f>IFERROR(VLOOKUP(BA254,Horarios!$H:$I,2,0),"")</f>
        <v/>
      </c>
      <c r="BD254" s="28" t="str">
        <f>IFERROR(VLOOKUP(BB254,Horarios!$H:$I,2,0),"")</f>
        <v/>
      </c>
      <c r="BE254" s="28" t="str">
        <f t="shared" si="153"/>
        <v>00:00</v>
      </c>
      <c r="BF254" s="29"/>
      <c r="BG254" s="27"/>
      <c r="BH254" s="27"/>
      <c r="BI254" s="28" t="str">
        <f>IFERROR(VLOOKUP(BG254,Horarios!$H:$I,2,0),"")</f>
        <v/>
      </c>
      <c r="BJ254" s="28" t="str">
        <f>IFERROR(VLOOKUP(BH254,Horarios!$H:$I,2,0),"")</f>
        <v/>
      </c>
      <c r="BK254" s="28" t="str">
        <f t="shared" si="154"/>
        <v>00:00</v>
      </c>
      <c r="BL254" s="29"/>
      <c r="BM254" s="27"/>
      <c r="BN254" s="27"/>
      <c r="BO254" s="28" t="str">
        <f>IFERROR(VLOOKUP(BM254,Horarios!$H:$I,2,0),"")</f>
        <v/>
      </c>
      <c r="BP254" s="28" t="str">
        <f>IFERROR(VLOOKUP(BN254,Horarios!$H:$I,2,0),"")</f>
        <v/>
      </c>
      <c r="BQ254" s="28" t="str">
        <f t="shared" si="155"/>
        <v>00:00</v>
      </c>
      <c r="BR254" s="29"/>
      <c r="BS254" s="27"/>
      <c r="BT254" s="27"/>
      <c r="BU254" s="28" t="str">
        <f>IFERROR(VLOOKUP(BS254,Horarios!$H:$I,2,0),"")</f>
        <v/>
      </c>
      <c r="BV254" s="28" t="str">
        <f>IFERROR(VLOOKUP(BT254,Horarios!$H:$I,2,0),"")</f>
        <v/>
      </c>
      <c r="BW254" s="28" t="str">
        <f t="shared" si="156"/>
        <v>00:00</v>
      </c>
      <c r="BX254" s="29"/>
      <c r="BY254" s="27"/>
      <c r="BZ254" s="27"/>
      <c r="CA254" s="28" t="str">
        <f>IFERROR(VLOOKUP(BY254,Horarios!$H:$I,2,0),"")</f>
        <v/>
      </c>
      <c r="CB254" s="28" t="str">
        <f>IFERROR(VLOOKUP(BZ254,Horarios!$H:$I,2,0),"")</f>
        <v/>
      </c>
      <c r="CC254" s="28" t="str">
        <f t="shared" si="157"/>
        <v>00:00</v>
      </c>
      <c r="CD254" s="29"/>
      <c r="CE254" s="27"/>
      <c r="CF254" s="27"/>
      <c r="CG254" s="28" t="str">
        <f>IFERROR(VLOOKUP(CE254,Horarios!$H:$I,2,0),"")</f>
        <v/>
      </c>
      <c r="CH254" s="28" t="str">
        <f>IFERROR(VLOOKUP(CF254,Horarios!$H:$I,2,0),"")</f>
        <v/>
      </c>
      <c r="CI254" s="28" t="str">
        <f t="shared" si="158"/>
        <v>00:00</v>
      </c>
      <c r="CJ254" s="29"/>
      <c r="CK254" s="31" t="str">
        <f t="shared" si="159"/>
        <v/>
      </c>
      <c r="CL254" s="27"/>
      <c r="CM254" s="27"/>
      <c r="CN254" s="28" t="str">
        <f>IFERROR(VLOOKUP(CL254,Horarios!$H:$I,2,0),"")</f>
        <v/>
      </c>
      <c r="CO254" s="28" t="str">
        <f>IFERROR(VLOOKUP(CM254,Horarios!$H:$I,2,0),"")</f>
        <v/>
      </c>
      <c r="CP254" s="28" t="str">
        <f t="shared" si="160"/>
        <v>00:00</v>
      </c>
      <c r="CQ254" s="29"/>
      <c r="CR254" s="27"/>
      <c r="CS254" s="27"/>
      <c r="CT254" s="28" t="str">
        <f>IFERROR(VLOOKUP(CR254,Horarios!$H:$I,2,0),"")</f>
        <v/>
      </c>
      <c r="CU254" s="28" t="str">
        <f>IFERROR(VLOOKUP(CS254,Horarios!$H:$I,2,0),"")</f>
        <v/>
      </c>
      <c r="CV254" s="28" t="str">
        <f t="shared" si="161"/>
        <v>00:00</v>
      </c>
      <c r="CW254" s="29"/>
      <c r="CX254" s="27"/>
      <c r="CY254" s="27"/>
      <c r="CZ254" s="28" t="str">
        <f>IFERROR(VLOOKUP(CX254,Horarios!$H:$I,2,0),"")</f>
        <v/>
      </c>
      <c r="DA254" s="28" t="str">
        <f>IFERROR(VLOOKUP(CY254,Horarios!$H:$I,2,0),"")</f>
        <v/>
      </c>
      <c r="DB254" s="28" t="str">
        <f t="shared" si="162"/>
        <v>00:00</v>
      </c>
      <c r="DC254" s="29"/>
      <c r="DD254" s="27"/>
      <c r="DE254" s="27"/>
      <c r="DF254" s="28" t="str">
        <f>IFERROR(VLOOKUP(DD254,Horarios!$H:$I,2,0),"")</f>
        <v/>
      </c>
      <c r="DG254" s="28" t="str">
        <f>IFERROR(VLOOKUP(DE254,Horarios!$H:$I,2,0),"")</f>
        <v/>
      </c>
      <c r="DH254" s="28" t="str">
        <f t="shared" si="163"/>
        <v>00:00</v>
      </c>
      <c r="DI254" s="29"/>
      <c r="DJ254" s="27"/>
      <c r="DK254" s="27"/>
      <c r="DL254" s="28" t="str">
        <f>IFERROR(VLOOKUP(DJ254,Horarios!$H:$I,2,0),"")</f>
        <v/>
      </c>
      <c r="DM254" s="28" t="str">
        <f>IFERROR(VLOOKUP(DK254,Horarios!$H:$I,2,0),"")</f>
        <v/>
      </c>
      <c r="DN254" s="28" t="str">
        <f t="shared" si="164"/>
        <v>00:00</v>
      </c>
      <c r="DO254" s="29"/>
      <c r="DP254" s="27"/>
      <c r="DQ254" s="27"/>
      <c r="DR254" s="28" t="str">
        <f>IFERROR(VLOOKUP(DP254,Horarios!$H:$I,2,0),"")</f>
        <v/>
      </c>
      <c r="DS254" s="28" t="str">
        <f>IFERROR(VLOOKUP(DQ254,Horarios!$H:$I,2,0),"")</f>
        <v/>
      </c>
      <c r="DT254" s="28" t="str">
        <f t="shared" si="165"/>
        <v>00:00</v>
      </c>
      <c r="DU254" s="29"/>
      <c r="DV254" s="27"/>
      <c r="DW254" s="27"/>
      <c r="DX254" s="28" t="str">
        <f>IFERROR(VLOOKUP(DV254,Horarios!$H:$I,2,0),"")</f>
        <v/>
      </c>
      <c r="DY254" s="28" t="str">
        <f>IFERROR(VLOOKUP(DW254,Horarios!$H:$I,2,0),"")</f>
        <v/>
      </c>
      <c r="DZ254" s="28" t="str">
        <f t="shared" si="166"/>
        <v>00:00</v>
      </c>
      <c r="EA254" s="29"/>
      <c r="EB254" s="31" t="str">
        <f t="shared" si="167"/>
        <v/>
      </c>
      <c r="EC254" s="27"/>
      <c r="ED254" s="27"/>
      <c r="EE254" s="28" t="str">
        <f>IFERROR(VLOOKUP(EC254,Horarios!$H:$I,2,0),"")</f>
        <v/>
      </c>
      <c r="EF254" s="28" t="str">
        <f>IFERROR(VLOOKUP(ED254,Horarios!$H:$I,2,0),"")</f>
        <v/>
      </c>
      <c r="EG254" s="28" t="str">
        <f t="shared" si="168"/>
        <v>00:00</v>
      </c>
      <c r="EH254" s="29"/>
      <c r="EI254" s="27"/>
      <c r="EJ254" s="27"/>
      <c r="EK254" s="28" t="str">
        <f>IFERROR(VLOOKUP(EI254,Horarios!$H:$I,2,0),"")</f>
        <v/>
      </c>
      <c r="EL254" s="28" t="str">
        <f>IFERROR(VLOOKUP(EJ254,Horarios!$H:$I,2,0),"")</f>
        <v/>
      </c>
      <c r="EM254" s="28" t="str">
        <f t="shared" si="169"/>
        <v>00:00</v>
      </c>
      <c r="EN254" s="29"/>
      <c r="EO254" s="27"/>
      <c r="EP254" s="27"/>
      <c r="EQ254" s="28" t="str">
        <f>IFERROR(VLOOKUP(EO254,Horarios!$H:$I,2,0),"")</f>
        <v/>
      </c>
      <c r="ER254" s="28" t="str">
        <f>IFERROR(VLOOKUP(EP254,Horarios!$H:$I,2,0),"")</f>
        <v/>
      </c>
      <c r="ES254" s="28" t="str">
        <f t="shared" si="170"/>
        <v>00:00</v>
      </c>
      <c r="ET254" s="29"/>
      <c r="EU254" s="27"/>
      <c r="EV254" s="27"/>
      <c r="EW254" s="28" t="str">
        <f>IFERROR(VLOOKUP(EU254,Horarios!$H:$I,2,0),"")</f>
        <v/>
      </c>
      <c r="EX254" s="28" t="str">
        <f>IFERROR(VLOOKUP(EV254,Horarios!$H:$I,2,0),"")</f>
        <v/>
      </c>
      <c r="EY254" s="28" t="str">
        <f t="shared" si="171"/>
        <v>00:00</v>
      </c>
      <c r="EZ254" s="29"/>
      <c r="FA254" s="27"/>
      <c r="FB254" s="27"/>
      <c r="FC254" s="28" t="str">
        <f>IFERROR(VLOOKUP(FA254,Horarios!$H:$I,2,0),"")</f>
        <v/>
      </c>
      <c r="FD254" s="28" t="str">
        <f>IFERROR(VLOOKUP(FB254,Horarios!$H:$I,2,0),"")</f>
        <v/>
      </c>
      <c r="FE254" s="28" t="str">
        <f t="shared" si="172"/>
        <v>00:00</v>
      </c>
      <c r="FF254" s="29"/>
      <c r="FG254" s="27"/>
      <c r="FH254" s="27"/>
      <c r="FI254" s="28" t="str">
        <f>IFERROR(VLOOKUP(FG254,Horarios!$H:$I,2,0),"")</f>
        <v/>
      </c>
      <c r="FJ254" s="28" t="str">
        <f>IFERROR(VLOOKUP(FH254,Horarios!$H:$I,2,0),"")</f>
        <v/>
      </c>
      <c r="FK254" s="28" t="str">
        <f t="shared" si="173"/>
        <v>00:00</v>
      </c>
      <c r="FL254" s="29"/>
      <c r="FM254" s="27"/>
      <c r="FN254" s="27"/>
      <c r="FO254" s="28" t="str">
        <f>IFERROR(VLOOKUP(FM254,Horarios!$H:$I,2,0),"")</f>
        <v/>
      </c>
      <c r="FP254" s="28" t="str">
        <f>IFERROR(VLOOKUP(FN254,Horarios!$H:$I,2,0),"")</f>
        <v/>
      </c>
      <c r="FQ254" s="28" t="str">
        <f t="shared" si="174"/>
        <v>00:00</v>
      </c>
      <c r="FR254" s="29"/>
      <c r="FS254" s="31" t="str">
        <f t="shared" si="175"/>
        <v/>
      </c>
      <c r="FT254" s="27"/>
      <c r="FU254" s="27"/>
      <c r="FV254" s="28" t="str">
        <f>IFERROR(VLOOKUP(FT254,Horarios!$H:$I,2,0),"")</f>
        <v/>
      </c>
      <c r="FW254" s="28" t="str">
        <f>IFERROR(VLOOKUP(FU254,Horarios!$H:$I,2,0),"")</f>
        <v/>
      </c>
      <c r="FX254" s="28" t="str">
        <f t="shared" si="176"/>
        <v>00:00</v>
      </c>
      <c r="FY254" s="29"/>
      <c r="FZ254" s="27"/>
      <c r="GA254" s="27"/>
      <c r="GB254" s="28" t="str">
        <f>IFERROR(VLOOKUP(FZ254,Horarios!$H:$I,2,0),"")</f>
        <v/>
      </c>
      <c r="GC254" s="28" t="str">
        <f>IFERROR(VLOOKUP(GA254,Horarios!$H:$I,2,0),"")</f>
        <v/>
      </c>
      <c r="GD254" s="28" t="str">
        <f t="shared" si="177"/>
        <v>00:00</v>
      </c>
      <c r="GE254" s="29"/>
      <c r="GF254" s="27"/>
      <c r="GG254" s="27"/>
      <c r="GH254" s="28" t="str">
        <f>IFERROR(VLOOKUP(GF254,Horarios!$H:$I,2,0),"")</f>
        <v/>
      </c>
      <c r="GI254" s="28" t="str">
        <f>IFERROR(VLOOKUP(GG254,Horarios!$H:$I,2,0),"")</f>
        <v/>
      </c>
      <c r="GJ254" s="28" t="str">
        <f t="shared" si="178"/>
        <v>00:00</v>
      </c>
      <c r="GK254" s="29"/>
      <c r="GL254" s="27"/>
      <c r="GM254" s="27"/>
      <c r="GN254" s="28" t="str">
        <f>IFERROR(VLOOKUP(GL254,Horarios!$H:$I,2,0),"")</f>
        <v/>
      </c>
      <c r="GO254" s="28" t="str">
        <f>IFERROR(VLOOKUP(GM254,Horarios!$H:$I,2,0),"")</f>
        <v/>
      </c>
      <c r="GP254" s="28" t="str">
        <f t="shared" si="179"/>
        <v>00:00</v>
      </c>
      <c r="GQ254" s="29"/>
      <c r="GR254" s="27"/>
      <c r="GS254" s="27"/>
      <c r="GT254" s="28" t="str">
        <f>IFERROR(VLOOKUP(GR254,Horarios!$H:$I,2,0),"")</f>
        <v/>
      </c>
      <c r="GU254" s="28" t="str">
        <f>IFERROR(VLOOKUP(GS254,Horarios!$H:$I,2,0),"")</f>
        <v/>
      </c>
      <c r="GV254" s="28" t="str">
        <f t="shared" si="180"/>
        <v>00:00</v>
      </c>
      <c r="GW254" s="29"/>
      <c r="GX254" s="27"/>
      <c r="GY254" s="27"/>
      <c r="GZ254" s="28" t="str">
        <f>IFERROR(VLOOKUP(GX254,Horarios!$H:$I,2,0),"")</f>
        <v/>
      </c>
      <c r="HA254" s="28" t="str">
        <f>IFERROR(VLOOKUP(GY254,Horarios!$H:$I,2,0),"")</f>
        <v/>
      </c>
      <c r="HB254" s="28" t="str">
        <f t="shared" si="181"/>
        <v>00:00</v>
      </c>
      <c r="HC254" s="29"/>
      <c r="HD254" s="27"/>
      <c r="HE254" s="27"/>
      <c r="HF254" s="28" t="str">
        <f>IFERROR(VLOOKUP(HD254,Horarios!$H:$I,2,0),"")</f>
        <v/>
      </c>
      <c r="HG254" s="28" t="str">
        <f>IFERROR(VLOOKUP(HE254,Horarios!$H:$I,2,0),"")</f>
        <v/>
      </c>
      <c r="HH254" s="28" t="str">
        <f t="shared" si="182"/>
        <v>00:00</v>
      </c>
      <c r="HI254" s="29"/>
      <c r="HJ254" s="31" t="str">
        <f t="shared" si="183"/>
        <v/>
      </c>
      <c r="HK254" s="27"/>
      <c r="HL254" s="27"/>
      <c r="HM254" s="28" t="str">
        <f>IFERROR(VLOOKUP(HK254,Horarios!$H:$I,2,0),"")</f>
        <v/>
      </c>
      <c r="HN254" s="28" t="str">
        <f>IFERROR(VLOOKUP(HL254,Horarios!$H:$I,2,0),"")</f>
        <v/>
      </c>
      <c r="HO254" s="28" t="str">
        <f t="shared" si="184"/>
        <v>00:00</v>
      </c>
      <c r="HP254" s="29"/>
      <c r="HQ254" s="27"/>
      <c r="HR254" s="27"/>
      <c r="HS254" s="28" t="str">
        <f>IFERROR(VLOOKUP(HQ254,Horarios!$H:$I,2,0),"")</f>
        <v/>
      </c>
      <c r="HT254" s="28" t="str">
        <f>IFERROR(VLOOKUP(HR254,Horarios!$H:$I,2,0),"")</f>
        <v/>
      </c>
      <c r="HU254" s="28" t="str">
        <f t="shared" si="185"/>
        <v>00:00</v>
      </c>
      <c r="HV254" s="29"/>
      <c r="HW254" s="27"/>
      <c r="HX254" s="27"/>
      <c r="HY254" s="28" t="str">
        <f>IFERROR(VLOOKUP(HW254,Horarios!$H:$I,2,0),"")</f>
        <v/>
      </c>
      <c r="HZ254" s="28" t="str">
        <f>IFERROR(VLOOKUP(HX254,Horarios!$H:$I,2,0),"")</f>
        <v/>
      </c>
      <c r="IA254" s="28" t="str">
        <f t="shared" si="186"/>
        <v>00:00</v>
      </c>
      <c r="IB254" s="29"/>
      <c r="IC254" s="27"/>
      <c r="ID254" s="27"/>
      <c r="IE254" s="28" t="str">
        <f>IFERROR(VLOOKUP(IC254,Horarios!$H:$I,2,0),"")</f>
        <v/>
      </c>
      <c r="IF254" s="28" t="str">
        <f>IFERROR(VLOOKUP(ID254,Horarios!$H:$I,2,0),"")</f>
        <v/>
      </c>
      <c r="IG254" s="28" t="str">
        <f t="shared" si="187"/>
        <v>00:00</v>
      </c>
      <c r="IH254" s="29"/>
      <c r="II254" s="27"/>
      <c r="IJ254" s="27"/>
      <c r="IK254" s="28" t="str">
        <f>IFERROR(VLOOKUP(II254,Horarios!$H:$I,2,0),"")</f>
        <v/>
      </c>
      <c r="IL254" s="28" t="str">
        <f>IFERROR(VLOOKUP(IJ254,Horarios!$H:$I,2,0),"")</f>
        <v/>
      </c>
      <c r="IM254" s="28" t="str">
        <f t="shared" si="188"/>
        <v>00:00</v>
      </c>
      <c r="IN254" s="29"/>
      <c r="IO254" s="27"/>
      <c r="IP254" s="27"/>
      <c r="IQ254" s="28" t="str">
        <f>IFERROR(VLOOKUP(IO254,Horarios!$H:$I,2,0),"")</f>
        <v/>
      </c>
      <c r="IR254" s="28" t="str">
        <f>IFERROR(VLOOKUP(IP254,Horarios!$H:$I,2,0),"")</f>
        <v/>
      </c>
      <c r="IS254" s="28" t="str">
        <f t="shared" si="189"/>
        <v>00:00</v>
      </c>
      <c r="IT254" s="29"/>
      <c r="IU254" s="27"/>
      <c r="IV254" s="27"/>
      <c r="IW254" s="28" t="str">
        <f>IFERROR(VLOOKUP(IU254,Horarios!$H:$I,2,0),"")</f>
        <v/>
      </c>
      <c r="IX254" s="28" t="str">
        <f>IFERROR(VLOOKUP(IV254,Horarios!$H:$I,2,0),"")</f>
        <v/>
      </c>
      <c r="IY254" s="28" t="str">
        <f t="shared" si="190"/>
        <v>00:00</v>
      </c>
      <c r="IZ254" s="29"/>
      <c r="JA254" s="31" t="str">
        <f t="shared" si="191"/>
        <v/>
      </c>
    </row>
    <row r="255" spans="1:261" s="24" customFormat="1" ht="17.399999999999999" x14ac:dyDescent="0.25">
      <c r="A255" s="25"/>
      <c r="B255" s="26" t="str">
        <f>IFERROR(VLOOKUP(A255,BaseNombres!A:B,2,0),"")</f>
        <v/>
      </c>
      <c r="C255" s="26" t="str">
        <f>IFERROR(VLOOKUP(A255,BaseNombres!A:C,3,0),"")</f>
        <v/>
      </c>
      <c r="D255" s="27"/>
      <c r="E255" s="27"/>
      <c r="F255" s="28" t="str">
        <f>IFERROR(VLOOKUP(D255,Horarios!$H:$I,2,0),"")</f>
        <v/>
      </c>
      <c r="G255" s="28" t="str">
        <f>IFERROR(VLOOKUP(E255,Horarios!$H:$I,2,0),"")</f>
        <v/>
      </c>
      <c r="H255" s="28" t="str">
        <f t="shared" si="144"/>
        <v>00:00</v>
      </c>
      <c r="I255" s="29"/>
      <c r="J255" s="27"/>
      <c r="K255" s="27"/>
      <c r="L255" s="28" t="str">
        <f>IFERROR(VLOOKUP(J255,Horarios!$H:$I,2,0),"")</f>
        <v/>
      </c>
      <c r="M255" s="28" t="str">
        <f>IFERROR(VLOOKUP(K255,Horarios!$H:$I,2,0),"")</f>
        <v/>
      </c>
      <c r="N255" s="28" t="str">
        <f t="shared" si="145"/>
        <v>00:00</v>
      </c>
      <c r="O255" s="29"/>
      <c r="P255" s="27"/>
      <c r="Q255" s="27"/>
      <c r="R255" s="28" t="str">
        <f>IFERROR(VLOOKUP(P255,Horarios!$H:$I,2,0),"")</f>
        <v/>
      </c>
      <c r="S255" s="28" t="str">
        <f>IFERROR(VLOOKUP(Q255,Horarios!$H:$I,2,0),"")</f>
        <v/>
      </c>
      <c r="T255" s="28" t="str">
        <f t="shared" si="146"/>
        <v>00:00</v>
      </c>
      <c r="U255" s="29"/>
      <c r="V255" s="27"/>
      <c r="W255" s="27"/>
      <c r="X255" s="28" t="str">
        <f>IFERROR(VLOOKUP(V255,Horarios!$H:$I,2,0),"")</f>
        <v/>
      </c>
      <c r="Y255" s="28" t="str">
        <f>IFERROR(VLOOKUP(W255,Horarios!$H:$I,2,0),"")</f>
        <v/>
      </c>
      <c r="Z255" s="28" t="str">
        <f t="shared" si="147"/>
        <v>00:00</v>
      </c>
      <c r="AA255" s="29"/>
      <c r="AB255" s="27"/>
      <c r="AC255" s="27"/>
      <c r="AD255" s="28" t="str">
        <f>IFERROR(VLOOKUP(AB255,Horarios!$H:$I,2,0),"")</f>
        <v/>
      </c>
      <c r="AE255" s="28" t="str">
        <f>IFERROR(VLOOKUP(AC255,Horarios!$H:$I,2,0),"")</f>
        <v/>
      </c>
      <c r="AF255" s="28" t="str">
        <f t="shared" si="148"/>
        <v>00:00</v>
      </c>
      <c r="AG255" s="29"/>
      <c r="AH255" s="27"/>
      <c r="AI255" s="27"/>
      <c r="AJ255" s="28" t="str">
        <f>IFERROR(VLOOKUP(AH255,Horarios!$H:$I,2,0),"")</f>
        <v/>
      </c>
      <c r="AK255" s="28" t="str">
        <f>IFERROR(VLOOKUP(AI255,Horarios!$H:$I,2,0),"")</f>
        <v/>
      </c>
      <c r="AL255" s="28" t="str">
        <f t="shared" si="149"/>
        <v>00:00</v>
      </c>
      <c r="AM255" s="29"/>
      <c r="AN255" s="27"/>
      <c r="AO255" s="27"/>
      <c r="AP255" s="28" t="str">
        <f>IFERROR(VLOOKUP(AN255,Horarios!$H:$I,2,0),"")</f>
        <v/>
      </c>
      <c r="AQ255" s="28" t="str">
        <f>IFERROR(VLOOKUP(AO255,Horarios!$H:$I,2,0),"")</f>
        <v/>
      </c>
      <c r="AR255" s="28" t="str">
        <f t="shared" si="150"/>
        <v>00:00</v>
      </c>
      <c r="AS255" s="29"/>
      <c r="AT255" s="31" t="str">
        <f t="shared" si="151"/>
        <v/>
      </c>
      <c r="AU255" s="27"/>
      <c r="AV255" s="27"/>
      <c r="AW255" s="28" t="str">
        <f>IFERROR(VLOOKUP(AU255,Horarios!$H:$I,2,0),"")</f>
        <v/>
      </c>
      <c r="AX255" s="28" t="str">
        <f>IFERROR(VLOOKUP(AV255,Horarios!$H:$I,2,0),"")</f>
        <v/>
      </c>
      <c r="AY255" s="28" t="str">
        <f t="shared" si="152"/>
        <v>00:00</v>
      </c>
      <c r="AZ255" s="29"/>
      <c r="BA255" s="27"/>
      <c r="BB255" s="27"/>
      <c r="BC255" s="28" t="str">
        <f>IFERROR(VLOOKUP(BA255,Horarios!$H:$I,2,0),"")</f>
        <v/>
      </c>
      <c r="BD255" s="28" t="str">
        <f>IFERROR(VLOOKUP(BB255,Horarios!$H:$I,2,0),"")</f>
        <v/>
      </c>
      <c r="BE255" s="28" t="str">
        <f t="shared" si="153"/>
        <v>00:00</v>
      </c>
      <c r="BF255" s="29"/>
      <c r="BG255" s="27"/>
      <c r="BH255" s="27"/>
      <c r="BI255" s="28" t="str">
        <f>IFERROR(VLOOKUP(BG255,Horarios!$H:$I,2,0),"")</f>
        <v/>
      </c>
      <c r="BJ255" s="28" t="str">
        <f>IFERROR(VLOOKUP(BH255,Horarios!$H:$I,2,0),"")</f>
        <v/>
      </c>
      <c r="BK255" s="28" t="str">
        <f t="shared" si="154"/>
        <v>00:00</v>
      </c>
      <c r="BL255" s="29"/>
      <c r="BM255" s="27"/>
      <c r="BN255" s="27"/>
      <c r="BO255" s="28" t="str">
        <f>IFERROR(VLOOKUP(BM255,Horarios!$H:$I,2,0),"")</f>
        <v/>
      </c>
      <c r="BP255" s="28" t="str">
        <f>IFERROR(VLOOKUP(BN255,Horarios!$H:$I,2,0),"")</f>
        <v/>
      </c>
      <c r="BQ255" s="28" t="str">
        <f t="shared" si="155"/>
        <v>00:00</v>
      </c>
      <c r="BR255" s="29"/>
      <c r="BS255" s="27"/>
      <c r="BT255" s="27"/>
      <c r="BU255" s="28" t="str">
        <f>IFERROR(VLOOKUP(BS255,Horarios!$H:$I,2,0),"")</f>
        <v/>
      </c>
      <c r="BV255" s="28" t="str">
        <f>IFERROR(VLOOKUP(BT255,Horarios!$H:$I,2,0),"")</f>
        <v/>
      </c>
      <c r="BW255" s="28" t="str">
        <f t="shared" si="156"/>
        <v>00:00</v>
      </c>
      <c r="BX255" s="29"/>
      <c r="BY255" s="27"/>
      <c r="BZ255" s="27"/>
      <c r="CA255" s="28" t="str">
        <f>IFERROR(VLOOKUP(BY255,Horarios!$H:$I,2,0),"")</f>
        <v/>
      </c>
      <c r="CB255" s="28" t="str">
        <f>IFERROR(VLOOKUP(BZ255,Horarios!$H:$I,2,0),"")</f>
        <v/>
      </c>
      <c r="CC255" s="28" t="str">
        <f t="shared" si="157"/>
        <v>00:00</v>
      </c>
      <c r="CD255" s="29"/>
      <c r="CE255" s="27"/>
      <c r="CF255" s="27"/>
      <c r="CG255" s="28" t="str">
        <f>IFERROR(VLOOKUP(CE255,Horarios!$H:$I,2,0),"")</f>
        <v/>
      </c>
      <c r="CH255" s="28" t="str">
        <f>IFERROR(VLOOKUP(CF255,Horarios!$H:$I,2,0),"")</f>
        <v/>
      </c>
      <c r="CI255" s="28" t="str">
        <f t="shared" si="158"/>
        <v>00:00</v>
      </c>
      <c r="CJ255" s="29"/>
      <c r="CK255" s="31" t="str">
        <f t="shared" si="159"/>
        <v/>
      </c>
      <c r="CL255" s="27"/>
      <c r="CM255" s="27"/>
      <c r="CN255" s="28" t="str">
        <f>IFERROR(VLOOKUP(CL255,Horarios!$H:$I,2,0),"")</f>
        <v/>
      </c>
      <c r="CO255" s="28" t="str">
        <f>IFERROR(VLOOKUP(CM255,Horarios!$H:$I,2,0),"")</f>
        <v/>
      </c>
      <c r="CP255" s="28" t="str">
        <f t="shared" si="160"/>
        <v>00:00</v>
      </c>
      <c r="CQ255" s="29"/>
      <c r="CR255" s="27"/>
      <c r="CS255" s="27"/>
      <c r="CT255" s="28" t="str">
        <f>IFERROR(VLOOKUP(CR255,Horarios!$H:$I,2,0),"")</f>
        <v/>
      </c>
      <c r="CU255" s="28" t="str">
        <f>IFERROR(VLOOKUP(CS255,Horarios!$H:$I,2,0),"")</f>
        <v/>
      </c>
      <c r="CV255" s="28" t="str">
        <f t="shared" si="161"/>
        <v>00:00</v>
      </c>
      <c r="CW255" s="29"/>
      <c r="CX255" s="27"/>
      <c r="CY255" s="27"/>
      <c r="CZ255" s="28" t="str">
        <f>IFERROR(VLOOKUP(CX255,Horarios!$H:$I,2,0),"")</f>
        <v/>
      </c>
      <c r="DA255" s="28" t="str">
        <f>IFERROR(VLOOKUP(CY255,Horarios!$H:$I,2,0),"")</f>
        <v/>
      </c>
      <c r="DB255" s="28" t="str">
        <f t="shared" si="162"/>
        <v>00:00</v>
      </c>
      <c r="DC255" s="29"/>
      <c r="DD255" s="27"/>
      <c r="DE255" s="27"/>
      <c r="DF255" s="28" t="str">
        <f>IFERROR(VLOOKUP(DD255,Horarios!$H:$I,2,0),"")</f>
        <v/>
      </c>
      <c r="DG255" s="28" t="str">
        <f>IFERROR(VLOOKUP(DE255,Horarios!$H:$I,2,0),"")</f>
        <v/>
      </c>
      <c r="DH255" s="28" t="str">
        <f t="shared" si="163"/>
        <v>00:00</v>
      </c>
      <c r="DI255" s="29"/>
      <c r="DJ255" s="27"/>
      <c r="DK255" s="27"/>
      <c r="DL255" s="28" t="str">
        <f>IFERROR(VLOOKUP(DJ255,Horarios!$H:$I,2,0),"")</f>
        <v/>
      </c>
      <c r="DM255" s="28" t="str">
        <f>IFERROR(VLOOKUP(DK255,Horarios!$H:$I,2,0),"")</f>
        <v/>
      </c>
      <c r="DN255" s="28" t="str">
        <f t="shared" si="164"/>
        <v>00:00</v>
      </c>
      <c r="DO255" s="29"/>
      <c r="DP255" s="27"/>
      <c r="DQ255" s="27"/>
      <c r="DR255" s="28" t="str">
        <f>IFERROR(VLOOKUP(DP255,Horarios!$H:$I,2,0),"")</f>
        <v/>
      </c>
      <c r="DS255" s="28" t="str">
        <f>IFERROR(VLOOKUP(DQ255,Horarios!$H:$I,2,0),"")</f>
        <v/>
      </c>
      <c r="DT255" s="28" t="str">
        <f t="shared" si="165"/>
        <v>00:00</v>
      </c>
      <c r="DU255" s="29"/>
      <c r="DV255" s="27"/>
      <c r="DW255" s="27"/>
      <c r="DX255" s="28" t="str">
        <f>IFERROR(VLOOKUP(DV255,Horarios!$H:$I,2,0),"")</f>
        <v/>
      </c>
      <c r="DY255" s="28" t="str">
        <f>IFERROR(VLOOKUP(DW255,Horarios!$H:$I,2,0),"")</f>
        <v/>
      </c>
      <c r="DZ255" s="28" t="str">
        <f t="shared" si="166"/>
        <v>00:00</v>
      </c>
      <c r="EA255" s="29"/>
      <c r="EB255" s="31" t="str">
        <f t="shared" si="167"/>
        <v/>
      </c>
      <c r="EC255" s="27"/>
      <c r="ED255" s="27"/>
      <c r="EE255" s="28" t="str">
        <f>IFERROR(VLOOKUP(EC255,Horarios!$H:$I,2,0),"")</f>
        <v/>
      </c>
      <c r="EF255" s="28" t="str">
        <f>IFERROR(VLOOKUP(ED255,Horarios!$H:$I,2,0),"")</f>
        <v/>
      </c>
      <c r="EG255" s="28" t="str">
        <f t="shared" si="168"/>
        <v>00:00</v>
      </c>
      <c r="EH255" s="29"/>
      <c r="EI255" s="27"/>
      <c r="EJ255" s="27"/>
      <c r="EK255" s="28" t="str">
        <f>IFERROR(VLOOKUP(EI255,Horarios!$H:$I,2,0),"")</f>
        <v/>
      </c>
      <c r="EL255" s="28" t="str">
        <f>IFERROR(VLOOKUP(EJ255,Horarios!$H:$I,2,0),"")</f>
        <v/>
      </c>
      <c r="EM255" s="28" t="str">
        <f t="shared" si="169"/>
        <v>00:00</v>
      </c>
      <c r="EN255" s="29"/>
      <c r="EO255" s="27"/>
      <c r="EP255" s="27"/>
      <c r="EQ255" s="28" t="str">
        <f>IFERROR(VLOOKUP(EO255,Horarios!$H:$I,2,0),"")</f>
        <v/>
      </c>
      <c r="ER255" s="28" t="str">
        <f>IFERROR(VLOOKUP(EP255,Horarios!$H:$I,2,0),"")</f>
        <v/>
      </c>
      <c r="ES255" s="28" t="str">
        <f t="shared" si="170"/>
        <v>00:00</v>
      </c>
      <c r="ET255" s="29"/>
      <c r="EU255" s="27"/>
      <c r="EV255" s="27"/>
      <c r="EW255" s="28" t="str">
        <f>IFERROR(VLOOKUP(EU255,Horarios!$H:$I,2,0),"")</f>
        <v/>
      </c>
      <c r="EX255" s="28" t="str">
        <f>IFERROR(VLOOKUP(EV255,Horarios!$H:$I,2,0),"")</f>
        <v/>
      </c>
      <c r="EY255" s="28" t="str">
        <f t="shared" si="171"/>
        <v>00:00</v>
      </c>
      <c r="EZ255" s="29"/>
      <c r="FA255" s="27"/>
      <c r="FB255" s="27"/>
      <c r="FC255" s="28" t="str">
        <f>IFERROR(VLOOKUP(FA255,Horarios!$H:$I,2,0),"")</f>
        <v/>
      </c>
      <c r="FD255" s="28" t="str">
        <f>IFERROR(VLOOKUP(FB255,Horarios!$H:$I,2,0),"")</f>
        <v/>
      </c>
      <c r="FE255" s="28" t="str">
        <f t="shared" si="172"/>
        <v>00:00</v>
      </c>
      <c r="FF255" s="29"/>
      <c r="FG255" s="27"/>
      <c r="FH255" s="27"/>
      <c r="FI255" s="28" t="str">
        <f>IFERROR(VLOOKUP(FG255,Horarios!$H:$I,2,0),"")</f>
        <v/>
      </c>
      <c r="FJ255" s="28" t="str">
        <f>IFERROR(VLOOKUP(FH255,Horarios!$H:$I,2,0),"")</f>
        <v/>
      </c>
      <c r="FK255" s="28" t="str">
        <f t="shared" si="173"/>
        <v>00:00</v>
      </c>
      <c r="FL255" s="29"/>
      <c r="FM255" s="27"/>
      <c r="FN255" s="27"/>
      <c r="FO255" s="28" t="str">
        <f>IFERROR(VLOOKUP(FM255,Horarios!$H:$I,2,0),"")</f>
        <v/>
      </c>
      <c r="FP255" s="28" t="str">
        <f>IFERROR(VLOOKUP(FN255,Horarios!$H:$I,2,0),"")</f>
        <v/>
      </c>
      <c r="FQ255" s="28" t="str">
        <f t="shared" si="174"/>
        <v>00:00</v>
      </c>
      <c r="FR255" s="29"/>
      <c r="FS255" s="31" t="str">
        <f t="shared" si="175"/>
        <v/>
      </c>
      <c r="FT255" s="27"/>
      <c r="FU255" s="27"/>
      <c r="FV255" s="28" t="str">
        <f>IFERROR(VLOOKUP(FT255,Horarios!$H:$I,2,0),"")</f>
        <v/>
      </c>
      <c r="FW255" s="28" t="str">
        <f>IFERROR(VLOOKUP(FU255,Horarios!$H:$I,2,0),"")</f>
        <v/>
      </c>
      <c r="FX255" s="28" t="str">
        <f t="shared" si="176"/>
        <v>00:00</v>
      </c>
      <c r="FY255" s="29"/>
      <c r="FZ255" s="27"/>
      <c r="GA255" s="27"/>
      <c r="GB255" s="28" t="str">
        <f>IFERROR(VLOOKUP(FZ255,Horarios!$H:$I,2,0),"")</f>
        <v/>
      </c>
      <c r="GC255" s="28" t="str">
        <f>IFERROR(VLOOKUP(GA255,Horarios!$H:$I,2,0),"")</f>
        <v/>
      </c>
      <c r="GD255" s="28" t="str">
        <f t="shared" si="177"/>
        <v>00:00</v>
      </c>
      <c r="GE255" s="29"/>
      <c r="GF255" s="27"/>
      <c r="GG255" s="27"/>
      <c r="GH255" s="28" t="str">
        <f>IFERROR(VLOOKUP(GF255,Horarios!$H:$I,2,0),"")</f>
        <v/>
      </c>
      <c r="GI255" s="28" t="str">
        <f>IFERROR(VLOOKUP(GG255,Horarios!$H:$I,2,0),"")</f>
        <v/>
      </c>
      <c r="GJ255" s="28" t="str">
        <f t="shared" si="178"/>
        <v>00:00</v>
      </c>
      <c r="GK255" s="29"/>
      <c r="GL255" s="27"/>
      <c r="GM255" s="27"/>
      <c r="GN255" s="28" t="str">
        <f>IFERROR(VLOOKUP(GL255,Horarios!$H:$I,2,0),"")</f>
        <v/>
      </c>
      <c r="GO255" s="28" t="str">
        <f>IFERROR(VLOOKUP(GM255,Horarios!$H:$I,2,0),"")</f>
        <v/>
      </c>
      <c r="GP255" s="28" t="str">
        <f t="shared" si="179"/>
        <v>00:00</v>
      </c>
      <c r="GQ255" s="29"/>
      <c r="GR255" s="27"/>
      <c r="GS255" s="27"/>
      <c r="GT255" s="28" t="str">
        <f>IFERROR(VLOOKUP(GR255,Horarios!$H:$I,2,0),"")</f>
        <v/>
      </c>
      <c r="GU255" s="28" t="str">
        <f>IFERROR(VLOOKUP(GS255,Horarios!$H:$I,2,0),"")</f>
        <v/>
      </c>
      <c r="GV255" s="28" t="str">
        <f t="shared" si="180"/>
        <v>00:00</v>
      </c>
      <c r="GW255" s="29"/>
      <c r="GX255" s="27"/>
      <c r="GY255" s="27"/>
      <c r="GZ255" s="28" t="str">
        <f>IFERROR(VLOOKUP(GX255,Horarios!$H:$I,2,0),"")</f>
        <v/>
      </c>
      <c r="HA255" s="28" t="str">
        <f>IFERROR(VLOOKUP(GY255,Horarios!$H:$I,2,0),"")</f>
        <v/>
      </c>
      <c r="HB255" s="28" t="str">
        <f t="shared" si="181"/>
        <v>00:00</v>
      </c>
      <c r="HC255" s="29"/>
      <c r="HD255" s="27"/>
      <c r="HE255" s="27"/>
      <c r="HF255" s="28" t="str">
        <f>IFERROR(VLOOKUP(HD255,Horarios!$H:$I,2,0),"")</f>
        <v/>
      </c>
      <c r="HG255" s="28" t="str">
        <f>IFERROR(VLOOKUP(HE255,Horarios!$H:$I,2,0),"")</f>
        <v/>
      </c>
      <c r="HH255" s="28" t="str">
        <f t="shared" si="182"/>
        <v>00:00</v>
      </c>
      <c r="HI255" s="29"/>
      <c r="HJ255" s="31" t="str">
        <f t="shared" si="183"/>
        <v/>
      </c>
      <c r="HK255" s="27"/>
      <c r="HL255" s="27"/>
      <c r="HM255" s="28" t="str">
        <f>IFERROR(VLOOKUP(HK255,Horarios!$H:$I,2,0),"")</f>
        <v/>
      </c>
      <c r="HN255" s="28" t="str">
        <f>IFERROR(VLOOKUP(HL255,Horarios!$H:$I,2,0),"")</f>
        <v/>
      </c>
      <c r="HO255" s="28" t="str">
        <f t="shared" si="184"/>
        <v>00:00</v>
      </c>
      <c r="HP255" s="29"/>
      <c r="HQ255" s="27"/>
      <c r="HR255" s="27"/>
      <c r="HS255" s="28" t="str">
        <f>IFERROR(VLOOKUP(HQ255,Horarios!$H:$I,2,0),"")</f>
        <v/>
      </c>
      <c r="HT255" s="28" t="str">
        <f>IFERROR(VLOOKUP(HR255,Horarios!$H:$I,2,0),"")</f>
        <v/>
      </c>
      <c r="HU255" s="28" t="str">
        <f t="shared" si="185"/>
        <v>00:00</v>
      </c>
      <c r="HV255" s="29"/>
      <c r="HW255" s="27"/>
      <c r="HX255" s="27"/>
      <c r="HY255" s="28" t="str">
        <f>IFERROR(VLOOKUP(HW255,Horarios!$H:$I,2,0),"")</f>
        <v/>
      </c>
      <c r="HZ255" s="28" t="str">
        <f>IFERROR(VLOOKUP(HX255,Horarios!$H:$I,2,0),"")</f>
        <v/>
      </c>
      <c r="IA255" s="28" t="str">
        <f t="shared" si="186"/>
        <v>00:00</v>
      </c>
      <c r="IB255" s="29"/>
      <c r="IC255" s="27"/>
      <c r="ID255" s="27"/>
      <c r="IE255" s="28" t="str">
        <f>IFERROR(VLOOKUP(IC255,Horarios!$H:$I,2,0),"")</f>
        <v/>
      </c>
      <c r="IF255" s="28" t="str">
        <f>IFERROR(VLOOKUP(ID255,Horarios!$H:$I,2,0),"")</f>
        <v/>
      </c>
      <c r="IG255" s="28" t="str">
        <f t="shared" si="187"/>
        <v>00:00</v>
      </c>
      <c r="IH255" s="29"/>
      <c r="II255" s="27"/>
      <c r="IJ255" s="27"/>
      <c r="IK255" s="28" t="str">
        <f>IFERROR(VLOOKUP(II255,Horarios!$H:$I,2,0),"")</f>
        <v/>
      </c>
      <c r="IL255" s="28" t="str">
        <f>IFERROR(VLOOKUP(IJ255,Horarios!$H:$I,2,0),"")</f>
        <v/>
      </c>
      <c r="IM255" s="28" t="str">
        <f t="shared" si="188"/>
        <v>00:00</v>
      </c>
      <c r="IN255" s="29"/>
      <c r="IO255" s="27"/>
      <c r="IP255" s="27"/>
      <c r="IQ255" s="28" t="str">
        <f>IFERROR(VLOOKUP(IO255,Horarios!$H:$I,2,0),"")</f>
        <v/>
      </c>
      <c r="IR255" s="28" t="str">
        <f>IFERROR(VLOOKUP(IP255,Horarios!$H:$I,2,0),"")</f>
        <v/>
      </c>
      <c r="IS255" s="28" t="str">
        <f t="shared" si="189"/>
        <v>00:00</v>
      </c>
      <c r="IT255" s="29"/>
      <c r="IU255" s="27"/>
      <c r="IV255" s="27"/>
      <c r="IW255" s="28" t="str">
        <f>IFERROR(VLOOKUP(IU255,Horarios!$H:$I,2,0),"")</f>
        <v/>
      </c>
      <c r="IX255" s="28" t="str">
        <f>IFERROR(VLOOKUP(IV255,Horarios!$H:$I,2,0),"")</f>
        <v/>
      </c>
      <c r="IY255" s="28" t="str">
        <f t="shared" si="190"/>
        <v>00:00</v>
      </c>
      <c r="IZ255" s="29"/>
      <c r="JA255" s="31" t="str">
        <f t="shared" si="191"/>
        <v/>
      </c>
    </row>
    <row r="256" spans="1:261" s="24" customFormat="1" ht="17.399999999999999" x14ac:dyDescent="0.25">
      <c r="A256" s="25"/>
      <c r="B256" s="26" t="str">
        <f>IFERROR(VLOOKUP(A256,BaseNombres!A:B,2,0),"")</f>
        <v/>
      </c>
      <c r="C256" s="26" t="str">
        <f>IFERROR(VLOOKUP(A256,BaseNombres!A:C,3,0),"")</f>
        <v/>
      </c>
      <c r="D256" s="27"/>
      <c r="E256" s="27"/>
      <c r="F256" s="28" t="str">
        <f>IFERROR(VLOOKUP(D256,Horarios!$H:$I,2,0),"")</f>
        <v/>
      </c>
      <c r="G256" s="28" t="str">
        <f>IFERROR(VLOOKUP(E256,Horarios!$H:$I,2,0),"")</f>
        <v/>
      </c>
      <c r="H256" s="28" t="str">
        <f t="shared" si="144"/>
        <v>00:00</v>
      </c>
      <c r="I256" s="29"/>
      <c r="J256" s="27"/>
      <c r="K256" s="27"/>
      <c r="L256" s="28" t="str">
        <f>IFERROR(VLOOKUP(J256,Horarios!$H:$I,2,0),"")</f>
        <v/>
      </c>
      <c r="M256" s="28" t="str">
        <f>IFERROR(VLOOKUP(K256,Horarios!$H:$I,2,0),"")</f>
        <v/>
      </c>
      <c r="N256" s="28" t="str">
        <f t="shared" si="145"/>
        <v>00:00</v>
      </c>
      <c r="O256" s="29"/>
      <c r="P256" s="27"/>
      <c r="Q256" s="27"/>
      <c r="R256" s="28" t="str">
        <f>IFERROR(VLOOKUP(P256,Horarios!$H:$I,2,0),"")</f>
        <v/>
      </c>
      <c r="S256" s="28" t="str">
        <f>IFERROR(VLOOKUP(Q256,Horarios!$H:$I,2,0),"")</f>
        <v/>
      </c>
      <c r="T256" s="28" t="str">
        <f t="shared" si="146"/>
        <v>00:00</v>
      </c>
      <c r="U256" s="29"/>
      <c r="V256" s="27"/>
      <c r="W256" s="27"/>
      <c r="X256" s="28" t="str">
        <f>IFERROR(VLOOKUP(V256,Horarios!$H:$I,2,0),"")</f>
        <v/>
      </c>
      <c r="Y256" s="28" t="str">
        <f>IFERROR(VLOOKUP(W256,Horarios!$H:$I,2,0),"")</f>
        <v/>
      </c>
      <c r="Z256" s="28" t="str">
        <f t="shared" si="147"/>
        <v>00:00</v>
      </c>
      <c r="AA256" s="29"/>
      <c r="AB256" s="27"/>
      <c r="AC256" s="27"/>
      <c r="AD256" s="28" t="str">
        <f>IFERROR(VLOOKUP(AB256,Horarios!$H:$I,2,0),"")</f>
        <v/>
      </c>
      <c r="AE256" s="28" t="str">
        <f>IFERROR(VLOOKUP(AC256,Horarios!$H:$I,2,0),"")</f>
        <v/>
      </c>
      <c r="AF256" s="28" t="str">
        <f t="shared" si="148"/>
        <v>00:00</v>
      </c>
      <c r="AG256" s="29"/>
      <c r="AH256" s="27"/>
      <c r="AI256" s="27"/>
      <c r="AJ256" s="28" t="str">
        <f>IFERROR(VLOOKUP(AH256,Horarios!$H:$I,2,0),"")</f>
        <v/>
      </c>
      <c r="AK256" s="28" t="str">
        <f>IFERROR(VLOOKUP(AI256,Horarios!$H:$I,2,0),"")</f>
        <v/>
      </c>
      <c r="AL256" s="28" t="str">
        <f t="shared" si="149"/>
        <v>00:00</v>
      </c>
      <c r="AM256" s="29"/>
      <c r="AN256" s="27"/>
      <c r="AO256" s="27"/>
      <c r="AP256" s="28" t="str">
        <f>IFERROR(VLOOKUP(AN256,Horarios!$H:$I,2,0),"")</f>
        <v/>
      </c>
      <c r="AQ256" s="28" t="str">
        <f>IFERROR(VLOOKUP(AO256,Horarios!$H:$I,2,0),"")</f>
        <v/>
      </c>
      <c r="AR256" s="28" t="str">
        <f t="shared" si="150"/>
        <v>00:00</v>
      </c>
      <c r="AS256" s="29"/>
      <c r="AT256" s="31" t="str">
        <f t="shared" si="151"/>
        <v/>
      </c>
      <c r="AU256" s="27"/>
      <c r="AV256" s="27"/>
      <c r="AW256" s="28" t="str">
        <f>IFERROR(VLOOKUP(AU256,Horarios!$H:$I,2,0),"")</f>
        <v/>
      </c>
      <c r="AX256" s="28" t="str">
        <f>IFERROR(VLOOKUP(AV256,Horarios!$H:$I,2,0),"")</f>
        <v/>
      </c>
      <c r="AY256" s="28" t="str">
        <f t="shared" si="152"/>
        <v>00:00</v>
      </c>
      <c r="AZ256" s="29"/>
      <c r="BA256" s="27"/>
      <c r="BB256" s="27"/>
      <c r="BC256" s="28" t="str">
        <f>IFERROR(VLOOKUP(BA256,Horarios!$H:$I,2,0),"")</f>
        <v/>
      </c>
      <c r="BD256" s="28" t="str">
        <f>IFERROR(VLOOKUP(BB256,Horarios!$H:$I,2,0),"")</f>
        <v/>
      </c>
      <c r="BE256" s="28" t="str">
        <f t="shared" si="153"/>
        <v>00:00</v>
      </c>
      <c r="BF256" s="29"/>
      <c r="BG256" s="27"/>
      <c r="BH256" s="27"/>
      <c r="BI256" s="28" t="str">
        <f>IFERROR(VLOOKUP(BG256,Horarios!$H:$I,2,0),"")</f>
        <v/>
      </c>
      <c r="BJ256" s="28" t="str">
        <f>IFERROR(VLOOKUP(BH256,Horarios!$H:$I,2,0),"")</f>
        <v/>
      </c>
      <c r="BK256" s="28" t="str">
        <f t="shared" si="154"/>
        <v>00:00</v>
      </c>
      <c r="BL256" s="29"/>
      <c r="BM256" s="27"/>
      <c r="BN256" s="27"/>
      <c r="BO256" s="28" t="str">
        <f>IFERROR(VLOOKUP(BM256,Horarios!$H:$I,2,0),"")</f>
        <v/>
      </c>
      <c r="BP256" s="28" t="str">
        <f>IFERROR(VLOOKUP(BN256,Horarios!$H:$I,2,0),"")</f>
        <v/>
      </c>
      <c r="BQ256" s="28" t="str">
        <f t="shared" si="155"/>
        <v>00:00</v>
      </c>
      <c r="BR256" s="29"/>
      <c r="BS256" s="27"/>
      <c r="BT256" s="27"/>
      <c r="BU256" s="28" t="str">
        <f>IFERROR(VLOOKUP(BS256,Horarios!$H:$I,2,0),"")</f>
        <v/>
      </c>
      <c r="BV256" s="28" t="str">
        <f>IFERROR(VLOOKUP(BT256,Horarios!$H:$I,2,0),"")</f>
        <v/>
      </c>
      <c r="BW256" s="28" t="str">
        <f t="shared" si="156"/>
        <v>00:00</v>
      </c>
      <c r="BX256" s="29"/>
      <c r="BY256" s="27"/>
      <c r="BZ256" s="27"/>
      <c r="CA256" s="28" t="str">
        <f>IFERROR(VLOOKUP(BY256,Horarios!$H:$I,2,0),"")</f>
        <v/>
      </c>
      <c r="CB256" s="28" t="str">
        <f>IFERROR(VLOOKUP(BZ256,Horarios!$H:$I,2,0),"")</f>
        <v/>
      </c>
      <c r="CC256" s="28" t="str">
        <f t="shared" si="157"/>
        <v>00:00</v>
      </c>
      <c r="CD256" s="29"/>
      <c r="CE256" s="27"/>
      <c r="CF256" s="27"/>
      <c r="CG256" s="28" t="str">
        <f>IFERROR(VLOOKUP(CE256,Horarios!$H:$I,2,0),"")</f>
        <v/>
      </c>
      <c r="CH256" s="28" t="str">
        <f>IFERROR(VLOOKUP(CF256,Horarios!$H:$I,2,0),"")</f>
        <v/>
      </c>
      <c r="CI256" s="28" t="str">
        <f t="shared" si="158"/>
        <v>00:00</v>
      </c>
      <c r="CJ256" s="29"/>
      <c r="CK256" s="31" t="str">
        <f t="shared" si="159"/>
        <v/>
      </c>
      <c r="CL256" s="27"/>
      <c r="CM256" s="27"/>
      <c r="CN256" s="28" t="str">
        <f>IFERROR(VLOOKUP(CL256,Horarios!$H:$I,2,0),"")</f>
        <v/>
      </c>
      <c r="CO256" s="28" t="str">
        <f>IFERROR(VLOOKUP(CM256,Horarios!$H:$I,2,0),"")</f>
        <v/>
      </c>
      <c r="CP256" s="28" t="str">
        <f t="shared" si="160"/>
        <v>00:00</v>
      </c>
      <c r="CQ256" s="29"/>
      <c r="CR256" s="27"/>
      <c r="CS256" s="27"/>
      <c r="CT256" s="28" t="str">
        <f>IFERROR(VLOOKUP(CR256,Horarios!$H:$I,2,0),"")</f>
        <v/>
      </c>
      <c r="CU256" s="28" t="str">
        <f>IFERROR(VLOOKUP(CS256,Horarios!$H:$I,2,0),"")</f>
        <v/>
      </c>
      <c r="CV256" s="28" t="str">
        <f t="shared" si="161"/>
        <v>00:00</v>
      </c>
      <c r="CW256" s="29"/>
      <c r="CX256" s="27"/>
      <c r="CY256" s="27"/>
      <c r="CZ256" s="28" t="str">
        <f>IFERROR(VLOOKUP(CX256,Horarios!$H:$I,2,0),"")</f>
        <v/>
      </c>
      <c r="DA256" s="28" t="str">
        <f>IFERROR(VLOOKUP(CY256,Horarios!$H:$I,2,0),"")</f>
        <v/>
      </c>
      <c r="DB256" s="28" t="str">
        <f t="shared" si="162"/>
        <v>00:00</v>
      </c>
      <c r="DC256" s="29"/>
      <c r="DD256" s="27"/>
      <c r="DE256" s="27"/>
      <c r="DF256" s="28" t="str">
        <f>IFERROR(VLOOKUP(DD256,Horarios!$H:$I,2,0),"")</f>
        <v/>
      </c>
      <c r="DG256" s="28" t="str">
        <f>IFERROR(VLOOKUP(DE256,Horarios!$H:$I,2,0),"")</f>
        <v/>
      </c>
      <c r="DH256" s="28" t="str">
        <f t="shared" si="163"/>
        <v>00:00</v>
      </c>
      <c r="DI256" s="29"/>
      <c r="DJ256" s="27"/>
      <c r="DK256" s="27"/>
      <c r="DL256" s="28" t="str">
        <f>IFERROR(VLOOKUP(DJ256,Horarios!$H:$I,2,0),"")</f>
        <v/>
      </c>
      <c r="DM256" s="28" t="str">
        <f>IFERROR(VLOOKUP(DK256,Horarios!$H:$I,2,0),"")</f>
        <v/>
      </c>
      <c r="DN256" s="28" t="str">
        <f t="shared" si="164"/>
        <v>00:00</v>
      </c>
      <c r="DO256" s="29"/>
      <c r="DP256" s="27"/>
      <c r="DQ256" s="27"/>
      <c r="DR256" s="28" t="str">
        <f>IFERROR(VLOOKUP(DP256,Horarios!$H:$I,2,0),"")</f>
        <v/>
      </c>
      <c r="DS256" s="28" t="str">
        <f>IFERROR(VLOOKUP(DQ256,Horarios!$H:$I,2,0),"")</f>
        <v/>
      </c>
      <c r="DT256" s="28" t="str">
        <f t="shared" si="165"/>
        <v>00:00</v>
      </c>
      <c r="DU256" s="29"/>
      <c r="DV256" s="27"/>
      <c r="DW256" s="27"/>
      <c r="DX256" s="28" t="str">
        <f>IFERROR(VLOOKUP(DV256,Horarios!$H:$I,2,0),"")</f>
        <v/>
      </c>
      <c r="DY256" s="28" t="str">
        <f>IFERROR(VLOOKUP(DW256,Horarios!$H:$I,2,0),"")</f>
        <v/>
      </c>
      <c r="DZ256" s="28" t="str">
        <f t="shared" si="166"/>
        <v>00:00</v>
      </c>
      <c r="EA256" s="29"/>
      <c r="EB256" s="31" t="str">
        <f t="shared" si="167"/>
        <v/>
      </c>
      <c r="EC256" s="27"/>
      <c r="ED256" s="27"/>
      <c r="EE256" s="28" t="str">
        <f>IFERROR(VLOOKUP(EC256,Horarios!$H:$I,2,0),"")</f>
        <v/>
      </c>
      <c r="EF256" s="28" t="str">
        <f>IFERROR(VLOOKUP(ED256,Horarios!$H:$I,2,0),"")</f>
        <v/>
      </c>
      <c r="EG256" s="28" t="str">
        <f t="shared" si="168"/>
        <v>00:00</v>
      </c>
      <c r="EH256" s="29"/>
      <c r="EI256" s="27"/>
      <c r="EJ256" s="27"/>
      <c r="EK256" s="28" t="str">
        <f>IFERROR(VLOOKUP(EI256,Horarios!$H:$I,2,0),"")</f>
        <v/>
      </c>
      <c r="EL256" s="28" t="str">
        <f>IFERROR(VLOOKUP(EJ256,Horarios!$H:$I,2,0),"")</f>
        <v/>
      </c>
      <c r="EM256" s="28" t="str">
        <f t="shared" si="169"/>
        <v>00:00</v>
      </c>
      <c r="EN256" s="29"/>
      <c r="EO256" s="27"/>
      <c r="EP256" s="27"/>
      <c r="EQ256" s="28" t="str">
        <f>IFERROR(VLOOKUP(EO256,Horarios!$H:$I,2,0),"")</f>
        <v/>
      </c>
      <c r="ER256" s="28" t="str">
        <f>IFERROR(VLOOKUP(EP256,Horarios!$H:$I,2,0),"")</f>
        <v/>
      </c>
      <c r="ES256" s="28" t="str">
        <f t="shared" si="170"/>
        <v>00:00</v>
      </c>
      <c r="ET256" s="29"/>
      <c r="EU256" s="27"/>
      <c r="EV256" s="27"/>
      <c r="EW256" s="28" t="str">
        <f>IFERROR(VLOOKUP(EU256,Horarios!$H:$I,2,0),"")</f>
        <v/>
      </c>
      <c r="EX256" s="28" t="str">
        <f>IFERROR(VLOOKUP(EV256,Horarios!$H:$I,2,0),"")</f>
        <v/>
      </c>
      <c r="EY256" s="28" t="str">
        <f t="shared" si="171"/>
        <v>00:00</v>
      </c>
      <c r="EZ256" s="29"/>
      <c r="FA256" s="27"/>
      <c r="FB256" s="27"/>
      <c r="FC256" s="28" t="str">
        <f>IFERROR(VLOOKUP(FA256,Horarios!$H:$I,2,0),"")</f>
        <v/>
      </c>
      <c r="FD256" s="28" t="str">
        <f>IFERROR(VLOOKUP(FB256,Horarios!$H:$I,2,0),"")</f>
        <v/>
      </c>
      <c r="FE256" s="28" t="str">
        <f t="shared" si="172"/>
        <v>00:00</v>
      </c>
      <c r="FF256" s="29"/>
      <c r="FG256" s="27"/>
      <c r="FH256" s="27"/>
      <c r="FI256" s="28" t="str">
        <f>IFERROR(VLOOKUP(FG256,Horarios!$H:$I,2,0),"")</f>
        <v/>
      </c>
      <c r="FJ256" s="28" t="str">
        <f>IFERROR(VLOOKUP(FH256,Horarios!$H:$I,2,0),"")</f>
        <v/>
      </c>
      <c r="FK256" s="28" t="str">
        <f t="shared" si="173"/>
        <v>00:00</v>
      </c>
      <c r="FL256" s="29"/>
      <c r="FM256" s="27"/>
      <c r="FN256" s="27"/>
      <c r="FO256" s="28" t="str">
        <f>IFERROR(VLOOKUP(FM256,Horarios!$H:$I,2,0),"")</f>
        <v/>
      </c>
      <c r="FP256" s="28" t="str">
        <f>IFERROR(VLOOKUP(FN256,Horarios!$H:$I,2,0),"")</f>
        <v/>
      </c>
      <c r="FQ256" s="28" t="str">
        <f t="shared" si="174"/>
        <v>00:00</v>
      </c>
      <c r="FR256" s="29"/>
      <c r="FS256" s="31" t="str">
        <f t="shared" si="175"/>
        <v/>
      </c>
      <c r="FT256" s="27"/>
      <c r="FU256" s="27"/>
      <c r="FV256" s="28" t="str">
        <f>IFERROR(VLOOKUP(FT256,Horarios!$H:$I,2,0),"")</f>
        <v/>
      </c>
      <c r="FW256" s="28" t="str">
        <f>IFERROR(VLOOKUP(FU256,Horarios!$H:$I,2,0),"")</f>
        <v/>
      </c>
      <c r="FX256" s="28" t="str">
        <f t="shared" si="176"/>
        <v>00:00</v>
      </c>
      <c r="FY256" s="29"/>
      <c r="FZ256" s="27"/>
      <c r="GA256" s="27"/>
      <c r="GB256" s="28" t="str">
        <f>IFERROR(VLOOKUP(FZ256,Horarios!$H:$I,2,0),"")</f>
        <v/>
      </c>
      <c r="GC256" s="28" t="str">
        <f>IFERROR(VLOOKUP(GA256,Horarios!$H:$I,2,0),"")</f>
        <v/>
      </c>
      <c r="GD256" s="28" t="str">
        <f t="shared" si="177"/>
        <v>00:00</v>
      </c>
      <c r="GE256" s="29"/>
      <c r="GF256" s="27"/>
      <c r="GG256" s="27"/>
      <c r="GH256" s="28" t="str">
        <f>IFERROR(VLOOKUP(GF256,Horarios!$H:$I,2,0),"")</f>
        <v/>
      </c>
      <c r="GI256" s="28" t="str">
        <f>IFERROR(VLOOKUP(GG256,Horarios!$H:$I,2,0),"")</f>
        <v/>
      </c>
      <c r="GJ256" s="28" t="str">
        <f t="shared" si="178"/>
        <v>00:00</v>
      </c>
      <c r="GK256" s="29"/>
      <c r="GL256" s="27"/>
      <c r="GM256" s="27"/>
      <c r="GN256" s="28" t="str">
        <f>IFERROR(VLOOKUP(GL256,Horarios!$H:$I,2,0),"")</f>
        <v/>
      </c>
      <c r="GO256" s="28" t="str">
        <f>IFERROR(VLOOKUP(GM256,Horarios!$H:$I,2,0),"")</f>
        <v/>
      </c>
      <c r="GP256" s="28" t="str">
        <f t="shared" si="179"/>
        <v>00:00</v>
      </c>
      <c r="GQ256" s="29"/>
      <c r="GR256" s="27"/>
      <c r="GS256" s="27"/>
      <c r="GT256" s="28" t="str">
        <f>IFERROR(VLOOKUP(GR256,Horarios!$H:$I,2,0),"")</f>
        <v/>
      </c>
      <c r="GU256" s="28" t="str">
        <f>IFERROR(VLOOKUP(GS256,Horarios!$H:$I,2,0),"")</f>
        <v/>
      </c>
      <c r="GV256" s="28" t="str">
        <f t="shared" si="180"/>
        <v>00:00</v>
      </c>
      <c r="GW256" s="29"/>
      <c r="GX256" s="27"/>
      <c r="GY256" s="27"/>
      <c r="GZ256" s="28" t="str">
        <f>IFERROR(VLOOKUP(GX256,Horarios!$H:$I,2,0),"")</f>
        <v/>
      </c>
      <c r="HA256" s="28" t="str">
        <f>IFERROR(VLOOKUP(GY256,Horarios!$H:$I,2,0),"")</f>
        <v/>
      </c>
      <c r="HB256" s="28" t="str">
        <f t="shared" si="181"/>
        <v>00:00</v>
      </c>
      <c r="HC256" s="29"/>
      <c r="HD256" s="27"/>
      <c r="HE256" s="27"/>
      <c r="HF256" s="28" t="str">
        <f>IFERROR(VLOOKUP(HD256,Horarios!$H:$I,2,0),"")</f>
        <v/>
      </c>
      <c r="HG256" s="28" t="str">
        <f>IFERROR(VLOOKUP(HE256,Horarios!$H:$I,2,0),"")</f>
        <v/>
      </c>
      <c r="HH256" s="28" t="str">
        <f t="shared" si="182"/>
        <v>00:00</v>
      </c>
      <c r="HI256" s="29"/>
      <c r="HJ256" s="31" t="str">
        <f t="shared" si="183"/>
        <v/>
      </c>
      <c r="HK256" s="27"/>
      <c r="HL256" s="27"/>
      <c r="HM256" s="28" t="str">
        <f>IFERROR(VLOOKUP(HK256,Horarios!$H:$I,2,0),"")</f>
        <v/>
      </c>
      <c r="HN256" s="28" t="str">
        <f>IFERROR(VLOOKUP(HL256,Horarios!$H:$I,2,0),"")</f>
        <v/>
      </c>
      <c r="HO256" s="28" t="str">
        <f t="shared" si="184"/>
        <v>00:00</v>
      </c>
      <c r="HP256" s="29"/>
      <c r="HQ256" s="27"/>
      <c r="HR256" s="27"/>
      <c r="HS256" s="28" t="str">
        <f>IFERROR(VLOOKUP(HQ256,Horarios!$H:$I,2,0),"")</f>
        <v/>
      </c>
      <c r="HT256" s="28" t="str">
        <f>IFERROR(VLOOKUP(HR256,Horarios!$H:$I,2,0),"")</f>
        <v/>
      </c>
      <c r="HU256" s="28" t="str">
        <f t="shared" si="185"/>
        <v>00:00</v>
      </c>
      <c r="HV256" s="29"/>
      <c r="HW256" s="27"/>
      <c r="HX256" s="27"/>
      <c r="HY256" s="28" t="str">
        <f>IFERROR(VLOOKUP(HW256,Horarios!$H:$I,2,0),"")</f>
        <v/>
      </c>
      <c r="HZ256" s="28" t="str">
        <f>IFERROR(VLOOKUP(HX256,Horarios!$H:$I,2,0),"")</f>
        <v/>
      </c>
      <c r="IA256" s="28" t="str">
        <f t="shared" si="186"/>
        <v>00:00</v>
      </c>
      <c r="IB256" s="29"/>
      <c r="IC256" s="27"/>
      <c r="ID256" s="27"/>
      <c r="IE256" s="28" t="str">
        <f>IFERROR(VLOOKUP(IC256,Horarios!$H:$I,2,0),"")</f>
        <v/>
      </c>
      <c r="IF256" s="28" t="str">
        <f>IFERROR(VLOOKUP(ID256,Horarios!$H:$I,2,0),"")</f>
        <v/>
      </c>
      <c r="IG256" s="28" t="str">
        <f t="shared" si="187"/>
        <v>00:00</v>
      </c>
      <c r="IH256" s="29"/>
      <c r="II256" s="27"/>
      <c r="IJ256" s="27"/>
      <c r="IK256" s="28" t="str">
        <f>IFERROR(VLOOKUP(II256,Horarios!$H:$I,2,0),"")</f>
        <v/>
      </c>
      <c r="IL256" s="28" t="str">
        <f>IFERROR(VLOOKUP(IJ256,Horarios!$H:$I,2,0),"")</f>
        <v/>
      </c>
      <c r="IM256" s="28" t="str">
        <f t="shared" si="188"/>
        <v>00:00</v>
      </c>
      <c r="IN256" s="29"/>
      <c r="IO256" s="27"/>
      <c r="IP256" s="27"/>
      <c r="IQ256" s="28" t="str">
        <f>IFERROR(VLOOKUP(IO256,Horarios!$H:$I,2,0),"")</f>
        <v/>
      </c>
      <c r="IR256" s="28" t="str">
        <f>IFERROR(VLOOKUP(IP256,Horarios!$H:$I,2,0),"")</f>
        <v/>
      </c>
      <c r="IS256" s="28" t="str">
        <f t="shared" si="189"/>
        <v>00:00</v>
      </c>
      <c r="IT256" s="29"/>
      <c r="IU256" s="27"/>
      <c r="IV256" s="27"/>
      <c r="IW256" s="28" t="str">
        <f>IFERROR(VLOOKUP(IU256,Horarios!$H:$I,2,0),"")</f>
        <v/>
      </c>
      <c r="IX256" s="28" t="str">
        <f>IFERROR(VLOOKUP(IV256,Horarios!$H:$I,2,0),"")</f>
        <v/>
      </c>
      <c r="IY256" s="28" t="str">
        <f t="shared" si="190"/>
        <v>00:00</v>
      </c>
      <c r="IZ256" s="29"/>
      <c r="JA256" s="31" t="str">
        <f t="shared" si="191"/>
        <v/>
      </c>
    </row>
    <row r="257" spans="1:261" s="24" customFormat="1" ht="17.399999999999999" x14ac:dyDescent="0.25">
      <c r="A257" s="25"/>
      <c r="B257" s="26" t="str">
        <f>IFERROR(VLOOKUP(A257,BaseNombres!A:B,2,0),"")</f>
        <v/>
      </c>
      <c r="C257" s="26" t="str">
        <f>IFERROR(VLOOKUP(A257,BaseNombres!A:C,3,0),"")</f>
        <v/>
      </c>
      <c r="D257" s="27"/>
      <c r="E257" s="27"/>
      <c r="F257" s="28" t="str">
        <f>IFERROR(VLOOKUP(D257,Horarios!$H:$I,2,0),"")</f>
        <v/>
      </c>
      <c r="G257" s="28" t="str">
        <f>IFERROR(VLOOKUP(E257,Horarios!$H:$I,2,0),"")</f>
        <v/>
      </c>
      <c r="H257" s="28" t="str">
        <f t="shared" si="144"/>
        <v>00:00</v>
      </c>
      <c r="I257" s="29"/>
      <c r="J257" s="27"/>
      <c r="K257" s="27"/>
      <c r="L257" s="28" t="str">
        <f>IFERROR(VLOOKUP(J257,Horarios!$H:$I,2,0),"")</f>
        <v/>
      </c>
      <c r="M257" s="28" t="str">
        <f>IFERROR(VLOOKUP(K257,Horarios!$H:$I,2,0),"")</f>
        <v/>
      </c>
      <c r="N257" s="28" t="str">
        <f t="shared" si="145"/>
        <v>00:00</v>
      </c>
      <c r="O257" s="29"/>
      <c r="P257" s="27"/>
      <c r="Q257" s="27"/>
      <c r="R257" s="28" t="str">
        <f>IFERROR(VLOOKUP(P257,Horarios!$H:$I,2,0),"")</f>
        <v/>
      </c>
      <c r="S257" s="28" t="str">
        <f>IFERROR(VLOOKUP(Q257,Horarios!$H:$I,2,0),"")</f>
        <v/>
      </c>
      <c r="T257" s="28" t="str">
        <f t="shared" si="146"/>
        <v>00:00</v>
      </c>
      <c r="U257" s="29"/>
      <c r="V257" s="27"/>
      <c r="W257" s="27"/>
      <c r="X257" s="28" t="str">
        <f>IFERROR(VLOOKUP(V257,Horarios!$H:$I,2,0),"")</f>
        <v/>
      </c>
      <c r="Y257" s="28" t="str">
        <f>IFERROR(VLOOKUP(W257,Horarios!$H:$I,2,0),"")</f>
        <v/>
      </c>
      <c r="Z257" s="28" t="str">
        <f t="shared" si="147"/>
        <v>00:00</v>
      </c>
      <c r="AA257" s="29"/>
      <c r="AB257" s="27"/>
      <c r="AC257" s="27"/>
      <c r="AD257" s="28" t="str">
        <f>IFERROR(VLOOKUP(AB257,Horarios!$H:$I,2,0),"")</f>
        <v/>
      </c>
      <c r="AE257" s="28" t="str">
        <f>IFERROR(VLOOKUP(AC257,Horarios!$H:$I,2,0),"")</f>
        <v/>
      </c>
      <c r="AF257" s="28" t="str">
        <f t="shared" si="148"/>
        <v>00:00</v>
      </c>
      <c r="AG257" s="29"/>
      <c r="AH257" s="27"/>
      <c r="AI257" s="27"/>
      <c r="AJ257" s="28" t="str">
        <f>IFERROR(VLOOKUP(AH257,Horarios!$H:$I,2,0),"")</f>
        <v/>
      </c>
      <c r="AK257" s="28" t="str">
        <f>IFERROR(VLOOKUP(AI257,Horarios!$H:$I,2,0),"")</f>
        <v/>
      </c>
      <c r="AL257" s="28" t="str">
        <f t="shared" si="149"/>
        <v>00:00</v>
      </c>
      <c r="AM257" s="29"/>
      <c r="AN257" s="27"/>
      <c r="AO257" s="27"/>
      <c r="AP257" s="28" t="str">
        <f>IFERROR(VLOOKUP(AN257,Horarios!$H:$I,2,0),"")</f>
        <v/>
      </c>
      <c r="AQ257" s="28" t="str">
        <f>IFERROR(VLOOKUP(AO257,Horarios!$H:$I,2,0),"")</f>
        <v/>
      </c>
      <c r="AR257" s="28" t="str">
        <f t="shared" si="150"/>
        <v>00:00</v>
      </c>
      <c r="AS257" s="29"/>
      <c r="AT257" s="31" t="str">
        <f t="shared" si="151"/>
        <v/>
      </c>
      <c r="AU257" s="27"/>
      <c r="AV257" s="27"/>
      <c r="AW257" s="28" t="str">
        <f>IFERROR(VLOOKUP(AU257,Horarios!$H:$I,2,0),"")</f>
        <v/>
      </c>
      <c r="AX257" s="28" t="str">
        <f>IFERROR(VLOOKUP(AV257,Horarios!$H:$I,2,0),"")</f>
        <v/>
      </c>
      <c r="AY257" s="28" t="str">
        <f t="shared" si="152"/>
        <v>00:00</v>
      </c>
      <c r="AZ257" s="29"/>
      <c r="BA257" s="27"/>
      <c r="BB257" s="27"/>
      <c r="BC257" s="28" t="str">
        <f>IFERROR(VLOOKUP(BA257,Horarios!$H:$I,2,0),"")</f>
        <v/>
      </c>
      <c r="BD257" s="28" t="str">
        <f>IFERROR(VLOOKUP(BB257,Horarios!$H:$I,2,0),"")</f>
        <v/>
      </c>
      <c r="BE257" s="28" t="str">
        <f t="shared" si="153"/>
        <v>00:00</v>
      </c>
      <c r="BF257" s="29"/>
      <c r="BG257" s="27"/>
      <c r="BH257" s="27"/>
      <c r="BI257" s="28" t="str">
        <f>IFERROR(VLOOKUP(BG257,Horarios!$H:$I,2,0),"")</f>
        <v/>
      </c>
      <c r="BJ257" s="28" t="str">
        <f>IFERROR(VLOOKUP(BH257,Horarios!$H:$I,2,0),"")</f>
        <v/>
      </c>
      <c r="BK257" s="28" t="str">
        <f t="shared" si="154"/>
        <v>00:00</v>
      </c>
      <c r="BL257" s="29"/>
      <c r="BM257" s="27"/>
      <c r="BN257" s="27"/>
      <c r="BO257" s="28" t="str">
        <f>IFERROR(VLOOKUP(BM257,Horarios!$H:$I,2,0),"")</f>
        <v/>
      </c>
      <c r="BP257" s="28" t="str">
        <f>IFERROR(VLOOKUP(BN257,Horarios!$H:$I,2,0),"")</f>
        <v/>
      </c>
      <c r="BQ257" s="28" t="str">
        <f t="shared" si="155"/>
        <v>00:00</v>
      </c>
      <c r="BR257" s="29"/>
      <c r="BS257" s="27"/>
      <c r="BT257" s="27"/>
      <c r="BU257" s="28" t="str">
        <f>IFERROR(VLOOKUP(BS257,Horarios!$H:$I,2,0),"")</f>
        <v/>
      </c>
      <c r="BV257" s="28" t="str">
        <f>IFERROR(VLOOKUP(BT257,Horarios!$H:$I,2,0),"")</f>
        <v/>
      </c>
      <c r="BW257" s="28" t="str">
        <f t="shared" si="156"/>
        <v>00:00</v>
      </c>
      <c r="BX257" s="29"/>
      <c r="BY257" s="27"/>
      <c r="BZ257" s="27"/>
      <c r="CA257" s="28" t="str">
        <f>IFERROR(VLOOKUP(BY257,Horarios!$H:$I,2,0),"")</f>
        <v/>
      </c>
      <c r="CB257" s="28" t="str">
        <f>IFERROR(VLOOKUP(BZ257,Horarios!$H:$I,2,0),"")</f>
        <v/>
      </c>
      <c r="CC257" s="28" t="str">
        <f t="shared" si="157"/>
        <v>00:00</v>
      </c>
      <c r="CD257" s="29"/>
      <c r="CE257" s="27"/>
      <c r="CF257" s="27"/>
      <c r="CG257" s="28" t="str">
        <f>IFERROR(VLOOKUP(CE257,Horarios!$H:$I,2,0),"")</f>
        <v/>
      </c>
      <c r="CH257" s="28" t="str">
        <f>IFERROR(VLOOKUP(CF257,Horarios!$H:$I,2,0),"")</f>
        <v/>
      </c>
      <c r="CI257" s="28" t="str">
        <f t="shared" si="158"/>
        <v>00:00</v>
      </c>
      <c r="CJ257" s="29"/>
      <c r="CK257" s="31" t="str">
        <f t="shared" si="159"/>
        <v/>
      </c>
      <c r="CL257" s="27"/>
      <c r="CM257" s="27"/>
      <c r="CN257" s="28" t="str">
        <f>IFERROR(VLOOKUP(CL257,Horarios!$H:$I,2,0),"")</f>
        <v/>
      </c>
      <c r="CO257" s="28" t="str">
        <f>IFERROR(VLOOKUP(CM257,Horarios!$H:$I,2,0),"")</f>
        <v/>
      </c>
      <c r="CP257" s="28" t="str">
        <f t="shared" si="160"/>
        <v>00:00</v>
      </c>
      <c r="CQ257" s="29"/>
      <c r="CR257" s="27"/>
      <c r="CS257" s="27"/>
      <c r="CT257" s="28" t="str">
        <f>IFERROR(VLOOKUP(CR257,Horarios!$H:$I,2,0),"")</f>
        <v/>
      </c>
      <c r="CU257" s="28" t="str">
        <f>IFERROR(VLOOKUP(CS257,Horarios!$H:$I,2,0),"")</f>
        <v/>
      </c>
      <c r="CV257" s="28" t="str">
        <f t="shared" si="161"/>
        <v>00:00</v>
      </c>
      <c r="CW257" s="29"/>
      <c r="CX257" s="27"/>
      <c r="CY257" s="27"/>
      <c r="CZ257" s="28" t="str">
        <f>IFERROR(VLOOKUP(CX257,Horarios!$H:$I,2,0),"")</f>
        <v/>
      </c>
      <c r="DA257" s="28" t="str">
        <f>IFERROR(VLOOKUP(CY257,Horarios!$H:$I,2,0),"")</f>
        <v/>
      </c>
      <c r="DB257" s="28" t="str">
        <f t="shared" si="162"/>
        <v>00:00</v>
      </c>
      <c r="DC257" s="29"/>
      <c r="DD257" s="27"/>
      <c r="DE257" s="27"/>
      <c r="DF257" s="28" t="str">
        <f>IFERROR(VLOOKUP(DD257,Horarios!$H:$I,2,0),"")</f>
        <v/>
      </c>
      <c r="DG257" s="28" t="str">
        <f>IFERROR(VLOOKUP(DE257,Horarios!$H:$I,2,0),"")</f>
        <v/>
      </c>
      <c r="DH257" s="28" t="str">
        <f t="shared" si="163"/>
        <v>00:00</v>
      </c>
      <c r="DI257" s="29"/>
      <c r="DJ257" s="27"/>
      <c r="DK257" s="27"/>
      <c r="DL257" s="28" t="str">
        <f>IFERROR(VLOOKUP(DJ257,Horarios!$H:$I,2,0),"")</f>
        <v/>
      </c>
      <c r="DM257" s="28" t="str">
        <f>IFERROR(VLOOKUP(DK257,Horarios!$H:$I,2,0),"")</f>
        <v/>
      </c>
      <c r="DN257" s="28" t="str">
        <f t="shared" si="164"/>
        <v>00:00</v>
      </c>
      <c r="DO257" s="29"/>
      <c r="DP257" s="27"/>
      <c r="DQ257" s="27"/>
      <c r="DR257" s="28" t="str">
        <f>IFERROR(VLOOKUP(DP257,Horarios!$H:$I,2,0),"")</f>
        <v/>
      </c>
      <c r="DS257" s="28" t="str">
        <f>IFERROR(VLOOKUP(DQ257,Horarios!$H:$I,2,0),"")</f>
        <v/>
      </c>
      <c r="DT257" s="28" t="str">
        <f t="shared" si="165"/>
        <v>00:00</v>
      </c>
      <c r="DU257" s="29"/>
      <c r="DV257" s="27"/>
      <c r="DW257" s="27"/>
      <c r="DX257" s="28" t="str">
        <f>IFERROR(VLOOKUP(DV257,Horarios!$H:$I,2,0),"")</f>
        <v/>
      </c>
      <c r="DY257" s="28" t="str">
        <f>IFERROR(VLOOKUP(DW257,Horarios!$H:$I,2,0),"")</f>
        <v/>
      </c>
      <c r="DZ257" s="28" t="str">
        <f t="shared" si="166"/>
        <v>00:00</v>
      </c>
      <c r="EA257" s="29"/>
      <c r="EB257" s="31" t="str">
        <f t="shared" si="167"/>
        <v/>
      </c>
      <c r="EC257" s="27"/>
      <c r="ED257" s="27"/>
      <c r="EE257" s="28" t="str">
        <f>IFERROR(VLOOKUP(EC257,Horarios!$H:$I,2,0),"")</f>
        <v/>
      </c>
      <c r="EF257" s="28" t="str">
        <f>IFERROR(VLOOKUP(ED257,Horarios!$H:$I,2,0),"")</f>
        <v/>
      </c>
      <c r="EG257" s="28" t="str">
        <f t="shared" si="168"/>
        <v>00:00</v>
      </c>
      <c r="EH257" s="29"/>
      <c r="EI257" s="27"/>
      <c r="EJ257" s="27"/>
      <c r="EK257" s="28" t="str">
        <f>IFERROR(VLOOKUP(EI257,Horarios!$H:$I,2,0),"")</f>
        <v/>
      </c>
      <c r="EL257" s="28" t="str">
        <f>IFERROR(VLOOKUP(EJ257,Horarios!$H:$I,2,0),"")</f>
        <v/>
      </c>
      <c r="EM257" s="28" t="str">
        <f t="shared" si="169"/>
        <v>00:00</v>
      </c>
      <c r="EN257" s="29"/>
      <c r="EO257" s="27"/>
      <c r="EP257" s="27"/>
      <c r="EQ257" s="28" t="str">
        <f>IFERROR(VLOOKUP(EO257,Horarios!$H:$I,2,0),"")</f>
        <v/>
      </c>
      <c r="ER257" s="28" t="str">
        <f>IFERROR(VLOOKUP(EP257,Horarios!$H:$I,2,0),"")</f>
        <v/>
      </c>
      <c r="ES257" s="28" t="str">
        <f t="shared" si="170"/>
        <v>00:00</v>
      </c>
      <c r="ET257" s="29"/>
      <c r="EU257" s="27"/>
      <c r="EV257" s="27"/>
      <c r="EW257" s="28" t="str">
        <f>IFERROR(VLOOKUP(EU257,Horarios!$H:$I,2,0),"")</f>
        <v/>
      </c>
      <c r="EX257" s="28" t="str">
        <f>IFERROR(VLOOKUP(EV257,Horarios!$H:$I,2,0),"")</f>
        <v/>
      </c>
      <c r="EY257" s="28" t="str">
        <f t="shared" si="171"/>
        <v>00:00</v>
      </c>
      <c r="EZ257" s="29"/>
      <c r="FA257" s="27"/>
      <c r="FB257" s="27"/>
      <c r="FC257" s="28" t="str">
        <f>IFERROR(VLOOKUP(FA257,Horarios!$H:$I,2,0),"")</f>
        <v/>
      </c>
      <c r="FD257" s="28" t="str">
        <f>IFERROR(VLOOKUP(FB257,Horarios!$H:$I,2,0),"")</f>
        <v/>
      </c>
      <c r="FE257" s="28" t="str">
        <f t="shared" si="172"/>
        <v>00:00</v>
      </c>
      <c r="FF257" s="29"/>
      <c r="FG257" s="27"/>
      <c r="FH257" s="27"/>
      <c r="FI257" s="28" t="str">
        <f>IFERROR(VLOOKUP(FG257,Horarios!$H:$I,2,0),"")</f>
        <v/>
      </c>
      <c r="FJ257" s="28" t="str">
        <f>IFERROR(VLOOKUP(FH257,Horarios!$H:$I,2,0),"")</f>
        <v/>
      </c>
      <c r="FK257" s="28" t="str">
        <f t="shared" si="173"/>
        <v>00:00</v>
      </c>
      <c r="FL257" s="29"/>
      <c r="FM257" s="27"/>
      <c r="FN257" s="27"/>
      <c r="FO257" s="28" t="str">
        <f>IFERROR(VLOOKUP(FM257,Horarios!$H:$I,2,0),"")</f>
        <v/>
      </c>
      <c r="FP257" s="28" t="str">
        <f>IFERROR(VLOOKUP(FN257,Horarios!$H:$I,2,0),"")</f>
        <v/>
      </c>
      <c r="FQ257" s="28" t="str">
        <f t="shared" si="174"/>
        <v>00:00</v>
      </c>
      <c r="FR257" s="29"/>
      <c r="FS257" s="31" t="str">
        <f t="shared" si="175"/>
        <v/>
      </c>
      <c r="FT257" s="27"/>
      <c r="FU257" s="27"/>
      <c r="FV257" s="28" t="str">
        <f>IFERROR(VLOOKUP(FT257,Horarios!$H:$I,2,0),"")</f>
        <v/>
      </c>
      <c r="FW257" s="28" t="str">
        <f>IFERROR(VLOOKUP(FU257,Horarios!$H:$I,2,0),"")</f>
        <v/>
      </c>
      <c r="FX257" s="28" t="str">
        <f t="shared" si="176"/>
        <v>00:00</v>
      </c>
      <c r="FY257" s="29"/>
      <c r="FZ257" s="27"/>
      <c r="GA257" s="27"/>
      <c r="GB257" s="28" t="str">
        <f>IFERROR(VLOOKUP(FZ257,Horarios!$H:$I,2,0),"")</f>
        <v/>
      </c>
      <c r="GC257" s="28" t="str">
        <f>IFERROR(VLOOKUP(GA257,Horarios!$H:$I,2,0),"")</f>
        <v/>
      </c>
      <c r="GD257" s="28" t="str">
        <f t="shared" si="177"/>
        <v>00:00</v>
      </c>
      <c r="GE257" s="29"/>
      <c r="GF257" s="27"/>
      <c r="GG257" s="27"/>
      <c r="GH257" s="28" t="str">
        <f>IFERROR(VLOOKUP(GF257,Horarios!$H:$I,2,0),"")</f>
        <v/>
      </c>
      <c r="GI257" s="28" t="str">
        <f>IFERROR(VLOOKUP(GG257,Horarios!$H:$I,2,0),"")</f>
        <v/>
      </c>
      <c r="GJ257" s="28" t="str">
        <f t="shared" si="178"/>
        <v>00:00</v>
      </c>
      <c r="GK257" s="29"/>
      <c r="GL257" s="27"/>
      <c r="GM257" s="27"/>
      <c r="GN257" s="28" t="str">
        <f>IFERROR(VLOOKUP(GL257,Horarios!$H:$I,2,0),"")</f>
        <v/>
      </c>
      <c r="GO257" s="28" t="str">
        <f>IFERROR(VLOOKUP(GM257,Horarios!$H:$I,2,0),"")</f>
        <v/>
      </c>
      <c r="GP257" s="28" t="str">
        <f t="shared" si="179"/>
        <v>00:00</v>
      </c>
      <c r="GQ257" s="29"/>
      <c r="GR257" s="27"/>
      <c r="GS257" s="27"/>
      <c r="GT257" s="28" t="str">
        <f>IFERROR(VLOOKUP(GR257,Horarios!$H:$I,2,0),"")</f>
        <v/>
      </c>
      <c r="GU257" s="28" t="str">
        <f>IFERROR(VLOOKUP(GS257,Horarios!$H:$I,2,0),"")</f>
        <v/>
      </c>
      <c r="GV257" s="28" t="str">
        <f t="shared" si="180"/>
        <v>00:00</v>
      </c>
      <c r="GW257" s="29"/>
      <c r="GX257" s="27"/>
      <c r="GY257" s="27"/>
      <c r="GZ257" s="28" t="str">
        <f>IFERROR(VLOOKUP(GX257,Horarios!$H:$I,2,0),"")</f>
        <v/>
      </c>
      <c r="HA257" s="28" t="str">
        <f>IFERROR(VLOOKUP(GY257,Horarios!$H:$I,2,0),"")</f>
        <v/>
      </c>
      <c r="HB257" s="28" t="str">
        <f t="shared" si="181"/>
        <v>00:00</v>
      </c>
      <c r="HC257" s="29"/>
      <c r="HD257" s="27"/>
      <c r="HE257" s="27"/>
      <c r="HF257" s="28" t="str">
        <f>IFERROR(VLOOKUP(HD257,Horarios!$H:$I,2,0),"")</f>
        <v/>
      </c>
      <c r="HG257" s="28" t="str">
        <f>IFERROR(VLOOKUP(HE257,Horarios!$H:$I,2,0),"")</f>
        <v/>
      </c>
      <c r="HH257" s="28" t="str">
        <f t="shared" si="182"/>
        <v>00:00</v>
      </c>
      <c r="HI257" s="29"/>
      <c r="HJ257" s="31" t="str">
        <f t="shared" si="183"/>
        <v/>
      </c>
      <c r="HK257" s="27"/>
      <c r="HL257" s="27"/>
      <c r="HM257" s="28" t="str">
        <f>IFERROR(VLOOKUP(HK257,Horarios!$H:$I,2,0),"")</f>
        <v/>
      </c>
      <c r="HN257" s="28" t="str">
        <f>IFERROR(VLOOKUP(HL257,Horarios!$H:$I,2,0),"")</f>
        <v/>
      </c>
      <c r="HO257" s="28" t="str">
        <f t="shared" si="184"/>
        <v>00:00</v>
      </c>
      <c r="HP257" s="29"/>
      <c r="HQ257" s="27"/>
      <c r="HR257" s="27"/>
      <c r="HS257" s="28" t="str">
        <f>IFERROR(VLOOKUP(HQ257,Horarios!$H:$I,2,0),"")</f>
        <v/>
      </c>
      <c r="HT257" s="28" t="str">
        <f>IFERROR(VLOOKUP(HR257,Horarios!$H:$I,2,0),"")</f>
        <v/>
      </c>
      <c r="HU257" s="28" t="str">
        <f t="shared" si="185"/>
        <v>00:00</v>
      </c>
      <c r="HV257" s="29"/>
      <c r="HW257" s="27"/>
      <c r="HX257" s="27"/>
      <c r="HY257" s="28" t="str">
        <f>IFERROR(VLOOKUP(HW257,Horarios!$H:$I,2,0),"")</f>
        <v/>
      </c>
      <c r="HZ257" s="28" t="str">
        <f>IFERROR(VLOOKUP(HX257,Horarios!$H:$I,2,0),"")</f>
        <v/>
      </c>
      <c r="IA257" s="28" t="str">
        <f t="shared" si="186"/>
        <v>00:00</v>
      </c>
      <c r="IB257" s="29"/>
      <c r="IC257" s="27"/>
      <c r="ID257" s="27"/>
      <c r="IE257" s="28" t="str">
        <f>IFERROR(VLOOKUP(IC257,Horarios!$H:$I,2,0),"")</f>
        <v/>
      </c>
      <c r="IF257" s="28" t="str">
        <f>IFERROR(VLOOKUP(ID257,Horarios!$H:$I,2,0),"")</f>
        <v/>
      </c>
      <c r="IG257" s="28" t="str">
        <f t="shared" si="187"/>
        <v>00:00</v>
      </c>
      <c r="IH257" s="29"/>
      <c r="II257" s="27"/>
      <c r="IJ257" s="27"/>
      <c r="IK257" s="28" t="str">
        <f>IFERROR(VLOOKUP(II257,Horarios!$H:$I,2,0),"")</f>
        <v/>
      </c>
      <c r="IL257" s="28" t="str">
        <f>IFERROR(VLOOKUP(IJ257,Horarios!$H:$I,2,0),"")</f>
        <v/>
      </c>
      <c r="IM257" s="28" t="str">
        <f t="shared" si="188"/>
        <v>00:00</v>
      </c>
      <c r="IN257" s="29"/>
      <c r="IO257" s="27"/>
      <c r="IP257" s="27"/>
      <c r="IQ257" s="28" t="str">
        <f>IFERROR(VLOOKUP(IO257,Horarios!$H:$I,2,0),"")</f>
        <v/>
      </c>
      <c r="IR257" s="28" t="str">
        <f>IFERROR(VLOOKUP(IP257,Horarios!$H:$I,2,0),"")</f>
        <v/>
      </c>
      <c r="IS257" s="28" t="str">
        <f t="shared" si="189"/>
        <v>00:00</v>
      </c>
      <c r="IT257" s="29"/>
      <c r="IU257" s="27"/>
      <c r="IV257" s="27"/>
      <c r="IW257" s="28" t="str">
        <f>IFERROR(VLOOKUP(IU257,Horarios!$H:$I,2,0),"")</f>
        <v/>
      </c>
      <c r="IX257" s="28" t="str">
        <f>IFERROR(VLOOKUP(IV257,Horarios!$H:$I,2,0),"")</f>
        <v/>
      </c>
      <c r="IY257" s="28" t="str">
        <f t="shared" si="190"/>
        <v>00:00</v>
      </c>
      <c r="IZ257" s="29"/>
      <c r="JA257" s="31" t="str">
        <f t="shared" si="191"/>
        <v/>
      </c>
    </row>
    <row r="258" spans="1:261" s="24" customFormat="1" ht="17.399999999999999" x14ac:dyDescent="0.25">
      <c r="A258" s="25"/>
      <c r="B258" s="26" t="str">
        <f>IFERROR(VLOOKUP(A258,BaseNombres!A:B,2,0),"")</f>
        <v/>
      </c>
      <c r="C258" s="26" t="str">
        <f>IFERROR(VLOOKUP(A258,BaseNombres!A:C,3,0),"")</f>
        <v/>
      </c>
      <c r="D258" s="27"/>
      <c r="E258" s="27"/>
      <c r="F258" s="28" t="str">
        <f>IFERROR(VLOOKUP(D258,Horarios!$H:$I,2,0),"")</f>
        <v/>
      </c>
      <c r="G258" s="28" t="str">
        <f>IFERROR(VLOOKUP(E258,Horarios!$H:$I,2,0),"")</f>
        <v/>
      </c>
      <c r="H258" s="28" t="str">
        <f t="shared" si="144"/>
        <v>00:00</v>
      </c>
      <c r="I258" s="29"/>
      <c r="J258" s="27"/>
      <c r="K258" s="27"/>
      <c r="L258" s="28" t="str">
        <f>IFERROR(VLOOKUP(J258,Horarios!$H:$I,2,0),"")</f>
        <v/>
      </c>
      <c r="M258" s="28" t="str">
        <f>IFERROR(VLOOKUP(K258,Horarios!$H:$I,2,0),"")</f>
        <v/>
      </c>
      <c r="N258" s="28" t="str">
        <f t="shared" si="145"/>
        <v>00:00</v>
      </c>
      <c r="O258" s="29"/>
      <c r="P258" s="27"/>
      <c r="Q258" s="27"/>
      <c r="R258" s="28" t="str">
        <f>IFERROR(VLOOKUP(P258,Horarios!$H:$I,2,0),"")</f>
        <v/>
      </c>
      <c r="S258" s="28" t="str">
        <f>IFERROR(VLOOKUP(Q258,Horarios!$H:$I,2,0),"")</f>
        <v/>
      </c>
      <c r="T258" s="28" t="str">
        <f t="shared" si="146"/>
        <v>00:00</v>
      </c>
      <c r="U258" s="29"/>
      <c r="V258" s="27"/>
      <c r="W258" s="27"/>
      <c r="X258" s="28" t="str">
        <f>IFERROR(VLOOKUP(V258,Horarios!$H:$I,2,0),"")</f>
        <v/>
      </c>
      <c r="Y258" s="28" t="str">
        <f>IFERROR(VLOOKUP(W258,Horarios!$H:$I,2,0),"")</f>
        <v/>
      </c>
      <c r="Z258" s="28" t="str">
        <f t="shared" si="147"/>
        <v>00:00</v>
      </c>
      <c r="AA258" s="29"/>
      <c r="AB258" s="27"/>
      <c r="AC258" s="27"/>
      <c r="AD258" s="28" t="str">
        <f>IFERROR(VLOOKUP(AB258,Horarios!$H:$I,2,0),"")</f>
        <v/>
      </c>
      <c r="AE258" s="28" t="str">
        <f>IFERROR(VLOOKUP(AC258,Horarios!$H:$I,2,0),"")</f>
        <v/>
      </c>
      <c r="AF258" s="28" t="str">
        <f t="shared" si="148"/>
        <v>00:00</v>
      </c>
      <c r="AG258" s="29"/>
      <c r="AH258" s="27"/>
      <c r="AI258" s="27"/>
      <c r="AJ258" s="28" t="str">
        <f>IFERROR(VLOOKUP(AH258,Horarios!$H:$I,2,0),"")</f>
        <v/>
      </c>
      <c r="AK258" s="28" t="str">
        <f>IFERROR(VLOOKUP(AI258,Horarios!$H:$I,2,0),"")</f>
        <v/>
      </c>
      <c r="AL258" s="28" t="str">
        <f t="shared" si="149"/>
        <v>00:00</v>
      </c>
      <c r="AM258" s="29"/>
      <c r="AN258" s="27"/>
      <c r="AO258" s="27"/>
      <c r="AP258" s="28" t="str">
        <f>IFERROR(VLOOKUP(AN258,Horarios!$H:$I,2,0),"")</f>
        <v/>
      </c>
      <c r="AQ258" s="28" t="str">
        <f>IFERROR(VLOOKUP(AO258,Horarios!$H:$I,2,0),"")</f>
        <v/>
      </c>
      <c r="AR258" s="28" t="str">
        <f t="shared" si="150"/>
        <v>00:00</v>
      </c>
      <c r="AS258" s="29"/>
      <c r="AT258" s="31" t="str">
        <f t="shared" si="151"/>
        <v/>
      </c>
      <c r="AU258" s="27"/>
      <c r="AV258" s="27"/>
      <c r="AW258" s="28" t="str">
        <f>IFERROR(VLOOKUP(AU258,Horarios!$H:$I,2,0),"")</f>
        <v/>
      </c>
      <c r="AX258" s="28" t="str">
        <f>IFERROR(VLOOKUP(AV258,Horarios!$H:$I,2,0),"")</f>
        <v/>
      </c>
      <c r="AY258" s="28" t="str">
        <f t="shared" si="152"/>
        <v>00:00</v>
      </c>
      <c r="AZ258" s="29"/>
      <c r="BA258" s="27"/>
      <c r="BB258" s="27"/>
      <c r="BC258" s="28" t="str">
        <f>IFERROR(VLOOKUP(BA258,Horarios!$H:$I,2,0),"")</f>
        <v/>
      </c>
      <c r="BD258" s="28" t="str">
        <f>IFERROR(VLOOKUP(BB258,Horarios!$H:$I,2,0),"")</f>
        <v/>
      </c>
      <c r="BE258" s="28" t="str">
        <f t="shared" si="153"/>
        <v>00:00</v>
      </c>
      <c r="BF258" s="29"/>
      <c r="BG258" s="27"/>
      <c r="BH258" s="27"/>
      <c r="BI258" s="28" t="str">
        <f>IFERROR(VLOOKUP(BG258,Horarios!$H:$I,2,0),"")</f>
        <v/>
      </c>
      <c r="BJ258" s="28" t="str">
        <f>IFERROR(VLOOKUP(BH258,Horarios!$H:$I,2,0),"")</f>
        <v/>
      </c>
      <c r="BK258" s="28" t="str">
        <f t="shared" si="154"/>
        <v>00:00</v>
      </c>
      <c r="BL258" s="29"/>
      <c r="BM258" s="27"/>
      <c r="BN258" s="27"/>
      <c r="BO258" s="28" t="str">
        <f>IFERROR(VLOOKUP(BM258,Horarios!$H:$I,2,0),"")</f>
        <v/>
      </c>
      <c r="BP258" s="28" t="str">
        <f>IFERROR(VLOOKUP(BN258,Horarios!$H:$I,2,0),"")</f>
        <v/>
      </c>
      <c r="BQ258" s="28" t="str">
        <f t="shared" si="155"/>
        <v>00:00</v>
      </c>
      <c r="BR258" s="29"/>
      <c r="BS258" s="27"/>
      <c r="BT258" s="27"/>
      <c r="BU258" s="28" t="str">
        <f>IFERROR(VLOOKUP(BS258,Horarios!$H:$I,2,0),"")</f>
        <v/>
      </c>
      <c r="BV258" s="28" t="str">
        <f>IFERROR(VLOOKUP(BT258,Horarios!$H:$I,2,0),"")</f>
        <v/>
      </c>
      <c r="BW258" s="28" t="str">
        <f t="shared" si="156"/>
        <v>00:00</v>
      </c>
      <c r="BX258" s="29"/>
      <c r="BY258" s="27"/>
      <c r="BZ258" s="27"/>
      <c r="CA258" s="28" t="str">
        <f>IFERROR(VLOOKUP(BY258,Horarios!$H:$I,2,0),"")</f>
        <v/>
      </c>
      <c r="CB258" s="28" t="str">
        <f>IFERROR(VLOOKUP(BZ258,Horarios!$H:$I,2,0),"")</f>
        <v/>
      </c>
      <c r="CC258" s="28" t="str">
        <f t="shared" si="157"/>
        <v>00:00</v>
      </c>
      <c r="CD258" s="29"/>
      <c r="CE258" s="27"/>
      <c r="CF258" s="27"/>
      <c r="CG258" s="28" t="str">
        <f>IFERROR(VLOOKUP(CE258,Horarios!$H:$I,2,0),"")</f>
        <v/>
      </c>
      <c r="CH258" s="28" t="str">
        <f>IFERROR(VLOOKUP(CF258,Horarios!$H:$I,2,0),"")</f>
        <v/>
      </c>
      <c r="CI258" s="28" t="str">
        <f t="shared" si="158"/>
        <v>00:00</v>
      </c>
      <c r="CJ258" s="29"/>
      <c r="CK258" s="31" t="str">
        <f t="shared" si="159"/>
        <v/>
      </c>
      <c r="CL258" s="27"/>
      <c r="CM258" s="27"/>
      <c r="CN258" s="28" t="str">
        <f>IFERROR(VLOOKUP(CL258,Horarios!$H:$I,2,0),"")</f>
        <v/>
      </c>
      <c r="CO258" s="28" t="str">
        <f>IFERROR(VLOOKUP(CM258,Horarios!$H:$I,2,0),"")</f>
        <v/>
      </c>
      <c r="CP258" s="28" t="str">
        <f t="shared" si="160"/>
        <v>00:00</v>
      </c>
      <c r="CQ258" s="29"/>
      <c r="CR258" s="27"/>
      <c r="CS258" s="27"/>
      <c r="CT258" s="28" t="str">
        <f>IFERROR(VLOOKUP(CR258,Horarios!$H:$I,2,0),"")</f>
        <v/>
      </c>
      <c r="CU258" s="28" t="str">
        <f>IFERROR(VLOOKUP(CS258,Horarios!$H:$I,2,0),"")</f>
        <v/>
      </c>
      <c r="CV258" s="28" t="str">
        <f t="shared" si="161"/>
        <v>00:00</v>
      </c>
      <c r="CW258" s="29"/>
      <c r="CX258" s="27"/>
      <c r="CY258" s="27"/>
      <c r="CZ258" s="28" t="str">
        <f>IFERROR(VLOOKUP(CX258,Horarios!$H:$I,2,0),"")</f>
        <v/>
      </c>
      <c r="DA258" s="28" t="str">
        <f>IFERROR(VLOOKUP(CY258,Horarios!$H:$I,2,0),"")</f>
        <v/>
      </c>
      <c r="DB258" s="28" t="str">
        <f t="shared" si="162"/>
        <v>00:00</v>
      </c>
      <c r="DC258" s="29"/>
      <c r="DD258" s="27"/>
      <c r="DE258" s="27"/>
      <c r="DF258" s="28" t="str">
        <f>IFERROR(VLOOKUP(DD258,Horarios!$H:$I,2,0),"")</f>
        <v/>
      </c>
      <c r="DG258" s="28" t="str">
        <f>IFERROR(VLOOKUP(DE258,Horarios!$H:$I,2,0),"")</f>
        <v/>
      </c>
      <c r="DH258" s="28" t="str">
        <f t="shared" si="163"/>
        <v>00:00</v>
      </c>
      <c r="DI258" s="29"/>
      <c r="DJ258" s="27"/>
      <c r="DK258" s="27"/>
      <c r="DL258" s="28" t="str">
        <f>IFERROR(VLOOKUP(DJ258,Horarios!$H:$I,2,0),"")</f>
        <v/>
      </c>
      <c r="DM258" s="28" t="str">
        <f>IFERROR(VLOOKUP(DK258,Horarios!$H:$I,2,0),"")</f>
        <v/>
      </c>
      <c r="DN258" s="28" t="str">
        <f t="shared" si="164"/>
        <v>00:00</v>
      </c>
      <c r="DO258" s="29"/>
      <c r="DP258" s="27"/>
      <c r="DQ258" s="27"/>
      <c r="DR258" s="28" t="str">
        <f>IFERROR(VLOOKUP(DP258,Horarios!$H:$I,2,0),"")</f>
        <v/>
      </c>
      <c r="DS258" s="28" t="str">
        <f>IFERROR(VLOOKUP(DQ258,Horarios!$H:$I,2,0),"")</f>
        <v/>
      </c>
      <c r="DT258" s="28" t="str">
        <f t="shared" si="165"/>
        <v>00:00</v>
      </c>
      <c r="DU258" s="29"/>
      <c r="DV258" s="27"/>
      <c r="DW258" s="27"/>
      <c r="DX258" s="28" t="str">
        <f>IFERROR(VLOOKUP(DV258,Horarios!$H:$I,2,0),"")</f>
        <v/>
      </c>
      <c r="DY258" s="28" t="str">
        <f>IFERROR(VLOOKUP(DW258,Horarios!$H:$I,2,0),"")</f>
        <v/>
      </c>
      <c r="DZ258" s="28" t="str">
        <f t="shared" si="166"/>
        <v>00:00</v>
      </c>
      <c r="EA258" s="29"/>
      <c r="EB258" s="31" t="str">
        <f t="shared" si="167"/>
        <v/>
      </c>
      <c r="EC258" s="27"/>
      <c r="ED258" s="27"/>
      <c r="EE258" s="28" t="str">
        <f>IFERROR(VLOOKUP(EC258,Horarios!$H:$I,2,0),"")</f>
        <v/>
      </c>
      <c r="EF258" s="28" t="str">
        <f>IFERROR(VLOOKUP(ED258,Horarios!$H:$I,2,0),"")</f>
        <v/>
      </c>
      <c r="EG258" s="28" t="str">
        <f t="shared" si="168"/>
        <v>00:00</v>
      </c>
      <c r="EH258" s="29"/>
      <c r="EI258" s="27"/>
      <c r="EJ258" s="27"/>
      <c r="EK258" s="28" t="str">
        <f>IFERROR(VLOOKUP(EI258,Horarios!$H:$I,2,0),"")</f>
        <v/>
      </c>
      <c r="EL258" s="28" t="str">
        <f>IFERROR(VLOOKUP(EJ258,Horarios!$H:$I,2,0),"")</f>
        <v/>
      </c>
      <c r="EM258" s="28" t="str">
        <f t="shared" si="169"/>
        <v>00:00</v>
      </c>
      <c r="EN258" s="29"/>
      <c r="EO258" s="27"/>
      <c r="EP258" s="27"/>
      <c r="EQ258" s="28" t="str">
        <f>IFERROR(VLOOKUP(EO258,Horarios!$H:$I,2,0),"")</f>
        <v/>
      </c>
      <c r="ER258" s="28" t="str">
        <f>IFERROR(VLOOKUP(EP258,Horarios!$H:$I,2,0),"")</f>
        <v/>
      </c>
      <c r="ES258" s="28" t="str">
        <f t="shared" si="170"/>
        <v>00:00</v>
      </c>
      <c r="ET258" s="29"/>
      <c r="EU258" s="27"/>
      <c r="EV258" s="27"/>
      <c r="EW258" s="28" t="str">
        <f>IFERROR(VLOOKUP(EU258,Horarios!$H:$I,2,0),"")</f>
        <v/>
      </c>
      <c r="EX258" s="28" t="str">
        <f>IFERROR(VLOOKUP(EV258,Horarios!$H:$I,2,0),"")</f>
        <v/>
      </c>
      <c r="EY258" s="28" t="str">
        <f t="shared" si="171"/>
        <v>00:00</v>
      </c>
      <c r="EZ258" s="29"/>
      <c r="FA258" s="27"/>
      <c r="FB258" s="27"/>
      <c r="FC258" s="28" t="str">
        <f>IFERROR(VLOOKUP(FA258,Horarios!$H:$I,2,0),"")</f>
        <v/>
      </c>
      <c r="FD258" s="28" t="str">
        <f>IFERROR(VLOOKUP(FB258,Horarios!$H:$I,2,0),"")</f>
        <v/>
      </c>
      <c r="FE258" s="28" t="str">
        <f t="shared" si="172"/>
        <v>00:00</v>
      </c>
      <c r="FF258" s="29"/>
      <c r="FG258" s="27"/>
      <c r="FH258" s="27"/>
      <c r="FI258" s="28" t="str">
        <f>IFERROR(VLOOKUP(FG258,Horarios!$H:$I,2,0),"")</f>
        <v/>
      </c>
      <c r="FJ258" s="28" t="str">
        <f>IFERROR(VLOOKUP(FH258,Horarios!$H:$I,2,0),"")</f>
        <v/>
      </c>
      <c r="FK258" s="28" t="str">
        <f t="shared" si="173"/>
        <v>00:00</v>
      </c>
      <c r="FL258" s="29"/>
      <c r="FM258" s="27"/>
      <c r="FN258" s="27"/>
      <c r="FO258" s="28" t="str">
        <f>IFERROR(VLOOKUP(FM258,Horarios!$H:$I,2,0),"")</f>
        <v/>
      </c>
      <c r="FP258" s="28" t="str">
        <f>IFERROR(VLOOKUP(FN258,Horarios!$H:$I,2,0),"")</f>
        <v/>
      </c>
      <c r="FQ258" s="28" t="str">
        <f t="shared" si="174"/>
        <v>00:00</v>
      </c>
      <c r="FR258" s="29"/>
      <c r="FS258" s="31" t="str">
        <f t="shared" si="175"/>
        <v/>
      </c>
      <c r="FT258" s="27"/>
      <c r="FU258" s="27"/>
      <c r="FV258" s="28" t="str">
        <f>IFERROR(VLOOKUP(FT258,Horarios!$H:$I,2,0),"")</f>
        <v/>
      </c>
      <c r="FW258" s="28" t="str">
        <f>IFERROR(VLOOKUP(FU258,Horarios!$H:$I,2,0),"")</f>
        <v/>
      </c>
      <c r="FX258" s="28" t="str">
        <f t="shared" si="176"/>
        <v>00:00</v>
      </c>
      <c r="FY258" s="29"/>
      <c r="FZ258" s="27"/>
      <c r="GA258" s="27"/>
      <c r="GB258" s="28" t="str">
        <f>IFERROR(VLOOKUP(FZ258,Horarios!$H:$I,2,0),"")</f>
        <v/>
      </c>
      <c r="GC258" s="28" t="str">
        <f>IFERROR(VLOOKUP(GA258,Horarios!$H:$I,2,0),"")</f>
        <v/>
      </c>
      <c r="GD258" s="28" t="str">
        <f t="shared" si="177"/>
        <v>00:00</v>
      </c>
      <c r="GE258" s="29"/>
      <c r="GF258" s="27"/>
      <c r="GG258" s="27"/>
      <c r="GH258" s="28" t="str">
        <f>IFERROR(VLOOKUP(GF258,Horarios!$H:$I,2,0),"")</f>
        <v/>
      </c>
      <c r="GI258" s="28" t="str">
        <f>IFERROR(VLOOKUP(GG258,Horarios!$H:$I,2,0),"")</f>
        <v/>
      </c>
      <c r="GJ258" s="28" t="str">
        <f t="shared" si="178"/>
        <v>00:00</v>
      </c>
      <c r="GK258" s="29"/>
      <c r="GL258" s="27"/>
      <c r="GM258" s="27"/>
      <c r="GN258" s="28" t="str">
        <f>IFERROR(VLOOKUP(GL258,Horarios!$H:$I,2,0),"")</f>
        <v/>
      </c>
      <c r="GO258" s="28" t="str">
        <f>IFERROR(VLOOKUP(GM258,Horarios!$H:$I,2,0),"")</f>
        <v/>
      </c>
      <c r="GP258" s="28" t="str">
        <f t="shared" si="179"/>
        <v>00:00</v>
      </c>
      <c r="GQ258" s="29"/>
      <c r="GR258" s="27"/>
      <c r="GS258" s="27"/>
      <c r="GT258" s="28" t="str">
        <f>IFERROR(VLOOKUP(GR258,Horarios!$H:$I,2,0),"")</f>
        <v/>
      </c>
      <c r="GU258" s="28" t="str">
        <f>IFERROR(VLOOKUP(GS258,Horarios!$H:$I,2,0),"")</f>
        <v/>
      </c>
      <c r="GV258" s="28" t="str">
        <f t="shared" si="180"/>
        <v>00:00</v>
      </c>
      <c r="GW258" s="29"/>
      <c r="GX258" s="27"/>
      <c r="GY258" s="27"/>
      <c r="GZ258" s="28" t="str">
        <f>IFERROR(VLOOKUP(GX258,Horarios!$H:$I,2,0),"")</f>
        <v/>
      </c>
      <c r="HA258" s="28" t="str">
        <f>IFERROR(VLOOKUP(GY258,Horarios!$H:$I,2,0),"")</f>
        <v/>
      </c>
      <c r="HB258" s="28" t="str">
        <f t="shared" si="181"/>
        <v>00:00</v>
      </c>
      <c r="HC258" s="29"/>
      <c r="HD258" s="27"/>
      <c r="HE258" s="27"/>
      <c r="HF258" s="28" t="str">
        <f>IFERROR(VLOOKUP(HD258,Horarios!$H:$I,2,0),"")</f>
        <v/>
      </c>
      <c r="HG258" s="28" t="str">
        <f>IFERROR(VLOOKUP(HE258,Horarios!$H:$I,2,0),"")</f>
        <v/>
      </c>
      <c r="HH258" s="28" t="str">
        <f t="shared" si="182"/>
        <v>00:00</v>
      </c>
      <c r="HI258" s="29"/>
      <c r="HJ258" s="31" t="str">
        <f t="shared" si="183"/>
        <v/>
      </c>
      <c r="HK258" s="27"/>
      <c r="HL258" s="27"/>
      <c r="HM258" s="28" t="str">
        <f>IFERROR(VLOOKUP(HK258,Horarios!$H:$I,2,0),"")</f>
        <v/>
      </c>
      <c r="HN258" s="28" t="str">
        <f>IFERROR(VLOOKUP(HL258,Horarios!$H:$I,2,0),"")</f>
        <v/>
      </c>
      <c r="HO258" s="28" t="str">
        <f t="shared" si="184"/>
        <v>00:00</v>
      </c>
      <c r="HP258" s="29"/>
      <c r="HQ258" s="27"/>
      <c r="HR258" s="27"/>
      <c r="HS258" s="28" t="str">
        <f>IFERROR(VLOOKUP(HQ258,Horarios!$H:$I,2,0),"")</f>
        <v/>
      </c>
      <c r="HT258" s="28" t="str">
        <f>IFERROR(VLOOKUP(HR258,Horarios!$H:$I,2,0),"")</f>
        <v/>
      </c>
      <c r="HU258" s="28" t="str">
        <f t="shared" si="185"/>
        <v>00:00</v>
      </c>
      <c r="HV258" s="29"/>
      <c r="HW258" s="27"/>
      <c r="HX258" s="27"/>
      <c r="HY258" s="28" t="str">
        <f>IFERROR(VLOOKUP(HW258,Horarios!$H:$I,2,0),"")</f>
        <v/>
      </c>
      <c r="HZ258" s="28" t="str">
        <f>IFERROR(VLOOKUP(HX258,Horarios!$H:$I,2,0),"")</f>
        <v/>
      </c>
      <c r="IA258" s="28" t="str">
        <f t="shared" si="186"/>
        <v>00:00</v>
      </c>
      <c r="IB258" s="29"/>
      <c r="IC258" s="27"/>
      <c r="ID258" s="27"/>
      <c r="IE258" s="28" t="str">
        <f>IFERROR(VLOOKUP(IC258,Horarios!$H:$I,2,0),"")</f>
        <v/>
      </c>
      <c r="IF258" s="28" t="str">
        <f>IFERROR(VLOOKUP(ID258,Horarios!$H:$I,2,0),"")</f>
        <v/>
      </c>
      <c r="IG258" s="28" t="str">
        <f t="shared" si="187"/>
        <v>00:00</v>
      </c>
      <c r="IH258" s="29"/>
      <c r="II258" s="27"/>
      <c r="IJ258" s="27"/>
      <c r="IK258" s="28" t="str">
        <f>IFERROR(VLOOKUP(II258,Horarios!$H:$I,2,0),"")</f>
        <v/>
      </c>
      <c r="IL258" s="28" t="str">
        <f>IFERROR(VLOOKUP(IJ258,Horarios!$H:$I,2,0),"")</f>
        <v/>
      </c>
      <c r="IM258" s="28" t="str">
        <f t="shared" si="188"/>
        <v>00:00</v>
      </c>
      <c r="IN258" s="29"/>
      <c r="IO258" s="27"/>
      <c r="IP258" s="27"/>
      <c r="IQ258" s="28" t="str">
        <f>IFERROR(VLOOKUP(IO258,Horarios!$H:$I,2,0),"")</f>
        <v/>
      </c>
      <c r="IR258" s="28" t="str">
        <f>IFERROR(VLOOKUP(IP258,Horarios!$H:$I,2,0),"")</f>
        <v/>
      </c>
      <c r="IS258" s="28" t="str">
        <f t="shared" si="189"/>
        <v>00:00</v>
      </c>
      <c r="IT258" s="29"/>
      <c r="IU258" s="27"/>
      <c r="IV258" s="27"/>
      <c r="IW258" s="28" t="str">
        <f>IFERROR(VLOOKUP(IU258,Horarios!$H:$I,2,0),"")</f>
        <v/>
      </c>
      <c r="IX258" s="28" t="str">
        <f>IFERROR(VLOOKUP(IV258,Horarios!$H:$I,2,0),"")</f>
        <v/>
      </c>
      <c r="IY258" s="28" t="str">
        <f t="shared" si="190"/>
        <v>00:00</v>
      </c>
      <c r="IZ258" s="29"/>
      <c r="JA258" s="31" t="str">
        <f t="shared" si="191"/>
        <v/>
      </c>
    </row>
    <row r="259" spans="1:261" s="24" customFormat="1" ht="17.399999999999999" x14ac:dyDescent="0.25">
      <c r="A259" s="25"/>
      <c r="B259" s="26" t="str">
        <f>IFERROR(VLOOKUP(A259,BaseNombres!A:B,2,0),"")</f>
        <v/>
      </c>
      <c r="C259" s="26" t="str">
        <f>IFERROR(VLOOKUP(A259,BaseNombres!A:C,3,0),"")</f>
        <v/>
      </c>
      <c r="D259" s="27"/>
      <c r="E259" s="27"/>
      <c r="F259" s="28" t="str">
        <f>IFERROR(VLOOKUP(D259,Horarios!$H:$I,2,0),"")</f>
        <v/>
      </c>
      <c r="G259" s="28" t="str">
        <f>IFERROR(VLOOKUP(E259,Horarios!$H:$I,2,0),"")</f>
        <v/>
      </c>
      <c r="H259" s="28" t="str">
        <f t="shared" si="144"/>
        <v>00:00</v>
      </c>
      <c r="I259" s="29"/>
      <c r="J259" s="27"/>
      <c r="K259" s="27"/>
      <c r="L259" s="28" t="str">
        <f>IFERROR(VLOOKUP(J259,Horarios!$H:$I,2,0),"")</f>
        <v/>
      </c>
      <c r="M259" s="28" t="str">
        <f>IFERROR(VLOOKUP(K259,Horarios!$H:$I,2,0),"")</f>
        <v/>
      </c>
      <c r="N259" s="28" t="str">
        <f t="shared" si="145"/>
        <v>00:00</v>
      </c>
      <c r="O259" s="29"/>
      <c r="P259" s="27"/>
      <c r="Q259" s="27"/>
      <c r="R259" s="28" t="str">
        <f>IFERROR(VLOOKUP(P259,Horarios!$H:$I,2,0),"")</f>
        <v/>
      </c>
      <c r="S259" s="28" t="str">
        <f>IFERROR(VLOOKUP(Q259,Horarios!$H:$I,2,0),"")</f>
        <v/>
      </c>
      <c r="T259" s="28" t="str">
        <f t="shared" si="146"/>
        <v>00:00</v>
      </c>
      <c r="U259" s="29"/>
      <c r="V259" s="27"/>
      <c r="W259" s="27"/>
      <c r="X259" s="28" t="str">
        <f>IFERROR(VLOOKUP(V259,Horarios!$H:$I,2,0),"")</f>
        <v/>
      </c>
      <c r="Y259" s="28" t="str">
        <f>IFERROR(VLOOKUP(W259,Horarios!$H:$I,2,0),"")</f>
        <v/>
      </c>
      <c r="Z259" s="28" t="str">
        <f t="shared" si="147"/>
        <v>00:00</v>
      </c>
      <c r="AA259" s="29"/>
      <c r="AB259" s="27"/>
      <c r="AC259" s="27"/>
      <c r="AD259" s="28" t="str">
        <f>IFERROR(VLOOKUP(AB259,Horarios!$H:$I,2,0),"")</f>
        <v/>
      </c>
      <c r="AE259" s="28" t="str">
        <f>IFERROR(VLOOKUP(AC259,Horarios!$H:$I,2,0),"")</f>
        <v/>
      </c>
      <c r="AF259" s="28" t="str">
        <f t="shared" si="148"/>
        <v>00:00</v>
      </c>
      <c r="AG259" s="29"/>
      <c r="AH259" s="27"/>
      <c r="AI259" s="27"/>
      <c r="AJ259" s="28" t="str">
        <f>IFERROR(VLOOKUP(AH259,Horarios!$H:$I,2,0),"")</f>
        <v/>
      </c>
      <c r="AK259" s="28" t="str">
        <f>IFERROR(VLOOKUP(AI259,Horarios!$H:$I,2,0),"")</f>
        <v/>
      </c>
      <c r="AL259" s="28" t="str">
        <f t="shared" si="149"/>
        <v>00:00</v>
      </c>
      <c r="AM259" s="29"/>
      <c r="AN259" s="27"/>
      <c r="AO259" s="27"/>
      <c r="AP259" s="28" t="str">
        <f>IFERROR(VLOOKUP(AN259,Horarios!$H:$I,2,0),"")</f>
        <v/>
      </c>
      <c r="AQ259" s="28" t="str">
        <f>IFERROR(VLOOKUP(AO259,Horarios!$H:$I,2,0),"")</f>
        <v/>
      </c>
      <c r="AR259" s="28" t="str">
        <f t="shared" si="150"/>
        <v>00:00</v>
      </c>
      <c r="AS259" s="29"/>
      <c r="AT259" s="31" t="str">
        <f t="shared" si="151"/>
        <v/>
      </c>
      <c r="AU259" s="27"/>
      <c r="AV259" s="27"/>
      <c r="AW259" s="28" t="str">
        <f>IFERROR(VLOOKUP(AU259,Horarios!$H:$I,2,0),"")</f>
        <v/>
      </c>
      <c r="AX259" s="28" t="str">
        <f>IFERROR(VLOOKUP(AV259,Horarios!$H:$I,2,0),"")</f>
        <v/>
      </c>
      <c r="AY259" s="28" t="str">
        <f t="shared" si="152"/>
        <v>00:00</v>
      </c>
      <c r="AZ259" s="29"/>
      <c r="BA259" s="27"/>
      <c r="BB259" s="27"/>
      <c r="BC259" s="28" t="str">
        <f>IFERROR(VLOOKUP(BA259,Horarios!$H:$I,2,0),"")</f>
        <v/>
      </c>
      <c r="BD259" s="28" t="str">
        <f>IFERROR(VLOOKUP(BB259,Horarios!$H:$I,2,0),"")</f>
        <v/>
      </c>
      <c r="BE259" s="28" t="str">
        <f t="shared" si="153"/>
        <v>00:00</v>
      </c>
      <c r="BF259" s="29"/>
      <c r="BG259" s="27"/>
      <c r="BH259" s="27"/>
      <c r="BI259" s="28" t="str">
        <f>IFERROR(VLOOKUP(BG259,Horarios!$H:$I,2,0),"")</f>
        <v/>
      </c>
      <c r="BJ259" s="28" t="str">
        <f>IFERROR(VLOOKUP(BH259,Horarios!$H:$I,2,0),"")</f>
        <v/>
      </c>
      <c r="BK259" s="28" t="str">
        <f t="shared" si="154"/>
        <v>00:00</v>
      </c>
      <c r="BL259" s="29"/>
      <c r="BM259" s="27"/>
      <c r="BN259" s="27"/>
      <c r="BO259" s="28" t="str">
        <f>IFERROR(VLOOKUP(BM259,Horarios!$H:$I,2,0),"")</f>
        <v/>
      </c>
      <c r="BP259" s="28" t="str">
        <f>IFERROR(VLOOKUP(BN259,Horarios!$H:$I,2,0),"")</f>
        <v/>
      </c>
      <c r="BQ259" s="28" t="str">
        <f t="shared" si="155"/>
        <v>00:00</v>
      </c>
      <c r="BR259" s="29"/>
      <c r="BS259" s="27"/>
      <c r="BT259" s="27"/>
      <c r="BU259" s="28" t="str">
        <f>IFERROR(VLOOKUP(BS259,Horarios!$H:$I,2,0),"")</f>
        <v/>
      </c>
      <c r="BV259" s="28" t="str">
        <f>IFERROR(VLOOKUP(BT259,Horarios!$H:$I,2,0),"")</f>
        <v/>
      </c>
      <c r="BW259" s="28" t="str">
        <f t="shared" si="156"/>
        <v>00:00</v>
      </c>
      <c r="BX259" s="29"/>
      <c r="BY259" s="27"/>
      <c r="BZ259" s="27"/>
      <c r="CA259" s="28" t="str">
        <f>IFERROR(VLOOKUP(BY259,Horarios!$H:$I,2,0),"")</f>
        <v/>
      </c>
      <c r="CB259" s="28" t="str">
        <f>IFERROR(VLOOKUP(BZ259,Horarios!$H:$I,2,0),"")</f>
        <v/>
      </c>
      <c r="CC259" s="28" t="str">
        <f t="shared" si="157"/>
        <v>00:00</v>
      </c>
      <c r="CD259" s="29"/>
      <c r="CE259" s="27"/>
      <c r="CF259" s="27"/>
      <c r="CG259" s="28" t="str">
        <f>IFERROR(VLOOKUP(CE259,Horarios!$H:$I,2,0),"")</f>
        <v/>
      </c>
      <c r="CH259" s="28" t="str">
        <f>IFERROR(VLOOKUP(CF259,Horarios!$H:$I,2,0),"")</f>
        <v/>
      </c>
      <c r="CI259" s="28" t="str">
        <f t="shared" si="158"/>
        <v>00:00</v>
      </c>
      <c r="CJ259" s="29"/>
      <c r="CK259" s="31" t="str">
        <f t="shared" si="159"/>
        <v/>
      </c>
      <c r="CL259" s="27"/>
      <c r="CM259" s="27"/>
      <c r="CN259" s="28" t="str">
        <f>IFERROR(VLOOKUP(CL259,Horarios!$H:$I,2,0),"")</f>
        <v/>
      </c>
      <c r="CO259" s="28" t="str">
        <f>IFERROR(VLOOKUP(CM259,Horarios!$H:$I,2,0),"")</f>
        <v/>
      </c>
      <c r="CP259" s="28" t="str">
        <f t="shared" si="160"/>
        <v>00:00</v>
      </c>
      <c r="CQ259" s="29"/>
      <c r="CR259" s="27"/>
      <c r="CS259" s="27"/>
      <c r="CT259" s="28" t="str">
        <f>IFERROR(VLOOKUP(CR259,Horarios!$H:$I,2,0),"")</f>
        <v/>
      </c>
      <c r="CU259" s="28" t="str">
        <f>IFERROR(VLOOKUP(CS259,Horarios!$H:$I,2,0),"")</f>
        <v/>
      </c>
      <c r="CV259" s="28" t="str">
        <f t="shared" si="161"/>
        <v>00:00</v>
      </c>
      <c r="CW259" s="29"/>
      <c r="CX259" s="27"/>
      <c r="CY259" s="27"/>
      <c r="CZ259" s="28" t="str">
        <f>IFERROR(VLOOKUP(CX259,Horarios!$H:$I,2,0),"")</f>
        <v/>
      </c>
      <c r="DA259" s="28" t="str">
        <f>IFERROR(VLOOKUP(CY259,Horarios!$H:$I,2,0),"")</f>
        <v/>
      </c>
      <c r="DB259" s="28" t="str">
        <f t="shared" si="162"/>
        <v>00:00</v>
      </c>
      <c r="DC259" s="29"/>
      <c r="DD259" s="27"/>
      <c r="DE259" s="27"/>
      <c r="DF259" s="28" t="str">
        <f>IFERROR(VLOOKUP(DD259,Horarios!$H:$I,2,0),"")</f>
        <v/>
      </c>
      <c r="DG259" s="28" t="str">
        <f>IFERROR(VLOOKUP(DE259,Horarios!$H:$I,2,0),"")</f>
        <v/>
      </c>
      <c r="DH259" s="28" t="str">
        <f t="shared" si="163"/>
        <v>00:00</v>
      </c>
      <c r="DI259" s="29"/>
      <c r="DJ259" s="27"/>
      <c r="DK259" s="27"/>
      <c r="DL259" s="28" t="str">
        <f>IFERROR(VLOOKUP(DJ259,Horarios!$H:$I,2,0),"")</f>
        <v/>
      </c>
      <c r="DM259" s="28" t="str">
        <f>IFERROR(VLOOKUP(DK259,Horarios!$H:$I,2,0),"")</f>
        <v/>
      </c>
      <c r="DN259" s="28" t="str">
        <f t="shared" si="164"/>
        <v>00:00</v>
      </c>
      <c r="DO259" s="29"/>
      <c r="DP259" s="27"/>
      <c r="DQ259" s="27"/>
      <c r="DR259" s="28" t="str">
        <f>IFERROR(VLOOKUP(DP259,Horarios!$H:$I,2,0),"")</f>
        <v/>
      </c>
      <c r="DS259" s="28" t="str">
        <f>IFERROR(VLOOKUP(DQ259,Horarios!$H:$I,2,0),"")</f>
        <v/>
      </c>
      <c r="DT259" s="28" t="str">
        <f t="shared" si="165"/>
        <v>00:00</v>
      </c>
      <c r="DU259" s="29"/>
      <c r="DV259" s="27"/>
      <c r="DW259" s="27"/>
      <c r="DX259" s="28" t="str">
        <f>IFERROR(VLOOKUP(DV259,Horarios!$H:$I,2,0),"")</f>
        <v/>
      </c>
      <c r="DY259" s="28" t="str">
        <f>IFERROR(VLOOKUP(DW259,Horarios!$H:$I,2,0),"")</f>
        <v/>
      </c>
      <c r="DZ259" s="28" t="str">
        <f t="shared" si="166"/>
        <v>00:00</v>
      </c>
      <c r="EA259" s="29"/>
      <c r="EB259" s="31" t="str">
        <f t="shared" si="167"/>
        <v/>
      </c>
      <c r="EC259" s="27"/>
      <c r="ED259" s="27"/>
      <c r="EE259" s="28" t="str">
        <f>IFERROR(VLOOKUP(EC259,Horarios!$H:$I,2,0),"")</f>
        <v/>
      </c>
      <c r="EF259" s="28" t="str">
        <f>IFERROR(VLOOKUP(ED259,Horarios!$H:$I,2,0),"")</f>
        <v/>
      </c>
      <c r="EG259" s="28" t="str">
        <f t="shared" si="168"/>
        <v>00:00</v>
      </c>
      <c r="EH259" s="29"/>
      <c r="EI259" s="27"/>
      <c r="EJ259" s="27"/>
      <c r="EK259" s="28" t="str">
        <f>IFERROR(VLOOKUP(EI259,Horarios!$H:$I,2,0),"")</f>
        <v/>
      </c>
      <c r="EL259" s="28" t="str">
        <f>IFERROR(VLOOKUP(EJ259,Horarios!$H:$I,2,0),"")</f>
        <v/>
      </c>
      <c r="EM259" s="28" t="str">
        <f t="shared" si="169"/>
        <v>00:00</v>
      </c>
      <c r="EN259" s="29"/>
      <c r="EO259" s="27"/>
      <c r="EP259" s="27"/>
      <c r="EQ259" s="28" t="str">
        <f>IFERROR(VLOOKUP(EO259,Horarios!$H:$I,2,0),"")</f>
        <v/>
      </c>
      <c r="ER259" s="28" t="str">
        <f>IFERROR(VLOOKUP(EP259,Horarios!$H:$I,2,0),"")</f>
        <v/>
      </c>
      <c r="ES259" s="28" t="str">
        <f t="shared" si="170"/>
        <v>00:00</v>
      </c>
      <c r="ET259" s="29"/>
      <c r="EU259" s="27"/>
      <c r="EV259" s="27"/>
      <c r="EW259" s="28" t="str">
        <f>IFERROR(VLOOKUP(EU259,Horarios!$H:$I,2,0),"")</f>
        <v/>
      </c>
      <c r="EX259" s="28" t="str">
        <f>IFERROR(VLOOKUP(EV259,Horarios!$H:$I,2,0),"")</f>
        <v/>
      </c>
      <c r="EY259" s="28" t="str">
        <f t="shared" si="171"/>
        <v>00:00</v>
      </c>
      <c r="EZ259" s="29"/>
      <c r="FA259" s="27"/>
      <c r="FB259" s="27"/>
      <c r="FC259" s="28" t="str">
        <f>IFERROR(VLOOKUP(FA259,Horarios!$H:$I,2,0),"")</f>
        <v/>
      </c>
      <c r="FD259" s="28" t="str">
        <f>IFERROR(VLOOKUP(FB259,Horarios!$H:$I,2,0),"")</f>
        <v/>
      </c>
      <c r="FE259" s="28" t="str">
        <f t="shared" si="172"/>
        <v>00:00</v>
      </c>
      <c r="FF259" s="29"/>
      <c r="FG259" s="27"/>
      <c r="FH259" s="27"/>
      <c r="FI259" s="28" t="str">
        <f>IFERROR(VLOOKUP(FG259,Horarios!$H:$I,2,0),"")</f>
        <v/>
      </c>
      <c r="FJ259" s="28" t="str">
        <f>IFERROR(VLOOKUP(FH259,Horarios!$H:$I,2,0),"")</f>
        <v/>
      </c>
      <c r="FK259" s="28" t="str">
        <f t="shared" si="173"/>
        <v>00:00</v>
      </c>
      <c r="FL259" s="29"/>
      <c r="FM259" s="27"/>
      <c r="FN259" s="27"/>
      <c r="FO259" s="28" t="str">
        <f>IFERROR(VLOOKUP(FM259,Horarios!$H:$I,2,0),"")</f>
        <v/>
      </c>
      <c r="FP259" s="28" t="str">
        <f>IFERROR(VLOOKUP(FN259,Horarios!$H:$I,2,0),"")</f>
        <v/>
      </c>
      <c r="FQ259" s="28" t="str">
        <f t="shared" si="174"/>
        <v>00:00</v>
      </c>
      <c r="FR259" s="29"/>
      <c r="FS259" s="31" t="str">
        <f t="shared" si="175"/>
        <v/>
      </c>
      <c r="FT259" s="27"/>
      <c r="FU259" s="27"/>
      <c r="FV259" s="28" t="str">
        <f>IFERROR(VLOOKUP(FT259,Horarios!$H:$I,2,0),"")</f>
        <v/>
      </c>
      <c r="FW259" s="28" t="str">
        <f>IFERROR(VLOOKUP(FU259,Horarios!$H:$I,2,0),"")</f>
        <v/>
      </c>
      <c r="FX259" s="28" t="str">
        <f t="shared" si="176"/>
        <v>00:00</v>
      </c>
      <c r="FY259" s="29"/>
      <c r="FZ259" s="27"/>
      <c r="GA259" s="27"/>
      <c r="GB259" s="28" t="str">
        <f>IFERROR(VLOOKUP(FZ259,Horarios!$H:$I,2,0),"")</f>
        <v/>
      </c>
      <c r="GC259" s="28" t="str">
        <f>IFERROR(VLOOKUP(GA259,Horarios!$H:$I,2,0),"")</f>
        <v/>
      </c>
      <c r="GD259" s="28" t="str">
        <f t="shared" si="177"/>
        <v>00:00</v>
      </c>
      <c r="GE259" s="29"/>
      <c r="GF259" s="27"/>
      <c r="GG259" s="27"/>
      <c r="GH259" s="28" t="str">
        <f>IFERROR(VLOOKUP(GF259,Horarios!$H:$I,2,0),"")</f>
        <v/>
      </c>
      <c r="GI259" s="28" t="str">
        <f>IFERROR(VLOOKUP(GG259,Horarios!$H:$I,2,0),"")</f>
        <v/>
      </c>
      <c r="GJ259" s="28" t="str">
        <f t="shared" si="178"/>
        <v>00:00</v>
      </c>
      <c r="GK259" s="29"/>
      <c r="GL259" s="27"/>
      <c r="GM259" s="27"/>
      <c r="GN259" s="28" t="str">
        <f>IFERROR(VLOOKUP(GL259,Horarios!$H:$I,2,0),"")</f>
        <v/>
      </c>
      <c r="GO259" s="28" t="str">
        <f>IFERROR(VLOOKUP(GM259,Horarios!$H:$I,2,0),"")</f>
        <v/>
      </c>
      <c r="GP259" s="28" t="str">
        <f t="shared" si="179"/>
        <v>00:00</v>
      </c>
      <c r="GQ259" s="29"/>
      <c r="GR259" s="27"/>
      <c r="GS259" s="27"/>
      <c r="GT259" s="28" t="str">
        <f>IFERROR(VLOOKUP(GR259,Horarios!$H:$I,2,0),"")</f>
        <v/>
      </c>
      <c r="GU259" s="28" t="str">
        <f>IFERROR(VLOOKUP(GS259,Horarios!$H:$I,2,0),"")</f>
        <v/>
      </c>
      <c r="GV259" s="28" t="str">
        <f t="shared" si="180"/>
        <v>00:00</v>
      </c>
      <c r="GW259" s="29"/>
      <c r="GX259" s="27"/>
      <c r="GY259" s="27"/>
      <c r="GZ259" s="28" t="str">
        <f>IFERROR(VLOOKUP(GX259,Horarios!$H:$I,2,0),"")</f>
        <v/>
      </c>
      <c r="HA259" s="28" t="str">
        <f>IFERROR(VLOOKUP(GY259,Horarios!$H:$I,2,0),"")</f>
        <v/>
      </c>
      <c r="HB259" s="28" t="str">
        <f t="shared" si="181"/>
        <v>00:00</v>
      </c>
      <c r="HC259" s="29"/>
      <c r="HD259" s="27"/>
      <c r="HE259" s="27"/>
      <c r="HF259" s="28" t="str">
        <f>IFERROR(VLOOKUP(HD259,Horarios!$H:$I,2,0),"")</f>
        <v/>
      </c>
      <c r="HG259" s="28" t="str">
        <f>IFERROR(VLOOKUP(HE259,Horarios!$H:$I,2,0),"")</f>
        <v/>
      </c>
      <c r="HH259" s="28" t="str">
        <f t="shared" si="182"/>
        <v>00:00</v>
      </c>
      <c r="HI259" s="29"/>
      <c r="HJ259" s="31" t="str">
        <f t="shared" si="183"/>
        <v/>
      </c>
      <c r="HK259" s="27"/>
      <c r="HL259" s="27"/>
      <c r="HM259" s="28" t="str">
        <f>IFERROR(VLOOKUP(HK259,Horarios!$H:$I,2,0),"")</f>
        <v/>
      </c>
      <c r="HN259" s="28" t="str">
        <f>IFERROR(VLOOKUP(HL259,Horarios!$H:$I,2,0),"")</f>
        <v/>
      </c>
      <c r="HO259" s="28" t="str">
        <f t="shared" si="184"/>
        <v>00:00</v>
      </c>
      <c r="HP259" s="29"/>
      <c r="HQ259" s="27"/>
      <c r="HR259" s="27"/>
      <c r="HS259" s="28" t="str">
        <f>IFERROR(VLOOKUP(HQ259,Horarios!$H:$I,2,0),"")</f>
        <v/>
      </c>
      <c r="HT259" s="28" t="str">
        <f>IFERROR(VLOOKUP(HR259,Horarios!$H:$I,2,0),"")</f>
        <v/>
      </c>
      <c r="HU259" s="28" t="str">
        <f t="shared" si="185"/>
        <v>00:00</v>
      </c>
      <c r="HV259" s="29"/>
      <c r="HW259" s="27"/>
      <c r="HX259" s="27"/>
      <c r="HY259" s="28" t="str">
        <f>IFERROR(VLOOKUP(HW259,Horarios!$H:$I,2,0),"")</f>
        <v/>
      </c>
      <c r="HZ259" s="28" t="str">
        <f>IFERROR(VLOOKUP(HX259,Horarios!$H:$I,2,0),"")</f>
        <v/>
      </c>
      <c r="IA259" s="28" t="str">
        <f t="shared" si="186"/>
        <v>00:00</v>
      </c>
      <c r="IB259" s="29"/>
      <c r="IC259" s="27"/>
      <c r="ID259" s="27"/>
      <c r="IE259" s="28" t="str">
        <f>IFERROR(VLOOKUP(IC259,Horarios!$H:$I,2,0),"")</f>
        <v/>
      </c>
      <c r="IF259" s="28" t="str">
        <f>IFERROR(VLOOKUP(ID259,Horarios!$H:$I,2,0),"")</f>
        <v/>
      </c>
      <c r="IG259" s="28" t="str">
        <f t="shared" si="187"/>
        <v>00:00</v>
      </c>
      <c r="IH259" s="29"/>
      <c r="II259" s="27"/>
      <c r="IJ259" s="27"/>
      <c r="IK259" s="28" t="str">
        <f>IFERROR(VLOOKUP(II259,Horarios!$H:$I,2,0),"")</f>
        <v/>
      </c>
      <c r="IL259" s="28" t="str">
        <f>IFERROR(VLOOKUP(IJ259,Horarios!$H:$I,2,0),"")</f>
        <v/>
      </c>
      <c r="IM259" s="28" t="str">
        <f t="shared" si="188"/>
        <v>00:00</v>
      </c>
      <c r="IN259" s="29"/>
      <c r="IO259" s="27"/>
      <c r="IP259" s="27"/>
      <c r="IQ259" s="28" t="str">
        <f>IFERROR(VLOOKUP(IO259,Horarios!$H:$I,2,0),"")</f>
        <v/>
      </c>
      <c r="IR259" s="28" t="str">
        <f>IFERROR(VLOOKUP(IP259,Horarios!$H:$I,2,0),"")</f>
        <v/>
      </c>
      <c r="IS259" s="28" t="str">
        <f t="shared" si="189"/>
        <v>00:00</v>
      </c>
      <c r="IT259" s="29"/>
      <c r="IU259" s="27"/>
      <c r="IV259" s="27"/>
      <c r="IW259" s="28" t="str">
        <f>IFERROR(VLOOKUP(IU259,Horarios!$H:$I,2,0),"")</f>
        <v/>
      </c>
      <c r="IX259" s="28" t="str">
        <f>IFERROR(VLOOKUP(IV259,Horarios!$H:$I,2,0),"")</f>
        <v/>
      </c>
      <c r="IY259" s="28" t="str">
        <f t="shared" si="190"/>
        <v>00:00</v>
      </c>
      <c r="IZ259" s="29"/>
      <c r="JA259" s="31" t="str">
        <f t="shared" si="191"/>
        <v/>
      </c>
    </row>
    <row r="260" spans="1:261" s="24" customFormat="1" ht="17.399999999999999" x14ac:dyDescent="0.25">
      <c r="A260" s="25"/>
      <c r="B260" s="26" t="str">
        <f>IFERROR(VLOOKUP(A260,BaseNombres!A:B,2,0),"")</f>
        <v/>
      </c>
      <c r="C260" s="26" t="str">
        <f>IFERROR(VLOOKUP(A260,BaseNombres!A:C,3,0),"")</f>
        <v/>
      </c>
      <c r="D260" s="27"/>
      <c r="E260" s="27"/>
      <c r="F260" s="28" t="str">
        <f>IFERROR(VLOOKUP(D260,Horarios!$H:$I,2,0),"")</f>
        <v/>
      </c>
      <c r="G260" s="28" t="str">
        <f>IFERROR(VLOOKUP(E260,Horarios!$H:$I,2,0),"")</f>
        <v/>
      </c>
      <c r="H260" s="28" t="str">
        <f t="shared" si="144"/>
        <v>00:00</v>
      </c>
      <c r="I260" s="29"/>
      <c r="J260" s="27"/>
      <c r="K260" s="27"/>
      <c r="L260" s="28" t="str">
        <f>IFERROR(VLOOKUP(J260,Horarios!$H:$I,2,0),"")</f>
        <v/>
      </c>
      <c r="M260" s="28" t="str">
        <f>IFERROR(VLOOKUP(K260,Horarios!$H:$I,2,0),"")</f>
        <v/>
      </c>
      <c r="N260" s="28" t="str">
        <f t="shared" si="145"/>
        <v>00:00</v>
      </c>
      <c r="O260" s="29"/>
      <c r="P260" s="27"/>
      <c r="Q260" s="27"/>
      <c r="R260" s="28" t="str">
        <f>IFERROR(VLOOKUP(P260,Horarios!$H:$I,2,0),"")</f>
        <v/>
      </c>
      <c r="S260" s="28" t="str">
        <f>IFERROR(VLOOKUP(Q260,Horarios!$H:$I,2,0),"")</f>
        <v/>
      </c>
      <c r="T260" s="28" t="str">
        <f t="shared" si="146"/>
        <v>00:00</v>
      </c>
      <c r="U260" s="29"/>
      <c r="V260" s="27"/>
      <c r="W260" s="27"/>
      <c r="X260" s="28" t="str">
        <f>IFERROR(VLOOKUP(V260,Horarios!$H:$I,2,0),"")</f>
        <v/>
      </c>
      <c r="Y260" s="28" t="str">
        <f>IFERROR(VLOOKUP(W260,Horarios!$H:$I,2,0),"")</f>
        <v/>
      </c>
      <c r="Z260" s="28" t="str">
        <f t="shared" si="147"/>
        <v>00:00</v>
      </c>
      <c r="AA260" s="29"/>
      <c r="AB260" s="27"/>
      <c r="AC260" s="27"/>
      <c r="AD260" s="28" t="str">
        <f>IFERROR(VLOOKUP(AB260,Horarios!$H:$I,2,0),"")</f>
        <v/>
      </c>
      <c r="AE260" s="28" t="str">
        <f>IFERROR(VLOOKUP(AC260,Horarios!$H:$I,2,0),"")</f>
        <v/>
      </c>
      <c r="AF260" s="28" t="str">
        <f t="shared" si="148"/>
        <v>00:00</v>
      </c>
      <c r="AG260" s="29"/>
      <c r="AH260" s="27"/>
      <c r="AI260" s="27"/>
      <c r="AJ260" s="28" t="str">
        <f>IFERROR(VLOOKUP(AH260,Horarios!$H:$I,2,0),"")</f>
        <v/>
      </c>
      <c r="AK260" s="28" t="str">
        <f>IFERROR(VLOOKUP(AI260,Horarios!$H:$I,2,0),"")</f>
        <v/>
      </c>
      <c r="AL260" s="28" t="str">
        <f t="shared" si="149"/>
        <v>00:00</v>
      </c>
      <c r="AM260" s="29"/>
      <c r="AN260" s="27"/>
      <c r="AO260" s="27"/>
      <c r="AP260" s="28" t="str">
        <f>IFERROR(VLOOKUP(AN260,Horarios!$H:$I,2,0),"")</f>
        <v/>
      </c>
      <c r="AQ260" s="28" t="str">
        <f>IFERROR(VLOOKUP(AO260,Horarios!$H:$I,2,0),"")</f>
        <v/>
      </c>
      <c r="AR260" s="28" t="str">
        <f t="shared" si="150"/>
        <v>00:00</v>
      </c>
      <c r="AS260" s="29"/>
      <c r="AT260" s="31" t="str">
        <f t="shared" si="151"/>
        <v/>
      </c>
      <c r="AU260" s="27"/>
      <c r="AV260" s="27"/>
      <c r="AW260" s="28" t="str">
        <f>IFERROR(VLOOKUP(AU260,Horarios!$H:$I,2,0),"")</f>
        <v/>
      </c>
      <c r="AX260" s="28" t="str">
        <f>IFERROR(VLOOKUP(AV260,Horarios!$H:$I,2,0),"")</f>
        <v/>
      </c>
      <c r="AY260" s="28" t="str">
        <f t="shared" si="152"/>
        <v>00:00</v>
      </c>
      <c r="AZ260" s="29"/>
      <c r="BA260" s="27"/>
      <c r="BB260" s="27"/>
      <c r="BC260" s="28" t="str">
        <f>IFERROR(VLOOKUP(BA260,Horarios!$H:$I,2,0),"")</f>
        <v/>
      </c>
      <c r="BD260" s="28" t="str">
        <f>IFERROR(VLOOKUP(BB260,Horarios!$H:$I,2,0),"")</f>
        <v/>
      </c>
      <c r="BE260" s="28" t="str">
        <f t="shared" si="153"/>
        <v>00:00</v>
      </c>
      <c r="BF260" s="29"/>
      <c r="BG260" s="27"/>
      <c r="BH260" s="27"/>
      <c r="BI260" s="28" t="str">
        <f>IFERROR(VLOOKUP(BG260,Horarios!$H:$I,2,0),"")</f>
        <v/>
      </c>
      <c r="BJ260" s="28" t="str">
        <f>IFERROR(VLOOKUP(BH260,Horarios!$H:$I,2,0),"")</f>
        <v/>
      </c>
      <c r="BK260" s="28" t="str">
        <f t="shared" si="154"/>
        <v>00:00</v>
      </c>
      <c r="BL260" s="29"/>
      <c r="BM260" s="27"/>
      <c r="BN260" s="27"/>
      <c r="BO260" s="28" t="str">
        <f>IFERROR(VLOOKUP(BM260,Horarios!$H:$I,2,0),"")</f>
        <v/>
      </c>
      <c r="BP260" s="28" t="str">
        <f>IFERROR(VLOOKUP(BN260,Horarios!$H:$I,2,0),"")</f>
        <v/>
      </c>
      <c r="BQ260" s="28" t="str">
        <f t="shared" si="155"/>
        <v>00:00</v>
      </c>
      <c r="BR260" s="29"/>
      <c r="BS260" s="27"/>
      <c r="BT260" s="27"/>
      <c r="BU260" s="28" t="str">
        <f>IFERROR(VLOOKUP(BS260,Horarios!$H:$I,2,0),"")</f>
        <v/>
      </c>
      <c r="BV260" s="28" t="str">
        <f>IFERROR(VLOOKUP(BT260,Horarios!$H:$I,2,0),"")</f>
        <v/>
      </c>
      <c r="BW260" s="28" t="str">
        <f t="shared" si="156"/>
        <v>00:00</v>
      </c>
      <c r="BX260" s="29"/>
      <c r="BY260" s="27"/>
      <c r="BZ260" s="27"/>
      <c r="CA260" s="28" t="str">
        <f>IFERROR(VLOOKUP(BY260,Horarios!$H:$I,2,0),"")</f>
        <v/>
      </c>
      <c r="CB260" s="28" t="str">
        <f>IFERROR(VLOOKUP(BZ260,Horarios!$H:$I,2,0),"")</f>
        <v/>
      </c>
      <c r="CC260" s="28" t="str">
        <f t="shared" si="157"/>
        <v>00:00</v>
      </c>
      <c r="CD260" s="29"/>
      <c r="CE260" s="27"/>
      <c r="CF260" s="27"/>
      <c r="CG260" s="28" t="str">
        <f>IFERROR(VLOOKUP(CE260,Horarios!$H:$I,2,0),"")</f>
        <v/>
      </c>
      <c r="CH260" s="28" t="str">
        <f>IFERROR(VLOOKUP(CF260,Horarios!$H:$I,2,0),"")</f>
        <v/>
      </c>
      <c r="CI260" s="28" t="str">
        <f t="shared" si="158"/>
        <v>00:00</v>
      </c>
      <c r="CJ260" s="29"/>
      <c r="CK260" s="31" t="str">
        <f t="shared" si="159"/>
        <v/>
      </c>
      <c r="CL260" s="27"/>
      <c r="CM260" s="27"/>
      <c r="CN260" s="28" t="str">
        <f>IFERROR(VLOOKUP(CL260,Horarios!$H:$I,2,0),"")</f>
        <v/>
      </c>
      <c r="CO260" s="28" t="str">
        <f>IFERROR(VLOOKUP(CM260,Horarios!$H:$I,2,0),"")</f>
        <v/>
      </c>
      <c r="CP260" s="28" t="str">
        <f t="shared" si="160"/>
        <v>00:00</v>
      </c>
      <c r="CQ260" s="29"/>
      <c r="CR260" s="27"/>
      <c r="CS260" s="27"/>
      <c r="CT260" s="28" t="str">
        <f>IFERROR(VLOOKUP(CR260,Horarios!$H:$I,2,0),"")</f>
        <v/>
      </c>
      <c r="CU260" s="28" t="str">
        <f>IFERROR(VLOOKUP(CS260,Horarios!$H:$I,2,0),"")</f>
        <v/>
      </c>
      <c r="CV260" s="28" t="str">
        <f t="shared" si="161"/>
        <v>00:00</v>
      </c>
      <c r="CW260" s="29"/>
      <c r="CX260" s="27"/>
      <c r="CY260" s="27"/>
      <c r="CZ260" s="28" t="str">
        <f>IFERROR(VLOOKUP(CX260,Horarios!$H:$I,2,0),"")</f>
        <v/>
      </c>
      <c r="DA260" s="28" t="str">
        <f>IFERROR(VLOOKUP(CY260,Horarios!$H:$I,2,0),"")</f>
        <v/>
      </c>
      <c r="DB260" s="28" t="str">
        <f t="shared" si="162"/>
        <v>00:00</v>
      </c>
      <c r="DC260" s="29"/>
      <c r="DD260" s="27"/>
      <c r="DE260" s="27"/>
      <c r="DF260" s="28" t="str">
        <f>IFERROR(VLOOKUP(DD260,Horarios!$H:$I,2,0),"")</f>
        <v/>
      </c>
      <c r="DG260" s="28" t="str">
        <f>IFERROR(VLOOKUP(DE260,Horarios!$H:$I,2,0),"")</f>
        <v/>
      </c>
      <c r="DH260" s="28" t="str">
        <f t="shared" si="163"/>
        <v>00:00</v>
      </c>
      <c r="DI260" s="29"/>
      <c r="DJ260" s="27"/>
      <c r="DK260" s="27"/>
      <c r="DL260" s="28" t="str">
        <f>IFERROR(VLOOKUP(DJ260,Horarios!$H:$I,2,0),"")</f>
        <v/>
      </c>
      <c r="DM260" s="28" t="str">
        <f>IFERROR(VLOOKUP(DK260,Horarios!$H:$I,2,0),"")</f>
        <v/>
      </c>
      <c r="DN260" s="28" t="str">
        <f t="shared" si="164"/>
        <v>00:00</v>
      </c>
      <c r="DO260" s="29"/>
      <c r="DP260" s="27"/>
      <c r="DQ260" s="27"/>
      <c r="DR260" s="28" t="str">
        <f>IFERROR(VLOOKUP(DP260,Horarios!$H:$I,2,0),"")</f>
        <v/>
      </c>
      <c r="DS260" s="28" t="str">
        <f>IFERROR(VLOOKUP(DQ260,Horarios!$H:$I,2,0),"")</f>
        <v/>
      </c>
      <c r="DT260" s="28" t="str">
        <f t="shared" si="165"/>
        <v>00:00</v>
      </c>
      <c r="DU260" s="29"/>
      <c r="DV260" s="27"/>
      <c r="DW260" s="27"/>
      <c r="DX260" s="28" t="str">
        <f>IFERROR(VLOOKUP(DV260,Horarios!$H:$I,2,0),"")</f>
        <v/>
      </c>
      <c r="DY260" s="28" t="str">
        <f>IFERROR(VLOOKUP(DW260,Horarios!$H:$I,2,0),"")</f>
        <v/>
      </c>
      <c r="DZ260" s="28" t="str">
        <f t="shared" si="166"/>
        <v>00:00</v>
      </c>
      <c r="EA260" s="29"/>
      <c r="EB260" s="31" t="str">
        <f t="shared" si="167"/>
        <v/>
      </c>
      <c r="EC260" s="27"/>
      <c r="ED260" s="27"/>
      <c r="EE260" s="28" t="str">
        <f>IFERROR(VLOOKUP(EC260,Horarios!$H:$I,2,0),"")</f>
        <v/>
      </c>
      <c r="EF260" s="28" t="str">
        <f>IFERROR(VLOOKUP(ED260,Horarios!$H:$I,2,0),"")</f>
        <v/>
      </c>
      <c r="EG260" s="28" t="str">
        <f t="shared" si="168"/>
        <v>00:00</v>
      </c>
      <c r="EH260" s="29"/>
      <c r="EI260" s="27"/>
      <c r="EJ260" s="27"/>
      <c r="EK260" s="28" t="str">
        <f>IFERROR(VLOOKUP(EI260,Horarios!$H:$I,2,0),"")</f>
        <v/>
      </c>
      <c r="EL260" s="28" t="str">
        <f>IFERROR(VLOOKUP(EJ260,Horarios!$H:$I,2,0),"")</f>
        <v/>
      </c>
      <c r="EM260" s="28" t="str">
        <f t="shared" si="169"/>
        <v>00:00</v>
      </c>
      <c r="EN260" s="29"/>
      <c r="EO260" s="27"/>
      <c r="EP260" s="27"/>
      <c r="EQ260" s="28" t="str">
        <f>IFERROR(VLOOKUP(EO260,Horarios!$H:$I,2,0),"")</f>
        <v/>
      </c>
      <c r="ER260" s="28" t="str">
        <f>IFERROR(VLOOKUP(EP260,Horarios!$H:$I,2,0),"")</f>
        <v/>
      </c>
      <c r="ES260" s="28" t="str">
        <f t="shared" si="170"/>
        <v>00:00</v>
      </c>
      <c r="ET260" s="29"/>
      <c r="EU260" s="27"/>
      <c r="EV260" s="27"/>
      <c r="EW260" s="28" t="str">
        <f>IFERROR(VLOOKUP(EU260,Horarios!$H:$I,2,0),"")</f>
        <v/>
      </c>
      <c r="EX260" s="28" t="str">
        <f>IFERROR(VLOOKUP(EV260,Horarios!$H:$I,2,0),"")</f>
        <v/>
      </c>
      <c r="EY260" s="28" t="str">
        <f t="shared" si="171"/>
        <v>00:00</v>
      </c>
      <c r="EZ260" s="29"/>
      <c r="FA260" s="27"/>
      <c r="FB260" s="27"/>
      <c r="FC260" s="28" t="str">
        <f>IFERROR(VLOOKUP(FA260,Horarios!$H:$I,2,0),"")</f>
        <v/>
      </c>
      <c r="FD260" s="28" t="str">
        <f>IFERROR(VLOOKUP(FB260,Horarios!$H:$I,2,0),"")</f>
        <v/>
      </c>
      <c r="FE260" s="28" t="str">
        <f t="shared" si="172"/>
        <v>00:00</v>
      </c>
      <c r="FF260" s="29"/>
      <c r="FG260" s="27"/>
      <c r="FH260" s="27"/>
      <c r="FI260" s="28" t="str">
        <f>IFERROR(VLOOKUP(FG260,Horarios!$H:$I,2,0),"")</f>
        <v/>
      </c>
      <c r="FJ260" s="28" t="str">
        <f>IFERROR(VLOOKUP(FH260,Horarios!$H:$I,2,0),"")</f>
        <v/>
      </c>
      <c r="FK260" s="28" t="str">
        <f t="shared" si="173"/>
        <v>00:00</v>
      </c>
      <c r="FL260" s="29"/>
      <c r="FM260" s="27"/>
      <c r="FN260" s="27"/>
      <c r="FO260" s="28" t="str">
        <f>IFERROR(VLOOKUP(FM260,Horarios!$H:$I,2,0),"")</f>
        <v/>
      </c>
      <c r="FP260" s="28" t="str">
        <f>IFERROR(VLOOKUP(FN260,Horarios!$H:$I,2,0),"")</f>
        <v/>
      </c>
      <c r="FQ260" s="28" t="str">
        <f t="shared" si="174"/>
        <v>00:00</v>
      </c>
      <c r="FR260" s="29"/>
      <c r="FS260" s="31" t="str">
        <f t="shared" si="175"/>
        <v/>
      </c>
      <c r="FT260" s="27"/>
      <c r="FU260" s="27"/>
      <c r="FV260" s="28" t="str">
        <f>IFERROR(VLOOKUP(FT260,Horarios!$H:$I,2,0),"")</f>
        <v/>
      </c>
      <c r="FW260" s="28" t="str">
        <f>IFERROR(VLOOKUP(FU260,Horarios!$H:$I,2,0),"")</f>
        <v/>
      </c>
      <c r="FX260" s="28" t="str">
        <f t="shared" si="176"/>
        <v>00:00</v>
      </c>
      <c r="FY260" s="29"/>
      <c r="FZ260" s="27"/>
      <c r="GA260" s="27"/>
      <c r="GB260" s="28" t="str">
        <f>IFERROR(VLOOKUP(FZ260,Horarios!$H:$I,2,0),"")</f>
        <v/>
      </c>
      <c r="GC260" s="28" t="str">
        <f>IFERROR(VLOOKUP(GA260,Horarios!$H:$I,2,0),"")</f>
        <v/>
      </c>
      <c r="GD260" s="28" t="str">
        <f t="shared" si="177"/>
        <v>00:00</v>
      </c>
      <c r="GE260" s="29"/>
      <c r="GF260" s="27"/>
      <c r="GG260" s="27"/>
      <c r="GH260" s="28" t="str">
        <f>IFERROR(VLOOKUP(GF260,Horarios!$H:$I,2,0),"")</f>
        <v/>
      </c>
      <c r="GI260" s="28" t="str">
        <f>IFERROR(VLOOKUP(GG260,Horarios!$H:$I,2,0),"")</f>
        <v/>
      </c>
      <c r="GJ260" s="28" t="str">
        <f t="shared" si="178"/>
        <v>00:00</v>
      </c>
      <c r="GK260" s="29"/>
      <c r="GL260" s="27"/>
      <c r="GM260" s="27"/>
      <c r="GN260" s="28" t="str">
        <f>IFERROR(VLOOKUP(GL260,Horarios!$H:$I,2,0),"")</f>
        <v/>
      </c>
      <c r="GO260" s="28" t="str">
        <f>IFERROR(VLOOKUP(GM260,Horarios!$H:$I,2,0),"")</f>
        <v/>
      </c>
      <c r="GP260" s="28" t="str">
        <f t="shared" si="179"/>
        <v>00:00</v>
      </c>
      <c r="GQ260" s="29"/>
      <c r="GR260" s="27"/>
      <c r="GS260" s="27"/>
      <c r="GT260" s="28" t="str">
        <f>IFERROR(VLOOKUP(GR260,Horarios!$H:$I,2,0),"")</f>
        <v/>
      </c>
      <c r="GU260" s="28" t="str">
        <f>IFERROR(VLOOKUP(GS260,Horarios!$H:$I,2,0),"")</f>
        <v/>
      </c>
      <c r="GV260" s="28" t="str">
        <f t="shared" si="180"/>
        <v>00:00</v>
      </c>
      <c r="GW260" s="29"/>
      <c r="GX260" s="27"/>
      <c r="GY260" s="27"/>
      <c r="GZ260" s="28" t="str">
        <f>IFERROR(VLOOKUP(GX260,Horarios!$H:$I,2,0),"")</f>
        <v/>
      </c>
      <c r="HA260" s="28" t="str">
        <f>IFERROR(VLOOKUP(GY260,Horarios!$H:$I,2,0),"")</f>
        <v/>
      </c>
      <c r="HB260" s="28" t="str">
        <f t="shared" si="181"/>
        <v>00:00</v>
      </c>
      <c r="HC260" s="29"/>
      <c r="HD260" s="27"/>
      <c r="HE260" s="27"/>
      <c r="HF260" s="28" t="str">
        <f>IFERROR(VLOOKUP(HD260,Horarios!$H:$I,2,0),"")</f>
        <v/>
      </c>
      <c r="HG260" s="28" t="str">
        <f>IFERROR(VLOOKUP(HE260,Horarios!$H:$I,2,0),"")</f>
        <v/>
      </c>
      <c r="HH260" s="28" t="str">
        <f t="shared" si="182"/>
        <v>00:00</v>
      </c>
      <c r="HI260" s="29"/>
      <c r="HJ260" s="31" t="str">
        <f t="shared" si="183"/>
        <v/>
      </c>
      <c r="HK260" s="27"/>
      <c r="HL260" s="27"/>
      <c r="HM260" s="28" t="str">
        <f>IFERROR(VLOOKUP(HK260,Horarios!$H:$I,2,0),"")</f>
        <v/>
      </c>
      <c r="HN260" s="28" t="str">
        <f>IFERROR(VLOOKUP(HL260,Horarios!$H:$I,2,0),"")</f>
        <v/>
      </c>
      <c r="HO260" s="28" t="str">
        <f t="shared" si="184"/>
        <v>00:00</v>
      </c>
      <c r="HP260" s="29"/>
      <c r="HQ260" s="27"/>
      <c r="HR260" s="27"/>
      <c r="HS260" s="28" t="str">
        <f>IFERROR(VLOOKUP(HQ260,Horarios!$H:$I,2,0),"")</f>
        <v/>
      </c>
      <c r="HT260" s="28" t="str">
        <f>IFERROR(VLOOKUP(HR260,Horarios!$H:$I,2,0),"")</f>
        <v/>
      </c>
      <c r="HU260" s="28" t="str">
        <f t="shared" si="185"/>
        <v>00:00</v>
      </c>
      <c r="HV260" s="29"/>
      <c r="HW260" s="27"/>
      <c r="HX260" s="27"/>
      <c r="HY260" s="28" t="str">
        <f>IFERROR(VLOOKUP(HW260,Horarios!$H:$I,2,0),"")</f>
        <v/>
      </c>
      <c r="HZ260" s="28" t="str">
        <f>IFERROR(VLOOKUP(HX260,Horarios!$H:$I,2,0),"")</f>
        <v/>
      </c>
      <c r="IA260" s="28" t="str">
        <f t="shared" si="186"/>
        <v>00:00</v>
      </c>
      <c r="IB260" s="29"/>
      <c r="IC260" s="27"/>
      <c r="ID260" s="27"/>
      <c r="IE260" s="28" t="str">
        <f>IFERROR(VLOOKUP(IC260,Horarios!$H:$I,2,0),"")</f>
        <v/>
      </c>
      <c r="IF260" s="28" t="str">
        <f>IFERROR(VLOOKUP(ID260,Horarios!$H:$I,2,0),"")</f>
        <v/>
      </c>
      <c r="IG260" s="28" t="str">
        <f t="shared" si="187"/>
        <v>00:00</v>
      </c>
      <c r="IH260" s="29"/>
      <c r="II260" s="27"/>
      <c r="IJ260" s="27"/>
      <c r="IK260" s="28" t="str">
        <f>IFERROR(VLOOKUP(II260,Horarios!$H:$I,2,0),"")</f>
        <v/>
      </c>
      <c r="IL260" s="28" t="str">
        <f>IFERROR(VLOOKUP(IJ260,Horarios!$H:$I,2,0),"")</f>
        <v/>
      </c>
      <c r="IM260" s="28" t="str">
        <f t="shared" si="188"/>
        <v>00:00</v>
      </c>
      <c r="IN260" s="29"/>
      <c r="IO260" s="27"/>
      <c r="IP260" s="27"/>
      <c r="IQ260" s="28" t="str">
        <f>IFERROR(VLOOKUP(IO260,Horarios!$H:$I,2,0),"")</f>
        <v/>
      </c>
      <c r="IR260" s="28" t="str">
        <f>IFERROR(VLOOKUP(IP260,Horarios!$H:$I,2,0),"")</f>
        <v/>
      </c>
      <c r="IS260" s="28" t="str">
        <f t="shared" si="189"/>
        <v>00:00</v>
      </c>
      <c r="IT260" s="29"/>
      <c r="IU260" s="27"/>
      <c r="IV260" s="27"/>
      <c r="IW260" s="28" t="str">
        <f>IFERROR(VLOOKUP(IU260,Horarios!$H:$I,2,0),"")</f>
        <v/>
      </c>
      <c r="IX260" s="28" t="str">
        <f>IFERROR(VLOOKUP(IV260,Horarios!$H:$I,2,0),"")</f>
        <v/>
      </c>
      <c r="IY260" s="28" t="str">
        <f t="shared" si="190"/>
        <v>00:00</v>
      </c>
      <c r="IZ260" s="29"/>
      <c r="JA260" s="31" t="str">
        <f t="shared" si="191"/>
        <v/>
      </c>
    </row>
    <row r="261" spans="1:261" s="24" customFormat="1" ht="17.399999999999999" x14ac:dyDescent="0.25">
      <c r="A261" s="25"/>
      <c r="B261" s="26" t="str">
        <f>IFERROR(VLOOKUP(A261,BaseNombres!A:B,2,0),"")</f>
        <v/>
      </c>
      <c r="C261" s="26" t="str">
        <f>IFERROR(VLOOKUP(A261,BaseNombres!A:C,3,0),"")</f>
        <v/>
      </c>
      <c r="D261" s="27"/>
      <c r="E261" s="27"/>
      <c r="F261" s="28" t="str">
        <f>IFERROR(VLOOKUP(D261,Horarios!$H:$I,2,0),"")</f>
        <v/>
      </c>
      <c r="G261" s="28" t="str">
        <f>IFERROR(VLOOKUP(E261,Horarios!$H:$I,2,0),"")</f>
        <v/>
      </c>
      <c r="H261" s="28" t="str">
        <f t="shared" si="144"/>
        <v>00:00</v>
      </c>
      <c r="I261" s="29"/>
      <c r="J261" s="27"/>
      <c r="K261" s="27"/>
      <c r="L261" s="28" t="str">
        <f>IFERROR(VLOOKUP(J261,Horarios!$H:$I,2,0),"")</f>
        <v/>
      </c>
      <c r="M261" s="28" t="str">
        <f>IFERROR(VLOOKUP(K261,Horarios!$H:$I,2,0),"")</f>
        <v/>
      </c>
      <c r="N261" s="28" t="str">
        <f t="shared" si="145"/>
        <v>00:00</v>
      </c>
      <c r="O261" s="29"/>
      <c r="P261" s="27"/>
      <c r="Q261" s="27"/>
      <c r="R261" s="28" t="str">
        <f>IFERROR(VLOOKUP(P261,Horarios!$H:$I,2,0),"")</f>
        <v/>
      </c>
      <c r="S261" s="28" t="str">
        <f>IFERROR(VLOOKUP(Q261,Horarios!$H:$I,2,0),"")</f>
        <v/>
      </c>
      <c r="T261" s="28" t="str">
        <f t="shared" si="146"/>
        <v>00:00</v>
      </c>
      <c r="U261" s="29"/>
      <c r="V261" s="27"/>
      <c r="W261" s="27"/>
      <c r="X261" s="28" t="str">
        <f>IFERROR(VLOOKUP(V261,Horarios!$H:$I,2,0),"")</f>
        <v/>
      </c>
      <c r="Y261" s="28" t="str">
        <f>IFERROR(VLOOKUP(W261,Horarios!$H:$I,2,0),"")</f>
        <v/>
      </c>
      <c r="Z261" s="28" t="str">
        <f t="shared" si="147"/>
        <v>00:00</v>
      </c>
      <c r="AA261" s="29"/>
      <c r="AB261" s="27"/>
      <c r="AC261" s="27"/>
      <c r="AD261" s="28" t="str">
        <f>IFERROR(VLOOKUP(AB261,Horarios!$H:$I,2,0),"")</f>
        <v/>
      </c>
      <c r="AE261" s="28" t="str">
        <f>IFERROR(VLOOKUP(AC261,Horarios!$H:$I,2,0),"")</f>
        <v/>
      </c>
      <c r="AF261" s="28" t="str">
        <f t="shared" si="148"/>
        <v>00:00</v>
      </c>
      <c r="AG261" s="29"/>
      <c r="AH261" s="27"/>
      <c r="AI261" s="27"/>
      <c r="AJ261" s="28" t="str">
        <f>IFERROR(VLOOKUP(AH261,Horarios!$H:$I,2,0),"")</f>
        <v/>
      </c>
      <c r="AK261" s="28" t="str">
        <f>IFERROR(VLOOKUP(AI261,Horarios!$H:$I,2,0),"")</f>
        <v/>
      </c>
      <c r="AL261" s="28" t="str">
        <f t="shared" si="149"/>
        <v>00:00</v>
      </c>
      <c r="AM261" s="29"/>
      <c r="AN261" s="27"/>
      <c r="AO261" s="27"/>
      <c r="AP261" s="28" t="str">
        <f>IFERROR(VLOOKUP(AN261,Horarios!$H:$I,2,0),"")</f>
        <v/>
      </c>
      <c r="AQ261" s="28" t="str">
        <f>IFERROR(VLOOKUP(AO261,Horarios!$H:$I,2,0),"")</f>
        <v/>
      </c>
      <c r="AR261" s="28" t="str">
        <f t="shared" si="150"/>
        <v>00:00</v>
      </c>
      <c r="AS261" s="29"/>
      <c r="AT261" s="31" t="str">
        <f t="shared" si="151"/>
        <v/>
      </c>
      <c r="AU261" s="27"/>
      <c r="AV261" s="27"/>
      <c r="AW261" s="28" t="str">
        <f>IFERROR(VLOOKUP(AU261,Horarios!$H:$I,2,0),"")</f>
        <v/>
      </c>
      <c r="AX261" s="28" t="str">
        <f>IFERROR(VLOOKUP(AV261,Horarios!$H:$I,2,0),"")</f>
        <v/>
      </c>
      <c r="AY261" s="28" t="str">
        <f t="shared" si="152"/>
        <v>00:00</v>
      </c>
      <c r="AZ261" s="29"/>
      <c r="BA261" s="27"/>
      <c r="BB261" s="27"/>
      <c r="BC261" s="28" t="str">
        <f>IFERROR(VLOOKUP(BA261,Horarios!$H:$I,2,0),"")</f>
        <v/>
      </c>
      <c r="BD261" s="28" t="str">
        <f>IFERROR(VLOOKUP(BB261,Horarios!$H:$I,2,0),"")</f>
        <v/>
      </c>
      <c r="BE261" s="28" t="str">
        <f t="shared" si="153"/>
        <v>00:00</v>
      </c>
      <c r="BF261" s="29"/>
      <c r="BG261" s="27"/>
      <c r="BH261" s="27"/>
      <c r="BI261" s="28" t="str">
        <f>IFERROR(VLOOKUP(BG261,Horarios!$H:$I,2,0),"")</f>
        <v/>
      </c>
      <c r="BJ261" s="28" t="str">
        <f>IFERROR(VLOOKUP(BH261,Horarios!$H:$I,2,0),"")</f>
        <v/>
      </c>
      <c r="BK261" s="28" t="str">
        <f t="shared" si="154"/>
        <v>00:00</v>
      </c>
      <c r="BL261" s="29"/>
      <c r="BM261" s="27"/>
      <c r="BN261" s="27"/>
      <c r="BO261" s="28" t="str">
        <f>IFERROR(VLOOKUP(BM261,Horarios!$H:$I,2,0),"")</f>
        <v/>
      </c>
      <c r="BP261" s="28" t="str">
        <f>IFERROR(VLOOKUP(BN261,Horarios!$H:$I,2,0),"")</f>
        <v/>
      </c>
      <c r="BQ261" s="28" t="str">
        <f t="shared" si="155"/>
        <v>00:00</v>
      </c>
      <c r="BR261" s="29"/>
      <c r="BS261" s="27"/>
      <c r="BT261" s="27"/>
      <c r="BU261" s="28" t="str">
        <f>IFERROR(VLOOKUP(BS261,Horarios!$H:$I,2,0),"")</f>
        <v/>
      </c>
      <c r="BV261" s="28" t="str">
        <f>IFERROR(VLOOKUP(BT261,Horarios!$H:$I,2,0),"")</f>
        <v/>
      </c>
      <c r="BW261" s="28" t="str">
        <f t="shared" si="156"/>
        <v>00:00</v>
      </c>
      <c r="BX261" s="29"/>
      <c r="BY261" s="27"/>
      <c r="BZ261" s="27"/>
      <c r="CA261" s="28" t="str">
        <f>IFERROR(VLOOKUP(BY261,Horarios!$H:$I,2,0),"")</f>
        <v/>
      </c>
      <c r="CB261" s="28" t="str">
        <f>IFERROR(VLOOKUP(BZ261,Horarios!$H:$I,2,0),"")</f>
        <v/>
      </c>
      <c r="CC261" s="28" t="str">
        <f t="shared" si="157"/>
        <v>00:00</v>
      </c>
      <c r="CD261" s="29"/>
      <c r="CE261" s="27"/>
      <c r="CF261" s="27"/>
      <c r="CG261" s="28" t="str">
        <f>IFERROR(VLOOKUP(CE261,Horarios!$H:$I,2,0),"")</f>
        <v/>
      </c>
      <c r="CH261" s="28" t="str">
        <f>IFERROR(VLOOKUP(CF261,Horarios!$H:$I,2,0),"")</f>
        <v/>
      </c>
      <c r="CI261" s="28" t="str">
        <f t="shared" si="158"/>
        <v>00:00</v>
      </c>
      <c r="CJ261" s="29"/>
      <c r="CK261" s="31" t="str">
        <f t="shared" si="159"/>
        <v/>
      </c>
      <c r="CL261" s="27"/>
      <c r="CM261" s="27"/>
      <c r="CN261" s="28" t="str">
        <f>IFERROR(VLOOKUP(CL261,Horarios!$H:$I,2,0),"")</f>
        <v/>
      </c>
      <c r="CO261" s="28" t="str">
        <f>IFERROR(VLOOKUP(CM261,Horarios!$H:$I,2,0),"")</f>
        <v/>
      </c>
      <c r="CP261" s="28" t="str">
        <f t="shared" si="160"/>
        <v>00:00</v>
      </c>
      <c r="CQ261" s="29"/>
      <c r="CR261" s="27"/>
      <c r="CS261" s="27"/>
      <c r="CT261" s="28" t="str">
        <f>IFERROR(VLOOKUP(CR261,Horarios!$H:$I,2,0),"")</f>
        <v/>
      </c>
      <c r="CU261" s="28" t="str">
        <f>IFERROR(VLOOKUP(CS261,Horarios!$H:$I,2,0),"")</f>
        <v/>
      </c>
      <c r="CV261" s="28" t="str">
        <f t="shared" si="161"/>
        <v>00:00</v>
      </c>
      <c r="CW261" s="29"/>
      <c r="CX261" s="27"/>
      <c r="CY261" s="27"/>
      <c r="CZ261" s="28" t="str">
        <f>IFERROR(VLOOKUP(CX261,Horarios!$H:$I,2,0),"")</f>
        <v/>
      </c>
      <c r="DA261" s="28" t="str">
        <f>IFERROR(VLOOKUP(CY261,Horarios!$H:$I,2,0),"")</f>
        <v/>
      </c>
      <c r="DB261" s="28" t="str">
        <f t="shared" si="162"/>
        <v>00:00</v>
      </c>
      <c r="DC261" s="29"/>
      <c r="DD261" s="27"/>
      <c r="DE261" s="27"/>
      <c r="DF261" s="28" t="str">
        <f>IFERROR(VLOOKUP(DD261,Horarios!$H:$I,2,0),"")</f>
        <v/>
      </c>
      <c r="DG261" s="28" t="str">
        <f>IFERROR(VLOOKUP(DE261,Horarios!$H:$I,2,0),"")</f>
        <v/>
      </c>
      <c r="DH261" s="28" t="str">
        <f t="shared" si="163"/>
        <v>00:00</v>
      </c>
      <c r="DI261" s="29"/>
      <c r="DJ261" s="27"/>
      <c r="DK261" s="27"/>
      <c r="DL261" s="28" t="str">
        <f>IFERROR(VLOOKUP(DJ261,Horarios!$H:$I,2,0),"")</f>
        <v/>
      </c>
      <c r="DM261" s="28" t="str">
        <f>IFERROR(VLOOKUP(DK261,Horarios!$H:$I,2,0),"")</f>
        <v/>
      </c>
      <c r="DN261" s="28" t="str">
        <f t="shared" si="164"/>
        <v>00:00</v>
      </c>
      <c r="DO261" s="29"/>
      <c r="DP261" s="27"/>
      <c r="DQ261" s="27"/>
      <c r="DR261" s="28" t="str">
        <f>IFERROR(VLOOKUP(DP261,Horarios!$H:$I,2,0),"")</f>
        <v/>
      </c>
      <c r="DS261" s="28" t="str">
        <f>IFERROR(VLOOKUP(DQ261,Horarios!$H:$I,2,0),"")</f>
        <v/>
      </c>
      <c r="DT261" s="28" t="str">
        <f t="shared" si="165"/>
        <v>00:00</v>
      </c>
      <c r="DU261" s="29"/>
      <c r="DV261" s="27"/>
      <c r="DW261" s="27"/>
      <c r="DX261" s="28" t="str">
        <f>IFERROR(VLOOKUP(DV261,Horarios!$H:$I,2,0),"")</f>
        <v/>
      </c>
      <c r="DY261" s="28" t="str">
        <f>IFERROR(VLOOKUP(DW261,Horarios!$H:$I,2,0),"")</f>
        <v/>
      </c>
      <c r="DZ261" s="28" t="str">
        <f t="shared" si="166"/>
        <v>00:00</v>
      </c>
      <c r="EA261" s="29"/>
      <c r="EB261" s="31" t="str">
        <f t="shared" si="167"/>
        <v/>
      </c>
      <c r="EC261" s="27"/>
      <c r="ED261" s="27"/>
      <c r="EE261" s="28" t="str">
        <f>IFERROR(VLOOKUP(EC261,Horarios!$H:$I,2,0),"")</f>
        <v/>
      </c>
      <c r="EF261" s="28" t="str">
        <f>IFERROR(VLOOKUP(ED261,Horarios!$H:$I,2,0),"")</f>
        <v/>
      </c>
      <c r="EG261" s="28" t="str">
        <f t="shared" si="168"/>
        <v>00:00</v>
      </c>
      <c r="EH261" s="29"/>
      <c r="EI261" s="27"/>
      <c r="EJ261" s="27"/>
      <c r="EK261" s="28" t="str">
        <f>IFERROR(VLOOKUP(EI261,Horarios!$H:$I,2,0),"")</f>
        <v/>
      </c>
      <c r="EL261" s="28" t="str">
        <f>IFERROR(VLOOKUP(EJ261,Horarios!$H:$I,2,0),"")</f>
        <v/>
      </c>
      <c r="EM261" s="28" t="str">
        <f t="shared" si="169"/>
        <v>00:00</v>
      </c>
      <c r="EN261" s="29"/>
      <c r="EO261" s="27"/>
      <c r="EP261" s="27"/>
      <c r="EQ261" s="28" t="str">
        <f>IFERROR(VLOOKUP(EO261,Horarios!$H:$I,2,0),"")</f>
        <v/>
      </c>
      <c r="ER261" s="28" t="str">
        <f>IFERROR(VLOOKUP(EP261,Horarios!$H:$I,2,0),"")</f>
        <v/>
      </c>
      <c r="ES261" s="28" t="str">
        <f t="shared" si="170"/>
        <v>00:00</v>
      </c>
      <c r="ET261" s="29"/>
      <c r="EU261" s="27"/>
      <c r="EV261" s="27"/>
      <c r="EW261" s="28" t="str">
        <f>IFERROR(VLOOKUP(EU261,Horarios!$H:$I,2,0),"")</f>
        <v/>
      </c>
      <c r="EX261" s="28" t="str">
        <f>IFERROR(VLOOKUP(EV261,Horarios!$H:$I,2,0),"")</f>
        <v/>
      </c>
      <c r="EY261" s="28" t="str">
        <f t="shared" si="171"/>
        <v>00:00</v>
      </c>
      <c r="EZ261" s="29"/>
      <c r="FA261" s="27"/>
      <c r="FB261" s="27"/>
      <c r="FC261" s="28" t="str">
        <f>IFERROR(VLOOKUP(FA261,Horarios!$H:$I,2,0),"")</f>
        <v/>
      </c>
      <c r="FD261" s="28" t="str">
        <f>IFERROR(VLOOKUP(FB261,Horarios!$H:$I,2,0),"")</f>
        <v/>
      </c>
      <c r="FE261" s="28" t="str">
        <f t="shared" si="172"/>
        <v>00:00</v>
      </c>
      <c r="FF261" s="29"/>
      <c r="FG261" s="27"/>
      <c r="FH261" s="27"/>
      <c r="FI261" s="28" t="str">
        <f>IFERROR(VLOOKUP(FG261,Horarios!$H:$I,2,0),"")</f>
        <v/>
      </c>
      <c r="FJ261" s="28" t="str">
        <f>IFERROR(VLOOKUP(FH261,Horarios!$H:$I,2,0),"")</f>
        <v/>
      </c>
      <c r="FK261" s="28" t="str">
        <f t="shared" si="173"/>
        <v>00:00</v>
      </c>
      <c r="FL261" s="29"/>
      <c r="FM261" s="27"/>
      <c r="FN261" s="27"/>
      <c r="FO261" s="28" t="str">
        <f>IFERROR(VLOOKUP(FM261,Horarios!$H:$I,2,0),"")</f>
        <v/>
      </c>
      <c r="FP261" s="28" t="str">
        <f>IFERROR(VLOOKUP(FN261,Horarios!$H:$I,2,0),"")</f>
        <v/>
      </c>
      <c r="FQ261" s="28" t="str">
        <f t="shared" si="174"/>
        <v>00:00</v>
      </c>
      <c r="FR261" s="29"/>
      <c r="FS261" s="31" t="str">
        <f t="shared" si="175"/>
        <v/>
      </c>
      <c r="FT261" s="27"/>
      <c r="FU261" s="27"/>
      <c r="FV261" s="28" t="str">
        <f>IFERROR(VLOOKUP(FT261,Horarios!$H:$I,2,0),"")</f>
        <v/>
      </c>
      <c r="FW261" s="28" t="str">
        <f>IFERROR(VLOOKUP(FU261,Horarios!$H:$I,2,0),"")</f>
        <v/>
      </c>
      <c r="FX261" s="28" t="str">
        <f t="shared" si="176"/>
        <v>00:00</v>
      </c>
      <c r="FY261" s="29"/>
      <c r="FZ261" s="27"/>
      <c r="GA261" s="27"/>
      <c r="GB261" s="28" t="str">
        <f>IFERROR(VLOOKUP(FZ261,Horarios!$H:$I,2,0),"")</f>
        <v/>
      </c>
      <c r="GC261" s="28" t="str">
        <f>IFERROR(VLOOKUP(GA261,Horarios!$H:$I,2,0),"")</f>
        <v/>
      </c>
      <c r="GD261" s="28" t="str">
        <f t="shared" si="177"/>
        <v>00:00</v>
      </c>
      <c r="GE261" s="29"/>
      <c r="GF261" s="27"/>
      <c r="GG261" s="27"/>
      <c r="GH261" s="28" t="str">
        <f>IFERROR(VLOOKUP(GF261,Horarios!$H:$I,2,0),"")</f>
        <v/>
      </c>
      <c r="GI261" s="28" t="str">
        <f>IFERROR(VLOOKUP(GG261,Horarios!$H:$I,2,0),"")</f>
        <v/>
      </c>
      <c r="GJ261" s="28" t="str">
        <f t="shared" si="178"/>
        <v>00:00</v>
      </c>
      <c r="GK261" s="29"/>
      <c r="GL261" s="27"/>
      <c r="GM261" s="27"/>
      <c r="GN261" s="28" t="str">
        <f>IFERROR(VLOOKUP(GL261,Horarios!$H:$I,2,0),"")</f>
        <v/>
      </c>
      <c r="GO261" s="28" t="str">
        <f>IFERROR(VLOOKUP(GM261,Horarios!$H:$I,2,0),"")</f>
        <v/>
      </c>
      <c r="GP261" s="28" t="str">
        <f t="shared" si="179"/>
        <v>00:00</v>
      </c>
      <c r="GQ261" s="29"/>
      <c r="GR261" s="27"/>
      <c r="GS261" s="27"/>
      <c r="GT261" s="28" t="str">
        <f>IFERROR(VLOOKUP(GR261,Horarios!$H:$I,2,0),"")</f>
        <v/>
      </c>
      <c r="GU261" s="28" t="str">
        <f>IFERROR(VLOOKUP(GS261,Horarios!$H:$I,2,0),"")</f>
        <v/>
      </c>
      <c r="GV261" s="28" t="str">
        <f t="shared" si="180"/>
        <v>00:00</v>
      </c>
      <c r="GW261" s="29"/>
      <c r="GX261" s="27"/>
      <c r="GY261" s="27"/>
      <c r="GZ261" s="28" t="str">
        <f>IFERROR(VLOOKUP(GX261,Horarios!$H:$I,2,0),"")</f>
        <v/>
      </c>
      <c r="HA261" s="28" t="str">
        <f>IFERROR(VLOOKUP(GY261,Horarios!$H:$I,2,0),"")</f>
        <v/>
      </c>
      <c r="HB261" s="28" t="str">
        <f t="shared" si="181"/>
        <v>00:00</v>
      </c>
      <c r="HC261" s="29"/>
      <c r="HD261" s="27"/>
      <c r="HE261" s="27"/>
      <c r="HF261" s="28" t="str">
        <f>IFERROR(VLOOKUP(HD261,Horarios!$H:$I,2,0),"")</f>
        <v/>
      </c>
      <c r="HG261" s="28" t="str">
        <f>IFERROR(VLOOKUP(HE261,Horarios!$H:$I,2,0),"")</f>
        <v/>
      </c>
      <c r="HH261" s="28" t="str">
        <f t="shared" si="182"/>
        <v>00:00</v>
      </c>
      <c r="HI261" s="29"/>
      <c r="HJ261" s="31" t="str">
        <f t="shared" si="183"/>
        <v/>
      </c>
      <c r="HK261" s="27"/>
      <c r="HL261" s="27"/>
      <c r="HM261" s="28" t="str">
        <f>IFERROR(VLOOKUP(HK261,Horarios!$H:$I,2,0),"")</f>
        <v/>
      </c>
      <c r="HN261" s="28" t="str">
        <f>IFERROR(VLOOKUP(HL261,Horarios!$H:$I,2,0),"")</f>
        <v/>
      </c>
      <c r="HO261" s="28" t="str">
        <f t="shared" si="184"/>
        <v>00:00</v>
      </c>
      <c r="HP261" s="29"/>
      <c r="HQ261" s="27"/>
      <c r="HR261" s="27"/>
      <c r="HS261" s="28" t="str">
        <f>IFERROR(VLOOKUP(HQ261,Horarios!$H:$I,2,0),"")</f>
        <v/>
      </c>
      <c r="HT261" s="28" t="str">
        <f>IFERROR(VLOOKUP(HR261,Horarios!$H:$I,2,0),"")</f>
        <v/>
      </c>
      <c r="HU261" s="28" t="str">
        <f t="shared" si="185"/>
        <v>00:00</v>
      </c>
      <c r="HV261" s="29"/>
      <c r="HW261" s="27"/>
      <c r="HX261" s="27"/>
      <c r="HY261" s="28" t="str">
        <f>IFERROR(VLOOKUP(HW261,Horarios!$H:$I,2,0),"")</f>
        <v/>
      </c>
      <c r="HZ261" s="28" t="str">
        <f>IFERROR(VLOOKUP(HX261,Horarios!$H:$I,2,0),"")</f>
        <v/>
      </c>
      <c r="IA261" s="28" t="str">
        <f t="shared" si="186"/>
        <v>00:00</v>
      </c>
      <c r="IB261" s="29"/>
      <c r="IC261" s="27"/>
      <c r="ID261" s="27"/>
      <c r="IE261" s="28" t="str">
        <f>IFERROR(VLOOKUP(IC261,Horarios!$H:$I,2,0),"")</f>
        <v/>
      </c>
      <c r="IF261" s="28" t="str">
        <f>IFERROR(VLOOKUP(ID261,Horarios!$H:$I,2,0),"")</f>
        <v/>
      </c>
      <c r="IG261" s="28" t="str">
        <f t="shared" si="187"/>
        <v>00:00</v>
      </c>
      <c r="IH261" s="29"/>
      <c r="II261" s="27"/>
      <c r="IJ261" s="27"/>
      <c r="IK261" s="28" t="str">
        <f>IFERROR(VLOOKUP(II261,Horarios!$H:$I,2,0),"")</f>
        <v/>
      </c>
      <c r="IL261" s="28" t="str">
        <f>IFERROR(VLOOKUP(IJ261,Horarios!$H:$I,2,0),"")</f>
        <v/>
      </c>
      <c r="IM261" s="28" t="str">
        <f t="shared" si="188"/>
        <v>00:00</v>
      </c>
      <c r="IN261" s="29"/>
      <c r="IO261" s="27"/>
      <c r="IP261" s="27"/>
      <c r="IQ261" s="28" t="str">
        <f>IFERROR(VLOOKUP(IO261,Horarios!$H:$I,2,0),"")</f>
        <v/>
      </c>
      <c r="IR261" s="28" t="str">
        <f>IFERROR(VLOOKUP(IP261,Horarios!$H:$I,2,0),"")</f>
        <v/>
      </c>
      <c r="IS261" s="28" t="str">
        <f t="shared" si="189"/>
        <v>00:00</v>
      </c>
      <c r="IT261" s="29"/>
      <c r="IU261" s="27"/>
      <c r="IV261" s="27"/>
      <c r="IW261" s="28" t="str">
        <f>IFERROR(VLOOKUP(IU261,Horarios!$H:$I,2,0),"")</f>
        <v/>
      </c>
      <c r="IX261" s="28" t="str">
        <f>IFERROR(VLOOKUP(IV261,Horarios!$H:$I,2,0),"")</f>
        <v/>
      </c>
      <c r="IY261" s="28" t="str">
        <f t="shared" si="190"/>
        <v>00:00</v>
      </c>
      <c r="IZ261" s="29"/>
      <c r="JA261" s="31" t="str">
        <f t="shared" si="191"/>
        <v/>
      </c>
    </row>
    <row r="262" spans="1:261" s="24" customFormat="1" ht="17.399999999999999" x14ac:dyDescent="0.25">
      <c r="A262" s="25"/>
      <c r="B262" s="26" t="str">
        <f>IFERROR(VLOOKUP(A262,BaseNombres!A:B,2,0),"")</f>
        <v/>
      </c>
      <c r="C262" s="26" t="str">
        <f>IFERROR(VLOOKUP(A262,BaseNombres!A:C,3,0),"")</f>
        <v/>
      </c>
      <c r="D262" s="27"/>
      <c r="E262" s="27"/>
      <c r="F262" s="28" t="str">
        <f>IFERROR(VLOOKUP(D262,Horarios!$H:$I,2,0),"")</f>
        <v/>
      </c>
      <c r="G262" s="28" t="str">
        <f>IFERROR(VLOOKUP(E262,Horarios!$H:$I,2,0),"")</f>
        <v/>
      </c>
      <c r="H262" s="28" t="str">
        <f t="shared" si="144"/>
        <v>00:00</v>
      </c>
      <c r="I262" s="29"/>
      <c r="J262" s="27"/>
      <c r="K262" s="27"/>
      <c r="L262" s="28" t="str">
        <f>IFERROR(VLOOKUP(J262,Horarios!$H:$I,2,0),"")</f>
        <v/>
      </c>
      <c r="M262" s="28" t="str">
        <f>IFERROR(VLOOKUP(K262,Horarios!$H:$I,2,0),"")</f>
        <v/>
      </c>
      <c r="N262" s="28" t="str">
        <f t="shared" si="145"/>
        <v>00:00</v>
      </c>
      <c r="O262" s="29"/>
      <c r="P262" s="27"/>
      <c r="Q262" s="27"/>
      <c r="R262" s="28" t="str">
        <f>IFERROR(VLOOKUP(P262,Horarios!$H:$I,2,0),"")</f>
        <v/>
      </c>
      <c r="S262" s="28" t="str">
        <f>IFERROR(VLOOKUP(Q262,Horarios!$H:$I,2,0),"")</f>
        <v/>
      </c>
      <c r="T262" s="28" t="str">
        <f t="shared" si="146"/>
        <v>00:00</v>
      </c>
      <c r="U262" s="29"/>
      <c r="V262" s="27"/>
      <c r="W262" s="27"/>
      <c r="X262" s="28" t="str">
        <f>IFERROR(VLOOKUP(V262,Horarios!$H:$I,2,0),"")</f>
        <v/>
      </c>
      <c r="Y262" s="28" t="str">
        <f>IFERROR(VLOOKUP(W262,Horarios!$H:$I,2,0),"")</f>
        <v/>
      </c>
      <c r="Z262" s="28" t="str">
        <f t="shared" si="147"/>
        <v>00:00</v>
      </c>
      <c r="AA262" s="29"/>
      <c r="AB262" s="27"/>
      <c r="AC262" s="27"/>
      <c r="AD262" s="28" t="str">
        <f>IFERROR(VLOOKUP(AB262,Horarios!$H:$I,2,0),"")</f>
        <v/>
      </c>
      <c r="AE262" s="28" t="str">
        <f>IFERROR(VLOOKUP(AC262,Horarios!$H:$I,2,0),"")</f>
        <v/>
      </c>
      <c r="AF262" s="28" t="str">
        <f t="shared" si="148"/>
        <v>00:00</v>
      </c>
      <c r="AG262" s="29"/>
      <c r="AH262" s="27"/>
      <c r="AI262" s="27"/>
      <c r="AJ262" s="28" t="str">
        <f>IFERROR(VLOOKUP(AH262,Horarios!$H:$I,2,0),"")</f>
        <v/>
      </c>
      <c r="AK262" s="28" t="str">
        <f>IFERROR(VLOOKUP(AI262,Horarios!$H:$I,2,0),"")</f>
        <v/>
      </c>
      <c r="AL262" s="28" t="str">
        <f t="shared" si="149"/>
        <v>00:00</v>
      </c>
      <c r="AM262" s="29"/>
      <c r="AN262" s="27"/>
      <c r="AO262" s="27"/>
      <c r="AP262" s="28" t="str">
        <f>IFERROR(VLOOKUP(AN262,Horarios!$H:$I,2,0),"")</f>
        <v/>
      </c>
      <c r="AQ262" s="28" t="str">
        <f>IFERROR(VLOOKUP(AO262,Horarios!$H:$I,2,0),"")</f>
        <v/>
      </c>
      <c r="AR262" s="28" t="str">
        <f t="shared" si="150"/>
        <v>00:00</v>
      </c>
      <c r="AS262" s="29"/>
      <c r="AT262" s="31" t="str">
        <f t="shared" si="151"/>
        <v/>
      </c>
      <c r="AU262" s="27"/>
      <c r="AV262" s="27"/>
      <c r="AW262" s="28" t="str">
        <f>IFERROR(VLOOKUP(AU262,Horarios!$H:$I,2,0),"")</f>
        <v/>
      </c>
      <c r="AX262" s="28" t="str">
        <f>IFERROR(VLOOKUP(AV262,Horarios!$H:$I,2,0),"")</f>
        <v/>
      </c>
      <c r="AY262" s="28" t="str">
        <f t="shared" si="152"/>
        <v>00:00</v>
      </c>
      <c r="AZ262" s="29"/>
      <c r="BA262" s="27"/>
      <c r="BB262" s="27"/>
      <c r="BC262" s="28" t="str">
        <f>IFERROR(VLOOKUP(BA262,Horarios!$H:$I,2,0),"")</f>
        <v/>
      </c>
      <c r="BD262" s="28" t="str">
        <f>IFERROR(VLOOKUP(BB262,Horarios!$H:$I,2,0),"")</f>
        <v/>
      </c>
      <c r="BE262" s="28" t="str">
        <f t="shared" si="153"/>
        <v>00:00</v>
      </c>
      <c r="BF262" s="29"/>
      <c r="BG262" s="27"/>
      <c r="BH262" s="27"/>
      <c r="BI262" s="28" t="str">
        <f>IFERROR(VLOOKUP(BG262,Horarios!$H:$I,2,0),"")</f>
        <v/>
      </c>
      <c r="BJ262" s="28" t="str">
        <f>IFERROR(VLOOKUP(BH262,Horarios!$H:$I,2,0),"")</f>
        <v/>
      </c>
      <c r="BK262" s="28" t="str">
        <f t="shared" si="154"/>
        <v>00:00</v>
      </c>
      <c r="BL262" s="29"/>
      <c r="BM262" s="27"/>
      <c r="BN262" s="27"/>
      <c r="BO262" s="28" t="str">
        <f>IFERROR(VLOOKUP(BM262,Horarios!$H:$I,2,0),"")</f>
        <v/>
      </c>
      <c r="BP262" s="28" t="str">
        <f>IFERROR(VLOOKUP(BN262,Horarios!$H:$I,2,0),"")</f>
        <v/>
      </c>
      <c r="BQ262" s="28" t="str">
        <f t="shared" si="155"/>
        <v>00:00</v>
      </c>
      <c r="BR262" s="29"/>
      <c r="BS262" s="27"/>
      <c r="BT262" s="27"/>
      <c r="BU262" s="28" t="str">
        <f>IFERROR(VLOOKUP(BS262,Horarios!$H:$I,2,0),"")</f>
        <v/>
      </c>
      <c r="BV262" s="28" t="str">
        <f>IFERROR(VLOOKUP(BT262,Horarios!$H:$I,2,0),"")</f>
        <v/>
      </c>
      <c r="BW262" s="28" t="str">
        <f t="shared" si="156"/>
        <v>00:00</v>
      </c>
      <c r="BX262" s="29"/>
      <c r="BY262" s="27"/>
      <c r="BZ262" s="27"/>
      <c r="CA262" s="28" t="str">
        <f>IFERROR(VLOOKUP(BY262,Horarios!$H:$I,2,0),"")</f>
        <v/>
      </c>
      <c r="CB262" s="28" t="str">
        <f>IFERROR(VLOOKUP(BZ262,Horarios!$H:$I,2,0),"")</f>
        <v/>
      </c>
      <c r="CC262" s="28" t="str">
        <f t="shared" si="157"/>
        <v>00:00</v>
      </c>
      <c r="CD262" s="29"/>
      <c r="CE262" s="27"/>
      <c r="CF262" s="27"/>
      <c r="CG262" s="28" t="str">
        <f>IFERROR(VLOOKUP(CE262,Horarios!$H:$I,2,0),"")</f>
        <v/>
      </c>
      <c r="CH262" s="28" t="str">
        <f>IFERROR(VLOOKUP(CF262,Horarios!$H:$I,2,0),"")</f>
        <v/>
      </c>
      <c r="CI262" s="28" t="str">
        <f t="shared" si="158"/>
        <v>00:00</v>
      </c>
      <c r="CJ262" s="29"/>
      <c r="CK262" s="31" t="str">
        <f t="shared" si="159"/>
        <v/>
      </c>
      <c r="CL262" s="27"/>
      <c r="CM262" s="27"/>
      <c r="CN262" s="28" t="str">
        <f>IFERROR(VLOOKUP(CL262,Horarios!$H:$I,2,0),"")</f>
        <v/>
      </c>
      <c r="CO262" s="28" t="str">
        <f>IFERROR(VLOOKUP(CM262,Horarios!$H:$I,2,0),"")</f>
        <v/>
      </c>
      <c r="CP262" s="28" t="str">
        <f t="shared" si="160"/>
        <v>00:00</v>
      </c>
      <c r="CQ262" s="29"/>
      <c r="CR262" s="27"/>
      <c r="CS262" s="27"/>
      <c r="CT262" s="28" t="str">
        <f>IFERROR(VLOOKUP(CR262,Horarios!$H:$I,2,0),"")</f>
        <v/>
      </c>
      <c r="CU262" s="28" t="str">
        <f>IFERROR(VLOOKUP(CS262,Horarios!$H:$I,2,0),"")</f>
        <v/>
      </c>
      <c r="CV262" s="28" t="str">
        <f t="shared" si="161"/>
        <v>00:00</v>
      </c>
      <c r="CW262" s="29"/>
      <c r="CX262" s="27"/>
      <c r="CY262" s="27"/>
      <c r="CZ262" s="28" t="str">
        <f>IFERROR(VLOOKUP(CX262,Horarios!$H:$I,2,0),"")</f>
        <v/>
      </c>
      <c r="DA262" s="28" t="str">
        <f>IFERROR(VLOOKUP(CY262,Horarios!$H:$I,2,0),"")</f>
        <v/>
      </c>
      <c r="DB262" s="28" t="str">
        <f t="shared" si="162"/>
        <v>00:00</v>
      </c>
      <c r="DC262" s="29"/>
      <c r="DD262" s="27"/>
      <c r="DE262" s="27"/>
      <c r="DF262" s="28" t="str">
        <f>IFERROR(VLOOKUP(DD262,Horarios!$H:$I,2,0),"")</f>
        <v/>
      </c>
      <c r="DG262" s="28" t="str">
        <f>IFERROR(VLOOKUP(DE262,Horarios!$H:$I,2,0),"")</f>
        <v/>
      </c>
      <c r="DH262" s="28" t="str">
        <f t="shared" si="163"/>
        <v>00:00</v>
      </c>
      <c r="DI262" s="29"/>
      <c r="DJ262" s="27"/>
      <c r="DK262" s="27"/>
      <c r="DL262" s="28" t="str">
        <f>IFERROR(VLOOKUP(DJ262,Horarios!$H:$I,2,0),"")</f>
        <v/>
      </c>
      <c r="DM262" s="28" t="str">
        <f>IFERROR(VLOOKUP(DK262,Horarios!$H:$I,2,0),"")</f>
        <v/>
      </c>
      <c r="DN262" s="28" t="str">
        <f t="shared" si="164"/>
        <v>00:00</v>
      </c>
      <c r="DO262" s="29"/>
      <c r="DP262" s="27"/>
      <c r="DQ262" s="27"/>
      <c r="DR262" s="28" t="str">
        <f>IFERROR(VLOOKUP(DP262,Horarios!$H:$I,2,0),"")</f>
        <v/>
      </c>
      <c r="DS262" s="28" t="str">
        <f>IFERROR(VLOOKUP(DQ262,Horarios!$H:$I,2,0),"")</f>
        <v/>
      </c>
      <c r="DT262" s="28" t="str">
        <f t="shared" si="165"/>
        <v>00:00</v>
      </c>
      <c r="DU262" s="29"/>
      <c r="DV262" s="27"/>
      <c r="DW262" s="27"/>
      <c r="DX262" s="28" t="str">
        <f>IFERROR(VLOOKUP(DV262,Horarios!$H:$I,2,0),"")</f>
        <v/>
      </c>
      <c r="DY262" s="28" t="str">
        <f>IFERROR(VLOOKUP(DW262,Horarios!$H:$I,2,0),"")</f>
        <v/>
      </c>
      <c r="DZ262" s="28" t="str">
        <f t="shared" si="166"/>
        <v>00:00</v>
      </c>
      <c r="EA262" s="29"/>
      <c r="EB262" s="31" t="str">
        <f t="shared" si="167"/>
        <v/>
      </c>
      <c r="EC262" s="27"/>
      <c r="ED262" s="27"/>
      <c r="EE262" s="28" t="str">
        <f>IFERROR(VLOOKUP(EC262,Horarios!$H:$I,2,0),"")</f>
        <v/>
      </c>
      <c r="EF262" s="28" t="str">
        <f>IFERROR(VLOOKUP(ED262,Horarios!$H:$I,2,0),"")</f>
        <v/>
      </c>
      <c r="EG262" s="28" t="str">
        <f t="shared" si="168"/>
        <v>00:00</v>
      </c>
      <c r="EH262" s="29"/>
      <c r="EI262" s="27"/>
      <c r="EJ262" s="27"/>
      <c r="EK262" s="28" t="str">
        <f>IFERROR(VLOOKUP(EI262,Horarios!$H:$I,2,0),"")</f>
        <v/>
      </c>
      <c r="EL262" s="28" t="str">
        <f>IFERROR(VLOOKUP(EJ262,Horarios!$H:$I,2,0),"")</f>
        <v/>
      </c>
      <c r="EM262" s="28" t="str">
        <f t="shared" si="169"/>
        <v>00:00</v>
      </c>
      <c r="EN262" s="29"/>
      <c r="EO262" s="27"/>
      <c r="EP262" s="27"/>
      <c r="EQ262" s="28" t="str">
        <f>IFERROR(VLOOKUP(EO262,Horarios!$H:$I,2,0),"")</f>
        <v/>
      </c>
      <c r="ER262" s="28" t="str">
        <f>IFERROR(VLOOKUP(EP262,Horarios!$H:$I,2,0),"")</f>
        <v/>
      </c>
      <c r="ES262" s="28" t="str">
        <f t="shared" si="170"/>
        <v>00:00</v>
      </c>
      <c r="ET262" s="29"/>
      <c r="EU262" s="27"/>
      <c r="EV262" s="27"/>
      <c r="EW262" s="28" t="str">
        <f>IFERROR(VLOOKUP(EU262,Horarios!$H:$I,2,0),"")</f>
        <v/>
      </c>
      <c r="EX262" s="28" t="str">
        <f>IFERROR(VLOOKUP(EV262,Horarios!$H:$I,2,0),"")</f>
        <v/>
      </c>
      <c r="EY262" s="28" t="str">
        <f t="shared" si="171"/>
        <v>00:00</v>
      </c>
      <c r="EZ262" s="29"/>
      <c r="FA262" s="27"/>
      <c r="FB262" s="27"/>
      <c r="FC262" s="28" t="str">
        <f>IFERROR(VLOOKUP(FA262,Horarios!$H:$I,2,0),"")</f>
        <v/>
      </c>
      <c r="FD262" s="28" t="str">
        <f>IFERROR(VLOOKUP(FB262,Horarios!$H:$I,2,0),"")</f>
        <v/>
      </c>
      <c r="FE262" s="28" t="str">
        <f t="shared" si="172"/>
        <v>00:00</v>
      </c>
      <c r="FF262" s="29"/>
      <c r="FG262" s="27"/>
      <c r="FH262" s="27"/>
      <c r="FI262" s="28" t="str">
        <f>IFERROR(VLOOKUP(FG262,Horarios!$H:$I,2,0),"")</f>
        <v/>
      </c>
      <c r="FJ262" s="28" t="str">
        <f>IFERROR(VLOOKUP(FH262,Horarios!$H:$I,2,0),"")</f>
        <v/>
      </c>
      <c r="FK262" s="28" t="str">
        <f t="shared" si="173"/>
        <v>00:00</v>
      </c>
      <c r="FL262" s="29"/>
      <c r="FM262" s="27"/>
      <c r="FN262" s="27"/>
      <c r="FO262" s="28" t="str">
        <f>IFERROR(VLOOKUP(FM262,Horarios!$H:$I,2,0),"")</f>
        <v/>
      </c>
      <c r="FP262" s="28" t="str">
        <f>IFERROR(VLOOKUP(FN262,Horarios!$H:$I,2,0),"")</f>
        <v/>
      </c>
      <c r="FQ262" s="28" t="str">
        <f t="shared" si="174"/>
        <v>00:00</v>
      </c>
      <c r="FR262" s="29"/>
      <c r="FS262" s="31" t="str">
        <f t="shared" si="175"/>
        <v/>
      </c>
      <c r="FT262" s="27"/>
      <c r="FU262" s="27"/>
      <c r="FV262" s="28" t="str">
        <f>IFERROR(VLOOKUP(FT262,Horarios!$H:$I,2,0),"")</f>
        <v/>
      </c>
      <c r="FW262" s="28" t="str">
        <f>IFERROR(VLOOKUP(FU262,Horarios!$H:$I,2,0),"")</f>
        <v/>
      </c>
      <c r="FX262" s="28" t="str">
        <f t="shared" si="176"/>
        <v>00:00</v>
      </c>
      <c r="FY262" s="29"/>
      <c r="FZ262" s="27"/>
      <c r="GA262" s="27"/>
      <c r="GB262" s="28" t="str">
        <f>IFERROR(VLOOKUP(FZ262,Horarios!$H:$I,2,0),"")</f>
        <v/>
      </c>
      <c r="GC262" s="28" t="str">
        <f>IFERROR(VLOOKUP(GA262,Horarios!$H:$I,2,0),"")</f>
        <v/>
      </c>
      <c r="GD262" s="28" t="str">
        <f t="shared" si="177"/>
        <v>00:00</v>
      </c>
      <c r="GE262" s="29"/>
      <c r="GF262" s="27"/>
      <c r="GG262" s="27"/>
      <c r="GH262" s="28" t="str">
        <f>IFERROR(VLOOKUP(GF262,Horarios!$H:$I,2,0),"")</f>
        <v/>
      </c>
      <c r="GI262" s="28" t="str">
        <f>IFERROR(VLOOKUP(GG262,Horarios!$H:$I,2,0),"")</f>
        <v/>
      </c>
      <c r="GJ262" s="28" t="str">
        <f t="shared" si="178"/>
        <v>00:00</v>
      </c>
      <c r="GK262" s="29"/>
      <c r="GL262" s="27"/>
      <c r="GM262" s="27"/>
      <c r="GN262" s="28" t="str">
        <f>IFERROR(VLOOKUP(GL262,Horarios!$H:$I,2,0),"")</f>
        <v/>
      </c>
      <c r="GO262" s="28" t="str">
        <f>IFERROR(VLOOKUP(GM262,Horarios!$H:$I,2,0),"")</f>
        <v/>
      </c>
      <c r="GP262" s="28" t="str">
        <f t="shared" si="179"/>
        <v>00:00</v>
      </c>
      <c r="GQ262" s="29"/>
      <c r="GR262" s="27"/>
      <c r="GS262" s="27"/>
      <c r="GT262" s="28" t="str">
        <f>IFERROR(VLOOKUP(GR262,Horarios!$H:$I,2,0),"")</f>
        <v/>
      </c>
      <c r="GU262" s="28" t="str">
        <f>IFERROR(VLOOKUP(GS262,Horarios!$H:$I,2,0),"")</f>
        <v/>
      </c>
      <c r="GV262" s="28" t="str">
        <f t="shared" si="180"/>
        <v>00:00</v>
      </c>
      <c r="GW262" s="29"/>
      <c r="GX262" s="27"/>
      <c r="GY262" s="27"/>
      <c r="GZ262" s="28" t="str">
        <f>IFERROR(VLOOKUP(GX262,Horarios!$H:$I,2,0),"")</f>
        <v/>
      </c>
      <c r="HA262" s="28" t="str">
        <f>IFERROR(VLOOKUP(GY262,Horarios!$H:$I,2,0),"")</f>
        <v/>
      </c>
      <c r="HB262" s="28" t="str">
        <f t="shared" si="181"/>
        <v>00:00</v>
      </c>
      <c r="HC262" s="29"/>
      <c r="HD262" s="27"/>
      <c r="HE262" s="27"/>
      <c r="HF262" s="28" t="str">
        <f>IFERROR(VLOOKUP(HD262,Horarios!$H:$I,2,0),"")</f>
        <v/>
      </c>
      <c r="HG262" s="28" t="str">
        <f>IFERROR(VLOOKUP(HE262,Horarios!$H:$I,2,0),"")</f>
        <v/>
      </c>
      <c r="HH262" s="28" t="str">
        <f t="shared" si="182"/>
        <v>00:00</v>
      </c>
      <c r="HI262" s="29"/>
      <c r="HJ262" s="31" t="str">
        <f t="shared" si="183"/>
        <v/>
      </c>
      <c r="HK262" s="27"/>
      <c r="HL262" s="27"/>
      <c r="HM262" s="28" t="str">
        <f>IFERROR(VLOOKUP(HK262,Horarios!$H:$I,2,0),"")</f>
        <v/>
      </c>
      <c r="HN262" s="28" t="str">
        <f>IFERROR(VLOOKUP(HL262,Horarios!$H:$I,2,0),"")</f>
        <v/>
      </c>
      <c r="HO262" s="28" t="str">
        <f t="shared" si="184"/>
        <v>00:00</v>
      </c>
      <c r="HP262" s="29"/>
      <c r="HQ262" s="27"/>
      <c r="HR262" s="27"/>
      <c r="HS262" s="28" t="str">
        <f>IFERROR(VLOOKUP(HQ262,Horarios!$H:$I,2,0),"")</f>
        <v/>
      </c>
      <c r="HT262" s="28" t="str">
        <f>IFERROR(VLOOKUP(HR262,Horarios!$H:$I,2,0),"")</f>
        <v/>
      </c>
      <c r="HU262" s="28" t="str">
        <f t="shared" si="185"/>
        <v>00:00</v>
      </c>
      <c r="HV262" s="29"/>
      <c r="HW262" s="27"/>
      <c r="HX262" s="27"/>
      <c r="HY262" s="28" t="str">
        <f>IFERROR(VLOOKUP(HW262,Horarios!$H:$I,2,0),"")</f>
        <v/>
      </c>
      <c r="HZ262" s="28" t="str">
        <f>IFERROR(VLOOKUP(HX262,Horarios!$H:$I,2,0),"")</f>
        <v/>
      </c>
      <c r="IA262" s="28" t="str">
        <f t="shared" si="186"/>
        <v>00:00</v>
      </c>
      <c r="IB262" s="29"/>
      <c r="IC262" s="27"/>
      <c r="ID262" s="27"/>
      <c r="IE262" s="28" t="str">
        <f>IFERROR(VLOOKUP(IC262,Horarios!$H:$I,2,0),"")</f>
        <v/>
      </c>
      <c r="IF262" s="28" t="str">
        <f>IFERROR(VLOOKUP(ID262,Horarios!$H:$I,2,0),"")</f>
        <v/>
      </c>
      <c r="IG262" s="28" t="str">
        <f t="shared" si="187"/>
        <v>00:00</v>
      </c>
      <c r="IH262" s="29"/>
      <c r="II262" s="27"/>
      <c r="IJ262" s="27"/>
      <c r="IK262" s="28" t="str">
        <f>IFERROR(VLOOKUP(II262,Horarios!$H:$I,2,0),"")</f>
        <v/>
      </c>
      <c r="IL262" s="28" t="str">
        <f>IFERROR(VLOOKUP(IJ262,Horarios!$H:$I,2,0),"")</f>
        <v/>
      </c>
      <c r="IM262" s="28" t="str">
        <f t="shared" si="188"/>
        <v>00:00</v>
      </c>
      <c r="IN262" s="29"/>
      <c r="IO262" s="27"/>
      <c r="IP262" s="27"/>
      <c r="IQ262" s="28" t="str">
        <f>IFERROR(VLOOKUP(IO262,Horarios!$H:$I,2,0),"")</f>
        <v/>
      </c>
      <c r="IR262" s="28" t="str">
        <f>IFERROR(VLOOKUP(IP262,Horarios!$H:$I,2,0),"")</f>
        <v/>
      </c>
      <c r="IS262" s="28" t="str">
        <f t="shared" si="189"/>
        <v>00:00</v>
      </c>
      <c r="IT262" s="29"/>
      <c r="IU262" s="27"/>
      <c r="IV262" s="27"/>
      <c r="IW262" s="28" t="str">
        <f>IFERROR(VLOOKUP(IU262,Horarios!$H:$I,2,0),"")</f>
        <v/>
      </c>
      <c r="IX262" s="28" t="str">
        <f>IFERROR(VLOOKUP(IV262,Horarios!$H:$I,2,0),"")</f>
        <v/>
      </c>
      <c r="IY262" s="28" t="str">
        <f t="shared" si="190"/>
        <v>00:00</v>
      </c>
      <c r="IZ262" s="29"/>
      <c r="JA262" s="31" t="str">
        <f t="shared" si="191"/>
        <v/>
      </c>
    </row>
    <row r="263" spans="1:261" s="24" customFormat="1" ht="17.399999999999999" x14ac:dyDescent="0.25">
      <c r="A263" s="25"/>
      <c r="B263" s="26" t="str">
        <f>IFERROR(VLOOKUP(A263,BaseNombres!A:B,2,0),"")</f>
        <v/>
      </c>
      <c r="C263" s="26" t="str">
        <f>IFERROR(VLOOKUP(A263,BaseNombres!A:C,3,0),"")</f>
        <v/>
      </c>
      <c r="D263" s="27"/>
      <c r="E263" s="27"/>
      <c r="F263" s="28" t="str">
        <f>IFERROR(VLOOKUP(D263,Horarios!$H:$I,2,0),"")</f>
        <v/>
      </c>
      <c r="G263" s="28" t="str">
        <f>IFERROR(VLOOKUP(E263,Horarios!$H:$I,2,0),"")</f>
        <v/>
      </c>
      <c r="H263" s="28" t="str">
        <f t="shared" si="144"/>
        <v>00:00</v>
      </c>
      <c r="I263" s="29"/>
      <c r="J263" s="27"/>
      <c r="K263" s="27"/>
      <c r="L263" s="28" t="str">
        <f>IFERROR(VLOOKUP(J263,Horarios!$H:$I,2,0),"")</f>
        <v/>
      </c>
      <c r="M263" s="28" t="str">
        <f>IFERROR(VLOOKUP(K263,Horarios!$H:$I,2,0),"")</f>
        <v/>
      </c>
      <c r="N263" s="28" t="str">
        <f t="shared" si="145"/>
        <v>00:00</v>
      </c>
      <c r="O263" s="29"/>
      <c r="P263" s="27"/>
      <c r="Q263" s="27"/>
      <c r="R263" s="28" t="str">
        <f>IFERROR(VLOOKUP(P263,Horarios!$H:$I,2,0),"")</f>
        <v/>
      </c>
      <c r="S263" s="28" t="str">
        <f>IFERROR(VLOOKUP(Q263,Horarios!$H:$I,2,0),"")</f>
        <v/>
      </c>
      <c r="T263" s="28" t="str">
        <f t="shared" si="146"/>
        <v>00:00</v>
      </c>
      <c r="U263" s="29"/>
      <c r="V263" s="27"/>
      <c r="W263" s="27"/>
      <c r="X263" s="28" t="str">
        <f>IFERROR(VLOOKUP(V263,Horarios!$H:$I,2,0),"")</f>
        <v/>
      </c>
      <c r="Y263" s="28" t="str">
        <f>IFERROR(VLOOKUP(W263,Horarios!$H:$I,2,0),"")</f>
        <v/>
      </c>
      <c r="Z263" s="28" t="str">
        <f t="shared" si="147"/>
        <v>00:00</v>
      </c>
      <c r="AA263" s="29"/>
      <c r="AB263" s="27"/>
      <c r="AC263" s="27"/>
      <c r="AD263" s="28" t="str">
        <f>IFERROR(VLOOKUP(AB263,Horarios!$H:$I,2,0),"")</f>
        <v/>
      </c>
      <c r="AE263" s="28" t="str">
        <f>IFERROR(VLOOKUP(AC263,Horarios!$H:$I,2,0),"")</f>
        <v/>
      </c>
      <c r="AF263" s="28" t="str">
        <f t="shared" si="148"/>
        <v>00:00</v>
      </c>
      <c r="AG263" s="29"/>
      <c r="AH263" s="27"/>
      <c r="AI263" s="27"/>
      <c r="AJ263" s="28" t="str">
        <f>IFERROR(VLOOKUP(AH263,Horarios!$H:$I,2,0),"")</f>
        <v/>
      </c>
      <c r="AK263" s="28" t="str">
        <f>IFERROR(VLOOKUP(AI263,Horarios!$H:$I,2,0),"")</f>
        <v/>
      </c>
      <c r="AL263" s="28" t="str">
        <f t="shared" si="149"/>
        <v>00:00</v>
      </c>
      <c r="AM263" s="29"/>
      <c r="AN263" s="27"/>
      <c r="AO263" s="27"/>
      <c r="AP263" s="28" t="str">
        <f>IFERROR(VLOOKUP(AN263,Horarios!$H:$I,2,0),"")</f>
        <v/>
      </c>
      <c r="AQ263" s="28" t="str">
        <f>IFERROR(VLOOKUP(AO263,Horarios!$H:$I,2,0),"")</f>
        <v/>
      </c>
      <c r="AR263" s="28" t="str">
        <f t="shared" si="150"/>
        <v>00:00</v>
      </c>
      <c r="AS263" s="29"/>
      <c r="AT263" s="31" t="str">
        <f t="shared" si="151"/>
        <v/>
      </c>
      <c r="AU263" s="27"/>
      <c r="AV263" s="27"/>
      <c r="AW263" s="28" t="str">
        <f>IFERROR(VLOOKUP(AU263,Horarios!$H:$I,2,0),"")</f>
        <v/>
      </c>
      <c r="AX263" s="28" t="str">
        <f>IFERROR(VLOOKUP(AV263,Horarios!$H:$I,2,0),"")</f>
        <v/>
      </c>
      <c r="AY263" s="28" t="str">
        <f t="shared" si="152"/>
        <v>00:00</v>
      </c>
      <c r="AZ263" s="29"/>
      <c r="BA263" s="27"/>
      <c r="BB263" s="27"/>
      <c r="BC263" s="28" t="str">
        <f>IFERROR(VLOOKUP(BA263,Horarios!$H:$I,2,0),"")</f>
        <v/>
      </c>
      <c r="BD263" s="28" t="str">
        <f>IFERROR(VLOOKUP(BB263,Horarios!$H:$I,2,0),"")</f>
        <v/>
      </c>
      <c r="BE263" s="28" t="str">
        <f t="shared" si="153"/>
        <v>00:00</v>
      </c>
      <c r="BF263" s="29"/>
      <c r="BG263" s="27"/>
      <c r="BH263" s="27"/>
      <c r="BI263" s="28" t="str">
        <f>IFERROR(VLOOKUP(BG263,Horarios!$H:$I,2,0),"")</f>
        <v/>
      </c>
      <c r="BJ263" s="28" t="str">
        <f>IFERROR(VLOOKUP(BH263,Horarios!$H:$I,2,0),"")</f>
        <v/>
      </c>
      <c r="BK263" s="28" t="str">
        <f t="shared" si="154"/>
        <v>00:00</v>
      </c>
      <c r="BL263" s="29"/>
      <c r="BM263" s="27"/>
      <c r="BN263" s="27"/>
      <c r="BO263" s="28" t="str">
        <f>IFERROR(VLOOKUP(BM263,Horarios!$H:$I,2,0),"")</f>
        <v/>
      </c>
      <c r="BP263" s="28" t="str">
        <f>IFERROR(VLOOKUP(BN263,Horarios!$H:$I,2,0),"")</f>
        <v/>
      </c>
      <c r="BQ263" s="28" t="str">
        <f t="shared" si="155"/>
        <v>00:00</v>
      </c>
      <c r="BR263" s="29"/>
      <c r="BS263" s="27"/>
      <c r="BT263" s="27"/>
      <c r="BU263" s="28" t="str">
        <f>IFERROR(VLOOKUP(BS263,Horarios!$H:$I,2,0),"")</f>
        <v/>
      </c>
      <c r="BV263" s="28" t="str">
        <f>IFERROR(VLOOKUP(BT263,Horarios!$H:$I,2,0),"")</f>
        <v/>
      </c>
      <c r="BW263" s="28" t="str">
        <f t="shared" si="156"/>
        <v>00:00</v>
      </c>
      <c r="BX263" s="29"/>
      <c r="BY263" s="27"/>
      <c r="BZ263" s="27"/>
      <c r="CA263" s="28" t="str">
        <f>IFERROR(VLOOKUP(BY263,Horarios!$H:$I,2,0),"")</f>
        <v/>
      </c>
      <c r="CB263" s="28" t="str">
        <f>IFERROR(VLOOKUP(BZ263,Horarios!$H:$I,2,0),"")</f>
        <v/>
      </c>
      <c r="CC263" s="28" t="str">
        <f t="shared" si="157"/>
        <v>00:00</v>
      </c>
      <c r="CD263" s="29"/>
      <c r="CE263" s="27"/>
      <c r="CF263" s="27"/>
      <c r="CG263" s="28" t="str">
        <f>IFERROR(VLOOKUP(CE263,Horarios!$H:$I,2,0),"")</f>
        <v/>
      </c>
      <c r="CH263" s="28" t="str">
        <f>IFERROR(VLOOKUP(CF263,Horarios!$H:$I,2,0),"")</f>
        <v/>
      </c>
      <c r="CI263" s="28" t="str">
        <f t="shared" si="158"/>
        <v>00:00</v>
      </c>
      <c r="CJ263" s="29"/>
      <c r="CK263" s="31" t="str">
        <f t="shared" si="159"/>
        <v/>
      </c>
      <c r="CL263" s="27"/>
      <c r="CM263" s="27"/>
      <c r="CN263" s="28" t="str">
        <f>IFERROR(VLOOKUP(CL263,Horarios!$H:$I,2,0),"")</f>
        <v/>
      </c>
      <c r="CO263" s="28" t="str">
        <f>IFERROR(VLOOKUP(CM263,Horarios!$H:$I,2,0),"")</f>
        <v/>
      </c>
      <c r="CP263" s="28" t="str">
        <f t="shared" si="160"/>
        <v>00:00</v>
      </c>
      <c r="CQ263" s="29"/>
      <c r="CR263" s="27"/>
      <c r="CS263" s="27"/>
      <c r="CT263" s="28" t="str">
        <f>IFERROR(VLOOKUP(CR263,Horarios!$H:$I,2,0),"")</f>
        <v/>
      </c>
      <c r="CU263" s="28" t="str">
        <f>IFERROR(VLOOKUP(CS263,Horarios!$H:$I,2,0),"")</f>
        <v/>
      </c>
      <c r="CV263" s="28" t="str">
        <f t="shared" si="161"/>
        <v>00:00</v>
      </c>
      <c r="CW263" s="29"/>
      <c r="CX263" s="27"/>
      <c r="CY263" s="27"/>
      <c r="CZ263" s="28" t="str">
        <f>IFERROR(VLOOKUP(CX263,Horarios!$H:$I,2,0),"")</f>
        <v/>
      </c>
      <c r="DA263" s="28" t="str">
        <f>IFERROR(VLOOKUP(CY263,Horarios!$H:$I,2,0),"")</f>
        <v/>
      </c>
      <c r="DB263" s="28" t="str">
        <f t="shared" si="162"/>
        <v>00:00</v>
      </c>
      <c r="DC263" s="29"/>
      <c r="DD263" s="27"/>
      <c r="DE263" s="27"/>
      <c r="DF263" s="28" t="str">
        <f>IFERROR(VLOOKUP(DD263,Horarios!$H:$I,2,0),"")</f>
        <v/>
      </c>
      <c r="DG263" s="28" t="str">
        <f>IFERROR(VLOOKUP(DE263,Horarios!$H:$I,2,0),"")</f>
        <v/>
      </c>
      <c r="DH263" s="28" t="str">
        <f t="shared" si="163"/>
        <v>00:00</v>
      </c>
      <c r="DI263" s="29"/>
      <c r="DJ263" s="27"/>
      <c r="DK263" s="27"/>
      <c r="DL263" s="28" t="str">
        <f>IFERROR(VLOOKUP(DJ263,Horarios!$H:$I,2,0),"")</f>
        <v/>
      </c>
      <c r="DM263" s="28" t="str">
        <f>IFERROR(VLOOKUP(DK263,Horarios!$H:$I,2,0),"")</f>
        <v/>
      </c>
      <c r="DN263" s="28" t="str">
        <f t="shared" si="164"/>
        <v>00:00</v>
      </c>
      <c r="DO263" s="29"/>
      <c r="DP263" s="27"/>
      <c r="DQ263" s="27"/>
      <c r="DR263" s="28" t="str">
        <f>IFERROR(VLOOKUP(DP263,Horarios!$H:$I,2,0),"")</f>
        <v/>
      </c>
      <c r="DS263" s="28" t="str">
        <f>IFERROR(VLOOKUP(DQ263,Horarios!$H:$I,2,0),"")</f>
        <v/>
      </c>
      <c r="DT263" s="28" t="str">
        <f t="shared" si="165"/>
        <v>00:00</v>
      </c>
      <c r="DU263" s="29"/>
      <c r="DV263" s="27"/>
      <c r="DW263" s="27"/>
      <c r="DX263" s="28" t="str">
        <f>IFERROR(VLOOKUP(DV263,Horarios!$H:$I,2,0),"")</f>
        <v/>
      </c>
      <c r="DY263" s="28" t="str">
        <f>IFERROR(VLOOKUP(DW263,Horarios!$H:$I,2,0),"")</f>
        <v/>
      </c>
      <c r="DZ263" s="28" t="str">
        <f t="shared" si="166"/>
        <v>00:00</v>
      </c>
      <c r="EA263" s="29"/>
      <c r="EB263" s="31" t="str">
        <f t="shared" si="167"/>
        <v/>
      </c>
      <c r="EC263" s="27"/>
      <c r="ED263" s="27"/>
      <c r="EE263" s="28" t="str">
        <f>IFERROR(VLOOKUP(EC263,Horarios!$H:$I,2,0),"")</f>
        <v/>
      </c>
      <c r="EF263" s="28" t="str">
        <f>IFERROR(VLOOKUP(ED263,Horarios!$H:$I,2,0),"")</f>
        <v/>
      </c>
      <c r="EG263" s="28" t="str">
        <f t="shared" si="168"/>
        <v>00:00</v>
      </c>
      <c r="EH263" s="29"/>
      <c r="EI263" s="27"/>
      <c r="EJ263" s="27"/>
      <c r="EK263" s="28" t="str">
        <f>IFERROR(VLOOKUP(EI263,Horarios!$H:$I,2,0),"")</f>
        <v/>
      </c>
      <c r="EL263" s="28" t="str">
        <f>IFERROR(VLOOKUP(EJ263,Horarios!$H:$I,2,0),"")</f>
        <v/>
      </c>
      <c r="EM263" s="28" t="str">
        <f t="shared" si="169"/>
        <v>00:00</v>
      </c>
      <c r="EN263" s="29"/>
      <c r="EO263" s="27"/>
      <c r="EP263" s="27"/>
      <c r="EQ263" s="28" t="str">
        <f>IFERROR(VLOOKUP(EO263,Horarios!$H:$I,2,0),"")</f>
        <v/>
      </c>
      <c r="ER263" s="28" t="str">
        <f>IFERROR(VLOOKUP(EP263,Horarios!$H:$I,2,0),"")</f>
        <v/>
      </c>
      <c r="ES263" s="28" t="str">
        <f t="shared" si="170"/>
        <v>00:00</v>
      </c>
      <c r="ET263" s="29"/>
      <c r="EU263" s="27"/>
      <c r="EV263" s="27"/>
      <c r="EW263" s="28" t="str">
        <f>IFERROR(VLOOKUP(EU263,Horarios!$H:$I,2,0),"")</f>
        <v/>
      </c>
      <c r="EX263" s="28" t="str">
        <f>IFERROR(VLOOKUP(EV263,Horarios!$H:$I,2,0),"")</f>
        <v/>
      </c>
      <c r="EY263" s="28" t="str">
        <f t="shared" si="171"/>
        <v>00:00</v>
      </c>
      <c r="EZ263" s="29"/>
      <c r="FA263" s="27"/>
      <c r="FB263" s="27"/>
      <c r="FC263" s="28" t="str">
        <f>IFERROR(VLOOKUP(FA263,Horarios!$H:$I,2,0),"")</f>
        <v/>
      </c>
      <c r="FD263" s="28" t="str">
        <f>IFERROR(VLOOKUP(FB263,Horarios!$H:$I,2,0),"")</f>
        <v/>
      </c>
      <c r="FE263" s="28" t="str">
        <f t="shared" si="172"/>
        <v>00:00</v>
      </c>
      <c r="FF263" s="29"/>
      <c r="FG263" s="27"/>
      <c r="FH263" s="27"/>
      <c r="FI263" s="28" t="str">
        <f>IFERROR(VLOOKUP(FG263,Horarios!$H:$I,2,0),"")</f>
        <v/>
      </c>
      <c r="FJ263" s="28" t="str">
        <f>IFERROR(VLOOKUP(FH263,Horarios!$H:$I,2,0),"")</f>
        <v/>
      </c>
      <c r="FK263" s="28" t="str">
        <f t="shared" si="173"/>
        <v>00:00</v>
      </c>
      <c r="FL263" s="29"/>
      <c r="FM263" s="27"/>
      <c r="FN263" s="27"/>
      <c r="FO263" s="28" t="str">
        <f>IFERROR(VLOOKUP(FM263,Horarios!$H:$I,2,0),"")</f>
        <v/>
      </c>
      <c r="FP263" s="28" t="str">
        <f>IFERROR(VLOOKUP(FN263,Horarios!$H:$I,2,0),"")</f>
        <v/>
      </c>
      <c r="FQ263" s="28" t="str">
        <f t="shared" si="174"/>
        <v>00:00</v>
      </c>
      <c r="FR263" s="29"/>
      <c r="FS263" s="31" t="str">
        <f t="shared" si="175"/>
        <v/>
      </c>
      <c r="FT263" s="27"/>
      <c r="FU263" s="27"/>
      <c r="FV263" s="28" t="str">
        <f>IFERROR(VLOOKUP(FT263,Horarios!$H:$I,2,0),"")</f>
        <v/>
      </c>
      <c r="FW263" s="28" t="str">
        <f>IFERROR(VLOOKUP(FU263,Horarios!$H:$I,2,0),"")</f>
        <v/>
      </c>
      <c r="FX263" s="28" t="str">
        <f t="shared" si="176"/>
        <v>00:00</v>
      </c>
      <c r="FY263" s="29"/>
      <c r="FZ263" s="27"/>
      <c r="GA263" s="27"/>
      <c r="GB263" s="28" t="str">
        <f>IFERROR(VLOOKUP(FZ263,Horarios!$H:$I,2,0),"")</f>
        <v/>
      </c>
      <c r="GC263" s="28" t="str">
        <f>IFERROR(VLOOKUP(GA263,Horarios!$H:$I,2,0),"")</f>
        <v/>
      </c>
      <c r="GD263" s="28" t="str">
        <f t="shared" si="177"/>
        <v>00:00</v>
      </c>
      <c r="GE263" s="29"/>
      <c r="GF263" s="27"/>
      <c r="GG263" s="27"/>
      <c r="GH263" s="28" t="str">
        <f>IFERROR(VLOOKUP(GF263,Horarios!$H:$I,2,0),"")</f>
        <v/>
      </c>
      <c r="GI263" s="28" t="str">
        <f>IFERROR(VLOOKUP(GG263,Horarios!$H:$I,2,0),"")</f>
        <v/>
      </c>
      <c r="GJ263" s="28" t="str">
        <f t="shared" si="178"/>
        <v>00:00</v>
      </c>
      <c r="GK263" s="29"/>
      <c r="GL263" s="27"/>
      <c r="GM263" s="27"/>
      <c r="GN263" s="28" t="str">
        <f>IFERROR(VLOOKUP(GL263,Horarios!$H:$I,2,0),"")</f>
        <v/>
      </c>
      <c r="GO263" s="28" t="str">
        <f>IFERROR(VLOOKUP(GM263,Horarios!$H:$I,2,0),"")</f>
        <v/>
      </c>
      <c r="GP263" s="28" t="str">
        <f t="shared" si="179"/>
        <v>00:00</v>
      </c>
      <c r="GQ263" s="29"/>
      <c r="GR263" s="27"/>
      <c r="GS263" s="27"/>
      <c r="GT263" s="28" t="str">
        <f>IFERROR(VLOOKUP(GR263,Horarios!$H:$I,2,0),"")</f>
        <v/>
      </c>
      <c r="GU263" s="28" t="str">
        <f>IFERROR(VLOOKUP(GS263,Horarios!$H:$I,2,0),"")</f>
        <v/>
      </c>
      <c r="GV263" s="28" t="str">
        <f t="shared" si="180"/>
        <v>00:00</v>
      </c>
      <c r="GW263" s="29"/>
      <c r="GX263" s="27"/>
      <c r="GY263" s="27"/>
      <c r="GZ263" s="28" t="str">
        <f>IFERROR(VLOOKUP(GX263,Horarios!$H:$I,2,0),"")</f>
        <v/>
      </c>
      <c r="HA263" s="28" t="str">
        <f>IFERROR(VLOOKUP(GY263,Horarios!$H:$I,2,0),"")</f>
        <v/>
      </c>
      <c r="HB263" s="28" t="str">
        <f t="shared" si="181"/>
        <v>00:00</v>
      </c>
      <c r="HC263" s="29"/>
      <c r="HD263" s="27"/>
      <c r="HE263" s="27"/>
      <c r="HF263" s="28" t="str">
        <f>IFERROR(VLOOKUP(HD263,Horarios!$H:$I,2,0),"")</f>
        <v/>
      </c>
      <c r="HG263" s="28" t="str">
        <f>IFERROR(VLOOKUP(HE263,Horarios!$H:$I,2,0),"")</f>
        <v/>
      </c>
      <c r="HH263" s="28" t="str">
        <f t="shared" si="182"/>
        <v>00:00</v>
      </c>
      <c r="HI263" s="29"/>
      <c r="HJ263" s="31" t="str">
        <f t="shared" si="183"/>
        <v/>
      </c>
      <c r="HK263" s="27"/>
      <c r="HL263" s="27"/>
      <c r="HM263" s="28" t="str">
        <f>IFERROR(VLOOKUP(HK263,Horarios!$H:$I,2,0),"")</f>
        <v/>
      </c>
      <c r="HN263" s="28" t="str">
        <f>IFERROR(VLOOKUP(HL263,Horarios!$H:$I,2,0),"")</f>
        <v/>
      </c>
      <c r="HO263" s="28" t="str">
        <f t="shared" si="184"/>
        <v>00:00</v>
      </c>
      <c r="HP263" s="29"/>
      <c r="HQ263" s="27"/>
      <c r="HR263" s="27"/>
      <c r="HS263" s="28" t="str">
        <f>IFERROR(VLOOKUP(HQ263,Horarios!$H:$I,2,0),"")</f>
        <v/>
      </c>
      <c r="HT263" s="28" t="str">
        <f>IFERROR(VLOOKUP(HR263,Horarios!$H:$I,2,0),"")</f>
        <v/>
      </c>
      <c r="HU263" s="28" t="str">
        <f t="shared" si="185"/>
        <v>00:00</v>
      </c>
      <c r="HV263" s="29"/>
      <c r="HW263" s="27"/>
      <c r="HX263" s="27"/>
      <c r="HY263" s="28" t="str">
        <f>IFERROR(VLOOKUP(HW263,Horarios!$H:$I,2,0),"")</f>
        <v/>
      </c>
      <c r="HZ263" s="28" t="str">
        <f>IFERROR(VLOOKUP(HX263,Horarios!$H:$I,2,0),"")</f>
        <v/>
      </c>
      <c r="IA263" s="28" t="str">
        <f t="shared" si="186"/>
        <v>00:00</v>
      </c>
      <c r="IB263" s="29"/>
      <c r="IC263" s="27"/>
      <c r="ID263" s="27"/>
      <c r="IE263" s="28" t="str">
        <f>IFERROR(VLOOKUP(IC263,Horarios!$H:$I,2,0),"")</f>
        <v/>
      </c>
      <c r="IF263" s="28" t="str">
        <f>IFERROR(VLOOKUP(ID263,Horarios!$H:$I,2,0),"")</f>
        <v/>
      </c>
      <c r="IG263" s="28" t="str">
        <f t="shared" si="187"/>
        <v>00:00</v>
      </c>
      <c r="IH263" s="29"/>
      <c r="II263" s="27"/>
      <c r="IJ263" s="27"/>
      <c r="IK263" s="28" t="str">
        <f>IFERROR(VLOOKUP(II263,Horarios!$H:$I,2,0),"")</f>
        <v/>
      </c>
      <c r="IL263" s="28" t="str">
        <f>IFERROR(VLOOKUP(IJ263,Horarios!$H:$I,2,0),"")</f>
        <v/>
      </c>
      <c r="IM263" s="28" t="str">
        <f t="shared" si="188"/>
        <v>00:00</v>
      </c>
      <c r="IN263" s="29"/>
      <c r="IO263" s="27"/>
      <c r="IP263" s="27"/>
      <c r="IQ263" s="28" t="str">
        <f>IFERROR(VLOOKUP(IO263,Horarios!$H:$I,2,0),"")</f>
        <v/>
      </c>
      <c r="IR263" s="28" t="str">
        <f>IFERROR(VLOOKUP(IP263,Horarios!$H:$I,2,0),"")</f>
        <v/>
      </c>
      <c r="IS263" s="28" t="str">
        <f t="shared" si="189"/>
        <v>00:00</v>
      </c>
      <c r="IT263" s="29"/>
      <c r="IU263" s="27"/>
      <c r="IV263" s="27"/>
      <c r="IW263" s="28" t="str">
        <f>IFERROR(VLOOKUP(IU263,Horarios!$H:$I,2,0),"")</f>
        <v/>
      </c>
      <c r="IX263" s="28" t="str">
        <f>IFERROR(VLOOKUP(IV263,Horarios!$H:$I,2,0),"")</f>
        <v/>
      </c>
      <c r="IY263" s="28" t="str">
        <f t="shared" si="190"/>
        <v>00:00</v>
      </c>
      <c r="IZ263" s="29"/>
      <c r="JA263" s="31" t="str">
        <f t="shared" si="191"/>
        <v/>
      </c>
    </row>
    <row r="264" spans="1:261" s="24" customFormat="1" ht="17.399999999999999" x14ac:dyDescent="0.25">
      <c r="A264" s="25"/>
      <c r="B264" s="26" t="str">
        <f>IFERROR(VLOOKUP(A264,BaseNombres!A:B,2,0),"")</f>
        <v/>
      </c>
      <c r="C264" s="26" t="str">
        <f>IFERROR(VLOOKUP(A264,BaseNombres!A:C,3,0),"")</f>
        <v/>
      </c>
      <c r="D264" s="27"/>
      <c r="E264" s="27"/>
      <c r="F264" s="28" t="str">
        <f>IFERROR(VLOOKUP(D264,Horarios!$H:$I,2,0),"")</f>
        <v/>
      </c>
      <c r="G264" s="28" t="str">
        <f>IFERROR(VLOOKUP(E264,Horarios!$H:$I,2,0),"")</f>
        <v/>
      </c>
      <c r="H264" s="28" t="str">
        <f t="shared" si="144"/>
        <v>00:00</v>
      </c>
      <c r="I264" s="29"/>
      <c r="J264" s="27"/>
      <c r="K264" s="27"/>
      <c r="L264" s="28" t="str">
        <f>IFERROR(VLOOKUP(J264,Horarios!$H:$I,2,0),"")</f>
        <v/>
      </c>
      <c r="M264" s="28" t="str">
        <f>IFERROR(VLOOKUP(K264,Horarios!$H:$I,2,0),"")</f>
        <v/>
      </c>
      <c r="N264" s="28" t="str">
        <f t="shared" si="145"/>
        <v>00:00</v>
      </c>
      <c r="O264" s="29"/>
      <c r="P264" s="27"/>
      <c r="Q264" s="27"/>
      <c r="R264" s="28" t="str">
        <f>IFERROR(VLOOKUP(P264,Horarios!$H:$I,2,0),"")</f>
        <v/>
      </c>
      <c r="S264" s="28" t="str">
        <f>IFERROR(VLOOKUP(Q264,Horarios!$H:$I,2,0),"")</f>
        <v/>
      </c>
      <c r="T264" s="28" t="str">
        <f t="shared" si="146"/>
        <v>00:00</v>
      </c>
      <c r="U264" s="29"/>
      <c r="V264" s="27"/>
      <c r="W264" s="27"/>
      <c r="X264" s="28" t="str">
        <f>IFERROR(VLOOKUP(V264,Horarios!$H:$I,2,0),"")</f>
        <v/>
      </c>
      <c r="Y264" s="28" t="str">
        <f>IFERROR(VLOOKUP(W264,Horarios!$H:$I,2,0),"")</f>
        <v/>
      </c>
      <c r="Z264" s="28" t="str">
        <f t="shared" si="147"/>
        <v>00:00</v>
      </c>
      <c r="AA264" s="29"/>
      <c r="AB264" s="27"/>
      <c r="AC264" s="27"/>
      <c r="AD264" s="28" t="str">
        <f>IFERROR(VLOOKUP(AB264,Horarios!$H:$I,2,0),"")</f>
        <v/>
      </c>
      <c r="AE264" s="28" t="str">
        <f>IFERROR(VLOOKUP(AC264,Horarios!$H:$I,2,0),"")</f>
        <v/>
      </c>
      <c r="AF264" s="28" t="str">
        <f t="shared" si="148"/>
        <v>00:00</v>
      </c>
      <c r="AG264" s="29"/>
      <c r="AH264" s="27"/>
      <c r="AI264" s="27"/>
      <c r="AJ264" s="28" t="str">
        <f>IFERROR(VLOOKUP(AH264,Horarios!$H:$I,2,0),"")</f>
        <v/>
      </c>
      <c r="AK264" s="28" t="str">
        <f>IFERROR(VLOOKUP(AI264,Horarios!$H:$I,2,0),"")</f>
        <v/>
      </c>
      <c r="AL264" s="28" t="str">
        <f t="shared" si="149"/>
        <v>00:00</v>
      </c>
      <c r="AM264" s="29"/>
      <c r="AN264" s="27"/>
      <c r="AO264" s="27"/>
      <c r="AP264" s="28" t="str">
        <f>IFERROR(VLOOKUP(AN264,Horarios!$H:$I,2,0),"")</f>
        <v/>
      </c>
      <c r="AQ264" s="28" t="str">
        <f>IFERROR(VLOOKUP(AO264,Horarios!$H:$I,2,0),"")</f>
        <v/>
      </c>
      <c r="AR264" s="28" t="str">
        <f t="shared" si="150"/>
        <v>00:00</v>
      </c>
      <c r="AS264" s="29"/>
      <c r="AT264" s="31" t="str">
        <f t="shared" si="151"/>
        <v/>
      </c>
      <c r="AU264" s="27"/>
      <c r="AV264" s="27"/>
      <c r="AW264" s="28" t="str">
        <f>IFERROR(VLOOKUP(AU264,Horarios!$H:$I,2,0),"")</f>
        <v/>
      </c>
      <c r="AX264" s="28" t="str">
        <f>IFERROR(VLOOKUP(AV264,Horarios!$H:$I,2,0),"")</f>
        <v/>
      </c>
      <c r="AY264" s="28" t="str">
        <f t="shared" si="152"/>
        <v>00:00</v>
      </c>
      <c r="AZ264" s="29"/>
      <c r="BA264" s="27"/>
      <c r="BB264" s="27"/>
      <c r="BC264" s="28" t="str">
        <f>IFERROR(VLOOKUP(BA264,Horarios!$H:$I,2,0),"")</f>
        <v/>
      </c>
      <c r="BD264" s="28" t="str">
        <f>IFERROR(VLOOKUP(BB264,Horarios!$H:$I,2,0),"")</f>
        <v/>
      </c>
      <c r="BE264" s="28" t="str">
        <f t="shared" si="153"/>
        <v>00:00</v>
      </c>
      <c r="BF264" s="29"/>
      <c r="BG264" s="27"/>
      <c r="BH264" s="27"/>
      <c r="BI264" s="28" t="str">
        <f>IFERROR(VLOOKUP(BG264,Horarios!$H:$I,2,0),"")</f>
        <v/>
      </c>
      <c r="BJ264" s="28" t="str">
        <f>IFERROR(VLOOKUP(BH264,Horarios!$H:$I,2,0),"")</f>
        <v/>
      </c>
      <c r="BK264" s="28" t="str">
        <f t="shared" si="154"/>
        <v>00:00</v>
      </c>
      <c r="BL264" s="29"/>
      <c r="BM264" s="27"/>
      <c r="BN264" s="27"/>
      <c r="BO264" s="28" t="str">
        <f>IFERROR(VLOOKUP(BM264,Horarios!$H:$I,2,0),"")</f>
        <v/>
      </c>
      <c r="BP264" s="28" t="str">
        <f>IFERROR(VLOOKUP(BN264,Horarios!$H:$I,2,0),"")</f>
        <v/>
      </c>
      <c r="BQ264" s="28" t="str">
        <f t="shared" si="155"/>
        <v>00:00</v>
      </c>
      <c r="BR264" s="29"/>
      <c r="BS264" s="27"/>
      <c r="BT264" s="27"/>
      <c r="BU264" s="28" t="str">
        <f>IFERROR(VLOOKUP(BS264,Horarios!$H:$I,2,0),"")</f>
        <v/>
      </c>
      <c r="BV264" s="28" t="str">
        <f>IFERROR(VLOOKUP(BT264,Horarios!$H:$I,2,0),"")</f>
        <v/>
      </c>
      <c r="BW264" s="28" t="str">
        <f t="shared" si="156"/>
        <v>00:00</v>
      </c>
      <c r="BX264" s="29"/>
      <c r="BY264" s="27"/>
      <c r="BZ264" s="27"/>
      <c r="CA264" s="28" t="str">
        <f>IFERROR(VLOOKUP(BY264,Horarios!$H:$I,2,0),"")</f>
        <v/>
      </c>
      <c r="CB264" s="28" t="str">
        <f>IFERROR(VLOOKUP(BZ264,Horarios!$H:$I,2,0),"")</f>
        <v/>
      </c>
      <c r="CC264" s="28" t="str">
        <f t="shared" si="157"/>
        <v>00:00</v>
      </c>
      <c r="CD264" s="29"/>
      <c r="CE264" s="27"/>
      <c r="CF264" s="27"/>
      <c r="CG264" s="28" t="str">
        <f>IFERROR(VLOOKUP(CE264,Horarios!$H:$I,2,0),"")</f>
        <v/>
      </c>
      <c r="CH264" s="28" t="str">
        <f>IFERROR(VLOOKUP(CF264,Horarios!$H:$I,2,0),"")</f>
        <v/>
      </c>
      <c r="CI264" s="28" t="str">
        <f t="shared" si="158"/>
        <v>00:00</v>
      </c>
      <c r="CJ264" s="29"/>
      <c r="CK264" s="31" t="str">
        <f t="shared" si="159"/>
        <v/>
      </c>
      <c r="CL264" s="27"/>
      <c r="CM264" s="27"/>
      <c r="CN264" s="28" t="str">
        <f>IFERROR(VLOOKUP(CL264,Horarios!$H:$I,2,0),"")</f>
        <v/>
      </c>
      <c r="CO264" s="28" t="str">
        <f>IFERROR(VLOOKUP(CM264,Horarios!$H:$I,2,0),"")</f>
        <v/>
      </c>
      <c r="CP264" s="28" t="str">
        <f t="shared" si="160"/>
        <v>00:00</v>
      </c>
      <c r="CQ264" s="29"/>
      <c r="CR264" s="27"/>
      <c r="CS264" s="27"/>
      <c r="CT264" s="28" t="str">
        <f>IFERROR(VLOOKUP(CR264,Horarios!$H:$I,2,0),"")</f>
        <v/>
      </c>
      <c r="CU264" s="28" t="str">
        <f>IFERROR(VLOOKUP(CS264,Horarios!$H:$I,2,0),"")</f>
        <v/>
      </c>
      <c r="CV264" s="28" t="str">
        <f t="shared" si="161"/>
        <v>00:00</v>
      </c>
      <c r="CW264" s="29"/>
      <c r="CX264" s="27"/>
      <c r="CY264" s="27"/>
      <c r="CZ264" s="28" t="str">
        <f>IFERROR(VLOOKUP(CX264,Horarios!$H:$I,2,0),"")</f>
        <v/>
      </c>
      <c r="DA264" s="28" t="str">
        <f>IFERROR(VLOOKUP(CY264,Horarios!$H:$I,2,0),"")</f>
        <v/>
      </c>
      <c r="DB264" s="28" t="str">
        <f t="shared" si="162"/>
        <v>00:00</v>
      </c>
      <c r="DC264" s="29"/>
      <c r="DD264" s="27"/>
      <c r="DE264" s="27"/>
      <c r="DF264" s="28" t="str">
        <f>IFERROR(VLOOKUP(DD264,Horarios!$H:$I,2,0),"")</f>
        <v/>
      </c>
      <c r="DG264" s="28" t="str">
        <f>IFERROR(VLOOKUP(DE264,Horarios!$H:$I,2,0),"")</f>
        <v/>
      </c>
      <c r="DH264" s="28" t="str">
        <f t="shared" si="163"/>
        <v>00:00</v>
      </c>
      <c r="DI264" s="29"/>
      <c r="DJ264" s="27"/>
      <c r="DK264" s="27"/>
      <c r="DL264" s="28" t="str">
        <f>IFERROR(VLOOKUP(DJ264,Horarios!$H:$I,2,0),"")</f>
        <v/>
      </c>
      <c r="DM264" s="28" t="str">
        <f>IFERROR(VLOOKUP(DK264,Horarios!$H:$I,2,0),"")</f>
        <v/>
      </c>
      <c r="DN264" s="28" t="str">
        <f t="shared" si="164"/>
        <v>00:00</v>
      </c>
      <c r="DO264" s="29"/>
      <c r="DP264" s="27"/>
      <c r="DQ264" s="27"/>
      <c r="DR264" s="28" t="str">
        <f>IFERROR(VLOOKUP(DP264,Horarios!$H:$I,2,0),"")</f>
        <v/>
      </c>
      <c r="DS264" s="28" t="str">
        <f>IFERROR(VLOOKUP(DQ264,Horarios!$H:$I,2,0),"")</f>
        <v/>
      </c>
      <c r="DT264" s="28" t="str">
        <f t="shared" si="165"/>
        <v>00:00</v>
      </c>
      <c r="DU264" s="29"/>
      <c r="DV264" s="27"/>
      <c r="DW264" s="27"/>
      <c r="DX264" s="28" t="str">
        <f>IFERROR(VLOOKUP(DV264,Horarios!$H:$I,2,0),"")</f>
        <v/>
      </c>
      <c r="DY264" s="28" t="str">
        <f>IFERROR(VLOOKUP(DW264,Horarios!$H:$I,2,0),"")</f>
        <v/>
      </c>
      <c r="DZ264" s="28" t="str">
        <f t="shared" si="166"/>
        <v>00:00</v>
      </c>
      <c r="EA264" s="29"/>
      <c r="EB264" s="31" t="str">
        <f t="shared" si="167"/>
        <v/>
      </c>
      <c r="EC264" s="27"/>
      <c r="ED264" s="27"/>
      <c r="EE264" s="28" t="str">
        <f>IFERROR(VLOOKUP(EC264,Horarios!$H:$I,2,0),"")</f>
        <v/>
      </c>
      <c r="EF264" s="28" t="str">
        <f>IFERROR(VLOOKUP(ED264,Horarios!$H:$I,2,0),"")</f>
        <v/>
      </c>
      <c r="EG264" s="28" t="str">
        <f t="shared" si="168"/>
        <v>00:00</v>
      </c>
      <c r="EH264" s="29"/>
      <c r="EI264" s="27"/>
      <c r="EJ264" s="27"/>
      <c r="EK264" s="28" t="str">
        <f>IFERROR(VLOOKUP(EI264,Horarios!$H:$I,2,0),"")</f>
        <v/>
      </c>
      <c r="EL264" s="28" t="str">
        <f>IFERROR(VLOOKUP(EJ264,Horarios!$H:$I,2,0),"")</f>
        <v/>
      </c>
      <c r="EM264" s="28" t="str">
        <f t="shared" si="169"/>
        <v>00:00</v>
      </c>
      <c r="EN264" s="29"/>
      <c r="EO264" s="27"/>
      <c r="EP264" s="27"/>
      <c r="EQ264" s="28" t="str">
        <f>IFERROR(VLOOKUP(EO264,Horarios!$H:$I,2,0),"")</f>
        <v/>
      </c>
      <c r="ER264" s="28" t="str">
        <f>IFERROR(VLOOKUP(EP264,Horarios!$H:$I,2,0),"")</f>
        <v/>
      </c>
      <c r="ES264" s="28" t="str">
        <f t="shared" si="170"/>
        <v>00:00</v>
      </c>
      <c r="ET264" s="29"/>
      <c r="EU264" s="27"/>
      <c r="EV264" s="27"/>
      <c r="EW264" s="28" t="str">
        <f>IFERROR(VLOOKUP(EU264,Horarios!$H:$I,2,0),"")</f>
        <v/>
      </c>
      <c r="EX264" s="28" t="str">
        <f>IFERROR(VLOOKUP(EV264,Horarios!$H:$I,2,0),"")</f>
        <v/>
      </c>
      <c r="EY264" s="28" t="str">
        <f t="shared" si="171"/>
        <v>00:00</v>
      </c>
      <c r="EZ264" s="29"/>
      <c r="FA264" s="27"/>
      <c r="FB264" s="27"/>
      <c r="FC264" s="28" t="str">
        <f>IFERROR(VLOOKUP(FA264,Horarios!$H:$I,2,0),"")</f>
        <v/>
      </c>
      <c r="FD264" s="28" t="str">
        <f>IFERROR(VLOOKUP(FB264,Horarios!$H:$I,2,0),"")</f>
        <v/>
      </c>
      <c r="FE264" s="28" t="str">
        <f t="shared" si="172"/>
        <v>00:00</v>
      </c>
      <c r="FF264" s="29"/>
      <c r="FG264" s="27"/>
      <c r="FH264" s="27"/>
      <c r="FI264" s="28" t="str">
        <f>IFERROR(VLOOKUP(FG264,Horarios!$H:$I,2,0),"")</f>
        <v/>
      </c>
      <c r="FJ264" s="28" t="str">
        <f>IFERROR(VLOOKUP(FH264,Horarios!$H:$I,2,0),"")</f>
        <v/>
      </c>
      <c r="FK264" s="28" t="str">
        <f t="shared" si="173"/>
        <v>00:00</v>
      </c>
      <c r="FL264" s="29"/>
      <c r="FM264" s="27"/>
      <c r="FN264" s="27"/>
      <c r="FO264" s="28" t="str">
        <f>IFERROR(VLOOKUP(FM264,Horarios!$H:$I,2,0),"")</f>
        <v/>
      </c>
      <c r="FP264" s="28" t="str">
        <f>IFERROR(VLOOKUP(FN264,Horarios!$H:$I,2,0),"")</f>
        <v/>
      </c>
      <c r="FQ264" s="28" t="str">
        <f t="shared" si="174"/>
        <v>00:00</v>
      </c>
      <c r="FR264" s="29"/>
      <c r="FS264" s="31" t="str">
        <f t="shared" si="175"/>
        <v/>
      </c>
      <c r="FT264" s="27"/>
      <c r="FU264" s="27"/>
      <c r="FV264" s="28" t="str">
        <f>IFERROR(VLOOKUP(FT264,Horarios!$H:$I,2,0),"")</f>
        <v/>
      </c>
      <c r="FW264" s="28" t="str">
        <f>IFERROR(VLOOKUP(FU264,Horarios!$H:$I,2,0),"")</f>
        <v/>
      </c>
      <c r="FX264" s="28" t="str">
        <f t="shared" si="176"/>
        <v>00:00</v>
      </c>
      <c r="FY264" s="29"/>
      <c r="FZ264" s="27"/>
      <c r="GA264" s="27"/>
      <c r="GB264" s="28" t="str">
        <f>IFERROR(VLOOKUP(FZ264,Horarios!$H:$I,2,0),"")</f>
        <v/>
      </c>
      <c r="GC264" s="28" t="str">
        <f>IFERROR(VLOOKUP(GA264,Horarios!$H:$I,2,0),"")</f>
        <v/>
      </c>
      <c r="GD264" s="28" t="str">
        <f t="shared" si="177"/>
        <v>00:00</v>
      </c>
      <c r="GE264" s="29"/>
      <c r="GF264" s="27"/>
      <c r="GG264" s="27"/>
      <c r="GH264" s="28" t="str">
        <f>IFERROR(VLOOKUP(GF264,Horarios!$H:$I,2,0),"")</f>
        <v/>
      </c>
      <c r="GI264" s="28" t="str">
        <f>IFERROR(VLOOKUP(GG264,Horarios!$H:$I,2,0),"")</f>
        <v/>
      </c>
      <c r="GJ264" s="28" t="str">
        <f t="shared" si="178"/>
        <v>00:00</v>
      </c>
      <c r="GK264" s="29"/>
      <c r="GL264" s="27"/>
      <c r="GM264" s="27"/>
      <c r="GN264" s="28" t="str">
        <f>IFERROR(VLOOKUP(GL264,Horarios!$H:$I,2,0),"")</f>
        <v/>
      </c>
      <c r="GO264" s="28" t="str">
        <f>IFERROR(VLOOKUP(GM264,Horarios!$H:$I,2,0),"")</f>
        <v/>
      </c>
      <c r="GP264" s="28" t="str">
        <f t="shared" si="179"/>
        <v>00:00</v>
      </c>
      <c r="GQ264" s="29"/>
      <c r="GR264" s="27"/>
      <c r="GS264" s="27"/>
      <c r="GT264" s="28" t="str">
        <f>IFERROR(VLOOKUP(GR264,Horarios!$H:$I,2,0),"")</f>
        <v/>
      </c>
      <c r="GU264" s="28" t="str">
        <f>IFERROR(VLOOKUP(GS264,Horarios!$H:$I,2,0),"")</f>
        <v/>
      </c>
      <c r="GV264" s="28" t="str">
        <f t="shared" si="180"/>
        <v>00:00</v>
      </c>
      <c r="GW264" s="29"/>
      <c r="GX264" s="27"/>
      <c r="GY264" s="27"/>
      <c r="GZ264" s="28" t="str">
        <f>IFERROR(VLOOKUP(GX264,Horarios!$H:$I,2,0),"")</f>
        <v/>
      </c>
      <c r="HA264" s="28" t="str">
        <f>IFERROR(VLOOKUP(GY264,Horarios!$H:$I,2,0),"")</f>
        <v/>
      </c>
      <c r="HB264" s="28" t="str">
        <f t="shared" si="181"/>
        <v>00:00</v>
      </c>
      <c r="HC264" s="29"/>
      <c r="HD264" s="27"/>
      <c r="HE264" s="27"/>
      <c r="HF264" s="28" t="str">
        <f>IFERROR(VLOOKUP(HD264,Horarios!$H:$I,2,0),"")</f>
        <v/>
      </c>
      <c r="HG264" s="28" t="str">
        <f>IFERROR(VLOOKUP(HE264,Horarios!$H:$I,2,0),"")</f>
        <v/>
      </c>
      <c r="HH264" s="28" t="str">
        <f t="shared" si="182"/>
        <v>00:00</v>
      </c>
      <c r="HI264" s="29"/>
      <c r="HJ264" s="31" t="str">
        <f t="shared" si="183"/>
        <v/>
      </c>
      <c r="HK264" s="27"/>
      <c r="HL264" s="27"/>
      <c r="HM264" s="28" t="str">
        <f>IFERROR(VLOOKUP(HK264,Horarios!$H:$I,2,0),"")</f>
        <v/>
      </c>
      <c r="HN264" s="28" t="str">
        <f>IFERROR(VLOOKUP(HL264,Horarios!$H:$I,2,0),"")</f>
        <v/>
      </c>
      <c r="HO264" s="28" t="str">
        <f t="shared" si="184"/>
        <v>00:00</v>
      </c>
      <c r="HP264" s="29"/>
      <c r="HQ264" s="27"/>
      <c r="HR264" s="27"/>
      <c r="HS264" s="28" t="str">
        <f>IFERROR(VLOOKUP(HQ264,Horarios!$H:$I,2,0),"")</f>
        <v/>
      </c>
      <c r="HT264" s="28" t="str">
        <f>IFERROR(VLOOKUP(HR264,Horarios!$H:$I,2,0),"")</f>
        <v/>
      </c>
      <c r="HU264" s="28" t="str">
        <f t="shared" si="185"/>
        <v>00:00</v>
      </c>
      <c r="HV264" s="29"/>
      <c r="HW264" s="27"/>
      <c r="HX264" s="27"/>
      <c r="HY264" s="28" t="str">
        <f>IFERROR(VLOOKUP(HW264,Horarios!$H:$I,2,0),"")</f>
        <v/>
      </c>
      <c r="HZ264" s="28" t="str">
        <f>IFERROR(VLOOKUP(HX264,Horarios!$H:$I,2,0),"")</f>
        <v/>
      </c>
      <c r="IA264" s="28" t="str">
        <f t="shared" si="186"/>
        <v>00:00</v>
      </c>
      <c r="IB264" s="29"/>
      <c r="IC264" s="27"/>
      <c r="ID264" s="27"/>
      <c r="IE264" s="28" t="str">
        <f>IFERROR(VLOOKUP(IC264,Horarios!$H:$I,2,0),"")</f>
        <v/>
      </c>
      <c r="IF264" s="28" t="str">
        <f>IFERROR(VLOOKUP(ID264,Horarios!$H:$I,2,0),"")</f>
        <v/>
      </c>
      <c r="IG264" s="28" t="str">
        <f t="shared" si="187"/>
        <v>00:00</v>
      </c>
      <c r="IH264" s="29"/>
      <c r="II264" s="27"/>
      <c r="IJ264" s="27"/>
      <c r="IK264" s="28" t="str">
        <f>IFERROR(VLOOKUP(II264,Horarios!$H:$I,2,0),"")</f>
        <v/>
      </c>
      <c r="IL264" s="28" t="str">
        <f>IFERROR(VLOOKUP(IJ264,Horarios!$H:$I,2,0),"")</f>
        <v/>
      </c>
      <c r="IM264" s="28" t="str">
        <f t="shared" si="188"/>
        <v>00:00</v>
      </c>
      <c r="IN264" s="29"/>
      <c r="IO264" s="27"/>
      <c r="IP264" s="27"/>
      <c r="IQ264" s="28" t="str">
        <f>IFERROR(VLOOKUP(IO264,Horarios!$H:$I,2,0),"")</f>
        <v/>
      </c>
      <c r="IR264" s="28" t="str">
        <f>IFERROR(VLOOKUP(IP264,Horarios!$H:$I,2,0),"")</f>
        <v/>
      </c>
      <c r="IS264" s="28" t="str">
        <f t="shared" si="189"/>
        <v>00:00</v>
      </c>
      <c r="IT264" s="29"/>
      <c r="IU264" s="27"/>
      <c r="IV264" s="27"/>
      <c r="IW264" s="28" t="str">
        <f>IFERROR(VLOOKUP(IU264,Horarios!$H:$I,2,0),"")</f>
        <v/>
      </c>
      <c r="IX264" s="28" t="str">
        <f>IFERROR(VLOOKUP(IV264,Horarios!$H:$I,2,0),"")</f>
        <v/>
      </c>
      <c r="IY264" s="28" t="str">
        <f t="shared" si="190"/>
        <v>00:00</v>
      </c>
      <c r="IZ264" s="29"/>
      <c r="JA264" s="31" t="str">
        <f t="shared" si="191"/>
        <v/>
      </c>
    </row>
    <row r="265" spans="1:261" s="24" customFormat="1" ht="17.399999999999999" x14ac:dyDescent="0.25">
      <c r="A265" s="25"/>
      <c r="B265" s="26" t="str">
        <f>IFERROR(VLOOKUP(A265,BaseNombres!A:B,2,0),"")</f>
        <v/>
      </c>
      <c r="C265" s="26" t="str">
        <f>IFERROR(VLOOKUP(A265,BaseNombres!A:C,3,0),"")</f>
        <v/>
      </c>
      <c r="D265" s="27"/>
      <c r="E265" s="27"/>
      <c r="F265" s="28" t="str">
        <f>IFERROR(VLOOKUP(D265,Horarios!$H:$I,2,0),"")</f>
        <v/>
      </c>
      <c r="G265" s="28" t="str">
        <f>IFERROR(VLOOKUP(E265,Horarios!$H:$I,2,0),"")</f>
        <v/>
      </c>
      <c r="H265" s="28" t="str">
        <f t="shared" si="144"/>
        <v>00:00</v>
      </c>
      <c r="I265" s="29"/>
      <c r="J265" s="27"/>
      <c r="K265" s="27"/>
      <c r="L265" s="28" t="str">
        <f>IFERROR(VLOOKUP(J265,Horarios!$H:$I,2,0),"")</f>
        <v/>
      </c>
      <c r="M265" s="28" t="str">
        <f>IFERROR(VLOOKUP(K265,Horarios!$H:$I,2,0),"")</f>
        <v/>
      </c>
      <c r="N265" s="28" t="str">
        <f t="shared" si="145"/>
        <v>00:00</v>
      </c>
      <c r="O265" s="29"/>
      <c r="P265" s="27"/>
      <c r="Q265" s="27"/>
      <c r="R265" s="28" t="str">
        <f>IFERROR(VLOOKUP(P265,Horarios!$H:$I,2,0),"")</f>
        <v/>
      </c>
      <c r="S265" s="28" t="str">
        <f>IFERROR(VLOOKUP(Q265,Horarios!$H:$I,2,0),"")</f>
        <v/>
      </c>
      <c r="T265" s="28" t="str">
        <f t="shared" si="146"/>
        <v>00:00</v>
      </c>
      <c r="U265" s="29"/>
      <c r="V265" s="27"/>
      <c r="W265" s="27"/>
      <c r="X265" s="28" t="str">
        <f>IFERROR(VLOOKUP(V265,Horarios!$H:$I,2,0),"")</f>
        <v/>
      </c>
      <c r="Y265" s="28" t="str">
        <f>IFERROR(VLOOKUP(W265,Horarios!$H:$I,2,0),"")</f>
        <v/>
      </c>
      <c r="Z265" s="28" t="str">
        <f t="shared" si="147"/>
        <v>00:00</v>
      </c>
      <c r="AA265" s="29"/>
      <c r="AB265" s="27"/>
      <c r="AC265" s="27"/>
      <c r="AD265" s="28" t="str">
        <f>IFERROR(VLOOKUP(AB265,Horarios!$H:$I,2,0),"")</f>
        <v/>
      </c>
      <c r="AE265" s="28" t="str">
        <f>IFERROR(VLOOKUP(AC265,Horarios!$H:$I,2,0),"")</f>
        <v/>
      </c>
      <c r="AF265" s="28" t="str">
        <f t="shared" si="148"/>
        <v>00:00</v>
      </c>
      <c r="AG265" s="29"/>
      <c r="AH265" s="27"/>
      <c r="AI265" s="27"/>
      <c r="AJ265" s="28" t="str">
        <f>IFERROR(VLOOKUP(AH265,Horarios!$H:$I,2,0),"")</f>
        <v/>
      </c>
      <c r="AK265" s="28" t="str">
        <f>IFERROR(VLOOKUP(AI265,Horarios!$H:$I,2,0),"")</f>
        <v/>
      </c>
      <c r="AL265" s="28" t="str">
        <f t="shared" si="149"/>
        <v>00:00</v>
      </c>
      <c r="AM265" s="29"/>
      <c r="AN265" s="27"/>
      <c r="AO265" s="27"/>
      <c r="AP265" s="28" t="str">
        <f>IFERROR(VLOOKUP(AN265,Horarios!$H:$I,2,0),"")</f>
        <v/>
      </c>
      <c r="AQ265" s="28" t="str">
        <f>IFERROR(VLOOKUP(AO265,Horarios!$H:$I,2,0),"")</f>
        <v/>
      </c>
      <c r="AR265" s="28" t="str">
        <f t="shared" si="150"/>
        <v>00:00</v>
      </c>
      <c r="AS265" s="29"/>
      <c r="AT265" s="31" t="str">
        <f t="shared" si="151"/>
        <v/>
      </c>
      <c r="AU265" s="27"/>
      <c r="AV265" s="27"/>
      <c r="AW265" s="28" t="str">
        <f>IFERROR(VLOOKUP(AU265,Horarios!$H:$I,2,0),"")</f>
        <v/>
      </c>
      <c r="AX265" s="28" t="str">
        <f>IFERROR(VLOOKUP(AV265,Horarios!$H:$I,2,0),"")</f>
        <v/>
      </c>
      <c r="AY265" s="28" t="str">
        <f t="shared" si="152"/>
        <v>00:00</v>
      </c>
      <c r="AZ265" s="29"/>
      <c r="BA265" s="27"/>
      <c r="BB265" s="27"/>
      <c r="BC265" s="28" t="str">
        <f>IFERROR(VLOOKUP(BA265,Horarios!$H:$I,2,0),"")</f>
        <v/>
      </c>
      <c r="BD265" s="28" t="str">
        <f>IFERROR(VLOOKUP(BB265,Horarios!$H:$I,2,0),"")</f>
        <v/>
      </c>
      <c r="BE265" s="28" t="str">
        <f t="shared" si="153"/>
        <v>00:00</v>
      </c>
      <c r="BF265" s="29"/>
      <c r="BG265" s="27"/>
      <c r="BH265" s="27"/>
      <c r="BI265" s="28" t="str">
        <f>IFERROR(VLOOKUP(BG265,Horarios!$H:$I,2,0),"")</f>
        <v/>
      </c>
      <c r="BJ265" s="28" t="str">
        <f>IFERROR(VLOOKUP(BH265,Horarios!$H:$I,2,0),"")</f>
        <v/>
      </c>
      <c r="BK265" s="28" t="str">
        <f t="shared" si="154"/>
        <v>00:00</v>
      </c>
      <c r="BL265" s="29"/>
      <c r="BM265" s="27"/>
      <c r="BN265" s="27"/>
      <c r="BO265" s="28" t="str">
        <f>IFERROR(VLOOKUP(BM265,Horarios!$H:$I,2,0),"")</f>
        <v/>
      </c>
      <c r="BP265" s="28" t="str">
        <f>IFERROR(VLOOKUP(BN265,Horarios!$H:$I,2,0),"")</f>
        <v/>
      </c>
      <c r="BQ265" s="28" t="str">
        <f t="shared" si="155"/>
        <v>00:00</v>
      </c>
      <c r="BR265" s="29"/>
      <c r="BS265" s="27"/>
      <c r="BT265" s="27"/>
      <c r="BU265" s="28" t="str">
        <f>IFERROR(VLOOKUP(BS265,Horarios!$H:$I,2,0),"")</f>
        <v/>
      </c>
      <c r="BV265" s="28" t="str">
        <f>IFERROR(VLOOKUP(BT265,Horarios!$H:$I,2,0),"")</f>
        <v/>
      </c>
      <c r="BW265" s="28" t="str">
        <f t="shared" si="156"/>
        <v>00:00</v>
      </c>
      <c r="BX265" s="29"/>
      <c r="BY265" s="27"/>
      <c r="BZ265" s="27"/>
      <c r="CA265" s="28" t="str">
        <f>IFERROR(VLOOKUP(BY265,Horarios!$H:$I,2,0),"")</f>
        <v/>
      </c>
      <c r="CB265" s="28" t="str">
        <f>IFERROR(VLOOKUP(BZ265,Horarios!$H:$I,2,0),"")</f>
        <v/>
      </c>
      <c r="CC265" s="28" t="str">
        <f t="shared" si="157"/>
        <v>00:00</v>
      </c>
      <c r="CD265" s="29"/>
      <c r="CE265" s="27"/>
      <c r="CF265" s="27"/>
      <c r="CG265" s="28" t="str">
        <f>IFERROR(VLOOKUP(CE265,Horarios!$H:$I,2,0),"")</f>
        <v/>
      </c>
      <c r="CH265" s="28" t="str">
        <f>IFERROR(VLOOKUP(CF265,Horarios!$H:$I,2,0),"")</f>
        <v/>
      </c>
      <c r="CI265" s="28" t="str">
        <f t="shared" si="158"/>
        <v>00:00</v>
      </c>
      <c r="CJ265" s="29"/>
      <c r="CK265" s="31" t="str">
        <f t="shared" si="159"/>
        <v/>
      </c>
      <c r="CL265" s="27"/>
      <c r="CM265" s="27"/>
      <c r="CN265" s="28" t="str">
        <f>IFERROR(VLOOKUP(CL265,Horarios!$H:$I,2,0),"")</f>
        <v/>
      </c>
      <c r="CO265" s="28" t="str">
        <f>IFERROR(VLOOKUP(CM265,Horarios!$H:$I,2,0),"")</f>
        <v/>
      </c>
      <c r="CP265" s="28" t="str">
        <f t="shared" si="160"/>
        <v>00:00</v>
      </c>
      <c r="CQ265" s="29"/>
      <c r="CR265" s="27"/>
      <c r="CS265" s="27"/>
      <c r="CT265" s="28" t="str">
        <f>IFERROR(VLOOKUP(CR265,Horarios!$H:$I,2,0),"")</f>
        <v/>
      </c>
      <c r="CU265" s="28" t="str">
        <f>IFERROR(VLOOKUP(CS265,Horarios!$H:$I,2,0),"")</f>
        <v/>
      </c>
      <c r="CV265" s="28" t="str">
        <f t="shared" si="161"/>
        <v>00:00</v>
      </c>
      <c r="CW265" s="29"/>
      <c r="CX265" s="27"/>
      <c r="CY265" s="27"/>
      <c r="CZ265" s="28" t="str">
        <f>IFERROR(VLOOKUP(CX265,Horarios!$H:$I,2,0),"")</f>
        <v/>
      </c>
      <c r="DA265" s="28" t="str">
        <f>IFERROR(VLOOKUP(CY265,Horarios!$H:$I,2,0),"")</f>
        <v/>
      </c>
      <c r="DB265" s="28" t="str">
        <f t="shared" si="162"/>
        <v>00:00</v>
      </c>
      <c r="DC265" s="29"/>
      <c r="DD265" s="27"/>
      <c r="DE265" s="27"/>
      <c r="DF265" s="28" t="str">
        <f>IFERROR(VLOOKUP(DD265,Horarios!$H:$I,2,0),"")</f>
        <v/>
      </c>
      <c r="DG265" s="28" t="str">
        <f>IFERROR(VLOOKUP(DE265,Horarios!$H:$I,2,0),"")</f>
        <v/>
      </c>
      <c r="DH265" s="28" t="str">
        <f t="shared" si="163"/>
        <v>00:00</v>
      </c>
      <c r="DI265" s="29"/>
      <c r="DJ265" s="27"/>
      <c r="DK265" s="27"/>
      <c r="DL265" s="28" t="str">
        <f>IFERROR(VLOOKUP(DJ265,Horarios!$H:$I,2,0),"")</f>
        <v/>
      </c>
      <c r="DM265" s="28" t="str">
        <f>IFERROR(VLOOKUP(DK265,Horarios!$H:$I,2,0),"")</f>
        <v/>
      </c>
      <c r="DN265" s="28" t="str">
        <f t="shared" si="164"/>
        <v>00:00</v>
      </c>
      <c r="DO265" s="29"/>
      <c r="DP265" s="27"/>
      <c r="DQ265" s="27"/>
      <c r="DR265" s="28" t="str">
        <f>IFERROR(VLOOKUP(DP265,Horarios!$H:$I,2,0),"")</f>
        <v/>
      </c>
      <c r="DS265" s="28" t="str">
        <f>IFERROR(VLOOKUP(DQ265,Horarios!$H:$I,2,0),"")</f>
        <v/>
      </c>
      <c r="DT265" s="28" t="str">
        <f t="shared" si="165"/>
        <v>00:00</v>
      </c>
      <c r="DU265" s="29"/>
      <c r="DV265" s="27"/>
      <c r="DW265" s="27"/>
      <c r="DX265" s="28" t="str">
        <f>IFERROR(VLOOKUP(DV265,Horarios!$H:$I,2,0),"")</f>
        <v/>
      </c>
      <c r="DY265" s="28" t="str">
        <f>IFERROR(VLOOKUP(DW265,Horarios!$H:$I,2,0),"")</f>
        <v/>
      </c>
      <c r="DZ265" s="28" t="str">
        <f t="shared" si="166"/>
        <v>00:00</v>
      </c>
      <c r="EA265" s="29"/>
      <c r="EB265" s="31" t="str">
        <f t="shared" si="167"/>
        <v/>
      </c>
      <c r="EC265" s="27"/>
      <c r="ED265" s="27"/>
      <c r="EE265" s="28" t="str">
        <f>IFERROR(VLOOKUP(EC265,Horarios!$H:$I,2,0),"")</f>
        <v/>
      </c>
      <c r="EF265" s="28" t="str">
        <f>IFERROR(VLOOKUP(ED265,Horarios!$H:$I,2,0),"")</f>
        <v/>
      </c>
      <c r="EG265" s="28" t="str">
        <f t="shared" si="168"/>
        <v>00:00</v>
      </c>
      <c r="EH265" s="29"/>
      <c r="EI265" s="27"/>
      <c r="EJ265" s="27"/>
      <c r="EK265" s="28" t="str">
        <f>IFERROR(VLOOKUP(EI265,Horarios!$H:$I,2,0),"")</f>
        <v/>
      </c>
      <c r="EL265" s="28" t="str">
        <f>IFERROR(VLOOKUP(EJ265,Horarios!$H:$I,2,0),"")</f>
        <v/>
      </c>
      <c r="EM265" s="28" t="str">
        <f t="shared" si="169"/>
        <v>00:00</v>
      </c>
      <c r="EN265" s="29"/>
      <c r="EO265" s="27"/>
      <c r="EP265" s="27"/>
      <c r="EQ265" s="28" t="str">
        <f>IFERROR(VLOOKUP(EO265,Horarios!$H:$I,2,0),"")</f>
        <v/>
      </c>
      <c r="ER265" s="28" t="str">
        <f>IFERROR(VLOOKUP(EP265,Horarios!$H:$I,2,0),"")</f>
        <v/>
      </c>
      <c r="ES265" s="28" t="str">
        <f t="shared" si="170"/>
        <v>00:00</v>
      </c>
      <c r="ET265" s="29"/>
      <c r="EU265" s="27"/>
      <c r="EV265" s="27"/>
      <c r="EW265" s="28" t="str">
        <f>IFERROR(VLOOKUP(EU265,Horarios!$H:$I,2,0),"")</f>
        <v/>
      </c>
      <c r="EX265" s="28" t="str">
        <f>IFERROR(VLOOKUP(EV265,Horarios!$H:$I,2,0),"")</f>
        <v/>
      </c>
      <c r="EY265" s="28" t="str">
        <f t="shared" si="171"/>
        <v>00:00</v>
      </c>
      <c r="EZ265" s="29"/>
      <c r="FA265" s="27"/>
      <c r="FB265" s="27"/>
      <c r="FC265" s="28" t="str">
        <f>IFERROR(VLOOKUP(FA265,Horarios!$H:$I,2,0),"")</f>
        <v/>
      </c>
      <c r="FD265" s="28" t="str">
        <f>IFERROR(VLOOKUP(FB265,Horarios!$H:$I,2,0),"")</f>
        <v/>
      </c>
      <c r="FE265" s="28" t="str">
        <f t="shared" si="172"/>
        <v>00:00</v>
      </c>
      <c r="FF265" s="29"/>
      <c r="FG265" s="27"/>
      <c r="FH265" s="27"/>
      <c r="FI265" s="28" t="str">
        <f>IFERROR(VLOOKUP(FG265,Horarios!$H:$I,2,0),"")</f>
        <v/>
      </c>
      <c r="FJ265" s="28" t="str">
        <f>IFERROR(VLOOKUP(FH265,Horarios!$H:$I,2,0),"")</f>
        <v/>
      </c>
      <c r="FK265" s="28" t="str">
        <f t="shared" si="173"/>
        <v>00:00</v>
      </c>
      <c r="FL265" s="29"/>
      <c r="FM265" s="27"/>
      <c r="FN265" s="27"/>
      <c r="FO265" s="28" t="str">
        <f>IFERROR(VLOOKUP(FM265,Horarios!$H:$I,2,0),"")</f>
        <v/>
      </c>
      <c r="FP265" s="28" t="str">
        <f>IFERROR(VLOOKUP(FN265,Horarios!$H:$I,2,0),"")</f>
        <v/>
      </c>
      <c r="FQ265" s="28" t="str">
        <f t="shared" si="174"/>
        <v>00:00</v>
      </c>
      <c r="FR265" s="29"/>
      <c r="FS265" s="31" t="str">
        <f t="shared" si="175"/>
        <v/>
      </c>
      <c r="FT265" s="27"/>
      <c r="FU265" s="27"/>
      <c r="FV265" s="28" t="str">
        <f>IFERROR(VLOOKUP(FT265,Horarios!$H:$I,2,0),"")</f>
        <v/>
      </c>
      <c r="FW265" s="28" t="str">
        <f>IFERROR(VLOOKUP(FU265,Horarios!$H:$I,2,0),"")</f>
        <v/>
      </c>
      <c r="FX265" s="28" t="str">
        <f t="shared" si="176"/>
        <v>00:00</v>
      </c>
      <c r="FY265" s="29"/>
      <c r="FZ265" s="27"/>
      <c r="GA265" s="27"/>
      <c r="GB265" s="28" t="str">
        <f>IFERROR(VLOOKUP(FZ265,Horarios!$H:$I,2,0),"")</f>
        <v/>
      </c>
      <c r="GC265" s="28" t="str">
        <f>IFERROR(VLOOKUP(GA265,Horarios!$H:$I,2,0),"")</f>
        <v/>
      </c>
      <c r="GD265" s="28" t="str">
        <f t="shared" si="177"/>
        <v>00:00</v>
      </c>
      <c r="GE265" s="29"/>
      <c r="GF265" s="27"/>
      <c r="GG265" s="27"/>
      <c r="GH265" s="28" t="str">
        <f>IFERROR(VLOOKUP(GF265,Horarios!$H:$I,2,0),"")</f>
        <v/>
      </c>
      <c r="GI265" s="28" t="str">
        <f>IFERROR(VLOOKUP(GG265,Horarios!$H:$I,2,0),"")</f>
        <v/>
      </c>
      <c r="GJ265" s="28" t="str">
        <f t="shared" si="178"/>
        <v>00:00</v>
      </c>
      <c r="GK265" s="29"/>
      <c r="GL265" s="27"/>
      <c r="GM265" s="27"/>
      <c r="GN265" s="28" t="str">
        <f>IFERROR(VLOOKUP(GL265,Horarios!$H:$I,2,0),"")</f>
        <v/>
      </c>
      <c r="GO265" s="28" t="str">
        <f>IFERROR(VLOOKUP(GM265,Horarios!$H:$I,2,0),"")</f>
        <v/>
      </c>
      <c r="GP265" s="28" t="str">
        <f t="shared" si="179"/>
        <v>00:00</v>
      </c>
      <c r="GQ265" s="29"/>
      <c r="GR265" s="27"/>
      <c r="GS265" s="27"/>
      <c r="GT265" s="28" t="str">
        <f>IFERROR(VLOOKUP(GR265,Horarios!$H:$I,2,0),"")</f>
        <v/>
      </c>
      <c r="GU265" s="28" t="str">
        <f>IFERROR(VLOOKUP(GS265,Horarios!$H:$I,2,0),"")</f>
        <v/>
      </c>
      <c r="GV265" s="28" t="str">
        <f t="shared" si="180"/>
        <v>00:00</v>
      </c>
      <c r="GW265" s="29"/>
      <c r="GX265" s="27"/>
      <c r="GY265" s="27"/>
      <c r="GZ265" s="28" t="str">
        <f>IFERROR(VLOOKUP(GX265,Horarios!$H:$I,2,0),"")</f>
        <v/>
      </c>
      <c r="HA265" s="28" t="str">
        <f>IFERROR(VLOOKUP(GY265,Horarios!$H:$I,2,0),"")</f>
        <v/>
      </c>
      <c r="HB265" s="28" t="str">
        <f t="shared" si="181"/>
        <v>00:00</v>
      </c>
      <c r="HC265" s="29"/>
      <c r="HD265" s="27"/>
      <c r="HE265" s="27"/>
      <c r="HF265" s="28" t="str">
        <f>IFERROR(VLOOKUP(HD265,Horarios!$H:$I,2,0),"")</f>
        <v/>
      </c>
      <c r="HG265" s="28" t="str">
        <f>IFERROR(VLOOKUP(HE265,Horarios!$H:$I,2,0),"")</f>
        <v/>
      </c>
      <c r="HH265" s="28" t="str">
        <f t="shared" si="182"/>
        <v>00:00</v>
      </c>
      <c r="HI265" s="29"/>
      <c r="HJ265" s="31" t="str">
        <f t="shared" si="183"/>
        <v/>
      </c>
      <c r="HK265" s="27"/>
      <c r="HL265" s="27"/>
      <c r="HM265" s="28" t="str">
        <f>IFERROR(VLOOKUP(HK265,Horarios!$H:$I,2,0),"")</f>
        <v/>
      </c>
      <c r="HN265" s="28" t="str">
        <f>IFERROR(VLOOKUP(HL265,Horarios!$H:$I,2,0),"")</f>
        <v/>
      </c>
      <c r="HO265" s="28" t="str">
        <f t="shared" si="184"/>
        <v>00:00</v>
      </c>
      <c r="HP265" s="29"/>
      <c r="HQ265" s="27"/>
      <c r="HR265" s="27"/>
      <c r="HS265" s="28" t="str">
        <f>IFERROR(VLOOKUP(HQ265,Horarios!$H:$I,2,0),"")</f>
        <v/>
      </c>
      <c r="HT265" s="28" t="str">
        <f>IFERROR(VLOOKUP(HR265,Horarios!$H:$I,2,0),"")</f>
        <v/>
      </c>
      <c r="HU265" s="28" t="str">
        <f t="shared" si="185"/>
        <v>00:00</v>
      </c>
      <c r="HV265" s="29"/>
      <c r="HW265" s="27"/>
      <c r="HX265" s="27"/>
      <c r="HY265" s="28" t="str">
        <f>IFERROR(VLOOKUP(HW265,Horarios!$H:$I,2,0),"")</f>
        <v/>
      </c>
      <c r="HZ265" s="28" t="str">
        <f>IFERROR(VLOOKUP(HX265,Horarios!$H:$I,2,0),"")</f>
        <v/>
      </c>
      <c r="IA265" s="28" t="str">
        <f t="shared" si="186"/>
        <v>00:00</v>
      </c>
      <c r="IB265" s="29"/>
      <c r="IC265" s="27"/>
      <c r="ID265" s="27"/>
      <c r="IE265" s="28" t="str">
        <f>IFERROR(VLOOKUP(IC265,Horarios!$H:$I,2,0),"")</f>
        <v/>
      </c>
      <c r="IF265" s="28" t="str">
        <f>IFERROR(VLOOKUP(ID265,Horarios!$H:$I,2,0),"")</f>
        <v/>
      </c>
      <c r="IG265" s="28" t="str">
        <f t="shared" si="187"/>
        <v>00:00</v>
      </c>
      <c r="IH265" s="29"/>
      <c r="II265" s="27"/>
      <c r="IJ265" s="27"/>
      <c r="IK265" s="28" t="str">
        <f>IFERROR(VLOOKUP(II265,Horarios!$H:$I,2,0),"")</f>
        <v/>
      </c>
      <c r="IL265" s="28" t="str">
        <f>IFERROR(VLOOKUP(IJ265,Horarios!$H:$I,2,0),"")</f>
        <v/>
      </c>
      <c r="IM265" s="28" t="str">
        <f t="shared" si="188"/>
        <v>00:00</v>
      </c>
      <c r="IN265" s="29"/>
      <c r="IO265" s="27"/>
      <c r="IP265" s="27"/>
      <c r="IQ265" s="28" t="str">
        <f>IFERROR(VLOOKUP(IO265,Horarios!$H:$I,2,0),"")</f>
        <v/>
      </c>
      <c r="IR265" s="28" t="str">
        <f>IFERROR(VLOOKUP(IP265,Horarios!$H:$I,2,0),"")</f>
        <v/>
      </c>
      <c r="IS265" s="28" t="str">
        <f t="shared" si="189"/>
        <v>00:00</v>
      </c>
      <c r="IT265" s="29"/>
      <c r="IU265" s="27"/>
      <c r="IV265" s="27"/>
      <c r="IW265" s="28" t="str">
        <f>IFERROR(VLOOKUP(IU265,Horarios!$H:$I,2,0),"")</f>
        <v/>
      </c>
      <c r="IX265" s="28" t="str">
        <f>IFERROR(VLOOKUP(IV265,Horarios!$H:$I,2,0),"")</f>
        <v/>
      </c>
      <c r="IY265" s="28" t="str">
        <f t="shared" si="190"/>
        <v>00:00</v>
      </c>
      <c r="IZ265" s="29"/>
      <c r="JA265" s="31" t="str">
        <f t="shared" si="191"/>
        <v/>
      </c>
    </row>
    <row r="266" spans="1:261" s="24" customFormat="1" ht="17.399999999999999" x14ac:dyDescent="0.25">
      <c r="A266" s="25"/>
      <c r="B266" s="26" t="str">
        <f>IFERROR(VLOOKUP(A266,BaseNombres!A:B,2,0),"")</f>
        <v/>
      </c>
      <c r="C266" s="26" t="str">
        <f>IFERROR(VLOOKUP(A266,BaseNombres!A:C,3,0),"")</f>
        <v/>
      </c>
      <c r="D266" s="27"/>
      <c r="E266" s="27"/>
      <c r="F266" s="28" t="str">
        <f>IFERROR(VLOOKUP(D266,Horarios!$H:$I,2,0),"")</f>
        <v/>
      </c>
      <c r="G266" s="28" t="str">
        <f>IFERROR(VLOOKUP(E266,Horarios!$H:$I,2,0),"")</f>
        <v/>
      </c>
      <c r="H266" s="28" t="str">
        <f t="shared" si="144"/>
        <v>00:00</v>
      </c>
      <c r="I266" s="29"/>
      <c r="J266" s="27"/>
      <c r="K266" s="27"/>
      <c r="L266" s="28" t="str">
        <f>IFERROR(VLOOKUP(J266,Horarios!$H:$I,2,0),"")</f>
        <v/>
      </c>
      <c r="M266" s="28" t="str">
        <f>IFERROR(VLOOKUP(K266,Horarios!$H:$I,2,0),"")</f>
        <v/>
      </c>
      <c r="N266" s="28" t="str">
        <f t="shared" si="145"/>
        <v>00:00</v>
      </c>
      <c r="O266" s="29"/>
      <c r="P266" s="27"/>
      <c r="Q266" s="27"/>
      <c r="R266" s="28" t="str">
        <f>IFERROR(VLOOKUP(P266,Horarios!$H:$I,2,0),"")</f>
        <v/>
      </c>
      <c r="S266" s="28" t="str">
        <f>IFERROR(VLOOKUP(Q266,Horarios!$H:$I,2,0),"")</f>
        <v/>
      </c>
      <c r="T266" s="28" t="str">
        <f t="shared" si="146"/>
        <v>00:00</v>
      </c>
      <c r="U266" s="29"/>
      <c r="V266" s="27"/>
      <c r="W266" s="27"/>
      <c r="X266" s="28" t="str">
        <f>IFERROR(VLOOKUP(V266,Horarios!$H:$I,2,0),"")</f>
        <v/>
      </c>
      <c r="Y266" s="28" t="str">
        <f>IFERROR(VLOOKUP(W266,Horarios!$H:$I,2,0),"")</f>
        <v/>
      </c>
      <c r="Z266" s="28" t="str">
        <f t="shared" si="147"/>
        <v>00:00</v>
      </c>
      <c r="AA266" s="29"/>
      <c r="AB266" s="27"/>
      <c r="AC266" s="27"/>
      <c r="AD266" s="28" t="str">
        <f>IFERROR(VLOOKUP(AB266,Horarios!$H:$I,2,0),"")</f>
        <v/>
      </c>
      <c r="AE266" s="28" t="str">
        <f>IFERROR(VLOOKUP(AC266,Horarios!$H:$I,2,0),"")</f>
        <v/>
      </c>
      <c r="AF266" s="28" t="str">
        <f t="shared" si="148"/>
        <v>00:00</v>
      </c>
      <c r="AG266" s="29"/>
      <c r="AH266" s="27"/>
      <c r="AI266" s="27"/>
      <c r="AJ266" s="28" t="str">
        <f>IFERROR(VLOOKUP(AH266,Horarios!$H:$I,2,0),"")</f>
        <v/>
      </c>
      <c r="AK266" s="28" t="str">
        <f>IFERROR(VLOOKUP(AI266,Horarios!$H:$I,2,0),"")</f>
        <v/>
      </c>
      <c r="AL266" s="28" t="str">
        <f t="shared" si="149"/>
        <v>00:00</v>
      </c>
      <c r="AM266" s="29"/>
      <c r="AN266" s="27"/>
      <c r="AO266" s="27"/>
      <c r="AP266" s="28" t="str">
        <f>IFERROR(VLOOKUP(AN266,Horarios!$H:$I,2,0),"")</f>
        <v/>
      </c>
      <c r="AQ266" s="28" t="str">
        <f>IFERROR(VLOOKUP(AO266,Horarios!$H:$I,2,0),"")</f>
        <v/>
      </c>
      <c r="AR266" s="28" t="str">
        <f t="shared" si="150"/>
        <v>00:00</v>
      </c>
      <c r="AS266" s="29"/>
      <c r="AT266" s="31" t="str">
        <f t="shared" si="151"/>
        <v/>
      </c>
      <c r="AU266" s="27"/>
      <c r="AV266" s="27"/>
      <c r="AW266" s="28" t="str">
        <f>IFERROR(VLOOKUP(AU266,Horarios!$H:$I,2,0),"")</f>
        <v/>
      </c>
      <c r="AX266" s="28" t="str">
        <f>IFERROR(VLOOKUP(AV266,Horarios!$H:$I,2,0),"")</f>
        <v/>
      </c>
      <c r="AY266" s="28" t="str">
        <f t="shared" si="152"/>
        <v>00:00</v>
      </c>
      <c r="AZ266" s="29"/>
      <c r="BA266" s="27"/>
      <c r="BB266" s="27"/>
      <c r="BC266" s="28" t="str">
        <f>IFERROR(VLOOKUP(BA266,Horarios!$H:$I,2,0),"")</f>
        <v/>
      </c>
      <c r="BD266" s="28" t="str">
        <f>IFERROR(VLOOKUP(BB266,Horarios!$H:$I,2,0),"")</f>
        <v/>
      </c>
      <c r="BE266" s="28" t="str">
        <f t="shared" si="153"/>
        <v>00:00</v>
      </c>
      <c r="BF266" s="29"/>
      <c r="BG266" s="27"/>
      <c r="BH266" s="27"/>
      <c r="BI266" s="28" t="str">
        <f>IFERROR(VLOOKUP(BG266,Horarios!$H:$I,2,0),"")</f>
        <v/>
      </c>
      <c r="BJ266" s="28" t="str">
        <f>IFERROR(VLOOKUP(BH266,Horarios!$H:$I,2,0),"")</f>
        <v/>
      </c>
      <c r="BK266" s="28" t="str">
        <f t="shared" si="154"/>
        <v>00:00</v>
      </c>
      <c r="BL266" s="29"/>
      <c r="BM266" s="27"/>
      <c r="BN266" s="27"/>
      <c r="BO266" s="28" t="str">
        <f>IFERROR(VLOOKUP(BM266,Horarios!$H:$I,2,0),"")</f>
        <v/>
      </c>
      <c r="BP266" s="28" t="str">
        <f>IFERROR(VLOOKUP(BN266,Horarios!$H:$I,2,0),"")</f>
        <v/>
      </c>
      <c r="BQ266" s="28" t="str">
        <f t="shared" si="155"/>
        <v>00:00</v>
      </c>
      <c r="BR266" s="29"/>
      <c r="BS266" s="27"/>
      <c r="BT266" s="27"/>
      <c r="BU266" s="28" t="str">
        <f>IFERROR(VLOOKUP(BS266,Horarios!$H:$I,2,0),"")</f>
        <v/>
      </c>
      <c r="BV266" s="28" t="str">
        <f>IFERROR(VLOOKUP(BT266,Horarios!$H:$I,2,0),"")</f>
        <v/>
      </c>
      <c r="BW266" s="28" t="str">
        <f t="shared" si="156"/>
        <v>00:00</v>
      </c>
      <c r="BX266" s="29"/>
      <c r="BY266" s="27"/>
      <c r="BZ266" s="27"/>
      <c r="CA266" s="28" t="str">
        <f>IFERROR(VLOOKUP(BY266,Horarios!$H:$I,2,0),"")</f>
        <v/>
      </c>
      <c r="CB266" s="28" t="str">
        <f>IFERROR(VLOOKUP(BZ266,Horarios!$H:$I,2,0),"")</f>
        <v/>
      </c>
      <c r="CC266" s="28" t="str">
        <f t="shared" si="157"/>
        <v>00:00</v>
      </c>
      <c r="CD266" s="29"/>
      <c r="CE266" s="27"/>
      <c r="CF266" s="27"/>
      <c r="CG266" s="28" t="str">
        <f>IFERROR(VLOOKUP(CE266,Horarios!$H:$I,2,0),"")</f>
        <v/>
      </c>
      <c r="CH266" s="28" t="str">
        <f>IFERROR(VLOOKUP(CF266,Horarios!$H:$I,2,0),"")</f>
        <v/>
      </c>
      <c r="CI266" s="28" t="str">
        <f t="shared" si="158"/>
        <v>00:00</v>
      </c>
      <c r="CJ266" s="29"/>
      <c r="CK266" s="31" t="str">
        <f t="shared" si="159"/>
        <v/>
      </c>
      <c r="CL266" s="27"/>
      <c r="CM266" s="27"/>
      <c r="CN266" s="28" t="str">
        <f>IFERROR(VLOOKUP(CL266,Horarios!$H:$I,2,0),"")</f>
        <v/>
      </c>
      <c r="CO266" s="28" t="str">
        <f>IFERROR(VLOOKUP(CM266,Horarios!$H:$I,2,0),"")</f>
        <v/>
      </c>
      <c r="CP266" s="28" t="str">
        <f t="shared" si="160"/>
        <v>00:00</v>
      </c>
      <c r="CQ266" s="29"/>
      <c r="CR266" s="27"/>
      <c r="CS266" s="27"/>
      <c r="CT266" s="28" t="str">
        <f>IFERROR(VLOOKUP(CR266,Horarios!$H:$I,2,0),"")</f>
        <v/>
      </c>
      <c r="CU266" s="28" t="str">
        <f>IFERROR(VLOOKUP(CS266,Horarios!$H:$I,2,0),"")</f>
        <v/>
      </c>
      <c r="CV266" s="28" t="str">
        <f t="shared" si="161"/>
        <v>00:00</v>
      </c>
      <c r="CW266" s="29"/>
      <c r="CX266" s="27"/>
      <c r="CY266" s="27"/>
      <c r="CZ266" s="28" t="str">
        <f>IFERROR(VLOOKUP(CX266,Horarios!$H:$I,2,0),"")</f>
        <v/>
      </c>
      <c r="DA266" s="28" t="str">
        <f>IFERROR(VLOOKUP(CY266,Horarios!$H:$I,2,0),"")</f>
        <v/>
      </c>
      <c r="DB266" s="28" t="str">
        <f t="shared" si="162"/>
        <v>00:00</v>
      </c>
      <c r="DC266" s="29"/>
      <c r="DD266" s="27"/>
      <c r="DE266" s="27"/>
      <c r="DF266" s="28" t="str">
        <f>IFERROR(VLOOKUP(DD266,Horarios!$H:$I,2,0),"")</f>
        <v/>
      </c>
      <c r="DG266" s="28" t="str">
        <f>IFERROR(VLOOKUP(DE266,Horarios!$H:$I,2,0),"")</f>
        <v/>
      </c>
      <c r="DH266" s="28" t="str">
        <f t="shared" si="163"/>
        <v>00:00</v>
      </c>
      <c r="DI266" s="29"/>
      <c r="DJ266" s="27"/>
      <c r="DK266" s="27"/>
      <c r="DL266" s="28" t="str">
        <f>IFERROR(VLOOKUP(DJ266,Horarios!$H:$I,2,0),"")</f>
        <v/>
      </c>
      <c r="DM266" s="28" t="str">
        <f>IFERROR(VLOOKUP(DK266,Horarios!$H:$I,2,0),"")</f>
        <v/>
      </c>
      <c r="DN266" s="28" t="str">
        <f t="shared" si="164"/>
        <v>00:00</v>
      </c>
      <c r="DO266" s="29"/>
      <c r="DP266" s="27"/>
      <c r="DQ266" s="27"/>
      <c r="DR266" s="28" t="str">
        <f>IFERROR(VLOOKUP(DP266,Horarios!$H:$I,2,0),"")</f>
        <v/>
      </c>
      <c r="DS266" s="28" t="str">
        <f>IFERROR(VLOOKUP(DQ266,Horarios!$H:$I,2,0),"")</f>
        <v/>
      </c>
      <c r="DT266" s="28" t="str">
        <f t="shared" si="165"/>
        <v>00:00</v>
      </c>
      <c r="DU266" s="29"/>
      <c r="DV266" s="27"/>
      <c r="DW266" s="27"/>
      <c r="DX266" s="28" t="str">
        <f>IFERROR(VLOOKUP(DV266,Horarios!$H:$I,2,0),"")</f>
        <v/>
      </c>
      <c r="DY266" s="28" t="str">
        <f>IFERROR(VLOOKUP(DW266,Horarios!$H:$I,2,0),"")</f>
        <v/>
      </c>
      <c r="DZ266" s="28" t="str">
        <f t="shared" si="166"/>
        <v>00:00</v>
      </c>
      <c r="EA266" s="29"/>
      <c r="EB266" s="31" t="str">
        <f t="shared" si="167"/>
        <v/>
      </c>
      <c r="EC266" s="27"/>
      <c r="ED266" s="27"/>
      <c r="EE266" s="28" t="str">
        <f>IFERROR(VLOOKUP(EC266,Horarios!$H:$I,2,0),"")</f>
        <v/>
      </c>
      <c r="EF266" s="28" t="str">
        <f>IFERROR(VLOOKUP(ED266,Horarios!$H:$I,2,0),"")</f>
        <v/>
      </c>
      <c r="EG266" s="28" t="str">
        <f t="shared" si="168"/>
        <v>00:00</v>
      </c>
      <c r="EH266" s="29"/>
      <c r="EI266" s="27"/>
      <c r="EJ266" s="27"/>
      <c r="EK266" s="28" t="str">
        <f>IFERROR(VLOOKUP(EI266,Horarios!$H:$I,2,0),"")</f>
        <v/>
      </c>
      <c r="EL266" s="28" t="str">
        <f>IFERROR(VLOOKUP(EJ266,Horarios!$H:$I,2,0),"")</f>
        <v/>
      </c>
      <c r="EM266" s="28" t="str">
        <f t="shared" si="169"/>
        <v>00:00</v>
      </c>
      <c r="EN266" s="29"/>
      <c r="EO266" s="27"/>
      <c r="EP266" s="27"/>
      <c r="EQ266" s="28" t="str">
        <f>IFERROR(VLOOKUP(EO266,Horarios!$H:$I,2,0),"")</f>
        <v/>
      </c>
      <c r="ER266" s="28" t="str">
        <f>IFERROR(VLOOKUP(EP266,Horarios!$H:$I,2,0),"")</f>
        <v/>
      </c>
      <c r="ES266" s="28" t="str">
        <f t="shared" si="170"/>
        <v>00:00</v>
      </c>
      <c r="ET266" s="29"/>
      <c r="EU266" s="27"/>
      <c r="EV266" s="27"/>
      <c r="EW266" s="28" t="str">
        <f>IFERROR(VLOOKUP(EU266,Horarios!$H:$I,2,0),"")</f>
        <v/>
      </c>
      <c r="EX266" s="28" t="str">
        <f>IFERROR(VLOOKUP(EV266,Horarios!$H:$I,2,0),"")</f>
        <v/>
      </c>
      <c r="EY266" s="28" t="str">
        <f t="shared" si="171"/>
        <v>00:00</v>
      </c>
      <c r="EZ266" s="29"/>
      <c r="FA266" s="27"/>
      <c r="FB266" s="27"/>
      <c r="FC266" s="28" t="str">
        <f>IFERROR(VLOOKUP(FA266,Horarios!$H:$I,2,0),"")</f>
        <v/>
      </c>
      <c r="FD266" s="28" t="str">
        <f>IFERROR(VLOOKUP(FB266,Horarios!$H:$I,2,0),"")</f>
        <v/>
      </c>
      <c r="FE266" s="28" t="str">
        <f t="shared" si="172"/>
        <v>00:00</v>
      </c>
      <c r="FF266" s="29"/>
      <c r="FG266" s="27"/>
      <c r="FH266" s="27"/>
      <c r="FI266" s="28" t="str">
        <f>IFERROR(VLOOKUP(FG266,Horarios!$H:$I,2,0),"")</f>
        <v/>
      </c>
      <c r="FJ266" s="28" t="str">
        <f>IFERROR(VLOOKUP(FH266,Horarios!$H:$I,2,0),"")</f>
        <v/>
      </c>
      <c r="FK266" s="28" t="str">
        <f t="shared" si="173"/>
        <v>00:00</v>
      </c>
      <c r="FL266" s="29"/>
      <c r="FM266" s="27"/>
      <c r="FN266" s="27"/>
      <c r="FO266" s="28" t="str">
        <f>IFERROR(VLOOKUP(FM266,Horarios!$H:$I,2,0),"")</f>
        <v/>
      </c>
      <c r="FP266" s="28" t="str">
        <f>IFERROR(VLOOKUP(FN266,Horarios!$H:$I,2,0),"")</f>
        <v/>
      </c>
      <c r="FQ266" s="28" t="str">
        <f t="shared" si="174"/>
        <v>00:00</v>
      </c>
      <c r="FR266" s="29"/>
      <c r="FS266" s="31" t="str">
        <f t="shared" si="175"/>
        <v/>
      </c>
      <c r="FT266" s="27"/>
      <c r="FU266" s="27"/>
      <c r="FV266" s="28" t="str">
        <f>IFERROR(VLOOKUP(FT266,Horarios!$H:$I,2,0),"")</f>
        <v/>
      </c>
      <c r="FW266" s="28" t="str">
        <f>IFERROR(VLOOKUP(FU266,Horarios!$H:$I,2,0),"")</f>
        <v/>
      </c>
      <c r="FX266" s="28" t="str">
        <f t="shared" si="176"/>
        <v>00:00</v>
      </c>
      <c r="FY266" s="29"/>
      <c r="FZ266" s="27"/>
      <c r="GA266" s="27"/>
      <c r="GB266" s="28" t="str">
        <f>IFERROR(VLOOKUP(FZ266,Horarios!$H:$I,2,0),"")</f>
        <v/>
      </c>
      <c r="GC266" s="28" t="str">
        <f>IFERROR(VLOOKUP(GA266,Horarios!$H:$I,2,0),"")</f>
        <v/>
      </c>
      <c r="GD266" s="28" t="str">
        <f t="shared" si="177"/>
        <v>00:00</v>
      </c>
      <c r="GE266" s="29"/>
      <c r="GF266" s="27"/>
      <c r="GG266" s="27"/>
      <c r="GH266" s="28" t="str">
        <f>IFERROR(VLOOKUP(GF266,Horarios!$H:$I,2,0),"")</f>
        <v/>
      </c>
      <c r="GI266" s="28" t="str">
        <f>IFERROR(VLOOKUP(GG266,Horarios!$H:$I,2,0),"")</f>
        <v/>
      </c>
      <c r="GJ266" s="28" t="str">
        <f t="shared" si="178"/>
        <v>00:00</v>
      </c>
      <c r="GK266" s="29"/>
      <c r="GL266" s="27"/>
      <c r="GM266" s="27"/>
      <c r="GN266" s="28" t="str">
        <f>IFERROR(VLOOKUP(GL266,Horarios!$H:$I,2,0),"")</f>
        <v/>
      </c>
      <c r="GO266" s="28" t="str">
        <f>IFERROR(VLOOKUP(GM266,Horarios!$H:$I,2,0),"")</f>
        <v/>
      </c>
      <c r="GP266" s="28" t="str">
        <f t="shared" si="179"/>
        <v>00:00</v>
      </c>
      <c r="GQ266" s="29"/>
      <c r="GR266" s="27"/>
      <c r="GS266" s="27"/>
      <c r="GT266" s="28" t="str">
        <f>IFERROR(VLOOKUP(GR266,Horarios!$H:$I,2,0),"")</f>
        <v/>
      </c>
      <c r="GU266" s="28" t="str">
        <f>IFERROR(VLOOKUP(GS266,Horarios!$H:$I,2,0),"")</f>
        <v/>
      </c>
      <c r="GV266" s="28" t="str">
        <f t="shared" si="180"/>
        <v>00:00</v>
      </c>
      <c r="GW266" s="29"/>
      <c r="GX266" s="27"/>
      <c r="GY266" s="27"/>
      <c r="GZ266" s="28" t="str">
        <f>IFERROR(VLOOKUP(GX266,Horarios!$H:$I,2,0),"")</f>
        <v/>
      </c>
      <c r="HA266" s="28" t="str">
        <f>IFERROR(VLOOKUP(GY266,Horarios!$H:$I,2,0),"")</f>
        <v/>
      </c>
      <c r="HB266" s="28" t="str">
        <f t="shared" si="181"/>
        <v>00:00</v>
      </c>
      <c r="HC266" s="29"/>
      <c r="HD266" s="27"/>
      <c r="HE266" s="27"/>
      <c r="HF266" s="28" t="str">
        <f>IFERROR(VLOOKUP(HD266,Horarios!$H:$I,2,0),"")</f>
        <v/>
      </c>
      <c r="HG266" s="28" t="str">
        <f>IFERROR(VLOOKUP(HE266,Horarios!$H:$I,2,0),"")</f>
        <v/>
      </c>
      <c r="HH266" s="28" t="str">
        <f t="shared" si="182"/>
        <v>00:00</v>
      </c>
      <c r="HI266" s="29"/>
      <c r="HJ266" s="31" t="str">
        <f t="shared" si="183"/>
        <v/>
      </c>
      <c r="HK266" s="27"/>
      <c r="HL266" s="27"/>
      <c r="HM266" s="28" t="str">
        <f>IFERROR(VLOOKUP(HK266,Horarios!$H:$I,2,0),"")</f>
        <v/>
      </c>
      <c r="HN266" s="28" t="str">
        <f>IFERROR(VLOOKUP(HL266,Horarios!$H:$I,2,0),"")</f>
        <v/>
      </c>
      <c r="HO266" s="28" t="str">
        <f t="shared" si="184"/>
        <v>00:00</v>
      </c>
      <c r="HP266" s="29"/>
      <c r="HQ266" s="27"/>
      <c r="HR266" s="27"/>
      <c r="HS266" s="28" t="str">
        <f>IFERROR(VLOOKUP(HQ266,Horarios!$H:$I,2,0),"")</f>
        <v/>
      </c>
      <c r="HT266" s="28" t="str">
        <f>IFERROR(VLOOKUP(HR266,Horarios!$H:$I,2,0),"")</f>
        <v/>
      </c>
      <c r="HU266" s="28" t="str">
        <f t="shared" si="185"/>
        <v>00:00</v>
      </c>
      <c r="HV266" s="29"/>
      <c r="HW266" s="27"/>
      <c r="HX266" s="27"/>
      <c r="HY266" s="28" t="str">
        <f>IFERROR(VLOOKUP(HW266,Horarios!$H:$I,2,0),"")</f>
        <v/>
      </c>
      <c r="HZ266" s="28" t="str">
        <f>IFERROR(VLOOKUP(HX266,Horarios!$H:$I,2,0),"")</f>
        <v/>
      </c>
      <c r="IA266" s="28" t="str">
        <f t="shared" si="186"/>
        <v>00:00</v>
      </c>
      <c r="IB266" s="29"/>
      <c r="IC266" s="27"/>
      <c r="ID266" s="27"/>
      <c r="IE266" s="28" t="str">
        <f>IFERROR(VLOOKUP(IC266,Horarios!$H:$I,2,0),"")</f>
        <v/>
      </c>
      <c r="IF266" s="28" t="str">
        <f>IFERROR(VLOOKUP(ID266,Horarios!$H:$I,2,0),"")</f>
        <v/>
      </c>
      <c r="IG266" s="28" t="str">
        <f t="shared" si="187"/>
        <v>00:00</v>
      </c>
      <c r="IH266" s="29"/>
      <c r="II266" s="27"/>
      <c r="IJ266" s="27"/>
      <c r="IK266" s="28" t="str">
        <f>IFERROR(VLOOKUP(II266,Horarios!$H:$I,2,0),"")</f>
        <v/>
      </c>
      <c r="IL266" s="28" t="str">
        <f>IFERROR(VLOOKUP(IJ266,Horarios!$H:$I,2,0),"")</f>
        <v/>
      </c>
      <c r="IM266" s="28" t="str">
        <f t="shared" si="188"/>
        <v>00:00</v>
      </c>
      <c r="IN266" s="29"/>
      <c r="IO266" s="27"/>
      <c r="IP266" s="27"/>
      <c r="IQ266" s="28" t="str">
        <f>IFERROR(VLOOKUP(IO266,Horarios!$H:$I,2,0),"")</f>
        <v/>
      </c>
      <c r="IR266" s="28" t="str">
        <f>IFERROR(VLOOKUP(IP266,Horarios!$H:$I,2,0),"")</f>
        <v/>
      </c>
      <c r="IS266" s="28" t="str">
        <f t="shared" si="189"/>
        <v>00:00</v>
      </c>
      <c r="IT266" s="29"/>
      <c r="IU266" s="27"/>
      <c r="IV266" s="27"/>
      <c r="IW266" s="28" t="str">
        <f>IFERROR(VLOOKUP(IU266,Horarios!$H:$I,2,0),"")</f>
        <v/>
      </c>
      <c r="IX266" s="28" t="str">
        <f>IFERROR(VLOOKUP(IV266,Horarios!$H:$I,2,0),"")</f>
        <v/>
      </c>
      <c r="IY266" s="28" t="str">
        <f t="shared" si="190"/>
        <v>00:00</v>
      </c>
      <c r="IZ266" s="29"/>
      <c r="JA266" s="31" t="str">
        <f t="shared" si="191"/>
        <v/>
      </c>
    </row>
    <row r="267" spans="1:261" s="24" customFormat="1" ht="17.399999999999999" x14ac:dyDescent="0.25">
      <c r="A267" s="25"/>
      <c r="B267" s="26" t="str">
        <f>IFERROR(VLOOKUP(A267,BaseNombres!A:B,2,0),"")</f>
        <v/>
      </c>
      <c r="C267" s="26" t="str">
        <f>IFERROR(VLOOKUP(A267,BaseNombres!A:C,3,0),"")</f>
        <v/>
      </c>
      <c r="D267" s="27"/>
      <c r="E267" s="27"/>
      <c r="F267" s="28" t="str">
        <f>IFERROR(VLOOKUP(D267,Horarios!$H:$I,2,0),"")</f>
        <v/>
      </c>
      <c r="G267" s="28" t="str">
        <f>IFERROR(VLOOKUP(E267,Horarios!$H:$I,2,0),"")</f>
        <v/>
      </c>
      <c r="H267" s="28" t="str">
        <f t="shared" ref="H267:H300" si="192">IF(SUM(F267,G267)=0,"00:00",SUM(F267,G267))</f>
        <v>00:00</v>
      </c>
      <c r="I267" s="29"/>
      <c r="J267" s="27"/>
      <c r="K267" s="27"/>
      <c r="L267" s="28" t="str">
        <f>IFERROR(VLOOKUP(J267,Horarios!$H:$I,2,0),"")</f>
        <v/>
      </c>
      <c r="M267" s="28" t="str">
        <f>IFERROR(VLOOKUP(K267,Horarios!$H:$I,2,0),"")</f>
        <v/>
      </c>
      <c r="N267" s="28" t="str">
        <f t="shared" ref="N267:N300" si="193">IF(SUM(L267,M267)=0,"00:00",SUM(L267,M267))</f>
        <v>00:00</v>
      </c>
      <c r="O267" s="29"/>
      <c r="P267" s="27"/>
      <c r="Q267" s="27"/>
      <c r="R267" s="28" t="str">
        <f>IFERROR(VLOOKUP(P267,Horarios!$H:$I,2,0),"")</f>
        <v/>
      </c>
      <c r="S267" s="28" t="str">
        <f>IFERROR(VLOOKUP(Q267,Horarios!$H:$I,2,0),"")</f>
        <v/>
      </c>
      <c r="T267" s="28" t="str">
        <f t="shared" ref="T267:T300" si="194">IF(SUM(R267,S267)=0,"00:00",SUM(R267,S267))</f>
        <v>00:00</v>
      </c>
      <c r="U267" s="29"/>
      <c r="V267" s="27"/>
      <c r="W267" s="27"/>
      <c r="X267" s="28" t="str">
        <f>IFERROR(VLOOKUP(V267,Horarios!$H:$I,2,0),"")</f>
        <v/>
      </c>
      <c r="Y267" s="28" t="str">
        <f>IFERROR(VLOOKUP(W267,Horarios!$H:$I,2,0),"")</f>
        <v/>
      </c>
      <c r="Z267" s="28" t="str">
        <f t="shared" ref="Z267:Z300" si="195">IF(SUM(X267,Y267)=0,"00:00",SUM(X267,Y267))</f>
        <v>00:00</v>
      </c>
      <c r="AA267" s="29"/>
      <c r="AB267" s="27"/>
      <c r="AC267" s="27"/>
      <c r="AD267" s="28" t="str">
        <f>IFERROR(VLOOKUP(AB267,Horarios!$H:$I,2,0),"")</f>
        <v/>
      </c>
      <c r="AE267" s="28" t="str">
        <f>IFERROR(VLOOKUP(AC267,Horarios!$H:$I,2,0),"")</f>
        <v/>
      </c>
      <c r="AF267" s="28" t="str">
        <f t="shared" ref="AF267:AF300" si="196">IF(SUM(AD267,AE267)=0,"00:00",SUM(AD267,AE267))</f>
        <v>00:00</v>
      </c>
      <c r="AG267" s="29"/>
      <c r="AH267" s="27"/>
      <c r="AI267" s="27"/>
      <c r="AJ267" s="28" t="str">
        <f>IFERROR(VLOOKUP(AH267,Horarios!$H:$I,2,0),"")</f>
        <v/>
      </c>
      <c r="AK267" s="28" t="str">
        <f>IFERROR(VLOOKUP(AI267,Horarios!$H:$I,2,0),"")</f>
        <v/>
      </c>
      <c r="AL267" s="28" t="str">
        <f t="shared" ref="AL267:AL300" si="197">IF(SUM(AJ267,AK267)=0,"00:00",SUM(AJ267,AK267))</f>
        <v>00:00</v>
      </c>
      <c r="AM267" s="29"/>
      <c r="AN267" s="27"/>
      <c r="AO267" s="27"/>
      <c r="AP267" s="28" t="str">
        <f>IFERROR(VLOOKUP(AN267,Horarios!$H:$I,2,0),"")</f>
        <v/>
      </c>
      <c r="AQ267" s="28" t="str">
        <f>IFERROR(VLOOKUP(AO267,Horarios!$H:$I,2,0),"")</f>
        <v/>
      </c>
      <c r="AR267" s="28" t="str">
        <f t="shared" ref="AR267:AR300" si="198">IF(SUM(AP267,AQ267)=0,"00:00",SUM(AP267,AQ267))</f>
        <v>00:00</v>
      </c>
      <c r="AS267" s="29"/>
      <c r="AT267" s="31" t="str">
        <f t="shared" ref="AT267:AT300" si="199">IFERROR(IF(SUM(H267,N267,T267,Z267,AF267,AL267,AR267)=0,"",SUM(TEXT(H267,"HH:MM"),TEXT(N267,"HH:MM"),TEXT(T267,"HH:MM"),TEXT(Z267,"HH:MM"),TEXT(AF267,"HH:MM"),TEXT(AL267,"HH:MM"),TEXT(AR267,"HH:MM")))*24,"")</f>
        <v/>
      </c>
      <c r="AU267" s="27"/>
      <c r="AV267" s="27"/>
      <c r="AW267" s="28" t="str">
        <f>IFERROR(VLOOKUP(AU267,Horarios!$H:$I,2,0),"")</f>
        <v/>
      </c>
      <c r="AX267" s="28" t="str">
        <f>IFERROR(VLOOKUP(AV267,Horarios!$H:$I,2,0),"")</f>
        <v/>
      </c>
      <c r="AY267" s="28" t="str">
        <f t="shared" ref="AY267:AY300" si="200">IF(SUM(AW267,AX267)=0,"00:00",SUM(AW267,AX267))</f>
        <v>00:00</v>
      </c>
      <c r="AZ267" s="29"/>
      <c r="BA267" s="27"/>
      <c r="BB267" s="27"/>
      <c r="BC267" s="28" t="str">
        <f>IFERROR(VLOOKUP(BA267,Horarios!$H:$I,2,0),"")</f>
        <v/>
      </c>
      <c r="BD267" s="28" t="str">
        <f>IFERROR(VLOOKUP(BB267,Horarios!$H:$I,2,0),"")</f>
        <v/>
      </c>
      <c r="BE267" s="28" t="str">
        <f t="shared" ref="BE267:BE300" si="201">IF(SUM(BC267,BD267)=0,"00:00",SUM(BC267,BD267))</f>
        <v>00:00</v>
      </c>
      <c r="BF267" s="29"/>
      <c r="BG267" s="27"/>
      <c r="BH267" s="27"/>
      <c r="BI267" s="28" t="str">
        <f>IFERROR(VLOOKUP(BG267,Horarios!$H:$I,2,0),"")</f>
        <v/>
      </c>
      <c r="BJ267" s="28" t="str">
        <f>IFERROR(VLOOKUP(BH267,Horarios!$H:$I,2,0),"")</f>
        <v/>
      </c>
      <c r="BK267" s="28" t="str">
        <f t="shared" ref="BK267:BK300" si="202">IF(SUM(BI267,BJ267)=0,"00:00",SUM(BI267,BJ267))</f>
        <v>00:00</v>
      </c>
      <c r="BL267" s="29"/>
      <c r="BM267" s="27"/>
      <c r="BN267" s="27"/>
      <c r="BO267" s="28" t="str">
        <f>IFERROR(VLOOKUP(BM267,Horarios!$H:$I,2,0),"")</f>
        <v/>
      </c>
      <c r="BP267" s="28" t="str">
        <f>IFERROR(VLOOKUP(BN267,Horarios!$H:$I,2,0),"")</f>
        <v/>
      </c>
      <c r="BQ267" s="28" t="str">
        <f t="shared" ref="BQ267:BQ300" si="203">IF(SUM(BO267,BP267)=0,"00:00",SUM(BO267,BP267))</f>
        <v>00:00</v>
      </c>
      <c r="BR267" s="29"/>
      <c r="BS267" s="27"/>
      <c r="BT267" s="27"/>
      <c r="BU267" s="28" t="str">
        <f>IFERROR(VLOOKUP(BS267,Horarios!$H:$I,2,0),"")</f>
        <v/>
      </c>
      <c r="BV267" s="28" t="str">
        <f>IFERROR(VLOOKUP(BT267,Horarios!$H:$I,2,0),"")</f>
        <v/>
      </c>
      <c r="BW267" s="28" t="str">
        <f t="shared" ref="BW267:BW300" si="204">IF(SUM(BU267,BV267)=0,"00:00",SUM(BU267,BV267))</f>
        <v>00:00</v>
      </c>
      <c r="BX267" s="29"/>
      <c r="BY267" s="27"/>
      <c r="BZ267" s="27"/>
      <c r="CA267" s="28" t="str">
        <f>IFERROR(VLOOKUP(BY267,Horarios!$H:$I,2,0),"")</f>
        <v/>
      </c>
      <c r="CB267" s="28" t="str">
        <f>IFERROR(VLOOKUP(BZ267,Horarios!$H:$I,2,0),"")</f>
        <v/>
      </c>
      <c r="CC267" s="28" t="str">
        <f t="shared" ref="CC267:CC300" si="205">IF(SUM(CA267,CB267)=0,"00:00",SUM(CA267,CB267))</f>
        <v>00:00</v>
      </c>
      <c r="CD267" s="29"/>
      <c r="CE267" s="27"/>
      <c r="CF267" s="27"/>
      <c r="CG267" s="28" t="str">
        <f>IFERROR(VLOOKUP(CE267,Horarios!$H:$I,2,0),"")</f>
        <v/>
      </c>
      <c r="CH267" s="28" t="str">
        <f>IFERROR(VLOOKUP(CF267,Horarios!$H:$I,2,0),"")</f>
        <v/>
      </c>
      <c r="CI267" s="28" t="str">
        <f t="shared" ref="CI267:CI300" si="206">IF(SUM(CG267,CH267)=0,"00:00",SUM(CG267,CH267))</f>
        <v>00:00</v>
      </c>
      <c r="CJ267" s="29"/>
      <c r="CK267" s="31" t="str">
        <f t="shared" ref="CK267:CK300" si="207">IFERROR(IF(SUM(AY267,BE267,BK267,BQ267,BW267,CC267,CI267)=0,"",SUM(TEXT(AY267,"HH:MM"),TEXT(BE267,"HH:MM"),TEXT(BK267,"HH:MM"),TEXT(BQ267,"HH:MM"),TEXT(BW267,"HH:MM"),TEXT(CC267,"HH:MM"),TEXT(CI267,"HH:MM")))*24,"")</f>
        <v/>
      </c>
      <c r="CL267" s="27"/>
      <c r="CM267" s="27"/>
      <c r="CN267" s="28" t="str">
        <f>IFERROR(VLOOKUP(CL267,Horarios!$H:$I,2,0),"")</f>
        <v/>
      </c>
      <c r="CO267" s="28" t="str">
        <f>IFERROR(VLOOKUP(CM267,Horarios!$H:$I,2,0),"")</f>
        <v/>
      </c>
      <c r="CP267" s="28" t="str">
        <f t="shared" ref="CP267:CP300" si="208">IF(SUM(CN267,CO267)=0,"00:00",SUM(CN267,CO267))</f>
        <v>00:00</v>
      </c>
      <c r="CQ267" s="29"/>
      <c r="CR267" s="27"/>
      <c r="CS267" s="27"/>
      <c r="CT267" s="28" t="str">
        <f>IFERROR(VLOOKUP(CR267,Horarios!$H:$I,2,0),"")</f>
        <v/>
      </c>
      <c r="CU267" s="28" t="str">
        <f>IFERROR(VLOOKUP(CS267,Horarios!$H:$I,2,0),"")</f>
        <v/>
      </c>
      <c r="CV267" s="28" t="str">
        <f t="shared" ref="CV267:CV300" si="209">IF(SUM(CT267,CU267)=0,"00:00",SUM(CT267,CU267))</f>
        <v>00:00</v>
      </c>
      <c r="CW267" s="29"/>
      <c r="CX267" s="27"/>
      <c r="CY267" s="27"/>
      <c r="CZ267" s="28" t="str">
        <f>IFERROR(VLOOKUP(CX267,Horarios!$H:$I,2,0),"")</f>
        <v/>
      </c>
      <c r="DA267" s="28" t="str">
        <f>IFERROR(VLOOKUP(CY267,Horarios!$H:$I,2,0),"")</f>
        <v/>
      </c>
      <c r="DB267" s="28" t="str">
        <f t="shared" ref="DB267:DB300" si="210">IF(SUM(CZ267,DA267)=0,"00:00",SUM(CZ267,DA267))</f>
        <v>00:00</v>
      </c>
      <c r="DC267" s="29"/>
      <c r="DD267" s="27"/>
      <c r="DE267" s="27"/>
      <c r="DF267" s="28" t="str">
        <f>IFERROR(VLOOKUP(DD267,Horarios!$H:$I,2,0),"")</f>
        <v/>
      </c>
      <c r="DG267" s="28" t="str">
        <f>IFERROR(VLOOKUP(DE267,Horarios!$H:$I,2,0),"")</f>
        <v/>
      </c>
      <c r="DH267" s="28" t="str">
        <f t="shared" ref="DH267:DH300" si="211">IF(SUM(DF267,DG267)=0,"00:00",SUM(DF267,DG267))</f>
        <v>00:00</v>
      </c>
      <c r="DI267" s="29"/>
      <c r="DJ267" s="27"/>
      <c r="DK267" s="27"/>
      <c r="DL267" s="28" t="str">
        <f>IFERROR(VLOOKUP(DJ267,Horarios!$H:$I,2,0),"")</f>
        <v/>
      </c>
      <c r="DM267" s="28" t="str">
        <f>IFERROR(VLOOKUP(DK267,Horarios!$H:$I,2,0),"")</f>
        <v/>
      </c>
      <c r="DN267" s="28" t="str">
        <f t="shared" ref="DN267:DN300" si="212">IF(SUM(DL267,DM267)=0,"00:00",SUM(DL267,DM267))</f>
        <v>00:00</v>
      </c>
      <c r="DO267" s="29"/>
      <c r="DP267" s="27"/>
      <c r="DQ267" s="27"/>
      <c r="DR267" s="28" t="str">
        <f>IFERROR(VLOOKUP(DP267,Horarios!$H:$I,2,0),"")</f>
        <v/>
      </c>
      <c r="DS267" s="28" t="str">
        <f>IFERROR(VLOOKUP(DQ267,Horarios!$H:$I,2,0),"")</f>
        <v/>
      </c>
      <c r="DT267" s="28" t="str">
        <f t="shared" ref="DT267:DT300" si="213">IF(SUM(DR267,DS267)=0,"00:00",SUM(DR267,DS267))</f>
        <v>00:00</v>
      </c>
      <c r="DU267" s="29"/>
      <c r="DV267" s="27"/>
      <c r="DW267" s="27"/>
      <c r="DX267" s="28" t="str">
        <f>IFERROR(VLOOKUP(DV267,Horarios!$H:$I,2,0),"")</f>
        <v/>
      </c>
      <c r="DY267" s="28" t="str">
        <f>IFERROR(VLOOKUP(DW267,Horarios!$H:$I,2,0),"")</f>
        <v/>
      </c>
      <c r="DZ267" s="28" t="str">
        <f t="shared" ref="DZ267:DZ300" si="214">IF(SUM(DX267,DY267)=0,"00:00",SUM(DX267,DY267))</f>
        <v>00:00</v>
      </c>
      <c r="EA267" s="29"/>
      <c r="EB267" s="31" t="str">
        <f t="shared" ref="EB267:EB300" si="215">IFERROR(IF(SUM(CP267,CV267,DB267,DH267,DN267,DT267,DZ267)=0,"",SUM(TEXT(CP267,"HH:MM"),TEXT(CV267,"HH:MM"),TEXT(DB267,"HH:MM"),TEXT(DH267,"HH:MM"),TEXT(DN267,"HH:MM"),TEXT(DT267,"HH:MM"),TEXT(DZ267,"HH:MM")))*24,"")</f>
        <v/>
      </c>
      <c r="EC267" s="27"/>
      <c r="ED267" s="27"/>
      <c r="EE267" s="28" t="str">
        <f>IFERROR(VLOOKUP(EC267,Horarios!$H:$I,2,0),"")</f>
        <v/>
      </c>
      <c r="EF267" s="28" t="str">
        <f>IFERROR(VLOOKUP(ED267,Horarios!$H:$I,2,0),"")</f>
        <v/>
      </c>
      <c r="EG267" s="28" t="str">
        <f t="shared" ref="EG267:EG300" si="216">IF(SUM(EE267,EF267)=0,"00:00",SUM(EE267,EF267))</f>
        <v>00:00</v>
      </c>
      <c r="EH267" s="29"/>
      <c r="EI267" s="27"/>
      <c r="EJ267" s="27"/>
      <c r="EK267" s="28" t="str">
        <f>IFERROR(VLOOKUP(EI267,Horarios!$H:$I,2,0),"")</f>
        <v/>
      </c>
      <c r="EL267" s="28" t="str">
        <f>IFERROR(VLOOKUP(EJ267,Horarios!$H:$I,2,0),"")</f>
        <v/>
      </c>
      <c r="EM267" s="28" t="str">
        <f t="shared" ref="EM267:EM300" si="217">IF(SUM(EK267,EL267)=0,"00:00",SUM(EK267,EL267))</f>
        <v>00:00</v>
      </c>
      <c r="EN267" s="29"/>
      <c r="EO267" s="27"/>
      <c r="EP267" s="27"/>
      <c r="EQ267" s="28" t="str">
        <f>IFERROR(VLOOKUP(EO267,Horarios!$H:$I,2,0),"")</f>
        <v/>
      </c>
      <c r="ER267" s="28" t="str">
        <f>IFERROR(VLOOKUP(EP267,Horarios!$H:$I,2,0),"")</f>
        <v/>
      </c>
      <c r="ES267" s="28" t="str">
        <f t="shared" ref="ES267:ES300" si="218">IF(SUM(EQ267,ER267)=0,"00:00",SUM(EQ267,ER267))</f>
        <v>00:00</v>
      </c>
      <c r="ET267" s="29"/>
      <c r="EU267" s="27"/>
      <c r="EV267" s="27"/>
      <c r="EW267" s="28" t="str">
        <f>IFERROR(VLOOKUP(EU267,Horarios!$H:$I,2,0),"")</f>
        <v/>
      </c>
      <c r="EX267" s="28" t="str">
        <f>IFERROR(VLOOKUP(EV267,Horarios!$H:$I,2,0),"")</f>
        <v/>
      </c>
      <c r="EY267" s="28" t="str">
        <f t="shared" ref="EY267:EY300" si="219">IF(SUM(EW267,EX267)=0,"00:00",SUM(EW267,EX267))</f>
        <v>00:00</v>
      </c>
      <c r="EZ267" s="29"/>
      <c r="FA267" s="27"/>
      <c r="FB267" s="27"/>
      <c r="FC267" s="28" t="str">
        <f>IFERROR(VLOOKUP(FA267,Horarios!$H:$I,2,0),"")</f>
        <v/>
      </c>
      <c r="FD267" s="28" t="str">
        <f>IFERROR(VLOOKUP(FB267,Horarios!$H:$I,2,0),"")</f>
        <v/>
      </c>
      <c r="FE267" s="28" t="str">
        <f t="shared" ref="FE267:FE300" si="220">IF(SUM(FC267,FD267)=0,"00:00",SUM(FC267,FD267))</f>
        <v>00:00</v>
      </c>
      <c r="FF267" s="29"/>
      <c r="FG267" s="27"/>
      <c r="FH267" s="27"/>
      <c r="FI267" s="28" t="str">
        <f>IFERROR(VLOOKUP(FG267,Horarios!$H:$I,2,0),"")</f>
        <v/>
      </c>
      <c r="FJ267" s="28" t="str">
        <f>IFERROR(VLOOKUP(FH267,Horarios!$H:$I,2,0),"")</f>
        <v/>
      </c>
      <c r="FK267" s="28" t="str">
        <f t="shared" ref="FK267:FK300" si="221">IF(SUM(FI267,FJ267)=0,"00:00",SUM(FI267,FJ267))</f>
        <v>00:00</v>
      </c>
      <c r="FL267" s="29"/>
      <c r="FM267" s="27"/>
      <c r="FN267" s="27"/>
      <c r="FO267" s="28" t="str">
        <f>IFERROR(VLOOKUP(FM267,Horarios!$H:$I,2,0),"")</f>
        <v/>
      </c>
      <c r="FP267" s="28" t="str">
        <f>IFERROR(VLOOKUP(FN267,Horarios!$H:$I,2,0),"")</f>
        <v/>
      </c>
      <c r="FQ267" s="28" t="str">
        <f t="shared" ref="FQ267:FQ300" si="222">IF(SUM(FO267,FP267)=0,"00:00",SUM(FO267,FP267))</f>
        <v>00:00</v>
      </c>
      <c r="FR267" s="29"/>
      <c r="FS267" s="31" t="str">
        <f t="shared" ref="FS267:FS300" si="223">IFERROR(IF(SUM(EG267,EM267,ES267,EY267,FE267,FK267,FQ267)=0,"",SUM(TEXT(EG267,"HH:MM"),TEXT(EM267,"HH:MM"),TEXT(ES267,"HH:MM"),TEXT(EY267,"HH:MM"),TEXT(FE267,"HH:MM"),TEXT(FK267,"HH:MM"),TEXT(FQ267,"HH:MM")))*24,"")</f>
        <v/>
      </c>
      <c r="FT267" s="27"/>
      <c r="FU267" s="27"/>
      <c r="FV267" s="28" t="str">
        <f>IFERROR(VLOOKUP(FT267,Horarios!$H:$I,2,0),"")</f>
        <v/>
      </c>
      <c r="FW267" s="28" t="str">
        <f>IFERROR(VLOOKUP(FU267,Horarios!$H:$I,2,0),"")</f>
        <v/>
      </c>
      <c r="FX267" s="28" t="str">
        <f t="shared" ref="FX267:FX300" si="224">IF(SUM(FV267,FW267)=0,"00:00",SUM(FV267,FW267))</f>
        <v>00:00</v>
      </c>
      <c r="FY267" s="29"/>
      <c r="FZ267" s="27"/>
      <c r="GA267" s="27"/>
      <c r="GB267" s="28" t="str">
        <f>IFERROR(VLOOKUP(FZ267,Horarios!$H:$I,2,0),"")</f>
        <v/>
      </c>
      <c r="GC267" s="28" t="str">
        <f>IFERROR(VLOOKUP(GA267,Horarios!$H:$I,2,0),"")</f>
        <v/>
      </c>
      <c r="GD267" s="28" t="str">
        <f t="shared" ref="GD267:GD300" si="225">IF(SUM(GB267,GC267)=0,"00:00",SUM(GB267,GC267))</f>
        <v>00:00</v>
      </c>
      <c r="GE267" s="29"/>
      <c r="GF267" s="27"/>
      <c r="GG267" s="27"/>
      <c r="GH267" s="28" t="str">
        <f>IFERROR(VLOOKUP(GF267,Horarios!$H:$I,2,0),"")</f>
        <v/>
      </c>
      <c r="GI267" s="28" t="str">
        <f>IFERROR(VLOOKUP(GG267,Horarios!$H:$I,2,0),"")</f>
        <v/>
      </c>
      <c r="GJ267" s="28" t="str">
        <f t="shared" ref="GJ267:GJ300" si="226">IF(SUM(GH267,GI267)=0,"00:00",SUM(GH267,GI267))</f>
        <v>00:00</v>
      </c>
      <c r="GK267" s="29"/>
      <c r="GL267" s="27"/>
      <c r="GM267" s="27"/>
      <c r="GN267" s="28" t="str">
        <f>IFERROR(VLOOKUP(GL267,Horarios!$H:$I,2,0),"")</f>
        <v/>
      </c>
      <c r="GO267" s="28" t="str">
        <f>IFERROR(VLOOKUP(GM267,Horarios!$H:$I,2,0),"")</f>
        <v/>
      </c>
      <c r="GP267" s="28" t="str">
        <f t="shared" ref="GP267:GP300" si="227">IF(SUM(GN267,GO267)=0,"00:00",SUM(GN267,GO267))</f>
        <v>00:00</v>
      </c>
      <c r="GQ267" s="29"/>
      <c r="GR267" s="27"/>
      <c r="GS267" s="27"/>
      <c r="GT267" s="28" t="str">
        <f>IFERROR(VLOOKUP(GR267,Horarios!$H:$I,2,0),"")</f>
        <v/>
      </c>
      <c r="GU267" s="28" t="str">
        <f>IFERROR(VLOOKUP(GS267,Horarios!$H:$I,2,0),"")</f>
        <v/>
      </c>
      <c r="GV267" s="28" t="str">
        <f t="shared" ref="GV267:GV300" si="228">IF(SUM(GT267,GU267)=0,"00:00",SUM(GT267,GU267))</f>
        <v>00:00</v>
      </c>
      <c r="GW267" s="29"/>
      <c r="GX267" s="27"/>
      <c r="GY267" s="27"/>
      <c r="GZ267" s="28" t="str">
        <f>IFERROR(VLOOKUP(GX267,Horarios!$H:$I,2,0),"")</f>
        <v/>
      </c>
      <c r="HA267" s="28" t="str">
        <f>IFERROR(VLOOKUP(GY267,Horarios!$H:$I,2,0),"")</f>
        <v/>
      </c>
      <c r="HB267" s="28" t="str">
        <f t="shared" ref="HB267:HB300" si="229">IF(SUM(GZ267,HA267)=0,"00:00",SUM(GZ267,HA267))</f>
        <v>00:00</v>
      </c>
      <c r="HC267" s="29"/>
      <c r="HD267" s="27"/>
      <c r="HE267" s="27"/>
      <c r="HF267" s="28" t="str">
        <f>IFERROR(VLOOKUP(HD267,Horarios!$H:$I,2,0),"")</f>
        <v/>
      </c>
      <c r="HG267" s="28" t="str">
        <f>IFERROR(VLOOKUP(HE267,Horarios!$H:$I,2,0),"")</f>
        <v/>
      </c>
      <c r="HH267" s="28" t="str">
        <f t="shared" ref="HH267:HH300" si="230">IF(SUM(HF267,HG267)=0,"00:00",SUM(HF267,HG267))</f>
        <v>00:00</v>
      </c>
      <c r="HI267" s="29"/>
      <c r="HJ267" s="31" t="str">
        <f t="shared" ref="HJ267:HJ300" si="231">IFERROR(IF(SUM(FX267,GD267,GJ267,GP267,GV267,HB267,HH267)=0,"",SUM(TEXT(FX267,"HH:MM"),TEXT(GD267,"HH:MM"),TEXT(GJ267,"HH:MM"),TEXT(GP267,"HH:MM"),TEXT(GV267,"HH:MM"),TEXT(HB267,"HH:MM"),TEXT(HH267,"HH:MM")))*24,"")</f>
        <v/>
      </c>
      <c r="HK267" s="27"/>
      <c r="HL267" s="27"/>
      <c r="HM267" s="28" t="str">
        <f>IFERROR(VLOOKUP(HK267,Horarios!$H:$I,2,0),"")</f>
        <v/>
      </c>
      <c r="HN267" s="28" t="str">
        <f>IFERROR(VLOOKUP(HL267,Horarios!$H:$I,2,0),"")</f>
        <v/>
      </c>
      <c r="HO267" s="28" t="str">
        <f t="shared" ref="HO267:HO300" si="232">IF(SUM(HM267,HN267)=0,"00:00",SUM(HM267,HN267))</f>
        <v>00:00</v>
      </c>
      <c r="HP267" s="29"/>
      <c r="HQ267" s="27"/>
      <c r="HR267" s="27"/>
      <c r="HS267" s="28" t="str">
        <f>IFERROR(VLOOKUP(HQ267,Horarios!$H:$I,2,0),"")</f>
        <v/>
      </c>
      <c r="HT267" s="28" t="str">
        <f>IFERROR(VLOOKUP(HR267,Horarios!$H:$I,2,0),"")</f>
        <v/>
      </c>
      <c r="HU267" s="28" t="str">
        <f t="shared" ref="HU267:HU300" si="233">IF(SUM(HS267,HT267)=0,"00:00",SUM(HS267,HT267))</f>
        <v>00:00</v>
      </c>
      <c r="HV267" s="29"/>
      <c r="HW267" s="27"/>
      <c r="HX267" s="27"/>
      <c r="HY267" s="28" t="str">
        <f>IFERROR(VLOOKUP(HW267,Horarios!$H:$I,2,0),"")</f>
        <v/>
      </c>
      <c r="HZ267" s="28" t="str">
        <f>IFERROR(VLOOKUP(HX267,Horarios!$H:$I,2,0),"")</f>
        <v/>
      </c>
      <c r="IA267" s="28" t="str">
        <f t="shared" ref="IA267:IA300" si="234">IF(SUM(HY267,HZ267)=0,"00:00",SUM(HY267,HZ267))</f>
        <v>00:00</v>
      </c>
      <c r="IB267" s="29"/>
      <c r="IC267" s="27"/>
      <c r="ID267" s="27"/>
      <c r="IE267" s="28" t="str">
        <f>IFERROR(VLOOKUP(IC267,Horarios!$H:$I,2,0),"")</f>
        <v/>
      </c>
      <c r="IF267" s="28" t="str">
        <f>IFERROR(VLOOKUP(ID267,Horarios!$H:$I,2,0),"")</f>
        <v/>
      </c>
      <c r="IG267" s="28" t="str">
        <f t="shared" ref="IG267:IG300" si="235">IF(SUM(IE267,IF267)=0,"00:00",SUM(IE267,IF267))</f>
        <v>00:00</v>
      </c>
      <c r="IH267" s="29"/>
      <c r="II267" s="27"/>
      <c r="IJ267" s="27"/>
      <c r="IK267" s="28" t="str">
        <f>IFERROR(VLOOKUP(II267,Horarios!$H:$I,2,0),"")</f>
        <v/>
      </c>
      <c r="IL267" s="28" t="str">
        <f>IFERROR(VLOOKUP(IJ267,Horarios!$H:$I,2,0),"")</f>
        <v/>
      </c>
      <c r="IM267" s="28" t="str">
        <f t="shared" ref="IM267:IM300" si="236">IF(SUM(IK267,IL267)=0,"00:00",SUM(IK267,IL267))</f>
        <v>00:00</v>
      </c>
      <c r="IN267" s="29"/>
      <c r="IO267" s="27"/>
      <c r="IP267" s="27"/>
      <c r="IQ267" s="28" t="str">
        <f>IFERROR(VLOOKUP(IO267,Horarios!$H:$I,2,0),"")</f>
        <v/>
      </c>
      <c r="IR267" s="28" t="str">
        <f>IFERROR(VLOOKUP(IP267,Horarios!$H:$I,2,0),"")</f>
        <v/>
      </c>
      <c r="IS267" s="28" t="str">
        <f t="shared" ref="IS267:IS300" si="237">IF(SUM(IQ267,IR267)=0,"00:00",SUM(IQ267,IR267))</f>
        <v>00:00</v>
      </c>
      <c r="IT267" s="29"/>
      <c r="IU267" s="27"/>
      <c r="IV267" s="27"/>
      <c r="IW267" s="28" t="str">
        <f>IFERROR(VLOOKUP(IU267,Horarios!$H:$I,2,0),"")</f>
        <v/>
      </c>
      <c r="IX267" s="28" t="str">
        <f>IFERROR(VLOOKUP(IV267,Horarios!$H:$I,2,0),"")</f>
        <v/>
      </c>
      <c r="IY267" s="28" t="str">
        <f t="shared" ref="IY267:IY300" si="238">IF(SUM(IW267,IX267)=0,"00:00",SUM(IW267,IX267))</f>
        <v>00:00</v>
      </c>
      <c r="IZ267" s="29"/>
      <c r="JA267" s="31" t="str">
        <f t="shared" ref="JA267:JA300" si="239">IFERROR(IF(SUM(HO267,HU267,IA267,IG267,IM267,IS267,IY267)=0,"",SUM(TEXT(HO267,"HH:MM"),TEXT(HU267,"HH:MM"),TEXT(IA267,"HH:MM"),TEXT(IG267,"HH:MM"),TEXT(IM267,"HH:MM"),TEXT(IS267,"HH:MM"),TEXT(IY267,"HH:MM")))*24,"")</f>
        <v/>
      </c>
    </row>
    <row r="268" spans="1:261" s="24" customFormat="1" ht="17.399999999999999" x14ac:dyDescent="0.25">
      <c r="A268" s="25"/>
      <c r="B268" s="26" t="str">
        <f>IFERROR(VLOOKUP(A268,BaseNombres!A:B,2,0),"")</f>
        <v/>
      </c>
      <c r="C268" s="26" t="str">
        <f>IFERROR(VLOOKUP(A268,BaseNombres!A:C,3,0),"")</f>
        <v/>
      </c>
      <c r="D268" s="27"/>
      <c r="E268" s="27"/>
      <c r="F268" s="28" t="str">
        <f>IFERROR(VLOOKUP(D268,Horarios!$H:$I,2,0),"")</f>
        <v/>
      </c>
      <c r="G268" s="28" t="str">
        <f>IFERROR(VLOOKUP(E268,Horarios!$H:$I,2,0),"")</f>
        <v/>
      </c>
      <c r="H268" s="28" t="str">
        <f t="shared" si="192"/>
        <v>00:00</v>
      </c>
      <c r="I268" s="29"/>
      <c r="J268" s="27"/>
      <c r="K268" s="27"/>
      <c r="L268" s="28" t="str">
        <f>IFERROR(VLOOKUP(J268,Horarios!$H:$I,2,0),"")</f>
        <v/>
      </c>
      <c r="M268" s="28" t="str">
        <f>IFERROR(VLOOKUP(K268,Horarios!$H:$I,2,0),"")</f>
        <v/>
      </c>
      <c r="N268" s="28" t="str">
        <f t="shared" si="193"/>
        <v>00:00</v>
      </c>
      <c r="O268" s="29"/>
      <c r="P268" s="27"/>
      <c r="Q268" s="27"/>
      <c r="R268" s="28" t="str">
        <f>IFERROR(VLOOKUP(P268,Horarios!$H:$I,2,0),"")</f>
        <v/>
      </c>
      <c r="S268" s="28" t="str">
        <f>IFERROR(VLOOKUP(Q268,Horarios!$H:$I,2,0),"")</f>
        <v/>
      </c>
      <c r="T268" s="28" t="str">
        <f t="shared" si="194"/>
        <v>00:00</v>
      </c>
      <c r="U268" s="29"/>
      <c r="V268" s="27"/>
      <c r="W268" s="27"/>
      <c r="X268" s="28" t="str">
        <f>IFERROR(VLOOKUP(V268,Horarios!$H:$I,2,0),"")</f>
        <v/>
      </c>
      <c r="Y268" s="28" t="str">
        <f>IFERROR(VLOOKUP(W268,Horarios!$H:$I,2,0),"")</f>
        <v/>
      </c>
      <c r="Z268" s="28" t="str">
        <f t="shared" si="195"/>
        <v>00:00</v>
      </c>
      <c r="AA268" s="29"/>
      <c r="AB268" s="27"/>
      <c r="AC268" s="27"/>
      <c r="AD268" s="28" t="str">
        <f>IFERROR(VLOOKUP(AB268,Horarios!$H:$I,2,0),"")</f>
        <v/>
      </c>
      <c r="AE268" s="28" t="str">
        <f>IFERROR(VLOOKUP(AC268,Horarios!$H:$I,2,0),"")</f>
        <v/>
      </c>
      <c r="AF268" s="28" t="str">
        <f t="shared" si="196"/>
        <v>00:00</v>
      </c>
      <c r="AG268" s="29"/>
      <c r="AH268" s="27"/>
      <c r="AI268" s="27"/>
      <c r="AJ268" s="28" t="str">
        <f>IFERROR(VLOOKUP(AH268,Horarios!$H:$I,2,0),"")</f>
        <v/>
      </c>
      <c r="AK268" s="28" t="str">
        <f>IFERROR(VLOOKUP(AI268,Horarios!$H:$I,2,0),"")</f>
        <v/>
      </c>
      <c r="AL268" s="28" t="str">
        <f t="shared" si="197"/>
        <v>00:00</v>
      </c>
      <c r="AM268" s="29"/>
      <c r="AN268" s="27"/>
      <c r="AO268" s="27"/>
      <c r="AP268" s="28" t="str">
        <f>IFERROR(VLOOKUP(AN268,Horarios!$H:$I,2,0),"")</f>
        <v/>
      </c>
      <c r="AQ268" s="28" t="str">
        <f>IFERROR(VLOOKUP(AO268,Horarios!$H:$I,2,0),"")</f>
        <v/>
      </c>
      <c r="AR268" s="28" t="str">
        <f t="shared" si="198"/>
        <v>00:00</v>
      </c>
      <c r="AS268" s="29"/>
      <c r="AT268" s="31" t="str">
        <f t="shared" si="199"/>
        <v/>
      </c>
      <c r="AU268" s="27"/>
      <c r="AV268" s="27"/>
      <c r="AW268" s="28" t="str">
        <f>IFERROR(VLOOKUP(AU268,Horarios!$H:$I,2,0),"")</f>
        <v/>
      </c>
      <c r="AX268" s="28" t="str">
        <f>IFERROR(VLOOKUP(AV268,Horarios!$H:$I,2,0),"")</f>
        <v/>
      </c>
      <c r="AY268" s="28" t="str">
        <f t="shared" si="200"/>
        <v>00:00</v>
      </c>
      <c r="AZ268" s="29"/>
      <c r="BA268" s="27"/>
      <c r="BB268" s="27"/>
      <c r="BC268" s="28" t="str">
        <f>IFERROR(VLOOKUP(BA268,Horarios!$H:$I,2,0),"")</f>
        <v/>
      </c>
      <c r="BD268" s="28" t="str">
        <f>IFERROR(VLOOKUP(BB268,Horarios!$H:$I,2,0),"")</f>
        <v/>
      </c>
      <c r="BE268" s="28" t="str">
        <f t="shared" si="201"/>
        <v>00:00</v>
      </c>
      <c r="BF268" s="29"/>
      <c r="BG268" s="27"/>
      <c r="BH268" s="27"/>
      <c r="BI268" s="28" t="str">
        <f>IFERROR(VLOOKUP(BG268,Horarios!$H:$I,2,0),"")</f>
        <v/>
      </c>
      <c r="BJ268" s="28" t="str">
        <f>IFERROR(VLOOKUP(BH268,Horarios!$H:$I,2,0),"")</f>
        <v/>
      </c>
      <c r="BK268" s="28" t="str">
        <f t="shared" si="202"/>
        <v>00:00</v>
      </c>
      <c r="BL268" s="29"/>
      <c r="BM268" s="27"/>
      <c r="BN268" s="27"/>
      <c r="BO268" s="28" t="str">
        <f>IFERROR(VLOOKUP(BM268,Horarios!$H:$I,2,0),"")</f>
        <v/>
      </c>
      <c r="BP268" s="28" t="str">
        <f>IFERROR(VLOOKUP(BN268,Horarios!$H:$I,2,0),"")</f>
        <v/>
      </c>
      <c r="BQ268" s="28" t="str">
        <f t="shared" si="203"/>
        <v>00:00</v>
      </c>
      <c r="BR268" s="29"/>
      <c r="BS268" s="27"/>
      <c r="BT268" s="27"/>
      <c r="BU268" s="28" t="str">
        <f>IFERROR(VLOOKUP(BS268,Horarios!$H:$I,2,0),"")</f>
        <v/>
      </c>
      <c r="BV268" s="28" t="str">
        <f>IFERROR(VLOOKUP(BT268,Horarios!$H:$I,2,0),"")</f>
        <v/>
      </c>
      <c r="BW268" s="28" t="str">
        <f t="shared" si="204"/>
        <v>00:00</v>
      </c>
      <c r="BX268" s="29"/>
      <c r="BY268" s="27"/>
      <c r="BZ268" s="27"/>
      <c r="CA268" s="28" t="str">
        <f>IFERROR(VLOOKUP(BY268,Horarios!$H:$I,2,0),"")</f>
        <v/>
      </c>
      <c r="CB268" s="28" t="str">
        <f>IFERROR(VLOOKUP(BZ268,Horarios!$H:$I,2,0),"")</f>
        <v/>
      </c>
      <c r="CC268" s="28" t="str">
        <f t="shared" si="205"/>
        <v>00:00</v>
      </c>
      <c r="CD268" s="29"/>
      <c r="CE268" s="27"/>
      <c r="CF268" s="27"/>
      <c r="CG268" s="28" t="str">
        <f>IFERROR(VLOOKUP(CE268,Horarios!$H:$I,2,0),"")</f>
        <v/>
      </c>
      <c r="CH268" s="28" t="str">
        <f>IFERROR(VLOOKUP(CF268,Horarios!$H:$I,2,0),"")</f>
        <v/>
      </c>
      <c r="CI268" s="28" t="str">
        <f t="shared" si="206"/>
        <v>00:00</v>
      </c>
      <c r="CJ268" s="29"/>
      <c r="CK268" s="31" t="str">
        <f t="shared" si="207"/>
        <v/>
      </c>
      <c r="CL268" s="27"/>
      <c r="CM268" s="27"/>
      <c r="CN268" s="28" t="str">
        <f>IFERROR(VLOOKUP(CL268,Horarios!$H:$I,2,0),"")</f>
        <v/>
      </c>
      <c r="CO268" s="28" t="str">
        <f>IFERROR(VLOOKUP(CM268,Horarios!$H:$I,2,0),"")</f>
        <v/>
      </c>
      <c r="CP268" s="28" t="str">
        <f t="shared" si="208"/>
        <v>00:00</v>
      </c>
      <c r="CQ268" s="29"/>
      <c r="CR268" s="27"/>
      <c r="CS268" s="27"/>
      <c r="CT268" s="28" t="str">
        <f>IFERROR(VLOOKUP(CR268,Horarios!$H:$I,2,0),"")</f>
        <v/>
      </c>
      <c r="CU268" s="28" t="str">
        <f>IFERROR(VLOOKUP(CS268,Horarios!$H:$I,2,0),"")</f>
        <v/>
      </c>
      <c r="CV268" s="28" t="str">
        <f t="shared" si="209"/>
        <v>00:00</v>
      </c>
      <c r="CW268" s="29"/>
      <c r="CX268" s="27"/>
      <c r="CY268" s="27"/>
      <c r="CZ268" s="28" t="str">
        <f>IFERROR(VLOOKUP(CX268,Horarios!$H:$I,2,0),"")</f>
        <v/>
      </c>
      <c r="DA268" s="28" t="str">
        <f>IFERROR(VLOOKUP(CY268,Horarios!$H:$I,2,0),"")</f>
        <v/>
      </c>
      <c r="DB268" s="28" t="str">
        <f t="shared" si="210"/>
        <v>00:00</v>
      </c>
      <c r="DC268" s="29"/>
      <c r="DD268" s="27"/>
      <c r="DE268" s="27"/>
      <c r="DF268" s="28" t="str">
        <f>IFERROR(VLOOKUP(DD268,Horarios!$H:$I,2,0),"")</f>
        <v/>
      </c>
      <c r="DG268" s="28" t="str">
        <f>IFERROR(VLOOKUP(DE268,Horarios!$H:$I,2,0),"")</f>
        <v/>
      </c>
      <c r="DH268" s="28" t="str">
        <f t="shared" si="211"/>
        <v>00:00</v>
      </c>
      <c r="DI268" s="29"/>
      <c r="DJ268" s="27"/>
      <c r="DK268" s="27"/>
      <c r="DL268" s="28" t="str">
        <f>IFERROR(VLOOKUP(DJ268,Horarios!$H:$I,2,0),"")</f>
        <v/>
      </c>
      <c r="DM268" s="28" t="str">
        <f>IFERROR(VLOOKUP(DK268,Horarios!$H:$I,2,0),"")</f>
        <v/>
      </c>
      <c r="DN268" s="28" t="str">
        <f t="shared" si="212"/>
        <v>00:00</v>
      </c>
      <c r="DO268" s="29"/>
      <c r="DP268" s="27"/>
      <c r="DQ268" s="27"/>
      <c r="DR268" s="28" t="str">
        <f>IFERROR(VLOOKUP(DP268,Horarios!$H:$I,2,0),"")</f>
        <v/>
      </c>
      <c r="DS268" s="28" t="str">
        <f>IFERROR(VLOOKUP(DQ268,Horarios!$H:$I,2,0),"")</f>
        <v/>
      </c>
      <c r="DT268" s="28" t="str">
        <f t="shared" si="213"/>
        <v>00:00</v>
      </c>
      <c r="DU268" s="29"/>
      <c r="DV268" s="27"/>
      <c r="DW268" s="27"/>
      <c r="DX268" s="28" t="str">
        <f>IFERROR(VLOOKUP(DV268,Horarios!$H:$I,2,0),"")</f>
        <v/>
      </c>
      <c r="DY268" s="28" t="str">
        <f>IFERROR(VLOOKUP(DW268,Horarios!$H:$I,2,0),"")</f>
        <v/>
      </c>
      <c r="DZ268" s="28" t="str">
        <f t="shared" si="214"/>
        <v>00:00</v>
      </c>
      <c r="EA268" s="29"/>
      <c r="EB268" s="31" t="str">
        <f t="shared" si="215"/>
        <v/>
      </c>
      <c r="EC268" s="27"/>
      <c r="ED268" s="27"/>
      <c r="EE268" s="28" t="str">
        <f>IFERROR(VLOOKUP(EC268,Horarios!$H:$I,2,0),"")</f>
        <v/>
      </c>
      <c r="EF268" s="28" t="str">
        <f>IFERROR(VLOOKUP(ED268,Horarios!$H:$I,2,0),"")</f>
        <v/>
      </c>
      <c r="EG268" s="28" t="str">
        <f t="shared" si="216"/>
        <v>00:00</v>
      </c>
      <c r="EH268" s="29"/>
      <c r="EI268" s="27"/>
      <c r="EJ268" s="27"/>
      <c r="EK268" s="28" t="str">
        <f>IFERROR(VLOOKUP(EI268,Horarios!$H:$I,2,0),"")</f>
        <v/>
      </c>
      <c r="EL268" s="28" t="str">
        <f>IFERROR(VLOOKUP(EJ268,Horarios!$H:$I,2,0),"")</f>
        <v/>
      </c>
      <c r="EM268" s="28" t="str">
        <f t="shared" si="217"/>
        <v>00:00</v>
      </c>
      <c r="EN268" s="29"/>
      <c r="EO268" s="27"/>
      <c r="EP268" s="27"/>
      <c r="EQ268" s="28" t="str">
        <f>IFERROR(VLOOKUP(EO268,Horarios!$H:$I,2,0),"")</f>
        <v/>
      </c>
      <c r="ER268" s="28" t="str">
        <f>IFERROR(VLOOKUP(EP268,Horarios!$H:$I,2,0),"")</f>
        <v/>
      </c>
      <c r="ES268" s="28" t="str">
        <f t="shared" si="218"/>
        <v>00:00</v>
      </c>
      <c r="ET268" s="29"/>
      <c r="EU268" s="27"/>
      <c r="EV268" s="27"/>
      <c r="EW268" s="28" t="str">
        <f>IFERROR(VLOOKUP(EU268,Horarios!$H:$I,2,0),"")</f>
        <v/>
      </c>
      <c r="EX268" s="28" t="str">
        <f>IFERROR(VLOOKUP(EV268,Horarios!$H:$I,2,0),"")</f>
        <v/>
      </c>
      <c r="EY268" s="28" t="str">
        <f t="shared" si="219"/>
        <v>00:00</v>
      </c>
      <c r="EZ268" s="29"/>
      <c r="FA268" s="27"/>
      <c r="FB268" s="27"/>
      <c r="FC268" s="28" t="str">
        <f>IFERROR(VLOOKUP(FA268,Horarios!$H:$I,2,0),"")</f>
        <v/>
      </c>
      <c r="FD268" s="28" t="str">
        <f>IFERROR(VLOOKUP(FB268,Horarios!$H:$I,2,0),"")</f>
        <v/>
      </c>
      <c r="FE268" s="28" t="str">
        <f t="shared" si="220"/>
        <v>00:00</v>
      </c>
      <c r="FF268" s="29"/>
      <c r="FG268" s="27"/>
      <c r="FH268" s="27"/>
      <c r="FI268" s="28" t="str">
        <f>IFERROR(VLOOKUP(FG268,Horarios!$H:$I,2,0),"")</f>
        <v/>
      </c>
      <c r="FJ268" s="28" t="str">
        <f>IFERROR(VLOOKUP(FH268,Horarios!$H:$I,2,0),"")</f>
        <v/>
      </c>
      <c r="FK268" s="28" t="str">
        <f t="shared" si="221"/>
        <v>00:00</v>
      </c>
      <c r="FL268" s="29"/>
      <c r="FM268" s="27"/>
      <c r="FN268" s="27"/>
      <c r="FO268" s="28" t="str">
        <f>IFERROR(VLOOKUP(FM268,Horarios!$H:$I,2,0),"")</f>
        <v/>
      </c>
      <c r="FP268" s="28" t="str">
        <f>IFERROR(VLOOKUP(FN268,Horarios!$H:$I,2,0),"")</f>
        <v/>
      </c>
      <c r="FQ268" s="28" t="str">
        <f t="shared" si="222"/>
        <v>00:00</v>
      </c>
      <c r="FR268" s="29"/>
      <c r="FS268" s="31" t="str">
        <f t="shared" si="223"/>
        <v/>
      </c>
      <c r="FT268" s="27"/>
      <c r="FU268" s="27"/>
      <c r="FV268" s="28" t="str">
        <f>IFERROR(VLOOKUP(FT268,Horarios!$H:$I,2,0),"")</f>
        <v/>
      </c>
      <c r="FW268" s="28" t="str">
        <f>IFERROR(VLOOKUP(FU268,Horarios!$H:$I,2,0),"")</f>
        <v/>
      </c>
      <c r="FX268" s="28" t="str">
        <f t="shared" si="224"/>
        <v>00:00</v>
      </c>
      <c r="FY268" s="29"/>
      <c r="FZ268" s="27"/>
      <c r="GA268" s="27"/>
      <c r="GB268" s="28" t="str">
        <f>IFERROR(VLOOKUP(FZ268,Horarios!$H:$I,2,0),"")</f>
        <v/>
      </c>
      <c r="GC268" s="28" t="str">
        <f>IFERROR(VLOOKUP(GA268,Horarios!$H:$I,2,0),"")</f>
        <v/>
      </c>
      <c r="GD268" s="28" t="str">
        <f t="shared" si="225"/>
        <v>00:00</v>
      </c>
      <c r="GE268" s="29"/>
      <c r="GF268" s="27"/>
      <c r="GG268" s="27"/>
      <c r="GH268" s="28" t="str">
        <f>IFERROR(VLOOKUP(GF268,Horarios!$H:$I,2,0),"")</f>
        <v/>
      </c>
      <c r="GI268" s="28" t="str">
        <f>IFERROR(VLOOKUP(GG268,Horarios!$H:$I,2,0),"")</f>
        <v/>
      </c>
      <c r="GJ268" s="28" t="str">
        <f t="shared" si="226"/>
        <v>00:00</v>
      </c>
      <c r="GK268" s="29"/>
      <c r="GL268" s="27"/>
      <c r="GM268" s="27"/>
      <c r="GN268" s="28" t="str">
        <f>IFERROR(VLOOKUP(GL268,Horarios!$H:$I,2,0),"")</f>
        <v/>
      </c>
      <c r="GO268" s="28" t="str">
        <f>IFERROR(VLOOKUP(GM268,Horarios!$H:$I,2,0),"")</f>
        <v/>
      </c>
      <c r="GP268" s="28" t="str">
        <f t="shared" si="227"/>
        <v>00:00</v>
      </c>
      <c r="GQ268" s="29"/>
      <c r="GR268" s="27"/>
      <c r="GS268" s="27"/>
      <c r="GT268" s="28" t="str">
        <f>IFERROR(VLOOKUP(GR268,Horarios!$H:$I,2,0),"")</f>
        <v/>
      </c>
      <c r="GU268" s="28" t="str">
        <f>IFERROR(VLOOKUP(GS268,Horarios!$H:$I,2,0),"")</f>
        <v/>
      </c>
      <c r="GV268" s="28" t="str">
        <f t="shared" si="228"/>
        <v>00:00</v>
      </c>
      <c r="GW268" s="29"/>
      <c r="GX268" s="27"/>
      <c r="GY268" s="27"/>
      <c r="GZ268" s="28" t="str">
        <f>IFERROR(VLOOKUP(GX268,Horarios!$H:$I,2,0),"")</f>
        <v/>
      </c>
      <c r="HA268" s="28" t="str">
        <f>IFERROR(VLOOKUP(GY268,Horarios!$H:$I,2,0),"")</f>
        <v/>
      </c>
      <c r="HB268" s="28" t="str">
        <f t="shared" si="229"/>
        <v>00:00</v>
      </c>
      <c r="HC268" s="29"/>
      <c r="HD268" s="27"/>
      <c r="HE268" s="27"/>
      <c r="HF268" s="28" t="str">
        <f>IFERROR(VLOOKUP(HD268,Horarios!$H:$I,2,0),"")</f>
        <v/>
      </c>
      <c r="HG268" s="28" t="str">
        <f>IFERROR(VLOOKUP(HE268,Horarios!$H:$I,2,0),"")</f>
        <v/>
      </c>
      <c r="HH268" s="28" t="str">
        <f t="shared" si="230"/>
        <v>00:00</v>
      </c>
      <c r="HI268" s="29"/>
      <c r="HJ268" s="31" t="str">
        <f t="shared" si="231"/>
        <v/>
      </c>
      <c r="HK268" s="27"/>
      <c r="HL268" s="27"/>
      <c r="HM268" s="28" t="str">
        <f>IFERROR(VLOOKUP(HK268,Horarios!$H:$I,2,0),"")</f>
        <v/>
      </c>
      <c r="HN268" s="28" t="str">
        <f>IFERROR(VLOOKUP(HL268,Horarios!$H:$I,2,0),"")</f>
        <v/>
      </c>
      <c r="HO268" s="28" t="str">
        <f t="shared" si="232"/>
        <v>00:00</v>
      </c>
      <c r="HP268" s="29"/>
      <c r="HQ268" s="27"/>
      <c r="HR268" s="27"/>
      <c r="HS268" s="28" t="str">
        <f>IFERROR(VLOOKUP(HQ268,Horarios!$H:$I,2,0),"")</f>
        <v/>
      </c>
      <c r="HT268" s="28" t="str">
        <f>IFERROR(VLOOKUP(HR268,Horarios!$H:$I,2,0),"")</f>
        <v/>
      </c>
      <c r="HU268" s="28" t="str">
        <f t="shared" si="233"/>
        <v>00:00</v>
      </c>
      <c r="HV268" s="29"/>
      <c r="HW268" s="27"/>
      <c r="HX268" s="27"/>
      <c r="HY268" s="28" t="str">
        <f>IFERROR(VLOOKUP(HW268,Horarios!$H:$I,2,0),"")</f>
        <v/>
      </c>
      <c r="HZ268" s="28" t="str">
        <f>IFERROR(VLOOKUP(HX268,Horarios!$H:$I,2,0),"")</f>
        <v/>
      </c>
      <c r="IA268" s="28" t="str">
        <f t="shared" si="234"/>
        <v>00:00</v>
      </c>
      <c r="IB268" s="29"/>
      <c r="IC268" s="27"/>
      <c r="ID268" s="27"/>
      <c r="IE268" s="28" t="str">
        <f>IFERROR(VLOOKUP(IC268,Horarios!$H:$I,2,0),"")</f>
        <v/>
      </c>
      <c r="IF268" s="28" t="str">
        <f>IFERROR(VLOOKUP(ID268,Horarios!$H:$I,2,0),"")</f>
        <v/>
      </c>
      <c r="IG268" s="28" t="str">
        <f t="shared" si="235"/>
        <v>00:00</v>
      </c>
      <c r="IH268" s="29"/>
      <c r="II268" s="27"/>
      <c r="IJ268" s="27"/>
      <c r="IK268" s="28" t="str">
        <f>IFERROR(VLOOKUP(II268,Horarios!$H:$I,2,0),"")</f>
        <v/>
      </c>
      <c r="IL268" s="28" t="str">
        <f>IFERROR(VLOOKUP(IJ268,Horarios!$H:$I,2,0),"")</f>
        <v/>
      </c>
      <c r="IM268" s="28" t="str">
        <f t="shared" si="236"/>
        <v>00:00</v>
      </c>
      <c r="IN268" s="29"/>
      <c r="IO268" s="27"/>
      <c r="IP268" s="27"/>
      <c r="IQ268" s="28" t="str">
        <f>IFERROR(VLOOKUP(IO268,Horarios!$H:$I,2,0),"")</f>
        <v/>
      </c>
      <c r="IR268" s="28" t="str">
        <f>IFERROR(VLOOKUP(IP268,Horarios!$H:$I,2,0),"")</f>
        <v/>
      </c>
      <c r="IS268" s="28" t="str">
        <f t="shared" si="237"/>
        <v>00:00</v>
      </c>
      <c r="IT268" s="29"/>
      <c r="IU268" s="27"/>
      <c r="IV268" s="27"/>
      <c r="IW268" s="28" t="str">
        <f>IFERROR(VLOOKUP(IU268,Horarios!$H:$I,2,0),"")</f>
        <v/>
      </c>
      <c r="IX268" s="28" t="str">
        <f>IFERROR(VLOOKUP(IV268,Horarios!$H:$I,2,0),"")</f>
        <v/>
      </c>
      <c r="IY268" s="28" t="str">
        <f t="shared" si="238"/>
        <v>00:00</v>
      </c>
      <c r="IZ268" s="29"/>
      <c r="JA268" s="31" t="str">
        <f t="shared" si="239"/>
        <v/>
      </c>
    </row>
    <row r="269" spans="1:261" s="24" customFormat="1" ht="17.399999999999999" x14ac:dyDescent="0.25">
      <c r="A269" s="25"/>
      <c r="B269" s="26" t="str">
        <f>IFERROR(VLOOKUP(A269,BaseNombres!A:B,2,0),"")</f>
        <v/>
      </c>
      <c r="C269" s="26" t="str">
        <f>IFERROR(VLOOKUP(A269,BaseNombres!A:C,3,0),"")</f>
        <v/>
      </c>
      <c r="D269" s="27"/>
      <c r="E269" s="27"/>
      <c r="F269" s="28" t="str">
        <f>IFERROR(VLOOKUP(D269,Horarios!$H:$I,2,0),"")</f>
        <v/>
      </c>
      <c r="G269" s="28" t="str">
        <f>IFERROR(VLOOKUP(E269,Horarios!$H:$I,2,0),"")</f>
        <v/>
      </c>
      <c r="H269" s="28" t="str">
        <f t="shared" si="192"/>
        <v>00:00</v>
      </c>
      <c r="I269" s="29"/>
      <c r="J269" s="27"/>
      <c r="K269" s="27"/>
      <c r="L269" s="28" t="str">
        <f>IFERROR(VLOOKUP(J269,Horarios!$H:$I,2,0),"")</f>
        <v/>
      </c>
      <c r="M269" s="28" t="str">
        <f>IFERROR(VLOOKUP(K269,Horarios!$H:$I,2,0),"")</f>
        <v/>
      </c>
      <c r="N269" s="28" t="str">
        <f t="shared" si="193"/>
        <v>00:00</v>
      </c>
      <c r="O269" s="29"/>
      <c r="P269" s="27"/>
      <c r="Q269" s="27"/>
      <c r="R269" s="28" t="str">
        <f>IFERROR(VLOOKUP(P269,Horarios!$H:$I,2,0),"")</f>
        <v/>
      </c>
      <c r="S269" s="28" t="str">
        <f>IFERROR(VLOOKUP(Q269,Horarios!$H:$I,2,0),"")</f>
        <v/>
      </c>
      <c r="T269" s="28" t="str">
        <f t="shared" si="194"/>
        <v>00:00</v>
      </c>
      <c r="U269" s="29"/>
      <c r="V269" s="27"/>
      <c r="W269" s="27"/>
      <c r="X269" s="28" t="str">
        <f>IFERROR(VLOOKUP(V269,Horarios!$H:$I,2,0),"")</f>
        <v/>
      </c>
      <c r="Y269" s="28" t="str">
        <f>IFERROR(VLOOKUP(W269,Horarios!$H:$I,2,0),"")</f>
        <v/>
      </c>
      <c r="Z269" s="28" t="str">
        <f t="shared" si="195"/>
        <v>00:00</v>
      </c>
      <c r="AA269" s="29"/>
      <c r="AB269" s="27"/>
      <c r="AC269" s="27"/>
      <c r="AD269" s="28" t="str">
        <f>IFERROR(VLOOKUP(AB269,Horarios!$H:$I,2,0),"")</f>
        <v/>
      </c>
      <c r="AE269" s="28" t="str">
        <f>IFERROR(VLOOKUP(AC269,Horarios!$H:$I,2,0),"")</f>
        <v/>
      </c>
      <c r="AF269" s="28" t="str">
        <f t="shared" si="196"/>
        <v>00:00</v>
      </c>
      <c r="AG269" s="29"/>
      <c r="AH269" s="27"/>
      <c r="AI269" s="27"/>
      <c r="AJ269" s="28" t="str">
        <f>IFERROR(VLOOKUP(AH269,Horarios!$H:$I,2,0),"")</f>
        <v/>
      </c>
      <c r="AK269" s="28" t="str">
        <f>IFERROR(VLOOKUP(AI269,Horarios!$H:$I,2,0),"")</f>
        <v/>
      </c>
      <c r="AL269" s="28" t="str">
        <f t="shared" si="197"/>
        <v>00:00</v>
      </c>
      <c r="AM269" s="29"/>
      <c r="AN269" s="27"/>
      <c r="AO269" s="27"/>
      <c r="AP269" s="28" t="str">
        <f>IFERROR(VLOOKUP(AN269,Horarios!$H:$I,2,0),"")</f>
        <v/>
      </c>
      <c r="AQ269" s="28" t="str">
        <f>IFERROR(VLOOKUP(AO269,Horarios!$H:$I,2,0),"")</f>
        <v/>
      </c>
      <c r="AR269" s="28" t="str">
        <f t="shared" si="198"/>
        <v>00:00</v>
      </c>
      <c r="AS269" s="29"/>
      <c r="AT269" s="31" t="str">
        <f t="shared" si="199"/>
        <v/>
      </c>
      <c r="AU269" s="27"/>
      <c r="AV269" s="27"/>
      <c r="AW269" s="28" t="str">
        <f>IFERROR(VLOOKUP(AU269,Horarios!$H:$I,2,0),"")</f>
        <v/>
      </c>
      <c r="AX269" s="28" t="str">
        <f>IFERROR(VLOOKUP(AV269,Horarios!$H:$I,2,0),"")</f>
        <v/>
      </c>
      <c r="AY269" s="28" t="str">
        <f t="shared" si="200"/>
        <v>00:00</v>
      </c>
      <c r="AZ269" s="29"/>
      <c r="BA269" s="27"/>
      <c r="BB269" s="27"/>
      <c r="BC269" s="28" t="str">
        <f>IFERROR(VLOOKUP(BA269,Horarios!$H:$I,2,0),"")</f>
        <v/>
      </c>
      <c r="BD269" s="28" t="str">
        <f>IFERROR(VLOOKUP(BB269,Horarios!$H:$I,2,0),"")</f>
        <v/>
      </c>
      <c r="BE269" s="28" t="str">
        <f t="shared" si="201"/>
        <v>00:00</v>
      </c>
      <c r="BF269" s="29"/>
      <c r="BG269" s="27"/>
      <c r="BH269" s="27"/>
      <c r="BI269" s="28" t="str">
        <f>IFERROR(VLOOKUP(BG269,Horarios!$H:$I,2,0),"")</f>
        <v/>
      </c>
      <c r="BJ269" s="28" t="str">
        <f>IFERROR(VLOOKUP(BH269,Horarios!$H:$I,2,0),"")</f>
        <v/>
      </c>
      <c r="BK269" s="28" t="str">
        <f t="shared" si="202"/>
        <v>00:00</v>
      </c>
      <c r="BL269" s="29"/>
      <c r="BM269" s="27"/>
      <c r="BN269" s="27"/>
      <c r="BO269" s="28" t="str">
        <f>IFERROR(VLOOKUP(BM269,Horarios!$H:$I,2,0),"")</f>
        <v/>
      </c>
      <c r="BP269" s="28" t="str">
        <f>IFERROR(VLOOKUP(BN269,Horarios!$H:$I,2,0),"")</f>
        <v/>
      </c>
      <c r="BQ269" s="28" t="str">
        <f t="shared" si="203"/>
        <v>00:00</v>
      </c>
      <c r="BR269" s="29"/>
      <c r="BS269" s="27"/>
      <c r="BT269" s="27"/>
      <c r="BU269" s="28" t="str">
        <f>IFERROR(VLOOKUP(BS269,Horarios!$H:$I,2,0),"")</f>
        <v/>
      </c>
      <c r="BV269" s="28" t="str">
        <f>IFERROR(VLOOKUP(BT269,Horarios!$H:$I,2,0),"")</f>
        <v/>
      </c>
      <c r="BW269" s="28" t="str">
        <f t="shared" si="204"/>
        <v>00:00</v>
      </c>
      <c r="BX269" s="29"/>
      <c r="BY269" s="27"/>
      <c r="BZ269" s="27"/>
      <c r="CA269" s="28" t="str">
        <f>IFERROR(VLOOKUP(BY269,Horarios!$H:$I,2,0),"")</f>
        <v/>
      </c>
      <c r="CB269" s="28" t="str">
        <f>IFERROR(VLOOKUP(BZ269,Horarios!$H:$I,2,0),"")</f>
        <v/>
      </c>
      <c r="CC269" s="28" t="str">
        <f t="shared" si="205"/>
        <v>00:00</v>
      </c>
      <c r="CD269" s="29"/>
      <c r="CE269" s="27"/>
      <c r="CF269" s="27"/>
      <c r="CG269" s="28" t="str">
        <f>IFERROR(VLOOKUP(CE269,Horarios!$H:$I,2,0),"")</f>
        <v/>
      </c>
      <c r="CH269" s="28" t="str">
        <f>IFERROR(VLOOKUP(CF269,Horarios!$H:$I,2,0),"")</f>
        <v/>
      </c>
      <c r="CI269" s="28" t="str">
        <f t="shared" si="206"/>
        <v>00:00</v>
      </c>
      <c r="CJ269" s="29"/>
      <c r="CK269" s="31" t="str">
        <f t="shared" si="207"/>
        <v/>
      </c>
      <c r="CL269" s="27"/>
      <c r="CM269" s="27"/>
      <c r="CN269" s="28" t="str">
        <f>IFERROR(VLOOKUP(CL269,Horarios!$H:$I,2,0),"")</f>
        <v/>
      </c>
      <c r="CO269" s="28" t="str">
        <f>IFERROR(VLOOKUP(CM269,Horarios!$H:$I,2,0),"")</f>
        <v/>
      </c>
      <c r="CP269" s="28" t="str">
        <f t="shared" si="208"/>
        <v>00:00</v>
      </c>
      <c r="CQ269" s="29"/>
      <c r="CR269" s="27"/>
      <c r="CS269" s="27"/>
      <c r="CT269" s="28" t="str">
        <f>IFERROR(VLOOKUP(CR269,Horarios!$H:$I,2,0),"")</f>
        <v/>
      </c>
      <c r="CU269" s="28" t="str">
        <f>IFERROR(VLOOKUP(CS269,Horarios!$H:$I,2,0),"")</f>
        <v/>
      </c>
      <c r="CV269" s="28" t="str">
        <f t="shared" si="209"/>
        <v>00:00</v>
      </c>
      <c r="CW269" s="29"/>
      <c r="CX269" s="27"/>
      <c r="CY269" s="27"/>
      <c r="CZ269" s="28" t="str">
        <f>IFERROR(VLOOKUP(CX269,Horarios!$H:$I,2,0),"")</f>
        <v/>
      </c>
      <c r="DA269" s="28" t="str">
        <f>IFERROR(VLOOKUP(CY269,Horarios!$H:$I,2,0),"")</f>
        <v/>
      </c>
      <c r="DB269" s="28" t="str">
        <f t="shared" si="210"/>
        <v>00:00</v>
      </c>
      <c r="DC269" s="29"/>
      <c r="DD269" s="27"/>
      <c r="DE269" s="27"/>
      <c r="DF269" s="28" t="str">
        <f>IFERROR(VLOOKUP(DD269,Horarios!$H:$I,2,0),"")</f>
        <v/>
      </c>
      <c r="DG269" s="28" t="str">
        <f>IFERROR(VLOOKUP(DE269,Horarios!$H:$I,2,0),"")</f>
        <v/>
      </c>
      <c r="DH269" s="28" t="str">
        <f t="shared" si="211"/>
        <v>00:00</v>
      </c>
      <c r="DI269" s="29"/>
      <c r="DJ269" s="27"/>
      <c r="DK269" s="27"/>
      <c r="DL269" s="28" t="str">
        <f>IFERROR(VLOOKUP(DJ269,Horarios!$H:$I,2,0),"")</f>
        <v/>
      </c>
      <c r="DM269" s="28" t="str">
        <f>IFERROR(VLOOKUP(DK269,Horarios!$H:$I,2,0),"")</f>
        <v/>
      </c>
      <c r="DN269" s="28" t="str">
        <f t="shared" si="212"/>
        <v>00:00</v>
      </c>
      <c r="DO269" s="29"/>
      <c r="DP269" s="27"/>
      <c r="DQ269" s="27"/>
      <c r="DR269" s="28" t="str">
        <f>IFERROR(VLOOKUP(DP269,Horarios!$H:$I,2,0),"")</f>
        <v/>
      </c>
      <c r="DS269" s="28" t="str">
        <f>IFERROR(VLOOKUP(DQ269,Horarios!$H:$I,2,0),"")</f>
        <v/>
      </c>
      <c r="DT269" s="28" t="str">
        <f t="shared" si="213"/>
        <v>00:00</v>
      </c>
      <c r="DU269" s="29"/>
      <c r="DV269" s="27"/>
      <c r="DW269" s="27"/>
      <c r="DX269" s="28" t="str">
        <f>IFERROR(VLOOKUP(DV269,Horarios!$H:$I,2,0),"")</f>
        <v/>
      </c>
      <c r="DY269" s="28" t="str">
        <f>IFERROR(VLOOKUP(DW269,Horarios!$H:$I,2,0),"")</f>
        <v/>
      </c>
      <c r="DZ269" s="28" t="str">
        <f t="shared" si="214"/>
        <v>00:00</v>
      </c>
      <c r="EA269" s="29"/>
      <c r="EB269" s="31" t="str">
        <f t="shared" si="215"/>
        <v/>
      </c>
      <c r="EC269" s="27"/>
      <c r="ED269" s="27"/>
      <c r="EE269" s="28" t="str">
        <f>IFERROR(VLOOKUP(EC269,Horarios!$H:$I,2,0),"")</f>
        <v/>
      </c>
      <c r="EF269" s="28" t="str">
        <f>IFERROR(VLOOKUP(ED269,Horarios!$H:$I,2,0),"")</f>
        <v/>
      </c>
      <c r="EG269" s="28" t="str">
        <f t="shared" si="216"/>
        <v>00:00</v>
      </c>
      <c r="EH269" s="29"/>
      <c r="EI269" s="27"/>
      <c r="EJ269" s="27"/>
      <c r="EK269" s="28" t="str">
        <f>IFERROR(VLOOKUP(EI269,Horarios!$H:$I,2,0),"")</f>
        <v/>
      </c>
      <c r="EL269" s="28" t="str">
        <f>IFERROR(VLOOKUP(EJ269,Horarios!$H:$I,2,0),"")</f>
        <v/>
      </c>
      <c r="EM269" s="28" t="str">
        <f t="shared" si="217"/>
        <v>00:00</v>
      </c>
      <c r="EN269" s="29"/>
      <c r="EO269" s="27"/>
      <c r="EP269" s="27"/>
      <c r="EQ269" s="28" t="str">
        <f>IFERROR(VLOOKUP(EO269,Horarios!$H:$I,2,0),"")</f>
        <v/>
      </c>
      <c r="ER269" s="28" t="str">
        <f>IFERROR(VLOOKUP(EP269,Horarios!$H:$I,2,0),"")</f>
        <v/>
      </c>
      <c r="ES269" s="28" t="str">
        <f t="shared" si="218"/>
        <v>00:00</v>
      </c>
      <c r="ET269" s="29"/>
      <c r="EU269" s="27"/>
      <c r="EV269" s="27"/>
      <c r="EW269" s="28" t="str">
        <f>IFERROR(VLOOKUP(EU269,Horarios!$H:$I,2,0),"")</f>
        <v/>
      </c>
      <c r="EX269" s="28" t="str">
        <f>IFERROR(VLOOKUP(EV269,Horarios!$H:$I,2,0),"")</f>
        <v/>
      </c>
      <c r="EY269" s="28" t="str">
        <f t="shared" si="219"/>
        <v>00:00</v>
      </c>
      <c r="EZ269" s="29"/>
      <c r="FA269" s="27"/>
      <c r="FB269" s="27"/>
      <c r="FC269" s="28" t="str">
        <f>IFERROR(VLOOKUP(FA269,Horarios!$H:$I,2,0),"")</f>
        <v/>
      </c>
      <c r="FD269" s="28" t="str">
        <f>IFERROR(VLOOKUP(FB269,Horarios!$H:$I,2,0),"")</f>
        <v/>
      </c>
      <c r="FE269" s="28" t="str">
        <f t="shared" si="220"/>
        <v>00:00</v>
      </c>
      <c r="FF269" s="29"/>
      <c r="FG269" s="27"/>
      <c r="FH269" s="27"/>
      <c r="FI269" s="28" t="str">
        <f>IFERROR(VLOOKUP(FG269,Horarios!$H:$I,2,0),"")</f>
        <v/>
      </c>
      <c r="FJ269" s="28" t="str">
        <f>IFERROR(VLOOKUP(FH269,Horarios!$H:$I,2,0),"")</f>
        <v/>
      </c>
      <c r="FK269" s="28" t="str">
        <f t="shared" si="221"/>
        <v>00:00</v>
      </c>
      <c r="FL269" s="29"/>
      <c r="FM269" s="27"/>
      <c r="FN269" s="27"/>
      <c r="FO269" s="28" t="str">
        <f>IFERROR(VLOOKUP(FM269,Horarios!$H:$I,2,0),"")</f>
        <v/>
      </c>
      <c r="FP269" s="28" t="str">
        <f>IFERROR(VLOOKUP(FN269,Horarios!$H:$I,2,0),"")</f>
        <v/>
      </c>
      <c r="FQ269" s="28" t="str">
        <f t="shared" si="222"/>
        <v>00:00</v>
      </c>
      <c r="FR269" s="29"/>
      <c r="FS269" s="31" t="str">
        <f t="shared" si="223"/>
        <v/>
      </c>
      <c r="FT269" s="27"/>
      <c r="FU269" s="27"/>
      <c r="FV269" s="28" t="str">
        <f>IFERROR(VLOOKUP(FT269,Horarios!$H:$I,2,0),"")</f>
        <v/>
      </c>
      <c r="FW269" s="28" t="str">
        <f>IFERROR(VLOOKUP(FU269,Horarios!$H:$I,2,0),"")</f>
        <v/>
      </c>
      <c r="FX269" s="28" t="str">
        <f t="shared" si="224"/>
        <v>00:00</v>
      </c>
      <c r="FY269" s="29"/>
      <c r="FZ269" s="27"/>
      <c r="GA269" s="27"/>
      <c r="GB269" s="28" t="str">
        <f>IFERROR(VLOOKUP(FZ269,Horarios!$H:$I,2,0),"")</f>
        <v/>
      </c>
      <c r="GC269" s="28" t="str">
        <f>IFERROR(VLOOKUP(GA269,Horarios!$H:$I,2,0),"")</f>
        <v/>
      </c>
      <c r="GD269" s="28" t="str">
        <f t="shared" si="225"/>
        <v>00:00</v>
      </c>
      <c r="GE269" s="29"/>
      <c r="GF269" s="27"/>
      <c r="GG269" s="27"/>
      <c r="GH269" s="28" t="str">
        <f>IFERROR(VLOOKUP(GF269,Horarios!$H:$I,2,0),"")</f>
        <v/>
      </c>
      <c r="GI269" s="28" t="str">
        <f>IFERROR(VLOOKUP(GG269,Horarios!$H:$I,2,0),"")</f>
        <v/>
      </c>
      <c r="GJ269" s="28" t="str">
        <f t="shared" si="226"/>
        <v>00:00</v>
      </c>
      <c r="GK269" s="29"/>
      <c r="GL269" s="27"/>
      <c r="GM269" s="27"/>
      <c r="GN269" s="28" t="str">
        <f>IFERROR(VLOOKUP(GL269,Horarios!$H:$I,2,0),"")</f>
        <v/>
      </c>
      <c r="GO269" s="28" t="str">
        <f>IFERROR(VLOOKUP(GM269,Horarios!$H:$I,2,0),"")</f>
        <v/>
      </c>
      <c r="GP269" s="28" t="str">
        <f t="shared" si="227"/>
        <v>00:00</v>
      </c>
      <c r="GQ269" s="29"/>
      <c r="GR269" s="27"/>
      <c r="GS269" s="27"/>
      <c r="GT269" s="28" t="str">
        <f>IFERROR(VLOOKUP(GR269,Horarios!$H:$I,2,0),"")</f>
        <v/>
      </c>
      <c r="GU269" s="28" t="str">
        <f>IFERROR(VLOOKUP(GS269,Horarios!$H:$I,2,0),"")</f>
        <v/>
      </c>
      <c r="GV269" s="28" t="str">
        <f t="shared" si="228"/>
        <v>00:00</v>
      </c>
      <c r="GW269" s="29"/>
      <c r="GX269" s="27"/>
      <c r="GY269" s="27"/>
      <c r="GZ269" s="28" t="str">
        <f>IFERROR(VLOOKUP(GX269,Horarios!$H:$I,2,0),"")</f>
        <v/>
      </c>
      <c r="HA269" s="28" t="str">
        <f>IFERROR(VLOOKUP(GY269,Horarios!$H:$I,2,0),"")</f>
        <v/>
      </c>
      <c r="HB269" s="28" t="str">
        <f t="shared" si="229"/>
        <v>00:00</v>
      </c>
      <c r="HC269" s="29"/>
      <c r="HD269" s="27"/>
      <c r="HE269" s="27"/>
      <c r="HF269" s="28" t="str">
        <f>IFERROR(VLOOKUP(HD269,Horarios!$H:$I,2,0),"")</f>
        <v/>
      </c>
      <c r="HG269" s="28" t="str">
        <f>IFERROR(VLOOKUP(HE269,Horarios!$H:$I,2,0),"")</f>
        <v/>
      </c>
      <c r="HH269" s="28" t="str">
        <f t="shared" si="230"/>
        <v>00:00</v>
      </c>
      <c r="HI269" s="29"/>
      <c r="HJ269" s="31" t="str">
        <f t="shared" si="231"/>
        <v/>
      </c>
      <c r="HK269" s="27"/>
      <c r="HL269" s="27"/>
      <c r="HM269" s="28" t="str">
        <f>IFERROR(VLOOKUP(HK269,Horarios!$H:$I,2,0),"")</f>
        <v/>
      </c>
      <c r="HN269" s="28" t="str">
        <f>IFERROR(VLOOKUP(HL269,Horarios!$H:$I,2,0),"")</f>
        <v/>
      </c>
      <c r="HO269" s="28" t="str">
        <f t="shared" si="232"/>
        <v>00:00</v>
      </c>
      <c r="HP269" s="29"/>
      <c r="HQ269" s="27"/>
      <c r="HR269" s="27"/>
      <c r="HS269" s="28" t="str">
        <f>IFERROR(VLOOKUP(HQ269,Horarios!$H:$I,2,0),"")</f>
        <v/>
      </c>
      <c r="HT269" s="28" t="str">
        <f>IFERROR(VLOOKUP(HR269,Horarios!$H:$I,2,0),"")</f>
        <v/>
      </c>
      <c r="HU269" s="28" t="str">
        <f t="shared" si="233"/>
        <v>00:00</v>
      </c>
      <c r="HV269" s="29"/>
      <c r="HW269" s="27"/>
      <c r="HX269" s="27"/>
      <c r="HY269" s="28" t="str">
        <f>IFERROR(VLOOKUP(HW269,Horarios!$H:$I,2,0),"")</f>
        <v/>
      </c>
      <c r="HZ269" s="28" t="str">
        <f>IFERROR(VLOOKUP(HX269,Horarios!$H:$I,2,0),"")</f>
        <v/>
      </c>
      <c r="IA269" s="28" t="str">
        <f t="shared" si="234"/>
        <v>00:00</v>
      </c>
      <c r="IB269" s="29"/>
      <c r="IC269" s="27"/>
      <c r="ID269" s="27"/>
      <c r="IE269" s="28" t="str">
        <f>IFERROR(VLOOKUP(IC269,Horarios!$H:$I,2,0),"")</f>
        <v/>
      </c>
      <c r="IF269" s="28" t="str">
        <f>IFERROR(VLOOKUP(ID269,Horarios!$H:$I,2,0),"")</f>
        <v/>
      </c>
      <c r="IG269" s="28" t="str">
        <f t="shared" si="235"/>
        <v>00:00</v>
      </c>
      <c r="IH269" s="29"/>
      <c r="II269" s="27"/>
      <c r="IJ269" s="27"/>
      <c r="IK269" s="28" t="str">
        <f>IFERROR(VLOOKUP(II269,Horarios!$H:$I,2,0),"")</f>
        <v/>
      </c>
      <c r="IL269" s="28" t="str">
        <f>IFERROR(VLOOKUP(IJ269,Horarios!$H:$I,2,0),"")</f>
        <v/>
      </c>
      <c r="IM269" s="28" t="str">
        <f t="shared" si="236"/>
        <v>00:00</v>
      </c>
      <c r="IN269" s="29"/>
      <c r="IO269" s="27"/>
      <c r="IP269" s="27"/>
      <c r="IQ269" s="28" t="str">
        <f>IFERROR(VLOOKUP(IO269,Horarios!$H:$I,2,0),"")</f>
        <v/>
      </c>
      <c r="IR269" s="28" t="str">
        <f>IFERROR(VLOOKUP(IP269,Horarios!$H:$I,2,0),"")</f>
        <v/>
      </c>
      <c r="IS269" s="28" t="str">
        <f t="shared" si="237"/>
        <v>00:00</v>
      </c>
      <c r="IT269" s="29"/>
      <c r="IU269" s="27"/>
      <c r="IV269" s="27"/>
      <c r="IW269" s="28" t="str">
        <f>IFERROR(VLOOKUP(IU269,Horarios!$H:$I,2,0),"")</f>
        <v/>
      </c>
      <c r="IX269" s="28" t="str">
        <f>IFERROR(VLOOKUP(IV269,Horarios!$H:$I,2,0),"")</f>
        <v/>
      </c>
      <c r="IY269" s="28" t="str">
        <f t="shared" si="238"/>
        <v>00:00</v>
      </c>
      <c r="IZ269" s="29"/>
      <c r="JA269" s="31" t="str">
        <f t="shared" si="239"/>
        <v/>
      </c>
    </row>
    <row r="270" spans="1:261" s="24" customFormat="1" ht="17.399999999999999" x14ac:dyDescent="0.25">
      <c r="A270" s="25"/>
      <c r="B270" s="26" t="str">
        <f>IFERROR(VLOOKUP(A270,BaseNombres!A:B,2,0),"")</f>
        <v/>
      </c>
      <c r="C270" s="26" t="str">
        <f>IFERROR(VLOOKUP(A270,BaseNombres!A:C,3,0),"")</f>
        <v/>
      </c>
      <c r="D270" s="27"/>
      <c r="E270" s="27"/>
      <c r="F270" s="28" t="str">
        <f>IFERROR(VLOOKUP(D270,Horarios!$H:$I,2,0),"")</f>
        <v/>
      </c>
      <c r="G270" s="28" t="str">
        <f>IFERROR(VLOOKUP(E270,Horarios!$H:$I,2,0),"")</f>
        <v/>
      </c>
      <c r="H270" s="28" t="str">
        <f t="shared" si="192"/>
        <v>00:00</v>
      </c>
      <c r="I270" s="29"/>
      <c r="J270" s="27"/>
      <c r="K270" s="27"/>
      <c r="L270" s="28" t="str">
        <f>IFERROR(VLOOKUP(J270,Horarios!$H:$I,2,0),"")</f>
        <v/>
      </c>
      <c r="M270" s="28" t="str">
        <f>IFERROR(VLOOKUP(K270,Horarios!$H:$I,2,0),"")</f>
        <v/>
      </c>
      <c r="N270" s="28" t="str">
        <f t="shared" si="193"/>
        <v>00:00</v>
      </c>
      <c r="O270" s="29"/>
      <c r="P270" s="27"/>
      <c r="Q270" s="27"/>
      <c r="R270" s="28" t="str">
        <f>IFERROR(VLOOKUP(P270,Horarios!$H:$I,2,0),"")</f>
        <v/>
      </c>
      <c r="S270" s="28" t="str">
        <f>IFERROR(VLOOKUP(Q270,Horarios!$H:$I,2,0),"")</f>
        <v/>
      </c>
      <c r="T270" s="28" t="str">
        <f t="shared" si="194"/>
        <v>00:00</v>
      </c>
      <c r="U270" s="29"/>
      <c r="V270" s="27"/>
      <c r="W270" s="27"/>
      <c r="X270" s="28" t="str">
        <f>IFERROR(VLOOKUP(V270,Horarios!$H:$I,2,0),"")</f>
        <v/>
      </c>
      <c r="Y270" s="28" t="str">
        <f>IFERROR(VLOOKUP(W270,Horarios!$H:$I,2,0),"")</f>
        <v/>
      </c>
      <c r="Z270" s="28" t="str">
        <f t="shared" si="195"/>
        <v>00:00</v>
      </c>
      <c r="AA270" s="29"/>
      <c r="AB270" s="27"/>
      <c r="AC270" s="27"/>
      <c r="AD270" s="28" t="str">
        <f>IFERROR(VLOOKUP(AB270,Horarios!$H:$I,2,0),"")</f>
        <v/>
      </c>
      <c r="AE270" s="28" t="str">
        <f>IFERROR(VLOOKUP(AC270,Horarios!$H:$I,2,0),"")</f>
        <v/>
      </c>
      <c r="AF270" s="28" t="str">
        <f t="shared" si="196"/>
        <v>00:00</v>
      </c>
      <c r="AG270" s="29"/>
      <c r="AH270" s="27"/>
      <c r="AI270" s="27"/>
      <c r="AJ270" s="28" t="str">
        <f>IFERROR(VLOOKUP(AH270,Horarios!$H:$I,2,0),"")</f>
        <v/>
      </c>
      <c r="AK270" s="28" t="str">
        <f>IFERROR(VLOOKUP(AI270,Horarios!$H:$I,2,0),"")</f>
        <v/>
      </c>
      <c r="AL270" s="28" t="str">
        <f t="shared" si="197"/>
        <v>00:00</v>
      </c>
      <c r="AM270" s="29"/>
      <c r="AN270" s="27"/>
      <c r="AO270" s="27"/>
      <c r="AP270" s="28" t="str">
        <f>IFERROR(VLOOKUP(AN270,Horarios!$H:$I,2,0),"")</f>
        <v/>
      </c>
      <c r="AQ270" s="28" t="str">
        <f>IFERROR(VLOOKUP(AO270,Horarios!$H:$I,2,0),"")</f>
        <v/>
      </c>
      <c r="AR270" s="28" t="str">
        <f t="shared" si="198"/>
        <v>00:00</v>
      </c>
      <c r="AS270" s="29"/>
      <c r="AT270" s="31" t="str">
        <f t="shared" si="199"/>
        <v/>
      </c>
      <c r="AU270" s="27"/>
      <c r="AV270" s="27"/>
      <c r="AW270" s="28" t="str">
        <f>IFERROR(VLOOKUP(AU270,Horarios!$H:$I,2,0),"")</f>
        <v/>
      </c>
      <c r="AX270" s="28" t="str">
        <f>IFERROR(VLOOKUP(AV270,Horarios!$H:$I,2,0),"")</f>
        <v/>
      </c>
      <c r="AY270" s="28" t="str">
        <f t="shared" si="200"/>
        <v>00:00</v>
      </c>
      <c r="AZ270" s="29"/>
      <c r="BA270" s="27"/>
      <c r="BB270" s="27"/>
      <c r="BC270" s="28" t="str">
        <f>IFERROR(VLOOKUP(BA270,Horarios!$H:$I,2,0),"")</f>
        <v/>
      </c>
      <c r="BD270" s="28" t="str">
        <f>IFERROR(VLOOKUP(BB270,Horarios!$H:$I,2,0),"")</f>
        <v/>
      </c>
      <c r="BE270" s="28" t="str">
        <f t="shared" si="201"/>
        <v>00:00</v>
      </c>
      <c r="BF270" s="29"/>
      <c r="BG270" s="27"/>
      <c r="BH270" s="27"/>
      <c r="BI270" s="28" t="str">
        <f>IFERROR(VLOOKUP(BG270,Horarios!$H:$I,2,0),"")</f>
        <v/>
      </c>
      <c r="BJ270" s="28" t="str">
        <f>IFERROR(VLOOKUP(BH270,Horarios!$H:$I,2,0),"")</f>
        <v/>
      </c>
      <c r="BK270" s="28" t="str">
        <f t="shared" si="202"/>
        <v>00:00</v>
      </c>
      <c r="BL270" s="29"/>
      <c r="BM270" s="27"/>
      <c r="BN270" s="27"/>
      <c r="BO270" s="28" t="str">
        <f>IFERROR(VLOOKUP(BM270,Horarios!$H:$I,2,0),"")</f>
        <v/>
      </c>
      <c r="BP270" s="28" t="str">
        <f>IFERROR(VLOOKUP(BN270,Horarios!$H:$I,2,0),"")</f>
        <v/>
      </c>
      <c r="BQ270" s="28" t="str">
        <f t="shared" si="203"/>
        <v>00:00</v>
      </c>
      <c r="BR270" s="29"/>
      <c r="BS270" s="27"/>
      <c r="BT270" s="27"/>
      <c r="BU270" s="28" t="str">
        <f>IFERROR(VLOOKUP(BS270,Horarios!$H:$I,2,0),"")</f>
        <v/>
      </c>
      <c r="BV270" s="28" t="str">
        <f>IFERROR(VLOOKUP(BT270,Horarios!$H:$I,2,0),"")</f>
        <v/>
      </c>
      <c r="BW270" s="28" t="str">
        <f t="shared" si="204"/>
        <v>00:00</v>
      </c>
      <c r="BX270" s="29"/>
      <c r="BY270" s="27"/>
      <c r="BZ270" s="27"/>
      <c r="CA270" s="28" t="str">
        <f>IFERROR(VLOOKUP(BY270,Horarios!$H:$I,2,0),"")</f>
        <v/>
      </c>
      <c r="CB270" s="28" t="str">
        <f>IFERROR(VLOOKUP(BZ270,Horarios!$H:$I,2,0),"")</f>
        <v/>
      </c>
      <c r="CC270" s="28" t="str">
        <f t="shared" si="205"/>
        <v>00:00</v>
      </c>
      <c r="CD270" s="29"/>
      <c r="CE270" s="27"/>
      <c r="CF270" s="27"/>
      <c r="CG270" s="28" t="str">
        <f>IFERROR(VLOOKUP(CE270,Horarios!$H:$I,2,0),"")</f>
        <v/>
      </c>
      <c r="CH270" s="28" t="str">
        <f>IFERROR(VLOOKUP(CF270,Horarios!$H:$I,2,0),"")</f>
        <v/>
      </c>
      <c r="CI270" s="28" t="str">
        <f t="shared" si="206"/>
        <v>00:00</v>
      </c>
      <c r="CJ270" s="29"/>
      <c r="CK270" s="31" t="str">
        <f t="shared" si="207"/>
        <v/>
      </c>
      <c r="CL270" s="27"/>
      <c r="CM270" s="27"/>
      <c r="CN270" s="28" t="str">
        <f>IFERROR(VLOOKUP(CL270,Horarios!$H:$I,2,0),"")</f>
        <v/>
      </c>
      <c r="CO270" s="28" t="str">
        <f>IFERROR(VLOOKUP(CM270,Horarios!$H:$I,2,0),"")</f>
        <v/>
      </c>
      <c r="CP270" s="28" t="str">
        <f t="shared" si="208"/>
        <v>00:00</v>
      </c>
      <c r="CQ270" s="29"/>
      <c r="CR270" s="27"/>
      <c r="CS270" s="27"/>
      <c r="CT270" s="28" t="str">
        <f>IFERROR(VLOOKUP(CR270,Horarios!$H:$I,2,0),"")</f>
        <v/>
      </c>
      <c r="CU270" s="28" t="str">
        <f>IFERROR(VLOOKUP(CS270,Horarios!$H:$I,2,0),"")</f>
        <v/>
      </c>
      <c r="CV270" s="28" t="str">
        <f t="shared" si="209"/>
        <v>00:00</v>
      </c>
      <c r="CW270" s="29"/>
      <c r="CX270" s="27"/>
      <c r="CY270" s="27"/>
      <c r="CZ270" s="28" t="str">
        <f>IFERROR(VLOOKUP(CX270,Horarios!$H:$I,2,0),"")</f>
        <v/>
      </c>
      <c r="DA270" s="28" t="str">
        <f>IFERROR(VLOOKUP(CY270,Horarios!$H:$I,2,0),"")</f>
        <v/>
      </c>
      <c r="DB270" s="28" t="str">
        <f t="shared" si="210"/>
        <v>00:00</v>
      </c>
      <c r="DC270" s="29"/>
      <c r="DD270" s="27"/>
      <c r="DE270" s="27"/>
      <c r="DF270" s="28" t="str">
        <f>IFERROR(VLOOKUP(DD270,Horarios!$H:$I,2,0),"")</f>
        <v/>
      </c>
      <c r="DG270" s="28" t="str">
        <f>IFERROR(VLOOKUP(DE270,Horarios!$H:$I,2,0),"")</f>
        <v/>
      </c>
      <c r="DH270" s="28" t="str">
        <f t="shared" si="211"/>
        <v>00:00</v>
      </c>
      <c r="DI270" s="29"/>
      <c r="DJ270" s="27"/>
      <c r="DK270" s="27"/>
      <c r="DL270" s="28" t="str">
        <f>IFERROR(VLOOKUP(DJ270,Horarios!$H:$I,2,0),"")</f>
        <v/>
      </c>
      <c r="DM270" s="28" t="str">
        <f>IFERROR(VLOOKUP(DK270,Horarios!$H:$I,2,0),"")</f>
        <v/>
      </c>
      <c r="DN270" s="28" t="str">
        <f t="shared" si="212"/>
        <v>00:00</v>
      </c>
      <c r="DO270" s="29"/>
      <c r="DP270" s="27"/>
      <c r="DQ270" s="27"/>
      <c r="DR270" s="28" t="str">
        <f>IFERROR(VLOOKUP(DP270,Horarios!$H:$I,2,0),"")</f>
        <v/>
      </c>
      <c r="DS270" s="28" t="str">
        <f>IFERROR(VLOOKUP(DQ270,Horarios!$H:$I,2,0),"")</f>
        <v/>
      </c>
      <c r="DT270" s="28" t="str">
        <f t="shared" si="213"/>
        <v>00:00</v>
      </c>
      <c r="DU270" s="29"/>
      <c r="DV270" s="27"/>
      <c r="DW270" s="27"/>
      <c r="DX270" s="28" t="str">
        <f>IFERROR(VLOOKUP(DV270,Horarios!$H:$I,2,0),"")</f>
        <v/>
      </c>
      <c r="DY270" s="28" t="str">
        <f>IFERROR(VLOOKUP(DW270,Horarios!$H:$I,2,0),"")</f>
        <v/>
      </c>
      <c r="DZ270" s="28" t="str">
        <f t="shared" si="214"/>
        <v>00:00</v>
      </c>
      <c r="EA270" s="29"/>
      <c r="EB270" s="31" t="str">
        <f t="shared" si="215"/>
        <v/>
      </c>
      <c r="EC270" s="27"/>
      <c r="ED270" s="27"/>
      <c r="EE270" s="28" t="str">
        <f>IFERROR(VLOOKUP(EC270,Horarios!$H:$I,2,0),"")</f>
        <v/>
      </c>
      <c r="EF270" s="28" t="str">
        <f>IFERROR(VLOOKUP(ED270,Horarios!$H:$I,2,0),"")</f>
        <v/>
      </c>
      <c r="EG270" s="28" t="str">
        <f t="shared" si="216"/>
        <v>00:00</v>
      </c>
      <c r="EH270" s="29"/>
      <c r="EI270" s="27"/>
      <c r="EJ270" s="27"/>
      <c r="EK270" s="28" t="str">
        <f>IFERROR(VLOOKUP(EI270,Horarios!$H:$I,2,0),"")</f>
        <v/>
      </c>
      <c r="EL270" s="28" t="str">
        <f>IFERROR(VLOOKUP(EJ270,Horarios!$H:$I,2,0),"")</f>
        <v/>
      </c>
      <c r="EM270" s="28" t="str">
        <f t="shared" si="217"/>
        <v>00:00</v>
      </c>
      <c r="EN270" s="29"/>
      <c r="EO270" s="27"/>
      <c r="EP270" s="27"/>
      <c r="EQ270" s="28" t="str">
        <f>IFERROR(VLOOKUP(EO270,Horarios!$H:$I,2,0),"")</f>
        <v/>
      </c>
      <c r="ER270" s="28" t="str">
        <f>IFERROR(VLOOKUP(EP270,Horarios!$H:$I,2,0),"")</f>
        <v/>
      </c>
      <c r="ES270" s="28" t="str">
        <f t="shared" si="218"/>
        <v>00:00</v>
      </c>
      <c r="ET270" s="29"/>
      <c r="EU270" s="27"/>
      <c r="EV270" s="27"/>
      <c r="EW270" s="28" t="str">
        <f>IFERROR(VLOOKUP(EU270,Horarios!$H:$I,2,0),"")</f>
        <v/>
      </c>
      <c r="EX270" s="28" t="str">
        <f>IFERROR(VLOOKUP(EV270,Horarios!$H:$I,2,0),"")</f>
        <v/>
      </c>
      <c r="EY270" s="28" t="str">
        <f t="shared" si="219"/>
        <v>00:00</v>
      </c>
      <c r="EZ270" s="29"/>
      <c r="FA270" s="27"/>
      <c r="FB270" s="27"/>
      <c r="FC270" s="28" t="str">
        <f>IFERROR(VLOOKUP(FA270,Horarios!$H:$I,2,0),"")</f>
        <v/>
      </c>
      <c r="FD270" s="28" t="str">
        <f>IFERROR(VLOOKUP(FB270,Horarios!$H:$I,2,0),"")</f>
        <v/>
      </c>
      <c r="FE270" s="28" t="str">
        <f t="shared" si="220"/>
        <v>00:00</v>
      </c>
      <c r="FF270" s="29"/>
      <c r="FG270" s="27"/>
      <c r="FH270" s="27"/>
      <c r="FI270" s="28" t="str">
        <f>IFERROR(VLOOKUP(FG270,Horarios!$H:$I,2,0),"")</f>
        <v/>
      </c>
      <c r="FJ270" s="28" t="str">
        <f>IFERROR(VLOOKUP(FH270,Horarios!$H:$I,2,0),"")</f>
        <v/>
      </c>
      <c r="FK270" s="28" t="str">
        <f t="shared" si="221"/>
        <v>00:00</v>
      </c>
      <c r="FL270" s="29"/>
      <c r="FM270" s="27"/>
      <c r="FN270" s="27"/>
      <c r="FO270" s="28" t="str">
        <f>IFERROR(VLOOKUP(FM270,Horarios!$H:$I,2,0),"")</f>
        <v/>
      </c>
      <c r="FP270" s="28" t="str">
        <f>IFERROR(VLOOKUP(FN270,Horarios!$H:$I,2,0),"")</f>
        <v/>
      </c>
      <c r="FQ270" s="28" t="str">
        <f t="shared" si="222"/>
        <v>00:00</v>
      </c>
      <c r="FR270" s="29"/>
      <c r="FS270" s="31" t="str">
        <f t="shared" si="223"/>
        <v/>
      </c>
      <c r="FT270" s="27"/>
      <c r="FU270" s="27"/>
      <c r="FV270" s="28" t="str">
        <f>IFERROR(VLOOKUP(FT270,Horarios!$H:$I,2,0),"")</f>
        <v/>
      </c>
      <c r="FW270" s="28" t="str">
        <f>IFERROR(VLOOKUP(FU270,Horarios!$H:$I,2,0),"")</f>
        <v/>
      </c>
      <c r="FX270" s="28" t="str">
        <f t="shared" si="224"/>
        <v>00:00</v>
      </c>
      <c r="FY270" s="29"/>
      <c r="FZ270" s="27"/>
      <c r="GA270" s="27"/>
      <c r="GB270" s="28" t="str">
        <f>IFERROR(VLOOKUP(FZ270,Horarios!$H:$I,2,0),"")</f>
        <v/>
      </c>
      <c r="GC270" s="28" t="str">
        <f>IFERROR(VLOOKUP(GA270,Horarios!$H:$I,2,0),"")</f>
        <v/>
      </c>
      <c r="GD270" s="28" t="str">
        <f t="shared" si="225"/>
        <v>00:00</v>
      </c>
      <c r="GE270" s="29"/>
      <c r="GF270" s="27"/>
      <c r="GG270" s="27"/>
      <c r="GH270" s="28" t="str">
        <f>IFERROR(VLOOKUP(GF270,Horarios!$H:$I,2,0),"")</f>
        <v/>
      </c>
      <c r="GI270" s="28" t="str">
        <f>IFERROR(VLOOKUP(GG270,Horarios!$H:$I,2,0),"")</f>
        <v/>
      </c>
      <c r="GJ270" s="28" t="str">
        <f t="shared" si="226"/>
        <v>00:00</v>
      </c>
      <c r="GK270" s="29"/>
      <c r="GL270" s="27"/>
      <c r="GM270" s="27"/>
      <c r="GN270" s="28" t="str">
        <f>IFERROR(VLOOKUP(GL270,Horarios!$H:$I,2,0),"")</f>
        <v/>
      </c>
      <c r="GO270" s="28" t="str">
        <f>IFERROR(VLOOKUP(GM270,Horarios!$H:$I,2,0),"")</f>
        <v/>
      </c>
      <c r="GP270" s="28" t="str">
        <f t="shared" si="227"/>
        <v>00:00</v>
      </c>
      <c r="GQ270" s="29"/>
      <c r="GR270" s="27"/>
      <c r="GS270" s="27"/>
      <c r="GT270" s="28" t="str">
        <f>IFERROR(VLOOKUP(GR270,Horarios!$H:$I,2,0),"")</f>
        <v/>
      </c>
      <c r="GU270" s="28" t="str">
        <f>IFERROR(VLOOKUP(GS270,Horarios!$H:$I,2,0),"")</f>
        <v/>
      </c>
      <c r="GV270" s="28" t="str">
        <f t="shared" si="228"/>
        <v>00:00</v>
      </c>
      <c r="GW270" s="29"/>
      <c r="GX270" s="27"/>
      <c r="GY270" s="27"/>
      <c r="GZ270" s="28" t="str">
        <f>IFERROR(VLOOKUP(GX270,Horarios!$H:$I,2,0),"")</f>
        <v/>
      </c>
      <c r="HA270" s="28" t="str">
        <f>IFERROR(VLOOKUP(GY270,Horarios!$H:$I,2,0),"")</f>
        <v/>
      </c>
      <c r="HB270" s="28" t="str">
        <f t="shared" si="229"/>
        <v>00:00</v>
      </c>
      <c r="HC270" s="29"/>
      <c r="HD270" s="27"/>
      <c r="HE270" s="27"/>
      <c r="HF270" s="28" t="str">
        <f>IFERROR(VLOOKUP(HD270,Horarios!$H:$I,2,0),"")</f>
        <v/>
      </c>
      <c r="HG270" s="28" t="str">
        <f>IFERROR(VLOOKUP(HE270,Horarios!$H:$I,2,0),"")</f>
        <v/>
      </c>
      <c r="HH270" s="28" t="str">
        <f t="shared" si="230"/>
        <v>00:00</v>
      </c>
      <c r="HI270" s="29"/>
      <c r="HJ270" s="31" t="str">
        <f t="shared" si="231"/>
        <v/>
      </c>
      <c r="HK270" s="27"/>
      <c r="HL270" s="27"/>
      <c r="HM270" s="28" t="str">
        <f>IFERROR(VLOOKUP(HK270,Horarios!$H:$I,2,0),"")</f>
        <v/>
      </c>
      <c r="HN270" s="28" t="str">
        <f>IFERROR(VLOOKUP(HL270,Horarios!$H:$I,2,0),"")</f>
        <v/>
      </c>
      <c r="HO270" s="28" t="str">
        <f t="shared" si="232"/>
        <v>00:00</v>
      </c>
      <c r="HP270" s="29"/>
      <c r="HQ270" s="27"/>
      <c r="HR270" s="27"/>
      <c r="HS270" s="28" t="str">
        <f>IFERROR(VLOOKUP(HQ270,Horarios!$H:$I,2,0),"")</f>
        <v/>
      </c>
      <c r="HT270" s="28" t="str">
        <f>IFERROR(VLOOKUP(HR270,Horarios!$H:$I,2,0),"")</f>
        <v/>
      </c>
      <c r="HU270" s="28" t="str">
        <f t="shared" si="233"/>
        <v>00:00</v>
      </c>
      <c r="HV270" s="29"/>
      <c r="HW270" s="27"/>
      <c r="HX270" s="27"/>
      <c r="HY270" s="28" t="str">
        <f>IFERROR(VLOOKUP(HW270,Horarios!$H:$I,2,0),"")</f>
        <v/>
      </c>
      <c r="HZ270" s="28" t="str">
        <f>IFERROR(VLOOKUP(HX270,Horarios!$H:$I,2,0),"")</f>
        <v/>
      </c>
      <c r="IA270" s="28" t="str">
        <f t="shared" si="234"/>
        <v>00:00</v>
      </c>
      <c r="IB270" s="29"/>
      <c r="IC270" s="27"/>
      <c r="ID270" s="27"/>
      <c r="IE270" s="28" t="str">
        <f>IFERROR(VLOOKUP(IC270,Horarios!$H:$I,2,0),"")</f>
        <v/>
      </c>
      <c r="IF270" s="28" t="str">
        <f>IFERROR(VLOOKUP(ID270,Horarios!$H:$I,2,0),"")</f>
        <v/>
      </c>
      <c r="IG270" s="28" t="str">
        <f t="shared" si="235"/>
        <v>00:00</v>
      </c>
      <c r="IH270" s="29"/>
      <c r="II270" s="27"/>
      <c r="IJ270" s="27"/>
      <c r="IK270" s="28" t="str">
        <f>IFERROR(VLOOKUP(II270,Horarios!$H:$I,2,0),"")</f>
        <v/>
      </c>
      <c r="IL270" s="28" t="str">
        <f>IFERROR(VLOOKUP(IJ270,Horarios!$H:$I,2,0),"")</f>
        <v/>
      </c>
      <c r="IM270" s="28" t="str">
        <f t="shared" si="236"/>
        <v>00:00</v>
      </c>
      <c r="IN270" s="29"/>
      <c r="IO270" s="27"/>
      <c r="IP270" s="27"/>
      <c r="IQ270" s="28" t="str">
        <f>IFERROR(VLOOKUP(IO270,Horarios!$H:$I,2,0),"")</f>
        <v/>
      </c>
      <c r="IR270" s="28" t="str">
        <f>IFERROR(VLOOKUP(IP270,Horarios!$H:$I,2,0),"")</f>
        <v/>
      </c>
      <c r="IS270" s="28" t="str">
        <f t="shared" si="237"/>
        <v>00:00</v>
      </c>
      <c r="IT270" s="29"/>
      <c r="IU270" s="27"/>
      <c r="IV270" s="27"/>
      <c r="IW270" s="28" t="str">
        <f>IFERROR(VLOOKUP(IU270,Horarios!$H:$I,2,0),"")</f>
        <v/>
      </c>
      <c r="IX270" s="28" t="str">
        <f>IFERROR(VLOOKUP(IV270,Horarios!$H:$I,2,0),"")</f>
        <v/>
      </c>
      <c r="IY270" s="28" t="str">
        <f t="shared" si="238"/>
        <v>00:00</v>
      </c>
      <c r="IZ270" s="29"/>
      <c r="JA270" s="31" t="str">
        <f t="shared" si="239"/>
        <v/>
      </c>
    </row>
    <row r="271" spans="1:261" s="24" customFormat="1" ht="17.399999999999999" x14ac:dyDescent="0.25">
      <c r="A271" s="25"/>
      <c r="B271" s="26" t="str">
        <f>IFERROR(VLOOKUP(A271,BaseNombres!A:B,2,0),"")</f>
        <v/>
      </c>
      <c r="C271" s="26" t="str">
        <f>IFERROR(VLOOKUP(A271,BaseNombres!A:C,3,0),"")</f>
        <v/>
      </c>
      <c r="D271" s="27"/>
      <c r="E271" s="27"/>
      <c r="F271" s="28" t="str">
        <f>IFERROR(VLOOKUP(D271,Horarios!$H:$I,2,0),"")</f>
        <v/>
      </c>
      <c r="G271" s="28" t="str">
        <f>IFERROR(VLOOKUP(E271,Horarios!$H:$I,2,0),"")</f>
        <v/>
      </c>
      <c r="H271" s="28" t="str">
        <f t="shared" si="192"/>
        <v>00:00</v>
      </c>
      <c r="I271" s="29"/>
      <c r="J271" s="27"/>
      <c r="K271" s="27"/>
      <c r="L271" s="28" t="str">
        <f>IFERROR(VLOOKUP(J271,Horarios!$H:$I,2,0),"")</f>
        <v/>
      </c>
      <c r="M271" s="28" t="str">
        <f>IFERROR(VLOOKUP(K271,Horarios!$H:$I,2,0),"")</f>
        <v/>
      </c>
      <c r="N271" s="28" t="str">
        <f t="shared" si="193"/>
        <v>00:00</v>
      </c>
      <c r="O271" s="29"/>
      <c r="P271" s="27"/>
      <c r="Q271" s="27"/>
      <c r="R271" s="28" t="str">
        <f>IFERROR(VLOOKUP(P271,Horarios!$H:$I,2,0),"")</f>
        <v/>
      </c>
      <c r="S271" s="28" t="str">
        <f>IFERROR(VLOOKUP(Q271,Horarios!$H:$I,2,0),"")</f>
        <v/>
      </c>
      <c r="T271" s="28" t="str">
        <f t="shared" si="194"/>
        <v>00:00</v>
      </c>
      <c r="U271" s="29"/>
      <c r="V271" s="27"/>
      <c r="W271" s="27"/>
      <c r="X271" s="28" t="str">
        <f>IFERROR(VLOOKUP(V271,Horarios!$H:$I,2,0),"")</f>
        <v/>
      </c>
      <c r="Y271" s="28" t="str">
        <f>IFERROR(VLOOKUP(W271,Horarios!$H:$I,2,0),"")</f>
        <v/>
      </c>
      <c r="Z271" s="28" t="str">
        <f t="shared" si="195"/>
        <v>00:00</v>
      </c>
      <c r="AA271" s="29"/>
      <c r="AB271" s="27"/>
      <c r="AC271" s="27"/>
      <c r="AD271" s="28" t="str">
        <f>IFERROR(VLOOKUP(AB271,Horarios!$H:$I,2,0),"")</f>
        <v/>
      </c>
      <c r="AE271" s="28" t="str">
        <f>IFERROR(VLOOKUP(AC271,Horarios!$H:$I,2,0),"")</f>
        <v/>
      </c>
      <c r="AF271" s="28" t="str">
        <f t="shared" si="196"/>
        <v>00:00</v>
      </c>
      <c r="AG271" s="29"/>
      <c r="AH271" s="27"/>
      <c r="AI271" s="27"/>
      <c r="AJ271" s="28" t="str">
        <f>IFERROR(VLOOKUP(AH271,Horarios!$H:$I,2,0),"")</f>
        <v/>
      </c>
      <c r="AK271" s="28" t="str">
        <f>IFERROR(VLOOKUP(AI271,Horarios!$H:$I,2,0),"")</f>
        <v/>
      </c>
      <c r="AL271" s="28" t="str">
        <f t="shared" si="197"/>
        <v>00:00</v>
      </c>
      <c r="AM271" s="29"/>
      <c r="AN271" s="27"/>
      <c r="AO271" s="27"/>
      <c r="AP271" s="28" t="str">
        <f>IFERROR(VLOOKUP(AN271,Horarios!$H:$I,2,0),"")</f>
        <v/>
      </c>
      <c r="AQ271" s="28" t="str">
        <f>IFERROR(VLOOKUP(AO271,Horarios!$H:$I,2,0),"")</f>
        <v/>
      </c>
      <c r="AR271" s="28" t="str">
        <f t="shared" si="198"/>
        <v>00:00</v>
      </c>
      <c r="AS271" s="29"/>
      <c r="AT271" s="31" t="str">
        <f t="shared" si="199"/>
        <v/>
      </c>
      <c r="AU271" s="27"/>
      <c r="AV271" s="27"/>
      <c r="AW271" s="28" t="str">
        <f>IFERROR(VLOOKUP(AU271,Horarios!$H:$I,2,0),"")</f>
        <v/>
      </c>
      <c r="AX271" s="28" t="str">
        <f>IFERROR(VLOOKUP(AV271,Horarios!$H:$I,2,0),"")</f>
        <v/>
      </c>
      <c r="AY271" s="28" t="str">
        <f t="shared" si="200"/>
        <v>00:00</v>
      </c>
      <c r="AZ271" s="29"/>
      <c r="BA271" s="27"/>
      <c r="BB271" s="27"/>
      <c r="BC271" s="28" t="str">
        <f>IFERROR(VLOOKUP(BA271,Horarios!$H:$I,2,0),"")</f>
        <v/>
      </c>
      <c r="BD271" s="28" t="str">
        <f>IFERROR(VLOOKUP(BB271,Horarios!$H:$I,2,0),"")</f>
        <v/>
      </c>
      <c r="BE271" s="28" t="str">
        <f t="shared" si="201"/>
        <v>00:00</v>
      </c>
      <c r="BF271" s="29"/>
      <c r="BG271" s="27"/>
      <c r="BH271" s="27"/>
      <c r="BI271" s="28" t="str">
        <f>IFERROR(VLOOKUP(BG271,Horarios!$H:$I,2,0),"")</f>
        <v/>
      </c>
      <c r="BJ271" s="28" t="str">
        <f>IFERROR(VLOOKUP(BH271,Horarios!$H:$I,2,0),"")</f>
        <v/>
      </c>
      <c r="BK271" s="28" t="str">
        <f t="shared" si="202"/>
        <v>00:00</v>
      </c>
      <c r="BL271" s="29"/>
      <c r="BM271" s="27"/>
      <c r="BN271" s="27"/>
      <c r="BO271" s="28" t="str">
        <f>IFERROR(VLOOKUP(BM271,Horarios!$H:$I,2,0),"")</f>
        <v/>
      </c>
      <c r="BP271" s="28" t="str">
        <f>IFERROR(VLOOKUP(BN271,Horarios!$H:$I,2,0),"")</f>
        <v/>
      </c>
      <c r="BQ271" s="28" t="str">
        <f t="shared" si="203"/>
        <v>00:00</v>
      </c>
      <c r="BR271" s="29"/>
      <c r="BS271" s="27"/>
      <c r="BT271" s="27"/>
      <c r="BU271" s="28" t="str">
        <f>IFERROR(VLOOKUP(BS271,Horarios!$H:$I,2,0),"")</f>
        <v/>
      </c>
      <c r="BV271" s="28" t="str">
        <f>IFERROR(VLOOKUP(BT271,Horarios!$H:$I,2,0),"")</f>
        <v/>
      </c>
      <c r="BW271" s="28" t="str">
        <f t="shared" si="204"/>
        <v>00:00</v>
      </c>
      <c r="BX271" s="29"/>
      <c r="BY271" s="27"/>
      <c r="BZ271" s="27"/>
      <c r="CA271" s="28" t="str">
        <f>IFERROR(VLOOKUP(BY271,Horarios!$H:$I,2,0),"")</f>
        <v/>
      </c>
      <c r="CB271" s="28" t="str">
        <f>IFERROR(VLOOKUP(BZ271,Horarios!$H:$I,2,0),"")</f>
        <v/>
      </c>
      <c r="CC271" s="28" t="str">
        <f t="shared" si="205"/>
        <v>00:00</v>
      </c>
      <c r="CD271" s="29"/>
      <c r="CE271" s="27"/>
      <c r="CF271" s="27"/>
      <c r="CG271" s="28" t="str">
        <f>IFERROR(VLOOKUP(CE271,Horarios!$H:$I,2,0),"")</f>
        <v/>
      </c>
      <c r="CH271" s="28" t="str">
        <f>IFERROR(VLOOKUP(CF271,Horarios!$H:$I,2,0),"")</f>
        <v/>
      </c>
      <c r="CI271" s="28" t="str">
        <f t="shared" si="206"/>
        <v>00:00</v>
      </c>
      <c r="CJ271" s="29"/>
      <c r="CK271" s="31" t="str">
        <f t="shared" si="207"/>
        <v/>
      </c>
      <c r="CL271" s="27"/>
      <c r="CM271" s="27"/>
      <c r="CN271" s="28" t="str">
        <f>IFERROR(VLOOKUP(CL271,Horarios!$H:$I,2,0),"")</f>
        <v/>
      </c>
      <c r="CO271" s="28" t="str">
        <f>IFERROR(VLOOKUP(CM271,Horarios!$H:$I,2,0),"")</f>
        <v/>
      </c>
      <c r="CP271" s="28" t="str">
        <f t="shared" si="208"/>
        <v>00:00</v>
      </c>
      <c r="CQ271" s="29"/>
      <c r="CR271" s="27"/>
      <c r="CS271" s="27"/>
      <c r="CT271" s="28" t="str">
        <f>IFERROR(VLOOKUP(CR271,Horarios!$H:$I,2,0),"")</f>
        <v/>
      </c>
      <c r="CU271" s="28" t="str">
        <f>IFERROR(VLOOKUP(CS271,Horarios!$H:$I,2,0),"")</f>
        <v/>
      </c>
      <c r="CV271" s="28" t="str">
        <f t="shared" si="209"/>
        <v>00:00</v>
      </c>
      <c r="CW271" s="29"/>
      <c r="CX271" s="27"/>
      <c r="CY271" s="27"/>
      <c r="CZ271" s="28" t="str">
        <f>IFERROR(VLOOKUP(CX271,Horarios!$H:$I,2,0),"")</f>
        <v/>
      </c>
      <c r="DA271" s="28" t="str">
        <f>IFERROR(VLOOKUP(CY271,Horarios!$H:$I,2,0),"")</f>
        <v/>
      </c>
      <c r="DB271" s="28" t="str">
        <f t="shared" si="210"/>
        <v>00:00</v>
      </c>
      <c r="DC271" s="29"/>
      <c r="DD271" s="27"/>
      <c r="DE271" s="27"/>
      <c r="DF271" s="28" t="str">
        <f>IFERROR(VLOOKUP(DD271,Horarios!$H:$I,2,0),"")</f>
        <v/>
      </c>
      <c r="DG271" s="28" t="str">
        <f>IFERROR(VLOOKUP(DE271,Horarios!$H:$I,2,0),"")</f>
        <v/>
      </c>
      <c r="DH271" s="28" t="str">
        <f t="shared" si="211"/>
        <v>00:00</v>
      </c>
      <c r="DI271" s="29"/>
      <c r="DJ271" s="27"/>
      <c r="DK271" s="27"/>
      <c r="DL271" s="28" t="str">
        <f>IFERROR(VLOOKUP(DJ271,Horarios!$H:$I,2,0),"")</f>
        <v/>
      </c>
      <c r="DM271" s="28" t="str">
        <f>IFERROR(VLOOKUP(DK271,Horarios!$H:$I,2,0),"")</f>
        <v/>
      </c>
      <c r="DN271" s="28" t="str">
        <f t="shared" si="212"/>
        <v>00:00</v>
      </c>
      <c r="DO271" s="29"/>
      <c r="DP271" s="27"/>
      <c r="DQ271" s="27"/>
      <c r="DR271" s="28" t="str">
        <f>IFERROR(VLOOKUP(DP271,Horarios!$H:$I,2,0),"")</f>
        <v/>
      </c>
      <c r="DS271" s="28" t="str">
        <f>IFERROR(VLOOKUP(DQ271,Horarios!$H:$I,2,0),"")</f>
        <v/>
      </c>
      <c r="DT271" s="28" t="str">
        <f t="shared" si="213"/>
        <v>00:00</v>
      </c>
      <c r="DU271" s="29"/>
      <c r="DV271" s="27"/>
      <c r="DW271" s="27"/>
      <c r="DX271" s="28" t="str">
        <f>IFERROR(VLOOKUP(DV271,Horarios!$H:$I,2,0),"")</f>
        <v/>
      </c>
      <c r="DY271" s="28" t="str">
        <f>IFERROR(VLOOKUP(DW271,Horarios!$H:$I,2,0),"")</f>
        <v/>
      </c>
      <c r="DZ271" s="28" t="str">
        <f t="shared" si="214"/>
        <v>00:00</v>
      </c>
      <c r="EA271" s="29"/>
      <c r="EB271" s="31" t="str">
        <f t="shared" si="215"/>
        <v/>
      </c>
      <c r="EC271" s="27"/>
      <c r="ED271" s="27"/>
      <c r="EE271" s="28" t="str">
        <f>IFERROR(VLOOKUP(EC271,Horarios!$H:$I,2,0),"")</f>
        <v/>
      </c>
      <c r="EF271" s="28" t="str">
        <f>IFERROR(VLOOKUP(ED271,Horarios!$H:$I,2,0),"")</f>
        <v/>
      </c>
      <c r="EG271" s="28" t="str">
        <f t="shared" si="216"/>
        <v>00:00</v>
      </c>
      <c r="EH271" s="29"/>
      <c r="EI271" s="27"/>
      <c r="EJ271" s="27"/>
      <c r="EK271" s="28" t="str">
        <f>IFERROR(VLOOKUP(EI271,Horarios!$H:$I,2,0),"")</f>
        <v/>
      </c>
      <c r="EL271" s="28" t="str">
        <f>IFERROR(VLOOKUP(EJ271,Horarios!$H:$I,2,0),"")</f>
        <v/>
      </c>
      <c r="EM271" s="28" t="str">
        <f t="shared" si="217"/>
        <v>00:00</v>
      </c>
      <c r="EN271" s="29"/>
      <c r="EO271" s="27"/>
      <c r="EP271" s="27"/>
      <c r="EQ271" s="28" t="str">
        <f>IFERROR(VLOOKUP(EO271,Horarios!$H:$I,2,0),"")</f>
        <v/>
      </c>
      <c r="ER271" s="28" t="str">
        <f>IFERROR(VLOOKUP(EP271,Horarios!$H:$I,2,0),"")</f>
        <v/>
      </c>
      <c r="ES271" s="28" t="str">
        <f t="shared" si="218"/>
        <v>00:00</v>
      </c>
      <c r="ET271" s="29"/>
      <c r="EU271" s="27"/>
      <c r="EV271" s="27"/>
      <c r="EW271" s="28" t="str">
        <f>IFERROR(VLOOKUP(EU271,Horarios!$H:$I,2,0),"")</f>
        <v/>
      </c>
      <c r="EX271" s="28" t="str">
        <f>IFERROR(VLOOKUP(EV271,Horarios!$H:$I,2,0),"")</f>
        <v/>
      </c>
      <c r="EY271" s="28" t="str">
        <f t="shared" si="219"/>
        <v>00:00</v>
      </c>
      <c r="EZ271" s="29"/>
      <c r="FA271" s="27"/>
      <c r="FB271" s="27"/>
      <c r="FC271" s="28" t="str">
        <f>IFERROR(VLOOKUP(FA271,Horarios!$H:$I,2,0),"")</f>
        <v/>
      </c>
      <c r="FD271" s="28" t="str">
        <f>IFERROR(VLOOKUP(FB271,Horarios!$H:$I,2,0),"")</f>
        <v/>
      </c>
      <c r="FE271" s="28" t="str">
        <f t="shared" si="220"/>
        <v>00:00</v>
      </c>
      <c r="FF271" s="29"/>
      <c r="FG271" s="27"/>
      <c r="FH271" s="27"/>
      <c r="FI271" s="28" t="str">
        <f>IFERROR(VLOOKUP(FG271,Horarios!$H:$I,2,0),"")</f>
        <v/>
      </c>
      <c r="FJ271" s="28" t="str">
        <f>IFERROR(VLOOKUP(FH271,Horarios!$H:$I,2,0),"")</f>
        <v/>
      </c>
      <c r="FK271" s="28" t="str">
        <f t="shared" si="221"/>
        <v>00:00</v>
      </c>
      <c r="FL271" s="29"/>
      <c r="FM271" s="27"/>
      <c r="FN271" s="27"/>
      <c r="FO271" s="28" t="str">
        <f>IFERROR(VLOOKUP(FM271,Horarios!$H:$I,2,0),"")</f>
        <v/>
      </c>
      <c r="FP271" s="28" t="str">
        <f>IFERROR(VLOOKUP(FN271,Horarios!$H:$I,2,0),"")</f>
        <v/>
      </c>
      <c r="FQ271" s="28" t="str">
        <f t="shared" si="222"/>
        <v>00:00</v>
      </c>
      <c r="FR271" s="29"/>
      <c r="FS271" s="31" t="str">
        <f t="shared" si="223"/>
        <v/>
      </c>
      <c r="FT271" s="27"/>
      <c r="FU271" s="27"/>
      <c r="FV271" s="28" t="str">
        <f>IFERROR(VLOOKUP(FT271,Horarios!$H:$I,2,0),"")</f>
        <v/>
      </c>
      <c r="FW271" s="28" t="str">
        <f>IFERROR(VLOOKUP(FU271,Horarios!$H:$I,2,0),"")</f>
        <v/>
      </c>
      <c r="FX271" s="28" t="str">
        <f t="shared" si="224"/>
        <v>00:00</v>
      </c>
      <c r="FY271" s="29"/>
      <c r="FZ271" s="27"/>
      <c r="GA271" s="27"/>
      <c r="GB271" s="28" t="str">
        <f>IFERROR(VLOOKUP(FZ271,Horarios!$H:$I,2,0),"")</f>
        <v/>
      </c>
      <c r="GC271" s="28" t="str">
        <f>IFERROR(VLOOKUP(GA271,Horarios!$H:$I,2,0),"")</f>
        <v/>
      </c>
      <c r="GD271" s="28" t="str">
        <f t="shared" si="225"/>
        <v>00:00</v>
      </c>
      <c r="GE271" s="29"/>
      <c r="GF271" s="27"/>
      <c r="GG271" s="27"/>
      <c r="GH271" s="28" t="str">
        <f>IFERROR(VLOOKUP(GF271,Horarios!$H:$I,2,0),"")</f>
        <v/>
      </c>
      <c r="GI271" s="28" t="str">
        <f>IFERROR(VLOOKUP(GG271,Horarios!$H:$I,2,0),"")</f>
        <v/>
      </c>
      <c r="GJ271" s="28" t="str">
        <f t="shared" si="226"/>
        <v>00:00</v>
      </c>
      <c r="GK271" s="29"/>
      <c r="GL271" s="27"/>
      <c r="GM271" s="27"/>
      <c r="GN271" s="28" t="str">
        <f>IFERROR(VLOOKUP(GL271,Horarios!$H:$I,2,0),"")</f>
        <v/>
      </c>
      <c r="GO271" s="28" t="str">
        <f>IFERROR(VLOOKUP(GM271,Horarios!$H:$I,2,0),"")</f>
        <v/>
      </c>
      <c r="GP271" s="28" t="str">
        <f t="shared" si="227"/>
        <v>00:00</v>
      </c>
      <c r="GQ271" s="29"/>
      <c r="GR271" s="27"/>
      <c r="GS271" s="27"/>
      <c r="GT271" s="28" t="str">
        <f>IFERROR(VLOOKUP(GR271,Horarios!$H:$I,2,0),"")</f>
        <v/>
      </c>
      <c r="GU271" s="28" t="str">
        <f>IFERROR(VLOOKUP(GS271,Horarios!$H:$I,2,0),"")</f>
        <v/>
      </c>
      <c r="GV271" s="28" t="str">
        <f t="shared" si="228"/>
        <v>00:00</v>
      </c>
      <c r="GW271" s="29"/>
      <c r="GX271" s="27"/>
      <c r="GY271" s="27"/>
      <c r="GZ271" s="28" t="str">
        <f>IFERROR(VLOOKUP(GX271,Horarios!$H:$I,2,0),"")</f>
        <v/>
      </c>
      <c r="HA271" s="28" t="str">
        <f>IFERROR(VLOOKUP(GY271,Horarios!$H:$I,2,0),"")</f>
        <v/>
      </c>
      <c r="HB271" s="28" t="str">
        <f t="shared" si="229"/>
        <v>00:00</v>
      </c>
      <c r="HC271" s="29"/>
      <c r="HD271" s="27"/>
      <c r="HE271" s="27"/>
      <c r="HF271" s="28" t="str">
        <f>IFERROR(VLOOKUP(HD271,Horarios!$H:$I,2,0),"")</f>
        <v/>
      </c>
      <c r="HG271" s="28" t="str">
        <f>IFERROR(VLOOKUP(HE271,Horarios!$H:$I,2,0),"")</f>
        <v/>
      </c>
      <c r="HH271" s="28" t="str">
        <f t="shared" si="230"/>
        <v>00:00</v>
      </c>
      <c r="HI271" s="29"/>
      <c r="HJ271" s="31" t="str">
        <f t="shared" si="231"/>
        <v/>
      </c>
      <c r="HK271" s="27"/>
      <c r="HL271" s="27"/>
      <c r="HM271" s="28" t="str">
        <f>IFERROR(VLOOKUP(HK271,Horarios!$H:$I,2,0),"")</f>
        <v/>
      </c>
      <c r="HN271" s="28" t="str">
        <f>IFERROR(VLOOKUP(HL271,Horarios!$H:$I,2,0),"")</f>
        <v/>
      </c>
      <c r="HO271" s="28" t="str">
        <f t="shared" si="232"/>
        <v>00:00</v>
      </c>
      <c r="HP271" s="29"/>
      <c r="HQ271" s="27"/>
      <c r="HR271" s="27"/>
      <c r="HS271" s="28" t="str">
        <f>IFERROR(VLOOKUP(HQ271,Horarios!$H:$I,2,0),"")</f>
        <v/>
      </c>
      <c r="HT271" s="28" t="str">
        <f>IFERROR(VLOOKUP(HR271,Horarios!$H:$I,2,0),"")</f>
        <v/>
      </c>
      <c r="HU271" s="28" t="str">
        <f t="shared" si="233"/>
        <v>00:00</v>
      </c>
      <c r="HV271" s="29"/>
      <c r="HW271" s="27"/>
      <c r="HX271" s="27"/>
      <c r="HY271" s="28" t="str">
        <f>IFERROR(VLOOKUP(HW271,Horarios!$H:$I,2,0),"")</f>
        <v/>
      </c>
      <c r="HZ271" s="28" t="str">
        <f>IFERROR(VLOOKUP(HX271,Horarios!$H:$I,2,0),"")</f>
        <v/>
      </c>
      <c r="IA271" s="28" t="str">
        <f t="shared" si="234"/>
        <v>00:00</v>
      </c>
      <c r="IB271" s="29"/>
      <c r="IC271" s="27"/>
      <c r="ID271" s="27"/>
      <c r="IE271" s="28" t="str">
        <f>IFERROR(VLOOKUP(IC271,Horarios!$H:$I,2,0),"")</f>
        <v/>
      </c>
      <c r="IF271" s="28" t="str">
        <f>IFERROR(VLOOKUP(ID271,Horarios!$H:$I,2,0),"")</f>
        <v/>
      </c>
      <c r="IG271" s="28" t="str">
        <f t="shared" si="235"/>
        <v>00:00</v>
      </c>
      <c r="IH271" s="29"/>
      <c r="II271" s="27"/>
      <c r="IJ271" s="27"/>
      <c r="IK271" s="28" t="str">
        <f>IFERROR(VLOOKUP(II271,Horarios!$H:$I,2,0),"")</f>
        <v/>
      </c>
      <c r="IL271" s="28" t="str">
        <f>IFERROR(VLOOKUP(IJ271,Horarios!$H:$I,2,0),"")</f>
        <v/>
      </c>
      <c r="IM271" s="28" t="str">
        <f t="shared" si="236"/>
        <v>00:00</v>
      </c>
      <c r="IN271" s="29"/>
      <c r="IO271" s="27"/>
      <c r="IP271" s="27"/>
      <c r="IQ271" s="28" t="str">
        <f>IFERROR(VLOOKUP(IO271,Horarios!$H:$I,2,0),"")</f>
        <v/>
      </c>
      <c r="IR271" s="28" t="str">
        <f>IFERROR(VLOOKUP(IP271,Horarios!$H:$I,2,0),"")</f>
        <v/>
      </c>
      <c r="IS271" s="28" t="str">
        <f t="shared" si="237"/>
        <v>00:00</v>
      </c>
      <c r="IT271" s="29"/>
      <c r="IU271" s="27"/>
      <c r="IV271" s="27"/>
      <c r="IW271" s="28" t="str">
        <f>IFERROR(VLOOKUP(IU271,Horarios!$H:$I,2,0),"")</f>
        <v/>
      </c>
      <c r="IX271" s="28" t="str">
        <f>IFERROR(VLOOKUP(IV271,Horarios!$H:$I,2,0),"")</f>
        <v/>
      </c>
      <c r="IY271" s="28" t="str">
        <f t="shared" si="238"/>
        <v>00:00</v>
      </c>
      <c r="IZ271" s="29"/>
      <c r="JA271" s="31" t="str">
        <f t="shared" si="239"/>
        <v/>
      </c>
    </row>
    <row r="272" spans="1:261" s="24" customFormat="1" ht="17.399999999999999" x14ac:dyDescent="0.25">
      <c r="A272" s="25"/>
      <c r="B272" s="26" t="str">
        <f>IFERROR(VLOOKUP(A272,BaseNombres!A:B,2,0),"")</f>
        <v/>
      </c>
      <c r="C272" s="26" t="str">
        <f>IFERROR(VLOOKUP(A272,BaseNombres!A:C,3,0),"")</f>
        <v/>
      </c>
      <c r="D272" s="27"/>
      <c r="E272" s="27"/>
      <c r="F272" s="28" t="str">
        <f>IFERROR(VLOOKUP(D272,Horarios!$H:$I,2,0),"")</f>
        <v/>
      </c>
      <c r="G272" s="28" t="str">
        <f>IFERROR(VLOOKUP(E272,Horarios!$H:$I,2,0),"")</f>
        <v/>
      </c>
      <c r="H272" s="28" t="str">
        <f t="shared" si="192"/>
        <v>00:00</v>
      </c>
      <c r="I272" s="29"/>
      <c r="J272" s="27"/>
      <c r="K272" s="27"/>
      <c r="L272" s="28" t="str">
        <f>IFERROR(VLOOKUP(J272,Horarios!$H:$I,2,0),"")</f>
        <v/>
      </c>
      <c r="M272" s="28" t="str">
        <f>IFERROR(VLOOKUP(K272,Horarios!$H:$I,2,0),"")</f>
        <v/>
      </c>
      <c r="N272" s="28" t="str">
        <f t="shared" si="193"/>
        <v>00:00</v>
      </c>
      <c r="O272" s="29"/>
      <c r="P272" s="27"/>
      <c r="Q272" s="27"/>
      <c r="R272" s="28" t="str">
        <f>IFERROR(VLOOKUP(P272,Horarios!$H:$I,2,0),"")</f>
        <v/>
      </c>
      <c r="S272" s="28" t="str">
        <f>IFERROR(VLOOKUP(Q272,Horarios!$H:$I,2,0),"")</f>
        <v/>
      </c>
      <c r="T272" s="28" t="str">
        <f t="shared" si="194"/>
        <v>00:00</v>
      </c>
      <c r="U272" s="29"/>
      <c r="V272" s="27"/>
      <c r="W272" s="27"/>
      <c r="X272" s="28" t="str">
        <f>IFERROR(VLOOKUP(V272,Horarios!$H:$I,2,0),"")</f>
        <v/>
      </c>
      <c r="Y272" s="28" t="str">
        <f>IFERROR(VLOOKUP(W272,Horarios!$H:$I,2,0),"")</f>
        <v/>
      </c>
      <c r="Z272" s="28" t="str">
        <f t="shared" si="195"/>
        <v>00:00</v>
      </c>
      <c r="AA272" s="29"/>
      <c r="AB272" s="27"/>
      <c r="AC272" s="27"/>
      <c r="AD272" s="28" t="str">
        <f>IFERROR(VLOOKUP(AB272,Horarios!$H:$I,2,0),"")</f>
        <v/>
      </c>
      <c r="AE272" s="28" t="str">
        <f>IFERROR(VLOOKUP(AC272,Horarios!$H:$I,2,0),"")</f>
        <v/>
      </c>
      <c r="AF272" s="28" t="str">
        <f t="shared" si="196"/>
        <v>00:00</v>
      </c>
      <c r="AG272" s="29"/>
      <c r="AH272" s="27"/>
      <c r="AI272" s="27"/>
      <c r="AJ272" s="28" t="str">
        <f>IFERROR(VLOOKUP(AH272,Horarios!$H:$I,2,0),"")</f>
        <v/>
      </c>
      <c r="AK272" s="28" t="str">
        <f>IFERROR(VLOOKUP(AI272,Horarios!$H:$I,2,0),"")</f>
        <v/>
      </c>
      <c r="AL272" s="28" t="str">
        <f t="shared" si="197"/>
        <v>00:00</v>
      </c>
      <c r="AM272" s="29"/>
      <c r="AN272" s="27"/>
      <c r="AO272" s="27"/>
      <c r="AP272" s="28" t="str">
        <f>IFERROR(VLOOKUP(AN272,Horarios!$H:$I,2,0),"")</f>
        <v/>
      </c>
      <c r="AQ272" s="28" t="str">
        <f>IFERROR(VLOOKUP(AO272,Horarios!$H:$I,2,0),"")</f>
        <v/>
      </c>
      <c r="AR272" s="28" t="str">
        <f t="shared" si="198"/>
        <v>00:00</v>
      </c>
      <c r="AS272" s="29"/>
      <c r="AT272" s="31" t="str">
        <f t="shared" si="199"/>
        <v/>
      </c>
      <c r="AU272" s="27"/>
      <c r="AV272" s="27"/>
      <c r="AW272" s="28" t="str">
        <f>IFERROR(VLOOKUP(AU272,Horarios!$H:$I,2,0),"")</f>
        <v/>
      </c>
      <c r="AX272" s="28" t="str">
        <f>IFERROR(VLOOKUP(AV272,Horarios!$H:$I,2,0),"")</f>
        <v/>
      </c>
      <c r="AY272" s="28" t="str">
        <f t="shared" si="200"/>
        <v>00:00</v>
      </c>
      <c r="AZ272" s="29"/>
      <c r="BA272" s="27"/>
      <c r="BB272" s="27"/>
      <c r="BC272" s="28" t="str">
        <f>IFERROR(VLOOKUP(BA272,Horarios!$H:$I,2,0),"")</f>
        <v/>
      </c>
      <c r="BD272" s="28" t="str">
        <f>IFERROR(VLOOKUP(BB272,Horarios!$H:$I,2,0),"")</f>
        <v/>
      </c>
      <c r="BE272" s="28" t="str">
        <f t="shared" si="201"/>
        <v>00:00</v>
      </c>
      <c r="BF272" s="29"/>
      <c r="BG272" s="27"/>
      <c r="BH272" s="27"/>
      <c r="BI272" s="28" t="str">
        <f>IFERROR(VLOOKUP(BG272,Horarios!$H:$I,2,0),"")</f>
        <v/>
      </c>
      <c r="BJ272" s="28" t="str">
        <f>IFERROR(VLOOKUP(BH272,Horarios!$H:$I,2,0),"")</f>
        <v/>
      </c>
      <c r="BK272" s="28" t="str">
        <f t="shared" si="202"/>
        <v>00:00</v>
      </c>
      <c r="BL272" s="29"/>
      <c r="BM272" s="27"/>
      <c r="BN272" s="27"/>
      <c r="BO272" s="28" t="str">
        <f>IFERROR(VLOOKUP(BM272,Horarios!$H:$I,2,0),"")</f>
        <v/>
      </c>
      <c r="BP272" s="28" t="str">
        <f>IFERROR(VLOOKUP(BN272,Horarios!$H:$I,2,0),"")</f>
        <v/>
      </c>
      <c r="BQ272" s="28" t="str">
        <f t="shared" si="203"/>
        <v>00:00</v>
      </c>
      <c r="BR272" s="29"/>
      <c r="BS272" s="27"/>
      <c r="BT272" s="27"/>
      <c r="BU272" s="28" t="str">
        <f>IFERROR(VLOOKUP(BS272,Horarios!$H:$I,2,0),"")</f>
        <v/>
      </c>
      <c r="BV272" s="28" t="str">
        <f>IFERROR(VLOOKUP(BT272,Horarios!$H:$I,2,0),"")</f>
        <v/>
      </c>
      <c r="BW272" s="28" t="str">
        <f t="shared" si="204"/>
        <v>00:00</v>
      </c>
      <c r="BX272" s="29"/>
      <c r="BY272" s="27"/>
      <c r="BZ272" s="27"/>
      <c r="CA272" s="28" t="str">
        <f>IFERROR(VLOOKUP(BY272,Horarios!$H:$I,2,0),"")</f>
        <v/>
      </c>
      <c r="CB272" s="28" t="str">
        <f>IFERROR(VLOOKUP(BZ272,Horarios!$H:$I,2,0),"")</f>
        <v/>
      </c>
      <c r="CC272" s="28" t="str">
        <f t="shared" si="205"/>
        <v>00:00</v>
      </c>
      <c r="CD272" s="29"/>
      <c r="CE272" s="27"/>
      <c r="CF272" s="27"/>
      <c r="CG272" s="28" t="str">
        <f>IFERROR(VLOOKUP(CE272,Horarios!$H:$I,2,0),"")</f>
        <v/>
      </c>
      <c r="CH272" s="28" t="str">
        <f>IFERROR(VLOOKUP(CF272,Horarios!$H:$I,2,0),"")</f>
        <v/>
      </c>
      <c r="CI272" s="28" t="str">
        <f t="shared" si="206"/>
        <v>00:00</v>
      </c>
      <c r="CJ272" s="29"/>
      <c r="CK272" s="31" t="str">
        <f t="shared" si="207"/>
        <v/>
      </c>
      <c r="CL272" s="27"/>
      <c r="CM272" s="27"/>
      <c r="CN272" s="28" t="str">
        <f>IFERROR(VLOOKUP(CL272,Horarios!$H:$I,2,0),"")</f>
        <v/>
      </c>
      <c r="CO272" s="28" t="str">
        <f>IFERROR(VLOOKUP(CM272,Horarios!$H:$I,2,0),"")</f>
        <v/>
      </c>
      <c r="CP272" s="28" t="str">
        <f t="shared" si="208"/>
        <v>00:00</v>
      </c>
      <c r="CQ272" s="29"/>
      <c r="CR272" s="27"/>
      <c r="CS272" s="27"/>
      <c r="CT272" s="28" t="str">
        <f>IFERROR(VLOOKUP(CR272,Horarios!$H:$I,2,0),"")</f>
        <v/>
      </c>
      <c r="CU272" s="28" t="str">
        <f>IFERROR(VLOOKUP(CS272,Horarios!$H:$I,2,0),"")</f>
        <v/>
      </c>
      <c r="CV272" s="28" t="str">
        <f t="shared" si="209"/>
        <v>00:00</v>
      </c>
      <c r="CW272" s="29"/>
      <c r="CX272" s="27"/>
      <c r="CY272" s="27"/>
      <c r="CZ272" s="28" t="str">
        <f>IFERROR(VLOOKUP(CX272,Horarios!$H:$I,2,0),"")</f>
        <v/>
      </c>
      <c r="DA272" s="28" t="str">
        <f>IFERROR(VLOOKUP(CY272,Horarios!$H:$I,2,0),"")</f>
        <v/>
      </c>
      <c r="DB272" s="28" t="str">
        <f t="shared" si="210"/>
        <v>00:00</v>
      </c>
      <c r="DC272" s="29"/>
      <c r="DD272" s="27"/>
      <c r="DE272" s="27"/>
      <c r="DF272" s="28" t="str">
        <f>IFERROR(VLOOKUP(DD272,Horarios!$H:$I,2,0),"")</f>
        <v/>
      </c>
      <c r="DG272" s="28" t="str">
        <f>IFERROR(VLOOKUP(DE272,Horarios!$H:$I,2,0),"")</f>
        <v/>
      </c>
      <c r="DH272" s="28" t="str">
        <f t="shared" si="211"/>
        <v>00:00</v>
      </c>
      <c r="DI272" s="29"/>
      <c r="DJ272" s="27"/>
      <c r="DK272" s="27"/>
      <c r="DL272" s="28" t="str">
        <f>IFERROR(VLOOKUP(DJ272,Horarios!$H:$I,2,0),"")</f>
        <v/>
      </c>
      <c r="DM272" s="28" t="str">
        <f>IFERROR(VLOOKUP(DK272,Horarios!$H:$I,2,0),"")</f>
        <v/>
      </c>
      <c r="DN272" s="28" t="str">
        <f t="shared" si="212"/>
        <v>00:00</v>
      </c>
      <c r="DO272" s="29"/>
      <c r="DP272" s="27"/>
      <c r="DQ272" s="27"/>
      <c r="DR272" s="28" t="str">
        <f>IFERROR(VLOOKUP(DP272,Horarios!$H:$I,2,0),"")</f>
        <v/>
      </c>
      <c r="DS272" s="28" t="str">
        <f>IFERROR(VLOOKUP(DQ272,Horarios!$H:$I,2,0),"")</f>
        <v/>
      </c>
      <c r="DT272" s="28" t="str">
        <f t="shared" si="213"/>
        <v>00:00</v>
      </c>
      <c r="DU272" s="29"/>
      <c r="DV272" s="27"/>
      <c r="DW272" s="27"/>
      <c r="DX272" s="28" t="str">
        <f>IFERROR(VLOOKUP(DV272,Horarios!$H:$I,2,0),"")</f>
        <v/>
      </c>
      <c r="DY272" s="28" t="str">
        <f>IFERROR(VLOOKUP(DW272,Horarios!$H:$I,2,0),"")</f>
        <v/>
      </c>
      <c r="DZ272" s="28" t="str">
        <f t="shared" si="214"/>
        <v>00:00</v>
      </c>
      <c r="EA272" s="29"/>
      <c r="EB272" s="31" t="str">
        <f t="shared" si="215"/>
        <v/>
      </c>
      <c r="EC272" s="27"/>
      <c r="ED272" s="27"/>
      <c r="EE272" s="28" t="str">
        <f>IFERROR(VLOOKUP(EC272,Horarios!$H:$I,2,0),"")</f>
        <v/>
      </c>
      <c r="EF272" s="28" t="str">
        <f>IFERROR(VLOOKUP(ED272,Horarios!$H:$I,2,0),"")</f>
        <v/>
      </c>
      <c r="EG272" s="28" t="str">
        <f t="shared" si="216"/>
        <v>00:00</v>
      </c>
      <c r="EH272" s="29"/>
      <c r="EI272" s="27"/>
      <c r="EJ272" s="27"/>
      <c r="EK272" s="28" t="str">
        <f>IFERROR(VLOOKUP(EI272,Horarios!$H:$I,2,0),"")</f>
        <v/>
      </c>
      <c r="EL272" s="28" t="str">
        <f>IFERROR(VLOOKUP(EJ272,Horarios!$H:$I,2,0),"")</f>
        <v/>
      </c>
      <c r="EM272" s="28" t="str">
        <f t="shared" si="217"/>
        <v>00:00</v>
      </c>
      <c r="EN272" s="29"/>
      <c r="EO272" s="27"/>
      <c r="EP272" s="27"/>
      <c r="EQ272" s="28" t="str">
        <f>IFERROR(VLOOKUP(EO272,Horarios!$H:$I,2,0),"")</f>
        <v/>
      </c>
      <c r="ER272" s="28" t="str">
        <f>IFERROR(VLOOKUP(EP272,Horarios!$H:$I,2,0),"")</f>
        <v/>
      </c>
      <c r="ES272" s="28" t="str">
        <f t="shared" si="218"/>
        <v>00:00</v>
      </c>
      <c r="ET272" s="29"/>
      <c r="EU272" s="27"/>
      <c r="EV272" s="27"/>
      <c r="EW272" s="28" t="str">
        <f>IFERROR(VLOOKUP(EU272,Horarios!$H:$I,2,0),"")</f>
        <v/>
      </c>
      <c r="EX272" s="28" t="str">
        <f>IFERROR(VLOOKUP(EV272,Horarios!$H:$I,2,0),"")</f>
        <v/>
      </c>
      <c r="EY272" s="28" t="str">
        <f t="shared" si="219"/>
        <v>00:00</v>
      </c>
      <c r="EZ272" s="29"/>
      <c r="FA272" s="27"/>
      <c r="FB272" s="27"/>
      <c r="FC272" s="28" t="str">
        <f>IFERROR(VLOOKUP(FA272,Horarios!$H:$I,2,0),"")</f>
        <v/>
      </c>
      <c r="FD272" s="28" t="str">
        <f>IFERROR(VLOOKUP(FB272,Horarios!$H:$I,2,0),"")</f>
        <v/>
      </c>
      <c r="FE272" s="28" t="str">
        <f t="shared" si="220"/>
        <v>00:00</v>
      </c>
      <c r="FF272" s="29"/>
      <c r="FG272" s="27"/>
      <c r="FH272" s="27"/>
      <c r="FI272" s="28" t="str">
        <f>IFERROR(VLOOKUP(FG272,Horarios!$H:$I,2,0),"")</f>
        <v/>
      </c>
      <c r="FJ272" s="28" t="str">
        <f>IFERROR(VLOOKUP(FH272,Horarios!$H:$I,2,0),"")</f>
        <v/>
      </c>
      <c r="FK272" s="28" t="str">
        <f t="shared" si="221"/>
        <v>00:00</v>
      </c>
      <c r="FL272" s="29"/>
      <c r="FM272" s="27"/>
      <c r="FN272" s="27"/>
      <c r="FO272" s="28" t="str">
        <f>IFERROR(VLOOKUP(FM272,Horarios!$H:$I,2,0),"")</f>
        <v/>
      </c>
      <c r="FP272" s="28" t="str">
        <f>IFERROR(VLOOKUP(FN272,Horarios!$H:$I,2,0),"")</f>
        <v/>
      </c>
      <c r="FQ272" s="28" t="str">
        <f t="shared" si="222"/>
        <v>00:00</v>
      </c>
      <c r="FR272" s="29"/>
      <c r="FS272" s="31" t="str">
        <f t="shared" si="223"/>
        <v/>
      </c>
      <c r="FT272" s="27"/>
      <c r="FU272" s="27"/>
      <c r="FV272" s="28" t="str">
        <f>IFERROR(VLOOKUP(FT272,Horarios!$H:$I,2,0),"")</f>
        <v/>
      </c>
      <c r="FW272" s="28" t="str">
        <f>IFERROR(VLOOKUP(FU272,Horarios!$H:$I,2,0),"")</f>
        <v/>
      </c>
      <c r="FX272" s="28" t="str">
        <f t="shared" si="224"/>
        <v>00:00</v>
      </c>
      <c r="FY272" s="29"/>
      <c r="FZ272" s="27"/>
      <c r="GA272" s="27"/>
      <c r="GB272" s="28" t="str">
        <f>IFERROR(VLOOKUP(FZ272,Horarios!$H:$I,2,0),"")</f>
        <v/>
      </c>
      <c r="GC272" s="28" t="str">
        <f>IFERROR(VLOOKUP(GA272,Horarios!$H:$I,2,0),"")</f>
        <v/>
      </c>
      <c r="GD272" s="28" t="str">
        <f t="shared" si="225"/>
        <v>00:00</v>
      </c>
      <c r="GE272" s="29"/>
      <c r="GF272" s="27"/>
      <c r="GG272" s="27"/>
      <c r="GH272" s="28" t="str">
        <f>IFERROR(VLOOKUP(GF272,Horarios!$H:$I,2,0),"")</f>
        <v/>
      </c>
      <c r="GI272" s="28" t="str">
        <f>IFERROR(VLOOKUP(GG272,Horarios!$H:$I,2,0),"")</f>
        <v/>
      </c>
      <c r="GJ272" s="28" t="str">
        <f t="shared" si="226"/>
        <v>00:00</v>
      </c>
      <c r="GK272" s="29"/>
      <c r="GL272" s="27"/>
      <c r="GM272" s="27"/>
      <c r="GN272" s="28" t="str">
        <f>IFERROR(VLOOKUP(GL272,Horarios!$H:$I,2,0),"")</f>
        <v/>
      </c>
      <c r="GO272" s="28" t="str">
        <f>IFERROR(VLOOKUP(GM272,Horarios!$H:$I,2,0),"")</f>
        <v/>
      </c>
      <c r="GP272" s="28" t="str">
        <f t="shared" si="227"/>
        <v>00:00</v>
      </c>
      <c r="GQ272" s="29"/>
      <c r="GR272" s="27"/>
      <c r="GS272" s="27"/>
      <c r="GT272" s="28" t="str">
        <f>IFERROR(VLOOKUP(GR272,Horarios!$H:$I,2,0),"")</f>
        <v/>
      </c>
      <c r="GU272" s="28" t="str">
        <f>IFERROR(VLOOKUP(GS272,Horarios!$H:$I,2,0),"")</f>
        <v/>
      </c>
      <c r="GV272" s="28" t="str">
        <f t="shared" si="228"/>
        <v>00:00</v>
      </c>
      <c r="GW272" s="29"/>
      <c r="GX272" s="27"/>
      <c r="GY272" s="27"/>
      <c r="GZ272" s="28" t="str">
        <f>IFERROR(VLOOKUP(GX272,Horarios!$H:$I,2,0),"")</f>
        <v/>
      </c>
      <c r="HA272" s="28" t="str">
        <f>IFERROR(VLOOKUP(GY272,Horarios!$H:$I,2,0),"")</f>
        <v/>
      </c>
      <c r="HB272" s="28" t="str">
        <f t="shared" si="229"/>
        <v>00:00</v>
      </c>
      <c r="HC272" s="29"/>
      <c r="HD272" s="27"/>
      <c r="HE272" s="27"/>
      <c r="HF272" s="28" t="str">
        <f>IFERROR(VLOOKUP(HD272,Horarios!$H:$I,2,0),"")</f>
        <v/>
      </c>
      <c r="HG272" s="28" t="str">
        <f>IFERROR(VLOOKUP(HE272,Horarios!$H:$I,2,0),"")</f>
        <v/>
      </c>
      <c r="HH272" s="28" t="str">
        <f t="shared" si="230"/>
        <v>00:00</v>
      </c>
      <c r="HI272" s="29"/>
      <c r="HJ272" s="31" t="str">
        <f t="shared" si="231"/>
        <v/>
      </c>
      <c r="HK272" s="27"/>
      <c r="HL272" s="27"/>
      <c r="HM272" s="28" t="str">
        <f>IFERROR(VLOOKUP(HK272,Horarios!$H:$I,2,0),"")</f>
        <v/>
      </c>
      <c r="HN272" s="28" t="str">
        <f>IFERROR(VLOOKUP(HL272,Horarios!$H:$I,2,0),"")</f>
        <v/>
      </c>
      <c r="HO272" s="28" t="str">
        <f t="shared" si="232"/>
        <v>00:00</v>
      </c>
      <c r="HP272" s="29"/>
      <c r="HQ272" s="27"/>
      <c r="HR272" s="27"/>
      <c r="HS272" s="28" t="str">
        <f>IFERROR(VLOOKUP(HQ272,Horarios!$H:$I,2,0),"")</f>
        <v/>
      </c>
      <c r="HT272" s="28" t="str">
        <f>IFERROR(VLOOKUP(HR272,Horarios!$H:$I,2,0),"")</f>
        <v/>
      </c>
      <c r="HU272" s="28" t="str">
        <f t="shared" si="233"/>
        <v>00:00</v>
      </c>
      <c r="HV272" s="29"/>
      <c r="HW272" s="27"/>
      <c r="HX272" s="27"/>
      <c r="HY272" s="28" t="str">
        <f>IFERROR(VLOOKUP(HW272,Horarios!$H:$I,2,0),"")</f>
        <v/>
      </c>
      <c r="HZ272" s="28" t="str">
        <f>IFERROR(VLOOKUP(HX272,Horarios!$H:$I,2,0),"")</f>
        <v/>
      </c>
      <c r="IA272" s="28" t="str">
        <f t="shared" si="234"/>
        <v>00:00</v>
      </c>
      <c r="IB272" s="29"/>
      <c r="IC272" s="27"/>
      <c r="ID272" s="27"/>
      <c r="IE272" s="28" t="str">
        <f>IFERROR(VLOOKUP(IC272,Horarios!$H:$I,2,0),"")</f>
        <v/>
      </c>
      <c r="IF272" s="28" t="str">
        <f>IFERROR(VLOOKUP(ID272,Horarios!$H:$I,2,0),"")</f>
        <v/>
      </c>
      <c r="IG272" s="28" t="str">
        <f t="shared" si="235"/>
        <v>00:00</v>
      </c>
      <c r="IH272" s="29"/>
      <c r="II272" s="27"/>
      <c r="IJ272" s="27"/>
      <c r="IK272" s="28" t="str">
        <f>IFERROR(VLOOKUP(II272,Horarios!$H:$I,2,0),"")</f>
        <v/>
      </c>
      <c r="IL272" s="28" t="str">
        <f>IFERROR(VLOOKUP(IJ272,Horarios!$H:$I,2,0),"")</f>
        <v/>
      </c>
      <c r="IM272" s="28" t="str">
        <f t="shared" si="236"/>
        <v>00:00</v>
      </c>
      <c r="IN272" s="29"/>
      <c r="IO272" s="27"/>
      <c r="IP272" s="27"/>
      <c r="IQ272" s="28" t="str">
        <f>IFERROR(VLOOKUP(IO272,Horarios!$H:$I,2,0),"")</f>
        <v/>
      </c>
      <c r="IR272" s="28" t="str">
        <f>IFERROR(VLOOKUP(IP272,Horarios!$H:$I,2,0),"")</f>
        <v/>
      </c>
      <c r="IS272" s="28" t="str">
        <f t="shared" si="237"/>
        <v>00:00</v>
      </c>
      <c r="IT272" s="29"/>
      <c r="IU272" s="27"/>
      <c r="IV272" s="27"/>
      <c r="IW272" s="28" t="str">
        <f>IFERROR(VLOOKUP(IU272,Horarios!$H:$I,2,0),"")</f>
        <v/>
      </c>
      <c r="IX272" s="28" t="str">
        <f>IFERROR(VLOOKUP(IV272,Horarios!$H:$I,2,0),"")</f>
        <v/>
      </c>
      <c r="IY272" s="28" t="str">
        <f t="shared" si="238"/>
        <v>00:00</v>
      </c>
      <c r="IZ272" s="29"/>
      <c r="JA272" s="31" t="str">
        <f t="shared" si="239"/>
        <v/>
      </c>
    </row>
    <row r="273" spans="1:261" s="24" customFormat="1" ht="17.399999999999999" x14ac:dyDescent="0.25">
      <c r="A273" s="25"/>
      <c r="B273" s="26" t="str">
        <f>IFERROR(VLOOKUP(A273,BaseNombres!A:B,2,0),"")</f>
        <v/>
      </c>
      <c r="C273" s="26" t="str">
        <f>IFERROR(VLOOKUP(A273,BaseNombres!A:C,3,0),"")</f>
        <v/>
      </c>
      <c r="D273" s="27"/>
      <c r="E273" s="27"/>
      <c r="F273" s="28" t="str">
        <f>IFERROR(VLOOKUP(D273,Horarios!$H:$I,2,0),"")</f>
        <v/>
      </c>
      <c r="G273" s="28" t="str">
        <f>IFERROR(VLOOKUP(E273,Horarios!$H:$I,2,0),"")</f>
        <v/>
      </c>
      <c r="H273" s="28" t="str">
        <f t="shared" si="192"/>
        <v>00:00</v>
      </c>
      <c r="I273" s="29"/>
      <c r="J273" s="27"/>
      <c r="K273" s="27"/>
      <c r="L273" s="28" t="str">
        <f>IFERROR(VLOOKUP(J273,Horarios!$H:$I,2,0),"")</f>
        <v/>
      </c>
      <c r="M273" s="28" t="str">
        <f>IFERROR(VLOOKUP(K273,Horarios!$H:$I,2,0),"")</f>
        <v/>
      </c>
      <c r="N273" s="28" t="str">
        <f t="shared" si="193"/>
        <v>00:00</v>
      </c>
      <c r="O273" s="29"/>
      <c r="P273" s="27"/>
      <c r="Q273" s="27"/>
      <c r="R273" s="28" t="str">
        <f>IFERROR(VLOOKUP(P273,Horarios!$H:$I,2,0),"")</f>
        <v/>
      </c>
      <c r="S273" s="28" t="str">
        <f>IFERROR(VLOOKUP(Q273,Horarios!$H:$I,2,0),"")</f>
        <v/>
      </c>
      <c r="T273" s="28" t="str">
        <f t="shared" si="194"/>
        <v>00:00</v>
      </c>
      <c r="U273" s="29"/>
      <c r="V273" s="27"/>
      <c r="W273" s="27"/>
      <c r="X273" s="28" t="str">
        <f>IFERROR(VLOOKUP(V273,Horarios!$H:$I,2,0),"")</f>
        <v/>
      </c>
      <c r="Y273" s="28" t="str">
        <f>IFERROR(VLOOKUP(W273,Horarios!$H:$I,2,0),"")</f>
        <v/>
      </c>
      <c r="Z273" s="28" t="str">
        <f t="shared" si="195"/>
        <v>00:00</v>
      </c>
      <c r="AA273" s="29"/>
      <c r="AB273" s="27"/>
      <c r="AC273" s="27"/>
      <c r="AD273" s="28" t="str">
        <f>IFERROR(VLOOKUP(AB273,Horarios!$H:$I,2,0),"")</f>
        <v/>
      </c>
      <c r="AE273" s="28" t="str">
        <f>IFERROR(VLOOKUP(AC273,Horarios!$H:$I,2,0),"")</f>
        <v/>
      </c>
      <c r="AF273" s="28" t="str">
        <f t="shared" si="196"/>
        <v>00:00</v>
      </c>
      <c r="AG273" s="29"/>
      <c r="AH273" s="27"/>
      <c r="AI273" s="27"/>
      <c r="AJ273" s="28" t="str">
        <f>IFERROR(VLOOKUP(AH273,Horarios!$H:$I,2,0),"")</f>
        <v/>
      </c>
      <c r="AK273" s="28" t="str">
        <f>IFERROR(VLOOKUP(AI273,Horarios!$H:$I,2,0),"")</f>
        <v/>
      </c>
      <c r="AL273" s="28" t="str">
        <f t="shared" si="197"/>
        <v>00:00</v>
      </c>
      <c r="AM273" s="29"/>
      <c r="AN273" s="27"/>
      <c r="AO273" s="27"/>
      <c r="AP273" s="28" t="str">
        <f>IFERROR(VLOOKUP(AN273,Horarios!$H:$I,2,0),"")</f>
        <v/>
      </c>
      <c r="AQ273" s="28" t="str">
        <f>IFERROR(VLOOKUP(AO273,Horarios!$H:$I,2,0),"")</f>
        <v/>
      </c>
      <c r="AR273" s="28" t="str">
        <f t="shared" si="198"/>
        <v>00:00</v>
      </c>
      <c r="AS273" s="29"/>
      <c r="AT273" s="31" t="str">
        <f t="shared" si="199"/>
        <v/>
      </c>
      <c r="AU273" s="27"/>
      <c r="AV273" s="27"/>
      <c r="AW273" s="28" t="str">
        <f>IFERROR(VLOOKUP(AU273,Horarios!$H:$I,2,0),"")</f>
        <v/>
      </c>
      <c r="AX273" s="28" t="str">
        <f>IFERROR(VLOOKUP(AV273,Horarios!$H:$I,2,0),"")</f>
        <v/>
      </c>
      <c r="AY273" s="28" t="str">
        <f t="shared" si="200"/>
        <v>00:00</v>
      </c>
      <c r="AZ273" s="29"/>
      <c r="BA273" s="27"/>
      <c r="BB273" s="27"/>
      <c r="BC273" s="28" t="str">
        <f>IFERROR(VLOOKUP(BA273,Horarios!$H:$I,2,0),"")</f>
        <v/>
      </c>
      <c r="BD273" s="28" t="str">
        <f>IFERROR(VLOOKUP(BB273,Horarios!$H:$I,2,0),"")</f>
        <v/>
      </c>
      <c r="BE273" s="28" t="str">
        <f t="shared" si="201"/>
        <v>00:00</v>
      </c>
      <c r="BF273" s="29"/>
      <c r="BG273" s="27"/>
      <c r="BH273" s="27"/>
      <c r="BI273" s="28" t="str">
        <f>IFERROR(VLOOKUP(BG273,Horarios!$H:$I,2,0),"")</f>
        <v/>
      </c>
      <c r="BJ273" s="28" t="str">
        <f>IFERROR(VLOOKUP(BH273,Horarios!$H:$I,2,0),"")</f>
        <v/>
      </c>
      <c r="BK273" s="28" t="str">
        <f t="shared" si="202"/>
        <v>00:00</v>
      </c>
      <c r="BL273" s="29"/>
      <c r="BM273" s="27"/>
      <c r="BN273" s="27"/>
      <c r="BO273" s="28" t="str">
        <f>IFERROR(VLOOKUP(BM273,Horarios!$H:$I,2,0),"")</f>
        <v/>
      </c>
      <c r="BP273" s="28" t="str">
        <f>IFERROR(VLOOKUP(BN273,Horarios!$H:$I,2,0),"")</f>
        <v/>
      </c>
      <c r="BQ273" s="28" t="str">
        <f t="shared" si="203"/>
        <v>00:00</v>
      </c>
      <c r="BR273" s="29"/>
      <c r="BS273" s="27"/>
      <c r="BT273" s="27"/>
      <c r="BU273" s="28" t="str">
        <f>IFERROR(VLOOKUP(BS273,Horarios!$H:$I,2,0),"")</f>
        <v/>
      </c>
      <c r="BV273" s="28" t="str">
        <f>IFERROR(VLOOKUP(BT273,Horarios!$H:$I,2,0),"")</f>
        <v/>
      </c>
      <c r="BW273" s="28" t="str">
        <f t="shared" si="204"/>
        <v>00:00</v>
      </c>
      <c r="BX273" s="29"/>
      <c r="BY273" s="27"/>
      <c r="BZ273" s="27"/>
      <c r="CA273" s="28" t="str">
        <f>IFERROR(VLOOKUP(BY273,Horarios!$H:$I,2,0),"")</f>
        <v/>
      </c>
      <c r="CB273" s="28" t="str">
        <f>IFERROR(VLOOKUP(BZ273,Horarios!$H:$I,2,0),"")</f>
        <v/>
      </c>
      <c r="CC273" s="28" t="str">
        <f t="shared" si="205"/>
        <v>00:00</v>
      </c>
      <c r="CD273" s="29"/>
      <c r="CE273" s="27"/>
      <c r="CF273" s="27"/>
      <c r="CG273" s="28" t="str">
        <f>IFERROR(VLOOKUP(CE273,Horarios!$H:$I,2,0),"")</f>
        <v/>
      </c>
      <c r="CH273" s="28" t="str">
        <f>IFERROR(VLOOKUP(CF273,Horarios!$H:$I,2,0),"")</f>
        <v/>
      </c>
      <c r="CI273" s="28" t="str">
        <f t="shared" si="206"/>
        <v>00:00</v>
      </c>
      <c r="CJ273" s="29"/>
      <c r="CK273" s="31" t="str">
        <f t="shared" si="207"/>
        <v/>
      </c>
      <c r="CL273" s="27"/>
      <c r="CM273" s="27"/>
      <c r="CN273" s="28" t="str">
        <f>IFERROR(VLOOKUP(CL273,Horarios!$H:$I,2,0),"")</f>
        <v/>
      </c>
      <c r="CO273" s="28" t="str">
        <f>IFERROR(VLOOKUP(CM273,Horarios!$H:$I,2,0),"")</f>
        <v/>
      </c>
      <c r="CP273" s="28" t="str">
        <f t="shared" si="208"/>
        <v>00:00</v>
      </c>
      <c r="CQ273" s="29"/>
      <c r="CR273" s="27"/>
      <c r="CS273" s="27"/>
      <c r="CT273" s="28" t="str">
        <f>IFERROR(VLOOKUP(CR273,Horarios!$H:$I,2,0),"")</f>
        <v/>
      </c>
      <c r="CU273" s="28" t="str">
        <f>IFERROR(VLOOKUP(CS273,Horarios!$H:$I,2,0),"")</f>
        <v/>
      </c>
      <c r="CV273" s="28" t="str">
        <f t="shared" si="209"/>
        <v>00:00</v>
      </c>
      <c r="CW273" s="29"/>
      <c r="CX273" s="27"/>
      <c r="CY273" s="27"/>
      <c r="CZ273" s="28" t="str">
        <f>IFERROR(VLOOKUP(CX273,Horarios!$H:$I,2,0),"")</f>
        <v/>
      </c>
      <c r="DA273" s="28" t="str">
        <f>IFERROR(VLOOKUP(CY273,Horarios!$H:$I,2,0),"")</f>
        <v/>
      </c>
      <c r="DB273" s="28" t="str">
        <f t="shared" si="210"/>
        <v>00:00</v>
      </c>
      <c r="DC273" s="29"/>
      <c r="DD273" s="27"/>
      <c r="DE273" s="27"/>
      <c r="DF273" s="28" t="str">
        <f>IFERROR(VLOOKUP(DD273,Horarios!$H:$I,2,0),"")</f>
        <v/>
      </c>
      <c r="DG273" s="28" t="str">
        <f>IFERROR(VLOOKUP(DE273,Horarios!$H:$I,2,0),"")</f>
        <v/>
      </c>
      <c r="DH273" s="28" t="str">
        <f t="shared" si="211"/>
        <v>00:00</v>
      </c>
      <c r="DI273" s="29"/>
      <c r="DJ273" s="27"/>
      <c r="DK273" s="27"/>
      <c r="DL273" s="28" t="str">
        <f>IFERROR(VLOOKUP(DJ273,Horarios!$H:$I,2,0),"")</f>
        <v/>
      </c>
      <c r="DM273" s="28" t="str">
        <f>IFERROR(VLOOKUP(DK273,Horarios!$H:$I,2,0),"")</f>
        <v/>
      </c>
      <c r="DN273" s="28" t="str">
        <f t="shared" si="212"/>
        <v>00:00</v>
      </c>
      <c r="DO273" s="29"/>
      <c r="DP273" s="27"/>
      <c r="DQ273" s="27"/>
      <c r="DR273" s="28" t="str">
        <f>IFERROR(VLOOKUP(DP273,Horarios!$H:$I,2,0),"")</f>
        <v/>
      </c>
      <c r="DS273" s="28" t="str">
        <f>IFERROR(VLOOKUP(DQ273,Horarios!$H:$I,2,0),"")</f>
        <v/>
      </c>
      <c r="DT273" s="28" t="str">
        <f t="shared" si="213"/>
        <v>00:00</v>
      </c>
      <c r="DU273" s="29"/>
      <c r="DV273" s="27"/>
      <c r="DW273" s="27"/>
      <c r="DX273" s="28" t="str">
        <f>IFERROR(VLOOKUP(DV273,Horarios!$H:$I,2,0),"")</f>
        <v/>
      </c>
      <c r="DY273" s="28" t="str">
        <f>IFERROR(VLOOKUP(DW273,Horarios!$H:$I,2,0),"")</f>
        <v/>
      </c>
      <c r="DZ273" s="28" t="str">
        <f t="shared" si="214"/>
        <v>00:00</v>
      </c>
      <c r="EA273" s="29"/>
      <c r="EB273" s="31" t="str">
        <f t="shared" si="215"/>
        <v/>
      </c>
      <c r="EC273" s="27"/>
      <c r="ED273" s="27"/>
      <c r="EE273" s="28" t="str">
        <f>IFERROR(VLOOKUP(EC273,Horarios!$H:$I,2,0),"")</f>
        <v/>
      </c>
      <c r="EF273" s="28" t="str">
        <f>IFERROR(VLOOKUP(ED273,Horarios!$H:$I,2,0),"")</f>
        <v/>
      </c>
      <c r="EG273" s="28" t="str">
        <f t="shared" si="216"/>
        <v>00:00</v>
      </c>
      <c r="EH273" s="29"/>
      <c r="EI273" s="27"/>
      <c r="EJ273" s="27"/>
      <c r="EK273" s="28" t="str">
        <f>IFERROR(VLOOKUP(EI273,Horarios!$H:$I,2,0),"")</f>
        <v/>
      </c>
      <c r="EL273" s="28" t="str">
        <f>IFERROR(VLOOKUP(EJ273,Horarios!$H:$I,2,0),"")</f>
        <v/>
      </c>
      <c r="EM273" s="28" t="str">
        <f t="shared" si="217"/>
        <v>00:00</v>
      </c>
      <c r="EN273" s="29"/>
      <c r="EO273" s="27"/>
      <c r="EP273" s="27"/>
      <c r="EQ273" s="28" t="str">
        <f>IFERROR(VLOOKUP(EO273,Horarios!$H:$I,2,0),"")</f>
        <v/>
      </c>
      <c r="ER273" s="28" t="str">
        <f>IFERROR(VLOOKUP(EP273,Horarios!$H:$I,2,0),"")</f>
        <v/>
      </c>
      <c r="ES273" s="28" t="str">
        <f t="shared" si="218"/>
        <v>00:00</v>
      </c>
      <c r="ET273" s="29"/>
      <c r="EU273" s="27"/>
      <c r="EV273" s="27"/>
      <c r="EW273" s="28" t="str">
        <f>IFERROR(VLOOKUP(EU273,Horarios!$H:$I,2,0),"")</f>
        <v/>
      </c>
      <c r="EX273" s="28" t="str">
        <f>IFERROR(VLOOKUP(EV273,Horarios!$H:$I,2,0),"")</f>
        <v/>
      </c>
      <c r="EY273" s="28" t="str">
        <f t="shared" si="219"/>
        <v>00:00</v>
      </c>
      <c r="EZ273" s="29"/>
      <c r="FA273" s="27"/>
      <c r="FB273" s="27"/>
      <c r="FC273" s="28" t="str">
        <f>IFERROR(VLOOKUP(FA273,Horarios!$H:$I,2,0),"")</f>
        <v/>
      </c>
      <c r="FD273" s="28" t="str">
        <f>IFERROR(VLOOKUP(FB273,Horarios!$H:$I,2,0),"")</f>
        <v/>
      </c>
      <c r="FE273" s="28" t="str">
        <f t="shared" si="220"/>
        <v>00:00</v>
      </c>
      <c r="FF273" s="29"/>
      <c r="FG273" s="27"/>
      <c r="FH273" s="27"/>
      <c r="FI273" s="28" t="str">
        <f>IFERROR(VLOOKUP(FG273,Horarios!$H:$I,2,0),"")</f>
        <v/>
      </c>
      <c r="FJ273" s="28" t="str">
        <f>IFERROR(VLOOKUP(FH273,Horarios!$H:$I,2,0),"")</f>
        <v/>
      </c>
      <c r="FK273" s="28" t="str">
        <f t="shared" si="221"/>
        <v>00:00</v>
      </c>
      <c r="FL273" s="29"/>
      <c r="FM273" s="27"/>
      <c r="FN273" s="27"/>
      <c r="FO273" s="28" t="str">
        <f>IFERROR(VLOOKUP(FM273,Horarios!$H:$I,2,0),"")</f>
        <v/>
      </c>
      <c r="FP273" s="28" t="str">
        <f>IFERROR(VLOOKUP(FN273,Horarios!$H:$I,2,0),"")</f>
        <v/>
      </c>
      <c r="FQ273" s="28" t="str">
        <f t="shared" si="222"/>
        <v>00:00</v>
      </c>
      <c r="FR273" s="29"/>
      <c r="FS273" s="31" t="str">
        <f t="shared" si="223"/>
        <v/>
      </c>
      <c r="FT273" s="27"/>
      <c r="FU273" s="27"/>
      <c r="FV273" s="28" t="str">
        <f>IFERROR(VLOOKUP(FT273,Horarios!$H:$I,2,0),"")</f>
        <v/>
      </c>
      <c r="FW273" s="28" t="str">
        <f>IFERROR(VLOOKUP(FU273,Horarios!$H:$I,2,0),"")</f>
        <v/>
      </c>
      <c r="FX273" s="28" t="str">
        <f t="shared" si="224"/>
        <v>00:00</v>
      </c>
      <c r="FY273" s="29"/>
      <c r="FZ273" s="27"/>
      <c r="GA273" s="27"/>
      <c r="GB273" s="28" t="str">
        <f>IFERROR(VLOOKUP(FZ273,Horarios!$H:$I,2,0),"")</f>
        <v/>
      </c>
      <c r="GC273" s="28" t="str">
        <f>IFERROR(VLOOKUP(GA273,Horarios!$H:$I,2,0),"")</f>
        <v/>
      </c>
      <c r="GD273" s="28" t="str">
        <f t="shared" si="225"/>
        <v>00:00</v>
      </c>
      <c r="GE273" s="29"/>
      <c r="GF273" s="27"/>
      <c r="GG273" s="27"/>
      <c r="GH273" s="28" t="str">
        <f>IFERROR(VLOOKUP(GF273,Horarios!$H:$I,2,0),"")</f>
        <v/>
      </c>
      <c r="GI273" s="28" t="str">
        <f>IFERROR(VLOOKUP(GG273,Horarios!$H:$I,2,0),"")</f>
        <v/>
      </c>
      <c r="GJ273" s="28" t="str">
        <f t="shared" si="226"/>
        <v>00:00</v>
      </c>
      <c r="GK273" s="29"/>
      <c r="GL273" s="27"/>
      <c r="GM273" s="27"/>
      <c r="GN273" s="28" t="str">
        <f>IFERROR(VLOOKUP(GL273,Horarios!$H:$I,2,0),"")</f>
        <v/>
      </c>
      <c r="GO273" s="28" t="str">
        <f>IFERROR(VLOOKUP(GM273,Horarios!$H:$I,2,0),"")</f>
        <v/>
      </c>
      <c r="GP273" s="28" t="str">
        <f t="shared" si="227"/>
        <v>00:00</v>
      </c>
      <c r="GQ273" s="29"/>
      <c r="GR273" s="27"/>
      <c r="GS273" s="27"/>
      <c r="GT273" s="28" t="str">
        <f>IFERROR(VLOOKUP(GR273,Horarios!$H:$I,2,0),"")</f>
        <v/>
      </c>
      <c r="GU273" s="28" t="str">
        <f>IFERROR(VLOOKUP(GS273,Horarios!$H:$I,2,0),"")</f>
        <v/>
      </c>
      <c r="GV273" s="28" t="str">
        <f t="shared" si="228"/>
        <v>00:00</v>
      </c>
      <c r="GW273" s="29"/>
      <c r="GX273" s="27"/>
      <c r="GY273" s="27"/>
      <c r="GZ273" s="28" t="str">
        <f>IFERROR(VLOOKUP(GX273,Horarios!$H:$I,2,0),"")</f>
        <v/>
      </c>
      <c r="HA273" s="28" t="str">
        <f>IFERROR(VLOOKUP(GY273,Horarios!$H:$I,2,0),"")</f>
        <v/>
      </c>
      <c r="HB273" s="28" t="str">
        <f t="shared" si="229"/>
        <v>00:00</v>
      </c>
      <c r="HC273" s="29"/>
      <c r="HD273" s="27"/>
      <c r="HE273" s="27"/>
      <c r="HF273" s="28" t="str">
        <f>IFERROR(VLOOKUP(HD273,Horarios!$H:$I,2,0),"")</f>
        <v/>
      </c>
      <c r="HG273" s="28" t="str">
        <f>IFERROR(VLOOKUP(HE273,Horarios!$H:$I,2,0),"")</f>
        <v/>
      </c>
      <c r="HH273" s="28" t="str">
        <f t="shared" si="230"/>
        <v>00:00</v>
      </c>
      <c r="HI273" s="29"/>
      <c r="HJ273" s="31" t="str">
        <f t="shared" si="231"/>
        <v/>
      </c>
      <c r="HK273" s="27"/>
      <c r="HL273" s="27"/>
      <c r="HM273" s="28" t="str">
        <f>IFERROR(VLOOKUP(HK273,Horarios!$H:$I,2,0),"")</f>
        <v/>
      </c>
      <c r="HN273" s="28" t="str">
        <f>IFERROR(VLOOKUP(HL273,Horarios!$H:$I,2,0),"")</f>
        <v/>
      </c>
      <c r="HO273" s="28" t="str">
        <f t="shared" si="232"/>
        <v>00:00</v>
      </c>
      <c r="HP273" s="29"/>
      <c r="HQ273" s="27"/>
      <c r="HR273" s="27"/>
      <c r="HS273" s="28" t="str">
        <f>IFERROR(VLOOKUP(HQ273,Horarios!$H:$I,2,0),"")</f>
        <v/>
      </c>
      <c r="HT273" s="28" t="str">
        <f>IFERROR(VLOOKUP(HR273,Horarios!$H:$I,2,0),"")</f>
        <v/>
      </c>
      <c r="HU273" s="28" t="str">
        <f t="shared" si="233"/>
        <v>00:00</v>
      </c>
      <c r="HV273" s="29"/>
      <c r="HW273" s="27"/>
      <c r="HX273" s="27"/>
      <c r="HY273" s="28" t="str">
        <f>IFERROR(VLOOKUP(HW273,Horarios!$H:$I,2,0),"")</f>
        <v/>
      </c>
      <c r="HZ273" s="28" t="str">
        <f>IFERROR(VLOOKUP(HX273,Horarios!$H:$I,2,0),"")</f>
        <v/>
      </c>
      <c r="IA273" s="28" t="str">
        <f t="shared" si="234"/>
        <v>00:00</v>
      </c>
      <c r="IB273" s="29"/>
      <c r="IC273" s="27"/>
      <c r="ID273" s="27"/>
      <c r="IE273" s="28" t="str">
        <f>IFERROR(VLOOKUP(IC273,Horarios!$H:$I,2,0),"")</f>
        <v/>
      </c>
      <c r="IF273" s="28" t="str">
        <f>IFERROR(VLOOKUP(ID273,Horarios!$H:$I,2,0),"")</f>
        <v/>
      </c>
      <c r="IG273" s="28" t="str">
        <f t="shared" si="235"/>
        <v>00:00</v>
      </c>
      <c r="IH273" s="29"/>
      <c r="II273" s="27"/>
      <c r="IJ273" s="27"/>
      <c r="IK273" s="28" t="str">
        <f>IFERROR(VLOOKUP(II273,Horarios!$H:$I,2,0),"")</f>
        <v/>
      </c>
      <c r="IL273" s="28" t="str">
        <f>IFERROR(VLOOKUP(IJ273,Horarios!$H:$I,2,0),"")</f>
        <v/>
      </c>
      <c r="IM273" s="28" t="str">
        <f t="shared" si="236"/>
        <v>00:00</v>
      </c>
      <c r="IN273" s="29"/>
      <c r="IO273" s="27"/>
      <c r="IP273" s="27"/>
      <c r="IQ273" s="28" t="str">
        <f>IFERROR(VLOOKUP(IO273,Horarios!$H:$I,2,0),"")</f>
        <v/>
      </c>
      <c r="IR273" s="28" t="str">
        <f>IFERROR(VLOOKUP(IP273,Horarios!$H:$I,2,0),"")</f>
        <v/>
      </c>
      <c r="IS273" s="28" t="str">
        <f t="shared" si="237"/>
        <v>00:00</v>
      </c>
      <c r="IT273" s="29"/>
      <c r="IU273" s="27"/>
      <c r="IV273" s="27"/>
      <c r="IW273" s="28" t="str">
        <f>IFERROR(VLOOKUP(IU273,Horarios!$H:$I,2,0),"")</f>
        <v/>
      </c>
      <c r="IX273" s="28" t="str">
        <f>IFERROR(VLOOKUP(IV273,Horarios!$H:$I,2,0),"")</f>
        <v/>
      </c>
      <c r="IY273" s="28" t="str">
        <f t="shared" si="238"/>
        <v>00:00</v>
      </c>
      <c r="IZ273" s="29"/>
      <c r="JA273" s="31" t="str">
        <f t="shared" si="239"/>
        <v/>
      </c>
    </row>
    <row r="274" spans="1:261" s="24" customFormat="1" ht="17.399999999999999" x14ac:dyDescent="0.25">
      <c r="A274" s="25"/>
      <c r="B274" s="26" t="str">
        <f>IFERROR(VLOOKUP(A274,BaseNombres!A:B,2,0),"")</f>
        <v/>
      </c>
      <c r="C274" s="26" t="str">
        <f>IFERROR(VLOOKUP(A274,BaseNombres!A:C,3,0),"")</f>
        <v/>
      </c>
      <c r="D274" s="27"/>
      <c r="E274" s="27"/>
      <c r="F274" s="28" t="str">
        <f>IFERROR(VLOOKUP(D274,Horarios!$H:$I,2,0),"")</f>
        <v/>
      </c>
      <c r="G274" s="28" t="str">
        <f>IFERROR(VLOOKUP(E274,Horarios!$H:$I,2,0),"")</f>
        <v/>
      </c>
      <c r="H274" s="28" t="str">
        <f t="shared" si="192"/>
        <v>00:00</v>
      </c>
      <c r="I274" s="29"/>
      <c r="J274" s="27"/>
      <c r="K274" s="27"/>
      <c r="L274" s="28" t="str">
        <f>IFERROR(VLOOKUP(J274,Horarios!$H:$I,2,0),"")</f>
        <v/>
      </c>
      <c r="M274" s="28" t="str">
        <f>IFERROR(VLOOKUP(K274,Horarios!$H:$I,2,0),"")</f>
        <v/>
      </c>
      <c r="N274" s="28" t="str">
        <f t="shared" si="193"/>
        <v>00:00</v>
      </c>
      <c r="O274" s="29"/>
      <c r="P274" s="27"/>
      <c r="Q274" s="27"/>
      <c r="R274" s="28" t="str">
        <f>IFERROR(VLOOKUP(P274,Horarios!$H:$I,2,0),"")</f>
        <v/>
      </c>
      <c r="S274" s="28" t="str">
        <f>IFERROR(VLOOKUP(Q274,Horarios!$H:$I,2,0),"")</f>
        <v/>
      </c>
      <c r="T274" s="28" t="str">
        <f t="shared" si="194"/>
        <v>00:00</v>
      </c>
      <c r="U274" s="29"/>
      <c r="V274" s="27"/>
      <c r="W274" s="27"/>
      <c r="X274" s="28" t="str">
        <f>IFERROR(VLOOKUP(V274,Horarios!$H:$I,2,0),"")</f>
        <v/>
      </c>
      <c r="Y274" s="28" t="str">
        <f>IFERROR(VLOOKUP(W274,Horarios!$H:$I,2,0),"")</f>
        <v/>
      </c>
      <c r="Z274" s="28" t="str">
        <f t="shared" si="195"/>
        <v>00:00</v>
      </c>
      <c r="AA274" s="29"/>
      <c r="AB274" s="27"/>
      <c r="AC274" s="27"/>
      <c r="AD274" s="28" t="str">
        <f>IFERROR(VLOOKUP(AB274,Horarios!$H:$I,2,0),"")</f>
        <v/>
      </c>
      <c r="AE274" s="28" t="str">
        <f>IFERROR(VLOOKUP(AC274,Horarios!$H:$I,2,0),"")</f>
        <v/>
      </c>
      <c r="AF274" s="28" t="str">
        <f t="shared" si="196"/>
        <v>00:00</v>
      </c>
      <c r="AG274" s="29"/>
      <c r="AH274" s="27"/>
      <c r="AI274" s="27"/>
      <c r="AJ274" s="28" t="str">
        <f>IFERROR(VLOOKUP(AH274,Horarios!$H:$I,2,0),"")</f>
        <v/>
      </c>
      <c r="AK274" s="28" t="str">
        <f>IFERROR(VLOOKUP(AI274,Horarios!$H:$I,2,0),"")</f>
        <v/>
      </c>
      <c r="AL274" s="28" t="str">
        <f t="shared" si="197"/>
        <v>00:00</v>
      </c>
      <c r="AM274" s="29"/>
      <c r="AN274" s="27"/>
      <c r="AO274" s="27"/>
      <c r="AP274" s="28" t="str">
        <f>IFERROR(VLOOKUP(AN274,Horarios!$H:$I,2,0),"")</f>
        <v/>
      </c>
      <c r="AQ274" s="28" t="str">
        <f>IFERROR(VLOOKUP(AO274,Horarios!$H:$I,2,0),"")</f>
        <v/>
      </c>
      <c r="AR274" s="28" t="str">
        <f t="shared" si="198"/>
        <v>00:00</v>
      </c>
      <c r="AS274" s="29"/>
      <c r="AT274" s="31" t="str">
        <f t="shared" si="199"/>
        <v/>
      </c>
      <c r="AU274" s="27"/>
      <c r="AV274" s="27"/>
      <c r="AW274" s="28" t="str">
        <f>IFERROR(VLOOKUP(AU274,Horarios!$H:$I,2,0),"")</f>
        <v/>
      </c>
      <c r="AX274" s="28" t="str">
        <f>IFERROR(VLOOKUP(AV274,Horarios!$H:$I,2,0),"")</f>
        <v/>
      </c>
      <c r="AY274" s="28" t="str">
        <f t="shared" si="200"/>
        <v>00:00</v>
      </c>
      <c r="AZ274" s="29"/>
      <c r="BA274" s="27"/>
      <c r="BB274" s="27"/>
      <c r="BC274" s="28" t="str">
        <f>IFERROR(VLOOKUP(BA274,Horarios!$H:$I,2,0),"")</f>
        <v/>
      </c>
      <c r="BD274" s="28" t="str">
        <f>IFERROR(VLOOKUP(BB274,Horarios!$H:$I,2,0),"")</f>
        <v/>
      </c>
      <c r="BE274" s="28" t="str">
        <f t="shared" si="201"/>
        <v>00:00</v>
      </c>
      <c r="BF274" s="29"/>
      <c r="BG274" s="27"/>
      <c r="BH274" s="27"/>
      <c r="BI274" s="28" t="str">
        <f>IFERROR(VLOOKUP(BG274,Horarios!$H:$I,2,0),"")</f>
        <v/>
      </c>
      <c r="BJ274" s="28" t="str">
        <f>IFERROR(VLOOKUP(BH274,Horarios!$H:$I,2,0),"")</f>
        <v/>
      </c>
      <c r="BK274" s="28" t="str">
        <f t="shared" si="202"/>
        <v>00:00</v>
      </c>
      <c r="BL274" s="29"/>
      <c r="BM274" s="27"/>
      <c r="BN274" s="27"/>
      <c r="BO274" s="28" t="str">
        <f>IFERROR(VLOOKUP(BM274,Horarios!$H:$I,2,0),"")</f>
        <v/>
      </c>
      <c r="BP274" s="28" t="str">
        <f>IFERROR(VLOOKUP(BN274,Horarios!$H:$I,2,0),"")</f>
        <v/>
      </c>
      <c r="BQ274" s="28" t="str">
        <f t="shared" si="203"/>
        <v>00:00</v>
      </c>
      <c r="BR274" s="29"/>
      <c r="BS274" s="27"/>
      <c r="BT274" s="27"/>
      <c r="BU274" s="28" t="str">
        <f>IFERROR(VLOOKUP(BS274,Horarios!$H:$I,2,0),"")</f>
        <v/>
      </c>
      <c r="BV274" s="28" t="str">
        <f>IFERROR(VLOOKUP(BT274,Horarios!$H:$I,2,0),"")</f>
        <v/>
      </c>
      <c r="BW274" s="28" t="str">
        <f t="shared" si="204"/>
        <v>00:00</v>
      </c>
      <c r="BX274" s="29"/>
      <c r="BY274" s="27"/>
      <c r="BZ274" s="27"/>
      <c r="CA274" s="28" t="str">
        <f>IFERROR(VLOOKUP(BY274,Horarios!$H:$I,2,0),"")</f>
        <v/>
      </c>
      <c r="CB274" s="28" t="str">
        <f>IFERROR(VLOOKUP(BZ274,Horarios!$H:$I,2,0),"")</f>
        <v/>
      </c>
      <c r="CC274" s="28" t="str">
        <f t="shared" si="205"/>
        <v>00:00</v>
      </c>
      <c r="CD274" s="29"/>
      <c r="CE274" s="27"/>
      <c r="CF274" s="27"/>
      <c r="CG274" s="28" t="str">
        <f>IFERROR(VLOOKUP(CE274,Horarios!$H:$I,2,0),"")</f>
        <v/>
      </c>
      <c r="CH274" s="28" t="str">
        <f>IFERROR(VLOOKUP(CF274,Horarios!$H:$I,2,0),"")</f>
        <v/>
      </c>
      <c r="CI274" s="28" t="str">
        <f t="shared" si="206"/>
        <v>00:00</v>
      </c>
      <c r="CJ274" s="29"/>
      <c r="CK274" s="31" t="str">
        <f t="shared" si="207"/>
        <v/>
      </c>
      <c r="CL274" s="27"/>
      <c r="CM274" s="27"/>
      <c r="CN274" s="28" t="str">
        <f>IFERROR(VLOOKUP(CL274,Horarios!$H:$I,2,0),"")</f>
        <v/>
      </c>
      <c r="CO274" s="28" t="str">
        <f>IFERROR(VLOOKUP(CM274,Horarios!$H:$I,2,0),"")</f>
        <v/>
      </c>
      <c r="CP274" s="28" t="str">
        <f t="shared" si="208"/>
        <v>00:00</v>
      </c>
      <c r="CQ274" s="29"/>
      <c r="CR274" s="27"/>
      <c r="CS274" s="27"/>
      <c r="CT274" s="28" t="str">
        <f>IFERROR(VLOOKUP(CR274,Horarios!$H:$I,2,0),"")</f>
        <v/>
      </c>
      <c r="CU274" s="28" t="str">
        <f>IFERROR(VLOOKUP(CS274,Horarios!$H:$I,2,0),"")</f>
        <v/>
      </c>
      <c r="CV274" s="28" t="str">
        <f t="shared" si="209"/>
        <v>00:00</v>
      </c>
      <c r="CW274" s="29"/>
      <c r="CX274" s="27"/>
      <c r="CY274" s="27"/>
      <c r="CZ274" s="28" t="str">
        <f>IFERROR(VLOOKUP(CX274,Horarios!$H:$I,2,0),"")</f>
        <v/>
      </c>
      <c r="DA274" s="28" t="str">
        <f>IFERROR(VLOOKUP(CY274,Horarios!$H:$I,2,0),"")</f>
        <v/>
      </c>
      <c r="DB274" s="28" t="str">
        <f t="shared" si="210"/>
        <v>00:00</v>
      </c>
      <c r="DC274" s="29"/>
      <c r="DD274" s="27"/>
      <c r="DE274" s="27"/>
      <c r="DF274" s="28" t="str">
        <f>IFERROR(VLOOKUP(DD274,Horarios!$H:$I,2,0),"")</f>
        <v/>
      </c>
      <c r="DG274" s="28" t="str">
        <f>IFERROR(VLOOKUP(DE274,Horarios!$H:$I,2,0),"")</f>
        <v/>
      </c>
      <c r="DH274" s="28" t="str">
        <f t="shared" si="211"/>
        <v>00:00</v>
      </c>
      <c r="DI274" s="29"/>
      <c r="DJ274" s="27"/>
      <c r="DK274" s="27"/>
      <c r="DL274" s="28" t="str">
        <f>IFERROR(VLOOKUP(DJ274,Horarios!$H:$I,2,0),"")</f>
        <v/>
      </c>
      <c r="DM274" s="28" t="str">
        <f>IFERROR(VLOOKUP(DK274,Horarios!$H:$I,2,0),"")</f>
        <v/>
      </c>
      <c r="DN274" s="28" t="str">
        <f t="shared" si="212"/>
        <v>00:00</v>
      </c>
      <c r="DO274" s="29"/>
      <c r="DP274" s="27"/>
      <c r="DQ274" s="27"/>
      <c r="DR274" s="28" t="str">
        <f>IFERROR(VLOOKUP(DP274,Horarios!$H:$I,2,0),"")</f>
        <v/>
      </c>
      <c r="DS274" s="28" t="str">
        <f>IFERROR(VLOOKUP(DQ274,Horarios!$H:$I,2,0),"")</f>
        <v/>
      </c>
      <c r="DT274" s="28" t="str">
        <f t="shared" si="213"/>
        <v>00:00</v>
      </c>
      <c r="DU274" s="29"/>
      <c r="DV274" s="27"/>
      <c r="DW274" s="27"/>
      <c r="DX274" s="28" t="str">
        <f>IFERROR(VLOOKUP(DV274,Horarios!$H:$I,2,0),"")</f>
        <v/>
      </c>
      <c r="DY274" s="28" t="str">
        <f>IFERROR(VLOOKUP(DW274,Horarios!$H:$I,2,0),"")</f>
        <v/>
      </c>
      <c r="DZ274" s="28" t="str">
        <f t="shared" si="214"/>
        <v>00:00</v>
      </c>
      <c r="EA274" s="29"/>
      <c r="EB274" s="31" t="str">
        <f t="shared" si="215"/>
        <v/>
      </c>
      <c r="EC274" s="27"/>
      <c r="ED274" s="27"/>
      <c r="EE274" s="28" t="str">
        <f>IFERROR(VLOOKUP(EC274,Horarios!$H:$I,2,0),"")</f>
        <v/>
      </c>
      <c r="EF274" s="28" t="str">
        <f>IFERROR(VLOOKUP(ED274,Horarios!$H:$I,2,0),"")</f>
        <v/>
      </c>
      <c r="EG274" s="28" t="str">
        <f t="shared" si="216"/>
        <v>00:00</v>
      </c>
      <c r="EH274" s="29"/>
      <c r="EI274" s="27"/>
      <c r="EJ274" s="27"/>
      <c r="EK274" s="28" t="str">
        <f>IFERROR(VLOOKUP(EI274,Horarios!$H:$I,2,0),"")</f>
        <v/>
      </c>
      <c r="EL274" s="28" t="str">
        <f>IFERROR(VLOOKUP(EJ274,Horarios!$H:$I,2,0),"")</f>
        <v/>
      </c>
      <c r="EM274" s="28" t="str">
        <f t="shared" si="217"/>
        <v>00:00</v>
      </c>
      <c r="EN274" s="29"/>
      <c r="EO274" s="27"/>
      <c r="EP274" s="27"/>
      <c r="EQ274" s="28" t="str">
        <f>IFERROR(VLOOKUP(EO274,Horarios!$H:$I,2,0),"")</f>
        <v/>
      </c>
      <c r="ER274" s="28" t="str">
        <f>IFERROR(VLOOKUP(EP274,Horarios!$H:$I,2,0),"")</f>
        <v/>
      </c>
      <c r="ES274" s="28" t="str">
        <f t="shared" si="218"/>
        <v>00:00</v>
      </c>
      <c r="ET274" s="29"/>
      <c r="EU274" s="27"/>
      <c r="EV274" s="27"/>
      <c r="EW274" s="28" t="str">
        <f>IFERROR(VLOOKUP(EU274,Horarios!$H:$I,2,0),"")</f>
        <v/>
      </c>
      <c r="EX274" s="28" t="str">
        <f>IFERROR(VLOOKUP(EV274,Horarios!$H:$I,2,0),"")</f>
        <v/>
      </c>
      <c r="EY274" s="28" t="str">
        <f t="shared" si="219"/>
        <v>00:00</v>
      </c>
      <c r="EZ274" s="29"/>
      <c r="FA274" s="27"/>
      <c r="FB274" s="27"/>
      <c r="FC274" s="28" t="str">
        <f>IFERROR(VLOOKUP(FA274,Horarios!$H:$I,2,0),"")</f>
        <v/>
      </c>
      <c r="FD274" s="28" t="str">
        <f>IFERROR(VLOOKUP(FB274,Horarios!$H:$I,2,0),"")</f>
        <v/>
      </c>
      <c r="FE274" s="28" t="str">
        <f t="shared" si="220"/>
        <v>00:00</v>
      </c>
      <c r="FF274" s="29"/>
      <c r="FG274" s="27"/>
      <c r="FH274" s="27"/>
      <c r="FI274" s="28" t="str">
        <f>IFERROR(VLOOKUP(FG274,Horarios!$H:$I,2,0),"")</f>
        <v/>
      </c>
      <c r="FJ274" s="28" t="str">
        <f>IFERROR(VLOOKUP(FH274,Horarios!$H:$I,2,0),"")</f>
        <v/>
      </c>
      <c r="FK274" s="28" t="str">
        <f t="shared" si="221"/>
        <v>00:00</v>
      </c>
      <c r="FL274" s="29"/>
      <c r="FM274" s="27"/>
      <c r="FN274" s="27"/>
      <c r="FO274" s="28" t="str">
        <f>IFERROR(VLOOKUP(FM274,Horarios!$H:$I,2,0),"")</f>
        <v/>
      </c>
      <c r="FP274" s="28" t="str">
        <f>IFERROR(VLOOKUP(FN274,Horarios!$H:$I,2,0),"")</f>
        <v/>
      </c>
      <c r="FQ274" s="28" t="str">
        <f t="shared" si="222"/>
        <v>00:00</v>
      </c>
      <c r="FR274" s="29"/>
      <c r="FS274" s="31" t="str">
        <f t="shared" si="223"/>
        <v/>
      </c>
      <c r="FT274" s="27"/>
      <c r="FU274" s="27"/>
      <c r="FV274" s="28" t="str">
        <f>IFERROR(VLOOKUP(FT274,Horarios!$H:$I,2,0),"")</f>
        <v/>
      </c>
      <c r="FW274" s="28" t="str">
        <f>IFERROR(VLOOKUP(FU274,Horarios!$H:$I,2,0),"")</f>
        <v/>
      </c>
      <c r="FX274" s="28" t="str">
        <f t="shared" si="224"/>
        <v>00:00</v>
      </c>
      <c r="FY274" s="29"/>
      <c r="FZ274" s="27"/>
      <c r="GA274" s="27"/>
      <c r="GB274" s="28" t="str">
        <f>IFERROR(VLOOKUP(FZ274,Horarios!$H:$I,2,0),"")</f>
        <v/>
      </c>
      <c r="GC274" s="28" t="str">
        <f>IFERROR(VLOOKUP(GA274,Horarios!$H:$I,2,0),"")</f>
        <v/>
      </c>
      <c r="GD274" s="28" t="str">
        <f t="shared" si="225"/>
        <v>00:00</v>
      </c>
      <c r="GE274" s="29"/>
      <c r="GF274" s="27"/>
      <c r="GG274" s="27"/>
      <c r="GH274" s="28" t="str">
        <f>IFERROR(VLOOKUP(GF274,Horarios!$H:$I,2,0),"")</f>
        <v/>
      </c>
      <c r="GI274" s="28" t="str">
        <f>IFERROR(VLOOKUP(GG274,Horarios!$H:$I,2,0),"")</f>
        <v/>
      </c>
      <c r="GJ274" s="28" t="str">
        <f t="shared" si="226"/>
        <v>00:00</v>
      </c>
      <c r="GK274" s="29"/>
      <c r="GL274" s="27"/>
      <c r="GM274" s="27"/>
      <c r="GN274" s="28" t="str">
        <f>IFERROR(VLOOKUP(GL274,Horarios!$H:$I,2,0),"")</f>
        <v/>
      </c>
      <c r="GO274" s="28" t="str">
        <f>IFERROR(VLOOKUP(GM274,Horarios!$H:$I,2,0),"")</f>
        <v/>
      </c>
      <c r="GP274" s="28" t="str">
        <f t="shared" si="227"/>
        <v>00:00</v>
      </c>
      <c r="GQ274" s="29"/>
      <c r="GR274" s="27"/>
      <c r="GS274" s="27"/>
      <c r="GT274" s="28" t="str">
        <f>IFERROR(VLOOKUP(GR274,Horarios!$H:$I,2,0),"")</f>
        <v/>
      </c>
      <c r="GU274" s="28" t="str">
        <f>IFERROR(VLOOKUP(GS274,Horarios!$H:$I,2,0),"")</f>
        <v/>
      </c>
      <c r="GV274" s="28" t="str">
        <f t="shared" si="228"/>
        <v>00:00</v>
      </c>
      <c r="GW274" s="29"/>
      <c r="GX274" s="27"/>
      <c r="GY274" s="27"/>
      <c r="GZ274" s="28" t="str">
        <f>IFERROR(VLOOKUP(GX274,Horarios!$H:$I,2,0),"")</f>
        <v/>
      </c>
      <c r="HA274" s="28" t="str">
        <f>IFERROR(VLOOKUP(GY274,Horarios!$H:$I,2,0),"")</f>
        <v/>
      </c>
      <c r="HB274" s="28" t="str">
        <f t="shared" si="229"/>
        <v>00:00</v>
      </c>
      <c r="HC274" s="29"/>
      <c r="HD274" s="27"/>
      <c r="HE274" s="27"/>
      <c r="HF274" s="28" t="str">
        <f>IFERROR(VLOOKUP(HD274,Horarios!$H:$I,2,0),"")</f>
        <v/>
      </c>
      <c r="HG274" s="28" t="str">
        <f>IFERROR(VLOOKUP(HE274,Horarios!$H:$I,2,0),"")</f>
        <v/>
      </c>
      <c r="HH274" s="28" t="str">
        <f t="shared" si="230"/>
        <v>00:00</v>
      </c>
      <c r="HI274" s="29"/>
      <c r="HJ274" s="31" t="str">
        <f t="shared" si="231"/>
        <v/>
      </c>
      <c r="HK274" s="27"/>
      <c r="HL274" s="27"/>
      <c r="HM274" s="28" t="str">
        <f>IFERROR(VLOOKUP(HK274,Horarios!$H:$I,2,0),"")</f>
        <v/>
      </c>
      <c r="HN274" s="28" t="str">
        <f>IFERROR(VLOOKUP(HL274,Horarios!$H:$I,2,0),"")</f>
        <v/>
      </c>
      <c r="HO274" s="28" t="str">
        <f t="shared" si="232"/>
        <v>00:00</v>
      </c>
      <c r="HP274" s="29"/>
      <c r="HQ274" s="27"/>
      <c r="HR274" s="27"/>
      <c r="HS274" s="28" t="str">
        <f>IFERROR(VLOOKUP(HQ274,Horarios!$H:$I,2,0),"")</f>
        <v/>
      </c>
      <c r="HT274" s="28" t="str">
        <f>IFERROR(VLOOKUP(HR274,Horarios!$H:$I,2,0),"")</f>
        <v/>
      </c>
      <c r="HU274" s="28" t="str">
        <f t="shared" si="233"/>
        <v>00:00</v>
      </c>
      <c r="HV274" s="29"/>
      <c r="HW274" s="27"/>
      <c r="HX274" s="27"/>
      <c r="HY274" s="28" t="str">
        <f>IFERROR(VLOOKUP(HW274,Horarios!$H:$I,2,0),"")</f>
        <v/>
      </c>
      <c r="HZ274" s="28" t="str">
        <f>IFERROR(VLOOKUP(HX274,Horarios!$H:$I,2,0),"")</f>
        <v/>
      </c>
      <c r="IA274" s="28" t="str">
        <f t="shared" si="234"/>
        <v>00:00</v>
      </c>
      <c r="IB274" s="29"/>
      <c r="IC274" s="27"/>
      <c r="ID274" s="27"/>
      <c r="IE274" s="28" t="str">
        <f>IFERROR(VLOOKUP(IC274,Horarios!$H:$I,2,0),"")</f>
        <v/>
      </c>
      <c r="IF274" s="28" t="str">
        <f>IFERROR(VLOOKUP(ID274,Horarios!$H:$I,2,0),"")</f>
        <v/>
      </c>
      <c r="IG274" s="28" t="str">
        <f t="shared" si="235"/>
        <v>00:00</v>
      </c>
      <c r="IH274" s="29"/>
      <c r="II274" s="27"/>
      <c r="IJ274" s="27"/>
      <c r="IK274" s="28" t="str">
        <f>IFERROR(VLOOKUP(II274,Horarios!$H:$I,2,0),"")</f>
        <v/>
      </c>
      <c r="IL274" s="28" t="str">
        <f>IFERROR(VLOOKUP(IJ274,Horarios!$H:$I,2,0),"")</f>
        <v/>
      </c>
      <c r="IM274" s="28" t="str">
        <f t="shared" si="236"/>
        <v>00:00</v>
      </c>
      <c r="IN274" s="29"/>
      <c r="IO274" s="27"/>
      <c r="IP274" s="27"/>
      <c r="IQ274" s="28" t="str">
        <f>IFERROR(VLOOKUP(IO274,Horarios!$H:$I,2,0),"")</f>
        <v/>
      </c>
      <c r="IR274" s="28" t="str">
        <f>IFERROR(VLOOKUP(IP274,Horarios!$H:$I,2,0),"")</f>
        <v/>
      </c>
      <c r="IS274" s="28" t="str">
        <f t="shared" si="237"/>
        <v>00:00</v>
      </c>
      <c r="IT274" s="29"/>
      <c r="IU274" s="27"/>
      <c r="IV274" s="27"/>
      <c r="IW274" s="28" t="str">
        <f>IFERROR(VLOOKUP(IU274,Horarios!$H:$I,2,0),"")</f>
        <v/>
      </c>
      <c r="IX274" s="28" t="str">
        <f>IFERROR(VLOOKUP(IV274,Horarios!$H:$I,2,0),"")</f>
        <v/>
      </c>
      <c r="IY274" s="28" t="str">
        <f t="shared" si="238"/>
        <v>00:00</v>
      </c>
      <c r="IZ274" s="29"/>
      <c r="JA274" s="31" t="str">
        <f t="shared" si="239"/>
        <v/>
      </c>
    </row>
    <row r="275" spans="1:261" s="24" customFormat="1" ht="17.399999999999999" x14ac:dyDescent="0.25">
      <c r="A275" s="25"/>
      <c r="B275" s="26" t="str">
        <f>IFERROR(VLOOKUP(A275,BaseNombres!A:B,2,0),"")</f>
        <v/>
      </c>
      <c r="C275" s="26" t="str">
        <f>IFERROR(VLOOKUP(A275,BaseNombres!A:C,3,0),"")</f>
        <v/>
      </c>
      <c r="D275" s="27"/>
      <c r="E275" s="27"/>
      <c r="F275" s="28" t="str">
        <f>IFERROR(VLOOKUP(D275,Horarios!$H:$I,2,0),"")</f>
        <v/>
      </c>
      <c r="G275" s="28" t="str">
        <f>IFERROR(VLOOKUP(E275,Horarios!$H:$I,2,0),"")</f>
        <v/>
      </c>
      <c r="H275" s="28" t="str">
        <f t="shared" si="192"/>
        <v>00:00</v>
      </c>
      <c r="I275" s="29"/>
      <c r="J275" s="27"/>
      <c r="K275" s="27"/>
      <c r="L275" s="28" t="str">
        <f>IFERROR(VLOOKUP(J275,Horarios!$H:$I,2,0),"")</f>
        <v/>
      </c>
      <c r="M275" s="28" t="str">
        <f>IFERROR(VLOOKUP(K275,Horarios!$H:$I,2,0),"")</f>
        <v/>
      </c>
      <c r="N275" s="28" t="str">
        <f t="shared" si="193"/>
        <v>00:00</v>
      </c>
      <c r="O275" s="29"/>
      <c r="P275" s="27"/>
      <c r="Q275" s="27"/>
      <c r="R275" s="28" t="str">
        <f>IFERROR(VLOOKUP(P275,Horarios!$H:$I,2,0),"")</f>
        <v/>
      </c>
      <c r="S275" s="28" t="str">
        <f>IFERROR(VLOOKUP(Q275,Horarios!$H:$I,2,0),"")</f>
        <v/>
      </c>
      <c r="T275" s="28" t="str">
        <f t="shared" si="194"/>
        <v>00:00</v>
      </c>
      <c r="U275" s="29"/>
      <c r="V275" s="27"/>
      <c r="W275" s="27"/>
      <c r="X275" s="28" t="str">
        <f>IFERROR(VLOOKUP(V275,Horarios!$H:$I,2,0),"")</f>
        <v/>
      </c>
      <c r="Y275" s="28" t="str">
        <f>IFERROR(VLOOKUP(W275,Horarios!$H:$I,2,0),"")</f>
        <v/>
      </c>
      <c r="Z275" s="28" t="str">
        <f t="shared" si="195"/>
        <v>00:00</v>
      </c>
      <c r="AA275" s="29"/>
      <c r="AB275" s="27"/>
      <c r="AC275" s="27"/>
      <c r="AD275" s="28" t="str">
        <f>IFERROR(VLOOKUP(AB275,Horarios!$H:$I,2,0),"")</f>
        <v/>
      </c>
      <c r="AE275" s="28" t="str">
        <f>IFERROR(VLOOKUP(AC275,Horarios!$H:$I,2,0),"")</f>
        <v/>
      </c>
      <c r="AF275" s="28" t="str">
        <f t="shared" si="196"/>
        <v>00:00</v>
      </c>
      <c r="AG275" s="29"/>
      <c r="AH275" s="27"/>
      <c r="AI275" s="27"/>
      <c r="AJ275" s="28" t="str">
        <f>IFERROR(VLOOKUP(AH275,Horarios!$H:$I,2,0),"")</f>
        <v/>
      </c>
      <c r="AK275" s="28" t="str">
        <f>IFERROR(VLOOKUP(AI275,Horarios!$H:$I,2,0),"")</f>
        <v/>
      </c>
      <c r="AL275" s="28" t="str">
        <f t="shared" si="197"/>
        <v>00:00</v>
      </c>
      <c r="AM275" s="29"/>
      <c r="AN275" s="27"/>
      <c r="AO275" s="27"/>
      <c r="AP275" s="28" t="str">
        <f>IFERROR(VLOOKUP(AN275,Horarios!$H:$I,2,0),"")</f>
        <v/>
      </c>
      <c r="AQ275" s="28" t="str">
        <f>IFERROR(VLOOKUP(AO275,Horarios!$H:$I,2,0),"")</f>
        <v/>
      </c>
      <c r="AR275" s="28" t="str">
        <f t="shared" si="198"/>
        <v>00:00</v>
      </c>
      <c r="AS275" s="29"/>
      <c r="AT275" s="31" t="str">
        <f t="shared" si="199"/>
        <v/>
      </c>
      <c r="AU275" s="27"/>
      <c r="AV275" s="27"/>
      <c r="AW275" s="28" t="str">
        <f>IFERROR(VLOOKUP(AU275,Horarios!$H:$I,2,0),"")</f>
        <v/>
      </c>
      <c r="AX275" s="28" t="str">
        <f>IFERROR(VLOOKUP(AV275,Horarios!$H:$I,2,0),"")</f>
        <v/>
      </c>
      <c r="AY275" s="28" t="str">
        <f t="shared" si="200"/>
        <v>00:00</v>
      </c>
      <c r="AZ275" s="29"/>
      <c r="BA275" s="27"/>
      <c r="BB275" s="27"/>
      <c r="BC275" s="28" t="str">
        <f>IFERROR(VLOOKUP(BA275,Horarios!$H:$I,2,0),"")</f>
        <v/>
      </c>
      <c r="BD275" s="28" t="str">
        <f>IFERROR(VLOOKUP(BB275,Horarios!$H:$I,2,0),"")</f>
        <v/>
      </c>
      <c r="BE275" s="28" t="str">
        <f t="shared" si="201"/>
        <v>00:00</v>
      </c>
      <c r="BF275" s="29"/>
      <c r="BG275" s="27"/>
      <c r="BH275" s="27"/>
      <c r="BI275" s="28" t="str">
        <f>IFERROR(VLOOKUP(BG275,Horarios!$H:$I,2,0),"")</f>
        <v/>
      </c>
      <c r="BJ275" s="28" t="str">
        <f>IFERROR(VLOOKUP(BH275,Horarios!$H:$I,2,0),"")</f>
        <v/>
      </c>
      <c r="BK275" s="28" t="str">
        <f t="shared" si="202"/>
        <v>00:00</v>
      </c>
      <c r="BL275" s="29"/>
      <c r="BM275" s="27"/>
      <c r="BN275" s="27"/>
      <c r="BO275" s="28" t="str">
        <f>IFERROR(VLOOKUP(BM275,Horarios!$H:$I,2,0),"")</f>
        <v/>
      </c>
      <c r="BP275" s="28" t="str">
        <f>IFERROR(VLOOKUP(BN275,Horarios!$H:$I,2,0),"")</f>
        <v/>
      </c>
      <c r="BQ275" s="28" t="str">
        <f t="shared" si="203"/>
        <v>00:00</v>
      </c>
      <c r="BR275" s="29"/>
      <c r="BS275" s="27"/>
      <c r="BT275" s="27"/>
      <c r="BU275" s="28" t="str">
        <f>IFERROR(VLOOKUP(BS275,Horarios!$H:$I,2,0),"")</f>
        <v/>
      </c>
      <c r="BV275" s="28" t="str">
        <f>IFERROR(VLOOKUP(BT275,Horarios!$H:$I,2,0),"")</f>
        <v/>
      </c>
      <c r="BW275" s="28" t="str">
        <f t="shared" si="204"/>
        <v>00:00</v>
      </c>
      <c r="BX275" s="29"/>
      <c r="BY275" s="27"/>
      <c r="BZ275" s="27"/>
      <c r="CA275" s="28" t="str">
        <f>IFERROR(VLOOKUP(BY275,Horarios!$H:$I,2,0),"")</f>
        <v/>
      </c>
      <c r="CB275" s="28" t="str">
        <f>IFERROR(VLOOKUP(BZ275,Horarios!$H:$I,2,0),"")</f>
        <v/>
      </c>
      <c r="CC275" s="28" t="str">
        <f t="shared" si="205"/>
        <v>00:00</v>
      </c>
      <c r="CD275" s="29"/>
      <c r="CE275" s="27"/>
      <c r="CF275" s="27"/>
      <c r="CG275" s="28" t="str">
        <f>IFERROR(VLOOKUP(CE275,Horarios!$H:$I,2,0),"")</f>
        <v/>
      </c>
      <c r="CH275" s="28" t="str">
        <f>IFERROR(VLOOKUP(CF275,Horarios!$H:$I,2,0),"")</f>
        <v/>
      </c>
      <c r="CI275" s="28" t="str">
        <f t="shared" si="206"/>
        <v>00:00</v>
      </c>
      <c r="CJ275" s="29"/>
      <c r="CK275" s="31" t="str">
        <f t="shared" si="207"/>
        <v/>
      </c>
      <c r="CL275" s="27"/>
      <c r="CM275" s="27"/>
      <c r="CN275" s="28" t="str">
        <f>IFERROR(VLOOKUP(CL275,Horarios!$H:$I,2,0),"")</f>
        <v/>
      </c>
      <c r="CO275" s="28" t="str">
        <f>IFERROR(VLOOKUP(CM275,Horarios!$H:$I,2,0),"")</f>
        <v/>
      </c>
      <c r="CP275" s="28" t="str">
        <f t="shared" si="208"/>
        <v>00:00</v>
      </c>
      <c r="CQ275" s="29"/>
      <c r="CR275" s="27"/>
      <c r="CS275" s="27"/>
      <c r="CT275" s="28" t="str">
        <f>IFERROR(VLOOKUP(CR275,Horarios!$H:$I,2,0),"")</f>
        <v/>
      </c>
      <c r="CU275" s="28" t="str">
        <f>IFERROR(VLOOKUP(CS275,Horarios!$H:$I,2,0),"")</f>
        <v/>
      </c>
      <c r="CV275" s="28" t="str">
        <f t="shared" si="209"/>
        <v>00:00</v>
      </c>
      <c r="CW275" s="29"/>
      <c r="CX275" s="27"/>
      <c r="CY275" s="27"/>
      <c r="CZ275" s="28" t="str">
        <f>IFERROR(VLOOKUP(CX275,Horarios!$H:$I,2,0),"")</f>
        <v/>
      </c>
      <c r="DA275" s="28" t="str">
        <f>IFERROR(VLOOKUP(CY275,Horarios!$H:$I,2,0),"")</f>
        <v/>
      </c>
      <c r="DB275" s="28" t="str">
        <f t="shared" si="210"/>
        <v>00:00</v>
      </c>
      <c r="DC275" s="29"/>
      <c r="DD275" s="27"/>
      <c r="DE275" s="27"/>
      <c r="DF275" s="28" t="str">
        <f>IFERROR(VLOOKUP(DD275,Horarios!$H:$I,2,0),"")</f>
        <v/>
      </c>
      <c r="DG275" s="28" t="str">
        <f>IFERROR(VLOOKUP(DE275,Horarios!$H:$I,2,0),"")</f>
        <v/>
      </c>
      <c r="DH275" s="28" t="str">
        <f t="shared" si="211"/>
        <v>00:00</v>
      </c>
      <c r="DI275" s="29"/>
      <c r="DJ275" s="27"/>
      <c r="DK275" s="27"/>
      <c r="DL275" s="28" t="str">
        <f>IFERROR(VLOOKUP(DJ275,Horarios!$H:$I,2,0),"")</f>
        <v/>
      </c>
      <c r="DM275" s="28" t="str">
        <f>IFERROR(VLOOKUP(DK275,Horarios!$H:$I,2,0),"")</f>
        <v/>
      </c>
      <c r="DN275" s="28" t="str">
        <f t="shared" si="212"/>
        <v>00:00</v>
      </c>
      <c r="DO275" s="29"/>
      <c r="DP275" s="27"/>
      <c r="DQ275" s="27"/>
      <c r="DR275" s="28" t="str">
        <f>IFERROR(VLOOKUP(DP275,Horarios!$H:$I,2,0),"")</f>
        <v/>
      </c>
      <c r="DS275" s="28" t="str">
        <f>IFERROR(VLOOKUP(DQ275,Horarios!$H:$I,2,0),"")</f>
        <v/>
      </c>
      <c r="DT275" s="28" t="str">
        <f t="shared" si="213"/>
        <v>00:00</v>
      </c>
      <c r="DU275" s="29"/>
      <c r="DV275" s="27"/>
      <c r="DW275" s="27"/>
      <c r="DX275" s="28" t="str">
        <f>IFERROR(VLOOKUP(DV275,Horarios!$H:$I,2,0),"")</f>
        <v/>
      </c>
      <c r="DY275" s="28" t="str">
        <f>IFERROR(VLOOKUP(DW275,Horarios!$H:$I,2,0),"")</f>
        <v/>
      </c>
      <c r="DZ275" s="28" t="str">
        <f t="shared" si="214"/>
        <v>00:00</v>
      </c>
      <c r="EA275" s="29"/>
      <c r="EB275" s="31" t="str">
        <f t="shared" si="215"/>
        <v/>
      </c>
      <c r="EC275" s="27"/>
      <c r="ED275" s="27"/>
      <c r="EE275" s="28" t="str">
        <f>IFERROR(VLOOKUP(EC275,Horarios!$H:$I,2,0),"")</f>
        <v/>
      </c>
      <c r="EF275" s="28" t="str">
        <f>IFERROR(VLOOKUP(ED275,Horarios!$H:$I,2,0),"")</f>
        <v/>
      </c>
      <c r="EG275" s="28" t="str">
        <f t="shared" si="216"/>
        <v>00:00</v>
      </c>
      <c r="EH275" s="29"/>
      <c r="EI275" s="27"/>
      <c r="EJ275" s="27"/>
      <c r="EK275" s="28" t="str">
        <f>IFERROR(VLOOKUP(EI275,Horarios!$H:$I,2,0),"")</f>
        <v/>
      </c>
      <c r="EL275" s="28" t="str">
        <f>IFERROR(VLOOKUP(EJ275,Horarios!$H:$I,2,0),"")</f>
        <v/>
      </c>
      <c r="EM275" s="28" t="str">
        <f t="shared" si="217"/>
        <v>00:00</v>
      </c>
      <c r="EN275" s="29"/>
      <c r="EO275" s="27"/>
      <c r="EP275" s="27"/>
      <c r="EQ275" s="28" t="str">
        <f>IFERROR(VLOOKUP(EO275,Horarios!$H:$I,2,0),"")</f>
        <v/>
      </c>
      <c r="ER275" s="28" t="str">
        <f>IFERROR(VLOOKUP(EP275,Horarios!$H:$I,2,0),"")</f>
        <v/>
      </c>
      <c r="ES275" s="28" t="str">
        <f t="shared" si="218"/>
        <v>00:00</v>
      </c>
      <c r="ET275" s="29"/>
      <c r="EU275" s="27"/>
      <c r="EV275" s="27"/>
      <c r="EW275" s="28" t="str">
        <f>IFERROR(VLOOKUP(EU275,Horarios!$H:$I,2,0),"")</f>
        <v/>
      </c>
      <c r="EX275" s="28" t="str">
        <f>IFERROR(VLOOKUP(EV275,Horarios!$H:$I,2,0),"")</f>
        <v/>
      </c>
      <c r="EY275" s="28" t="str">
        <f t="shared" si="219"/>
        <v>00:00</v>
      </c>
      <c r="EZ275" s="29"/>
      <c r="FA275" s="27"/>
      <c r="FB275" s="27"/>
      <c r="FC275" s="28" t="str">
        <f>IFERROR(VLOOKUP(FA275,Horarios!$H:$I,2,0),"")</f>
        <v/>
      </c>
      <c r="FD275" s="28" t="str">
        <f>IFERROR(VLOOKUP(FB275,Horarios!$H:$I,2,0),"")</f>
        <v/>
      </c>
      <c r="FE275" s="28" t="str">
        <f t="shared" si="220"/>
        <v>00:00</v>
      </c>
      <c r="FF275" s="29"/>
      <c r="FG275" s="27"/>
      <c r="FH275" s="27"/>
      <c r="FI275" s="28" t="str">
        <f>IFERROR(VLOOKUP(FG275,Horarios!$H:$I,2,0),"")</f>
        <v/>
      </c>
      <c r="FJ275" s="28" t="str">
        <f>IFERROR(VLOOKUP(FH275,Horarios!$H:$I,2,0),"")</f>
        <v/>
      </c>
      <c r="FK275" s="28" t="str">
        <f t="shared" si="221"/>
        <v>00:00</v>
      </c>
      <c r="FL275" s="29"/>
      <c r="FM275" s="27"/>
      <c r="FN275" s="27"/>
      <c r="FO275" s="28" t="str">
        <f>IFERROR(VLOOKUP(FM275,Horarios!$H:$I,2,0),"")</f>
        <v/>
      </c>
      <c r="FP275" s="28" t="str">
        <f>IFERROR(VLOOKUP(FN275,Horarios!$H:$I,2,0),"")</f>
        <v/>
      </c>
      <c r="FQ275" s="28" t="str">
        <f t="shared" si="222"/>
        <v>00:00</v>
      </c>
      <c r="FR275" s="29"/>
      <c r="FS275" s="31" t="str">
        <f t="shared" si="223"/>
        <v/>
      </c>
      <c r="FT275" s="27"/>
      <c r="FU275" s="27"/>
      <c r="FV275" s="28" t="str">
        <f>IFERROR(VLOOKUP(FT275,Horarios!$H:$I,2,0),"")</f>
        <v/>
      </c>
      <c r="FW275" s="28" t="str">
        <f>IFERROR(VLOOKUP(FU275,Horarios!$H:$I,2,0),"")</f>
        <v/>
      </c>
      <c r="FX275" s="28" t="str">
        <f t="shared" si="224"/>
        <v>00:00</v>
      </c>
      <c r="FY275" s="29"/>
      <c r="FZ275" s="27"/>
      <c r="GA275" s="27"/>
      <c r="GB275" s="28" t="str">
        <f>IFERROR(VLOOKUP(FZ275,Horarios!$H:$I,2,0),"")</f>
        <v/>
      </c>
      <c r="GC275" s="28" t="str">
        <f>IFERROR(VLOOKUP(GA275,Horarios!$H:$I,2,0),"")</f>
        <v/>
      </c>
      <c r="GD275" s="28" t="str">
        <f t="shared" si="225"/>
        <v>00:00</v>
      </c>
      <c r="GE275" s="29"/>
      <c r="GF275" s="27"/>
      <c r="GG275" s="27"/>
      <c r="GH275" s="28" t="str">
        <f>IFERROR(VLOOKUP(GF275,Horarios!$H:$I,2,0),"")</f>
        <v/>
      </c>
      <c r="GI275" s="28" t="str">
        <f>IFERROR(VLOOKUP(GG275,Horarios!$H:$I,2,0),"")</f>
        <v/>
      </c>
      <c r="GJ275" s="28" t="str">
        <f t="shared" si="226"/>
        <v>00:00</v>
      </c>
      <c r="GK275" s="29"/>
      <c r="GL275" s="27"/>
      <c r="GM275" s="27"/>
      <c r="GN275" s="28" t="str">
        <f>IFERROR(VLOOKUP(GL275,Horarios!$H:$I,2,0),"")</f>
        <v/>
      </c>
      <c r="GO275" s="28" t="str">
        <f>IFERROR(VLOOKUP(GM275,Horarios!$H:$I,2,0),"")</f>
        <v/>
      </c>
      <c r="GP275" s="28" t="str">
        <f t="shared" si="227"/>
        <v>00:00</v>
      </c>
      <c r="GQ275" s="29"/>
      <c r="GR275" s="27"/>
      <c r="GS275" s="27"/>
      <c r="GT275" s="28" t="str">
        <f>IFERROR(VLOOKUP(GR275,Horarios!$H:$I,2,0),"")</f>
        <v/>
      </c>
      <c r="GU275" s="28" t="str">
        <f>IFERROR(VLOOKUP(GS275,Horarios!$H:$I,2,0),"")</f>
        <v/>
      </c>
      <c r="GV275" s="28" t="str">
        <f t="shared" si="228"/>
        <v>00:00</v>
      </c>
      <c r="GW275" s="29"/>
      <c r="GX275" s="27"/>
      <c r="GY275" s="27"/>
      <c r="GZ275" s="28" t="str">
        <f>IFERROR(VLOOKUP(GX275,Horarios!$H:$I,2,0),"")</f>
        <v/>
      </c>
      <c r="HA275" s="28" t="str">
        <f>IFERROR(VLOOKUP(GY275,Horarios!$H:$I,2,0),"")</f>
        <v/>
      </c>
      <c r="HB275" s="28" t="str">
        <f t="shared" si="229"/>
        <v>00:00</v>
      </c>
      <c r="HC275" s="29"/>
      <c r="HD275" s="27"/>
      <c r="HE275" s="27"/>
      <c r="HF275" s="28" t="str">
        <f>IFERROR(VLOOKUP(HD275,Horarios!$H:$I,2,0),"")</f>
        <v/>
      </c>
      <c r="HG275" s="28" t="str">
        <f>IFERROR(VLOOKUP(HE275,Horarios!$H:$I,2,0),"")</f>
        <v/>
      </c>
      <c r="HH275" s="28" t="str">
        <f t="shared" si="230"/>
        <v>00:00</v>
      </c>
      <c r="HI275" s="29"/>
      <c r="HJ275" s="31" t="str">
        <f t="shared" si="231"/>
        <v/>
      </c>
      <c r="HK275" s="27"/>
      <c r="HL275" s="27"/>
      <c r="HM275" s="28" t="str">
        <f>IFERROR(VLOOKUP(HK275,Horarios!$H:$I,2,0),"")</f>
        <v/>
      </c>
      <c r="HN275" s="28" t="str">
        <f>IFERROR(VLOOKUP(HL275,Horarios!$H:$I,2,0),"")</f>
        <v/>
      </c>
      <c r="HO275" s="28" t="str">
        <f t="shared" si="232"/>
        <v>00:00</v>
      </c>
      <c r="HP275" s="29"/>
      <c r="HQ275" s="27"/>
      <c r="HR275" s="27"/>
      <c r="HS275" s="28" t="str">
        <f>IFERROR(VLOOKUP(HQ275,Horarios!$H:$I,2,0),"")</f>
        <v/>
      </c>
      <c r="HT275" s="28" t="str">
        <f>IFERROR(VLOOKUP(HR275,Horarios!$H:$I,2,0),"")</f>
        <v/>
      </c>
      <c r="HU275" s="28" t="str">
        <f t="shared" si="233"/>
        <v>00:00</v>
      </c>
      <c r="HV275" s="29"/>
      <c r="HW275" s="27"/>
      <c r="HX275" s="27"/>
      <c r="HY275" s="28" t="str">
        <f>IFERROR(VLOOKUP(HW275,Horarios!$H:$I,2,0),"")</f>
        <v/>
      </c>
      <c r="HZ275" s="28" t="str">
        <f>IFERROR(VLOOKUP(HX275,Horarios!$H:$I,2,0),"")</f>
        <v/>
      </c>
      <c r="IA275" s="28" t="str">
        <f t="shared" si="234"/>
        <v>00:00</v>
      </c>
      <c r="IB275" s="29"/>
      <c r="IC275" s="27"/>
      <c r="ID275" s="27"/>
      <c r="IE275" s="28" t="str">
        <f>IFERROR(VLOOKUP(IC275,Horarios!$H:$I,2,0),"")</f>
        <v/>
      </c>
      <c r="IF275" s="28" t="str">
        <f>IFERROR(VLOOKUP(ID275,Horarios!$H:$I,2,0),"")</f>
        <v/>
      </c>
      <c r="IG275" s="28" t="str">
        <f t="shared" si="235"/>
        <v>00:00</v>
      </c>
      <c r="IH275" s="29"/>
      <c r="II275" s="27"/>
      <c r="IJ275" s="27"/>
      <c r="IK275" s="28" t="str">
        <f>IFERROR(VLOOKUP(II275,Horarios!$H:$I,2,0),"")</f>
        <v/>
      </c>
      <c r="IL275" s="28" t="str">
        <f>IFERROR(VLOOKUP(IJ275,Horarios!$H:$I,2,0),"")</f>
        <v/>
      </c>
      <c r="IM275" s="28" t="str">
        <f t="shared" si="236"/>
        <v>00:00</v>
      </c>
      <c r="IN275" s="29"/>
      <c r="IO275" s="27"/>
      <c r="IP275" s="27"/>
      <c r="IQ275" s="28" t="str">
        <f>IFERROR(VLOOKUP(IO275,Horarios!$H:$I,2,0),"")</f>
        <v/>
      </c>
      <c r="IR275" s="28" t="str">
        <f>IFERROR(VLOOKUP(IP275,Horarios!$H:$I,2,0),"")</f>
        <v/>
      </c>
      <c r="IS275" s="28" t="str">
        <f t="shared" si="237"/>
        <v>00:00</v>
      </c>
      <c r="IT275" s="29"/>
      <c r="IU275" s="27"/>
      <c r="IV275" s="27"/>
      <c r="IW275" s="28" t="str">
        <f>IFERROR(VLOOKUP(IU275,Horarios!$H:$I,2,0),"")</f>
        <v/>
      </c>
      <c r="IX275" s="28" t="str">
        <f>IFERROR(VLOOKUP(IV275,Horarios!$H:$I,2,0),"")</f>
        <v/>
      </c>
      <c r="IY275" s="28" t="str">
        <f t="shared" si="238"/>
        <v>00:00</v>
      </c>
      <c r="IZ275" s="29"/>
      <c r="JA275" s="31" t="str">
        <f t="shared" si="239"/>
        <v/>
      </c>
    </row>
    <row r="276" spans="1:261" s="24" customFormat="1" ht="17.399999999999999" x14ac:dyDescent="0.25">
      <c r="A276" s="25"/>
      <c r="B276" s="26" t="str">
        <f>IFERROR(VLOOKUP(A276,BaseNombres!A:B,2,0),"")</f>
        <v/>
      </c>
      <c r="C276" s="26" t="str">
        <f>IFERROR(VLOOKUP(A276,BaseNombres!A:C,3,0),"")</f>
        <v/>
      </c>
      <c r="D276" s="27"/>
      <c r="E276" s="27"/>
      <c r="F276" s="28" t="str">
        <f>IFERROR(VLOOKUP(D276,Horarios!$H:$I,2,0),"")</f>
        <v/>
      </c>
      <c r="G276" s="28" t="str">
        <f>IFERROR(VLOOKUP(E276,Horarios!$H:$I,2,0),"")</f>
        <v/>
      </c>
      <c r="H276" s="28" t="str">
        <f t="shared" si="192"/>
        <v>00:00</v>
      </c>
      <c r="I276" s="29"/>
      <c r="J276" s="27"/>
      <c r="K276" s="27"/>
      <c r="L276" s="28" t="str">
        <f>IFERROR(VLOOKUP(J276,Horarios!$H:$I,2,0),"")</f>
        <v/>
      </c>
      <c r="M276" s="28" t="str">
        <f>IFERROR(VLOOKUP(K276,Horarios!$H:$I,2,0),"")</f>
        <v/>
      </c>
      <c r="N276" s="28" t="str">
        <f t="shared" si="193"/>
        <v>00:00</v>
      </c>
      <c r="O276" s="29"/>
      <c r="P276" s="27"/>
      <c r="Q276" s="27"/>
      <c r="R276" s="28" t="str">
        <f>IFERROR(VLOOKUP(P276,Horarios!$H:$I,2,0),"")</f>
        <v/>
      </c>
      <c r="S276" s="28" t="str">
        <f>IFERROR(VLOOKUP(Q276,Horarios!$H:$I,2,0),"")</f>
        <v/>
      </c>
      <c r="T276" s="28" t="str">
        <f t="shared" si="194"/>
        <v>00:00</v>
      </c>
      <c r="U276" s="29"/>
      <c r="V276" s="27"/>
      <c r="W276" s="27"/>
      <c r="X276" s="28" t="str">
        <f>IFERROR(VLOOKUP(V276,Horarios!$H:$I,2,0),"")</f>
        <v/>
      </c>
      <c r="Y276" s="28" t="str">
        <f>IFERROR(VLOOKUP(W276,Horarios!$H:$I,2,0),"")</f>
        <v/>
      </c>
      <c r="Z276" s="28" t="str">
        <f t="shared" si="195"/>
        <v>00:00</v>
      </c>
      <c r="AA276" s="29"/>
      <c r="AB276" s="27"/>
      <c r="AC276" s="27"/>
      <c r="AD276" s="28" t="str">
        <f>IFERROR(VLOOKUP(AB276,Horarios!$H:$I,2,0),"")</f>
        <v/>
      </c>
      <c r="AE276" s="28" t="str">
        <f>IFERROR(VLOOKUP(AC276,Horarios!$H:$I,2,0),"")</f>
        <v/>
      </c>
      <c r="AF276" s="28" t="str">
        <f t="shared" si="196"/>
        <v>00:00</v>
      </c>
      <c r="AG276" s="29"/>
      <c r="AH276" s="27"/>
      <c r="AI276" s="27"/>
      <c r="AJ276" s="28" t="str">
        <f>IFERROR(VLOOKUP(AH276,Horarios!$H:$I,2,0),"")</f>
        <v/>
      </c>
      <c r="AK276" s="28" t="str">
        <f>IFERROR(VLOOKUP(AI276,Horarios!$H:$I,2,0),"")</f>
        <v/>
      </c>
      <c r="AL276" s="28" t="str">
        <f t="shared" si="197"/>
        <v>00:00</v>
      </c>
      <c r="AM276" s="29"/>
      <c r="AN276" s="27"/>
      <c r="AO276" s="27"/>
      <c r="AP276" s="28" t="str">
        <f>IFERROR(VLOOKUP(AN276,Horarios!$H:$I,2,0),"")</f>
        <v/>
      </c>
      <c r="AQ276" s="28" t="str">
        <f>IFERROR(VLOOKUP(AO276,Horarios!$H:$I,2,0),"")</f>
        <v/>
      </c>
      <c r="AR276" s="28" t="str">
        <f t="shared" si="198"/>
        <v>00:00</v>
      </c>
      <c r="AS276" s="29"/>
      <c r="AT276" s="31" t="str">
        <f t="shared" si="199"/>
        <v/>
      </c>
      <c r="AU276" s="27"/>
      <c r="AV276" s="27"/>
      <c r="AW276" s="28" t="str">
        <f>IFERROR(VLOOKUP(AU276,Horarios!$H:$I,2,0),"")</f>
        <v/>
      </c>
      <c r="AX276" s="28" t="str">
        <f>IFERROR(VLOOKUP(AV276,Horarios!$H:$I,2,0),"")</f>
        <v/>
      </c>
      <c r="AY276" s="28" t="str">
        <f t="shared" si="200"/>
        <v>00:00</v>
      </c>
      <c r="AZ276" s="29"/>
      <c r="BA276" s="27"/>
      <c r="BB276" s="27"/>
      <c r="BC276" s="28" t="str">
        <f>IFERROR(VLOOKUP(BA276,Horarios!$H:$I,2,0),"")</f>
        <v/>
      </c>
      <c r="BD276" s="28" t="str">
        <f>IFERROR(VLOOKUP(BB276,Horarios!$H:$I,2,0),"")</f>
        <v/>
      </c>
      <c r="BE276" s="28" t="str">
        <f t="shared" si="201"/>
        <v>00:00</v>
      </c>
      <c r="BF276" s="29"/>
      <c r="BG276" s="27"/>
      <c r="BH276" s="27"/>
      <c r="BI276" s="28" t="str">
        <f>IFERROR(VLOOKUP(BG276,Horarios!$H:$I,2,0),"")</f>
        <v/>
      </c>
      <c r="BJ276" s="28" t="str">
        <f>IFERROR(VLOOKUP(BH276,Horarios!$H:$I,2,0),"")</f>
        <v/>
      </c>
      <c r="BK276" s="28" t="str">
        <f t="shared" si="202"/>
        <v>00:00</v>
      </c>
      <c r="BL276" s="29"/>
      <c r="BM276" s="27"/>
      <c r="BN276" s="27"/>
      <c r="BO276" s="28" t="str">
        <f>IFERROR(VLOOKUP(BM276,Horarios!$H:$I,2,0),"")</f>
        <v/>
      </c>
      <c r="BP276" s="28" t="str">
        <f>IFERROR(VLOOKUP(BN276,Horarios!$H:$I,2,0),"")</f>
        <v/>
      </c>
      <c r="BQ276" s="28" t="str">
        <f t="shared" si="203"/>
        <v>00:00</v>
      </c>
      <c r="BR276" s="29"/>
      <c r="BS276" s="27"/>
      <c r="BT276" s="27"/>
      <c r="BU276" s="28" t="str">
        <f>IFERROR(VLOOKUP(BS276,Horarios!$H:$I,2,0),"")</f>
        <v/>
      </c>
      <c r="BV276" s="28" t="str">
        <f>IFERROR(VLOOKUP(BT276,Horarios!$H:$I,2,0),"")</f>
        <v/>
      </c>
      <c r="BW276" s="28" t="str">
        <f t="shared" si="204"/>
        <v>00:00</v>
      </c>
      <c r="BX276" s="29"/>
      <c r="BY276" s="27"/>
      <c r="BZ276" s="27"/>
      <c r="CA276" s="28" t="str">
        <f>IFERROR(VLOOKUP(BY276,Horarios!$H:$I,2,0),"")</f>
        <v/>
      </c>
      <c r="CB276" s="28" t="str">
        <f>IFERROR(VLOOKUP(BZ276,Horarios!$H:$I,2,0),"")</f>
        <v/>
      </c>
      <c r="CC276" s="28" t="str">
        <f t="shared" si="205"/>
        <v>00:00</v>
      </c>
      <c r="CD276" s="29"/>
      <c r="CE276" s="27"/>
      <c r="CF276" s="27"/>
      <c r="CG276" s="28" t="str">
        <f>IFERROR(VLOOKUP(CE276,Horarios!$H:$I,2,0),"")</f>
        <v/>
      </c>
      <c r="CH276" s="28" t="str">
        <f>IFERROR(VLOOKUP(CF276,Horarios!$H:$I,2,0),"")</f>
        <v/>
      </c>
      <c r="CI276" s="28" t="str">
        <f t="shared" si="206"/>
        <v>00:00</v>
      </c>
      <c r="CJ276" s="29"/>
      <c r="CK276" s="31" t="str">
        <f t="shared" si="207"/>
        <v/>
      </c>
      <c r="CL276" s="27"/>
      <c r="CM276" s="27"/>
      <c r="CN276" s="28" t="str">
        <f>IFERROR(VLOOKUP(CL276,Horarios!$H:$I,2,0),"")</f>
        <v/>
      </c>
      <c r="CO276" s="28" t="str">
        <f>IFERROR(VLOOKUP(CM276,Horarios!$H:$I,2,0),"")</f>
        <v/>
      </c>
      <c r="CP276" s="28" t="str">
        <f t="shared" si="208"/>
        <v>00:00</v>
      </c>
      <c r="CQ276" s="29"/>
      <c r="CR276" s="27"/>
      <c r="CS276" s="27"/>
      <c r="CT276" s="28" t="str">
        <f>IFERROR(VLOOKUP(CR276,Horarios!$H:$I,2,0),"")</f>
        <v/>
      </c>
      <c r="CU276" s="28" t="str">
        <f>IFERROR(VLOOKUP(CS276,Horarios!$H:$I,2,0),"")</f>
        <v/>
      </c>
      <c r="CV276" s="28" t="str">
        <f t="shared" si="209"/>
        <v>00:00</v>
      </c>
      <c r="CW276" s="29"/>
      <c r="CX276" s="27"/>
      <c r="CY276" s="27"/>
      <c r="CZ276" s="28" t="str">
        <f>IFERROR(VLOOKUP(CX276,Horarios!$H:$I,2,0),"")</f>
        <v/>
      </c>
      <c r="DA276" s="28" t="str">
        <f>IFERROR(VLOOKUP(CY276,Horarios!$H:$I,2,0),"")</f>
        <v/>
      </c>
      <c r="DB276" s="28" t="str">
        <f t="shared" si="210"/>
        <v>00:00</v>
      </c>
      <c r="DC276" s="29"/>
      <c r="DD276" s="27"/>
      <c r="DE276" s="27"/>
      <c r="DF276" s="28" t="str">
        <f>IFERROR(VLOOKUP(DD276,Horarios!$H:$I,2,0),"")</f>
        <v/>
      </c>
      <c r="DG276" s="28" t="str">
        <f>IFERROR(VLOOKUP(DE276,Horarios!$H:$I,2,0),"")</f>
        <v/>
      </c>
      <c r="DH276" s="28" t="str">
        <f t="shared" si="211"/>
        <v>00:00</v>
      </c>
      <c r="DI276" s="29"/>
      <c r="DJ276" s="27"/>
      <c r="DK276" s="27"/>
      <c r="DL276" s="28" t="str">
        <f>IFERROR(VLOOKUP(DJ276,Horarios!$H:$I,2,0),"")</f>
        <v/>
      </c>
      <c r="DM276" s="28" t="str">
        <f>IFERROR(VLOOKUP(DK276,Horarios!$H:$I,2,0),"")</f>
        <v/>
      </c>
      <c r="DN276" s="28" t="str">
        <f t="shared" si="212"/>
        <v>00:00</v>
      </c>
      <c r="DO276" s="29"/>
      <c r="DP276" s="27"/>
      <c r="DQ276" s="27"/>
      <c r="DR276" s="28" t="str">
        <f>IFERROR(VLOOKUP(DP276,Horarios!$H:$I,2,0),"")</f>
        <v/>
      </c>
      <c r="DS276" s="28" t="str">
        <f>IFERROR(VLOOKUP(DQ276,Horarios!$H:$I,2,0),"")</f>
        <v/>
      </c>
      <c r="DT276" s="28" t="str">
        <f t="shared" si="213"/>
        <v>00:00</v>
      </c>
      <c r="DU276" s="29"/>
      <c r="DV276" s="27"/>
      <c r="DW276" s="27"/>
      <c r="DX276" s="28" t="str">
        <f>IFERROR(VLOOKUP(DV276,Horarios!$H:$I,2,0),"")</f>
        <v/>
      </c>
      <c r="DY276" s="28" t="str">
        <f>IFERROR(VLOOKUP(DW276,Horarios!$H:$I,2,0),"")</f>
        <v/>
      </c>
      <c r="DZ276" s="28" t="str">
        <f t="shared" si="214"/>
        <v>00:00</v>
      </c>
      <c r="EA276" s="29"/>
      <c r="EB276" s="31" t="str">
        <f t="shared" si="215"/>
        <v/>
      </c>
      <c r="EC276" s="27"/>
      <c r="ED276" s="27"/>
      <c r="EE276" s="28" t="str">
        <f>IFERROR(VLOOKUP(EC276,Horarios!$H:$I,2,0),"")</f>
        <v/>
      </c>
      <c r="EF276" s="28" t="str">
        <f>IFERROR(VLOOKUP(ED276,Horarios!$H:$I,2,0),"")</f>
        <v/>
      </c>
      <c r="EG276" s="28" t="str">
        <f t="shared" si="216"/>
        <v>00:00</v>
      </c>
      <c r="EH276" s="29"/>
      <c r="EI276" s="27"/>
      <c r="EJ276" s="27"/>
      <c r="EK276" s="28" t="str">
        <f>IFERROR(VLOOKUP(EI276,Horarios!$H:$I,2,0),"")</f>
        <v/>
      </c>
      <c r="EL276" s="28" t="str">
        <f>IFERROR(VLOOKUP(EJ276,Horarios!$H:$I,2,0),"")</f>
        <v/>
      </c>
      <c r="EM276" s="28" t="str">
        <f t="shared" si="217"/>
        <v>00:00</v>
      </c>
      <c r="EN276" s="29"/>
      <c r="EO276" s="27"/>
      <c r="EP276" s="27"/>
      <c r="EQ276" s="28" t="str">
        <f>IFERROR(VLOOKUP(EO276,Horarios!$H:$I,2,0),"")</f>
        <v/>
      </c>
      <c r="ER276" s="28" t="str">
        <f>IFERROR(VLOOKUP(EP276,Horarios!$H:$I,2,0),"")</f>
        <v/>
      </c>
      <c r="ES276" s="28" t="str">
        <f t="shared" si="218"/>
        <v>00:00</v>
      </c>
      <c r="ET276" s="29"/>
      <c r="EU276" s="27"/>
      <c r="EV276" s="27"/>
      <c r="EW276" s="28" t="str">
        <f>IFERROR(VLOOKUP(EU276,Horarios!$H:$I,2,0),"")</f>
        <v/>
      </c>
      <c r="EX276" s="28" t="str">
        <f>IFERROR(VLOOKUP(EV276,Horarios!$H:$I,2,0),"")</f>
        <v/>
      </c>
      <c r="EY276" s="28" t="str">
        <f t="shared" si="219"/>
        <v>00:00</v>
      </c>
      <c r="EZ276" s="29"/>
      <c r="FA276" s="27"/>
      <c r="FB276" s="27"/>
      <c r="FC276" s="28" t="str">
        <f>IFERROR(VLOOKUP(FA276,Horarios!$H:$I,2,0),"")</f>
        <v/>
      </c>
      <c r="FD276" s="28" t="str">
        <f>IFERROR(VLOOKUP(FB276,Horarios!$H:$I,2,0),"")</f>
        <v/>
      </c>
      <c r="FE276" s="28" t="str">
        <f t="shared" si="220"/>
        <v>00:00</v>
      </c>
      <c r="FF276" s="29"/>
      <c r="FG276" s="27"/>
      <c r="FH276" s="27"/>
      <c r="FI276" s="28" t="str">
        <f>IFERROR(VLOOKUP(FG276,Horarios!$H:$I,2,0),"")</f>
        <v/>
      </c>
      <c r="FJ276" s="28" t="str">
        <f>IFERROR(VLOOKUP(FH276,Horarios!$H:$I,2,0),"")</f>
        <v/>
      </c>
      <c r="FK276" s="28" t="str">
        <f t="shared" si="221"/>
        <v>00:00</v>
      </c>
      <c r="FL276" s="29"/>
      <c r="FM276" s="27"/>
      <c r="FN276" s="27"/>
      <c r="FO276" s="28" t="str">
        <f>IFERROR(VLOOKUP(FM276,Horarios!$H:$I,2,0),"")</f>
        <v/>
      </c>
      <c r="FP276" s="28" t="str">
        <f>IFERROR(VLOOKUP(FN276,Horarios!$H:$I,2,0),"")</f>
        <v/>
      </c>
      <c r="FQ276" s="28" t="str">
        <f t="shared" si="222"/>
        <v>00:00</v>
      </c>
      <c r="FR276" s="29"/>
      <c r="FS276" s="31" t="str">
        <f t="shared" si="223"/>
        <v/>
      </c>
      <c r="FT276" s="27"/>
      <c r="FU276" s="27"/>
      <c r="FV276" s="28" t="str">
        <f>IFERROR(VLOOKUP(FT276,Horarios!$H:$I,2,0),"")</f>
        <v/>
      </c>
      <c r="FW276" s="28" t="str">
        <f>IFERROR(VLOOKUP(FU276,Horarios!$H:$I,2,0),"")</f>
        <v/>
      </c>
      <c r="FX276" s="28" t="str">
        <f t="shared" si="224"/>
        <v>00:00</v>
      </c>
      <c r="FY276" s="29"/>
      <c r="FZ276" s="27"/>
      <c r="GA276" s="27"/>
      <c r="GB276" s="28" t="str">
        <f>IFERROR(VLOOKUP(FZ276,Horarios!$H:$I,2,0),"")</f>
        <v/>
      </c>
      <c r="GC276" s="28" t="str">
        <f>IFERROR(VLOOKUP(GA276,Horarios!$H:$I,2,0),"")</f>
        <v/>
      </c>
      <c r="GD276" s="28" t="str">
        <f t="shared" si="225"/>
        <v>00:00</v>
      </c>
      <c r="GE276" s="29"/>
      <c r="GF276" s="27"/>
      <c r="GG276" s="27"/>
      <c r="GH276" s="28" t="str">
        <f>IFERROR(VLOOKUP(GF276,Horarios!$H:$I,2,0),"")</f>
        <v/>
      </c>
      <c r="GI276" s="28" t="str">
        <f>IFERROR(VLOOKUP(GG276,Horarios!$H:$I,2,0),"")</f>
        <v/>
      </c>
      <c r="GJ276" s="28" t="str">
        <f t="shared" si="226"/>
        <v>00:00</v>
      </c>
      <c r="GK276" s="29"/>
      <c r="GL276" s="27"/>
      <c r="GM276" s="27"/>
      <c r="GN276" s="28" t="str">
        <f>IFERROR(VLOOKUP(GL276,Horarios!$H:$I,2,0),"")</f>
        <v/>
      </c>
      <c r="GO276" s="28" t="str">
        <f>IFERROR(VLOOKUP(GM276,Horarios!$H:$I,2,0),"")</f>
        <v/>
      </c>
      <c r="GP276" s="28" t="str">
        <f t="shared" si="227"/>
        <v>00:00</v>
      </c>
      <c r="GQ276" s="29"/>
      <c r="GR276" s="27"/>
      <c r="GS276" s="27"/>
      <c r="GT276" s="28" t="str">
        <f>IFERROR(VLOOKUP(GR276,Horarios!$H:$I,2,0),"")</f>
        <v/>
      </c>
      <c r="GU276" s="28" t="str">
        <f>IFERROR(VLOOKUP(GS276,Horarios!$H:$I,2,0),"")</f>
        <v/>
      </c>
      <c r="GV276" s="28" t="str">
        <f t="shared" si="228"/>
        <v>00:00</v>
      </c>
      <c r="GW276" s="29"/>
      <c r="GX276" s="27"/>
      <c r="GY276" s="27"/>
      <c r="GZ276" s="28" t="str">
        <f>IFERROR(VLOOKUP(GX276,Horarios!$H:$I,2,0),"")</f>
        <v/>
      </c>
      <c r="HA276" s="28" t="str">
        <f>IFERROR(VLOOKUP(GY276,Horarios!$H:$I,2,0),"")</f>
        <v/>
      </c>
      <c r="HB276" s="28" t="str">
        <f t="shared" si="229"/>
        <v>00:00</v>
      </c>
      <c r="HC276" s="29"/>
      <c r="HD276" s="27"/>
      <c r="HE276" s="27"/>
      <c r="HF276" s="28" t="str">
        <f>IFERROR(VLOOKUP(HD276,Horarios!$H:$I,2,0),"")</f>
        <v/>
      </c>
      <c r="HG276" s="28" t="str">
        <f>IFERROR(VLOOKUP(HE276,Horarios!$H:$I,2,0),"")</f>
        <v/>
      </c>
      <c r="HH276" s="28" t="str">
        <f t="shared" si="230"/>
        <v>00:00</v>
      </c>
      <c r="HI276" s="29"/>
      <c r="HJ276" s="31" t="str">
        <f t="shared" si="231"/>
        <v/>
      </c>
      <c r="HK276" s="27"/>
      <c r="HL276" s="27"/>
      <c r="HM276" s="28" t="str">
        <f>IFERROR(VLOOKUP(HK276,Horarios!$H:$I,2,0),"")</f>
        <v/>
      </c>
      <c r="HN276" s="28" t="str">
        <f>IFERROR(VLOOKUP(HL276,Horarios!$H:$I,2,0),"")</f>
        <v/>
      </c>
      <c r="HO276" s="28" t="str">
        <f t="shared" si="232"/>
        <v>00:00</v>
      </c>
      <c r="HP276" s="29"/>
      <c r="HQ276" s="27"/>
      <c r="HR276" s="27"/>
      <c r="HS276" s="28" t="str">
        <f>IFERROR(VLOOKUP(HQ276,Horarios!$H:$I,2,0),"")</f>
        <v/>
      </c>
      <c r="HT276" s="28" t="str">
        <f>IFERROR(VLOOKUP(HR276,Horarios!$H:$I,2,0),"")</f>
        <v/>
      </c>
      <c r="HU276" s="28" t="str">
        <f t="shared" si="233"/>
        <v>00:00</v>
      </c>
      <c r="HV276" s="29"/>
      <c r="HW276" s="27"/>
      <c r="HX276" s="27"/>
      <c r="HY276" s="28" t="str">
        <f>IFERROR(VLOOKUP(HW276,Horarios!$H:$I,2,0),"")</f>
        <v/>
      </c>
      <c r="HZ276" s="28" t="str">
        <f>IFERROR(VLOOKUP(HX276,Horarios!$H:$I,2,0),"")</f>
        <v/>
      </c>
      <c r="IA276" s="28" t="str">
        <f t="shared" si="234"/>
        <v>00:00</v>
      </c>
      <c r="IB276" s="29"/>
      <c r="IC276" s="27"/>
      <c r="ID276" s="27"/>
      <c r="IE276" s="28" t="str">
        <f>IFERROR(VLOOKUP(IC276,Horarios!$H:$I,2,0),"")</f>
        <v/>
      </c>
      <c r="IF276" s="28" t="str">
        <f>IFERROR(VLOOKUP(ID276,Horarios!$H:$I,2,0),"")</f>
        <v/>
      </c>
      <c r="IG276" s="28" t="str">
        <f t="shared" si="235"/>
        <v>00:00</v>
      </c>
      <c r="IH276" s="29"/>
      <c r="II276" s="27"/>
      <c r="IJ276" s="27"/>
      <c r="IK276" s="28" t="str">
        <f>IFERROR(VLOOKUP(II276,Horarios!$H:$I,2,0),"")</f>
        <v/>
      </c>
      <c r="IL276" s="28" t="str">
        <f>IFERROR(VLOOKUP(IJ276,Horarios!$H:$I,2,0),"")</f>
        <v/>
      </c>
      <c r="IM276" s="28" t="str">
        <f t="shared" si="236"/>
        <v>00:00</v>
      </c>
      <c r="IN276" s="29"/>
      <c r="IO276" s="27"/>
      <c r="IP276" s="27"/>
      <c r="IQ276" s="28" t="str">
        <f>IFERROR(VLOOKUP(IO276,Horarios!$H:$I,2,0),"")</f>
        <v/>
      </c>
      <c r="IR276" s="28" t="str">
        <f>IFERROR(VLOOKUP(IP276,Horarios!$H:$I,2,0),"")</f>
        <v/>
      </c>
      <c r="IS276" s="28" t="str">
        <f t="shared" si="237"/>
        <v>00:00</v>
      </c>
      <c r="IT276" s="29"/>
      <c r="IU276" s="27"/>
      <c r="IV276" s="27"/>
      <c r="IW276" s="28" t="str">
        <f>IFERROR(VLOOKUP(IU276,Horarios!$H:$I,2,0),"")</f>
        <v/>
      </c>
      <c r="IX276" s="28" t="str">
        <f>IFERROR(VLOOKUP(IV276,Horarios!$H:$I,2,0),"")</f>
        <v/>
      </c>
      <c r="IY276" s="28" t="str">
        <f t="shared" si="238"/>
        <v>00:00</v>
      </c>
      <c r="IZ276" s="29"/>
      <c r="JA276" s="31" t="str">
        <f t="shared" si="239"/>
        <v/>
      </c>
    </row>
    <row r="277" spans="1:261" s="24" customFormat="1" ht="17.399999999999999" x14ac:dyDescent="0.25">
      <c r="A277" s="25"/>
      <c r="B277" s="26" t="str">
        <f>IFERROR(VLOOKUP(A277,BaseNombres!A:B,2,0),"")</f>
        <v/>
      </c>
      <c r="C277" s="26" t="str">
        <f>IFERROR(VLOOKUP(A277,BaseNombres!A:C,3,0),"")</f>
        <v/>
      </c>
      <c r="D277" s="27"/>
      <c r="E277" s="27"/>
      <c r="F277" s="28" t="str">
        <f>IFERROR(VLOOKUP(D277,Horarios!$H:$I,2,0),"")</f>
        <v/>
      </c>
      <c r="G277" s="28" t="str">
        <f>IFERROR(VLOOKUP(E277,Horarios!$H:$I,2,0),"")</f>
        <v/>
      </c>
      <c r="H277" s="28" t="str">
        <f t="shared" si="192"/>
        <v>00:00</v>
      </c>
      <c r="I277" s="29"/>
      <c r="J277" s="27"/>
      <c r="K277" s="27"/>
      <c r="L277" s="28" t="str">
        <f>IFERROR(VLOOKUP(J277,Horarios!$H:$I,2,0),"")</f>
        <v/>
      </c>
      <c r="M277" s="28" t="str">
        <f>IFERROR(VLOOKUP(K277,Horarios!$H:$I,2,0),"")</f>
        <v/>
      </c>
      <c r="N277" s="28" t="str">
        <f t="shared" si="193"/>
        <v>00:00</v>
      </c>
      <c r="O277" s="29"/>
      <c r="P277" s="27"/>
      <c r="Q277" s="27"/>
      <c r="R277" s="28" t="str">
        <f>IFERROR(VLOOKUP(P277,Horarios!$H:$I,2,0),"")</f>
        <v/>
      </c>
      <c r="S277" s="28" t="str">
        <f>IFERROR(VLOOKUP(Q277,Horarios!$H:$I,2,0),"")</f>
        <v/>
      </c>
      <c r="T277" s="28" t="str">
        <f t="shared" si="194"/>
        <v>00:00</v>
      </c>
      <c r="U277" s="29"/>
      <c r="V277" s="27"/>
      <c r="W277" s="27"/>
      <c r="X277" s="28" t="str">
        <f>IFERROR(VLOOKUP(V277,Horarios!$H:$I,2,0),"")</f>
        <v/>
      </c>
      <c r="Y277" s="28" t="str">
        <f>IFERROR(VLOOKUP(W277,Horarios!$H:$I,2,0),"")</f>
        <v/>
      </c>
      <c r="Z277" s="28" t="str">
        <f t="shared" si="195"/>
        <v>00:00</v>
      </c>
      <c r="AA277" s="29"/>
      <c r="AB277" s="27"/>
      <c r="AC277" s="27"/>
      <c r="AD277" s="28" t="str">
        <f>IFERROR(VLOOKUP(AB277,Horarios!$H:$I,2,0),"")</f>
        <v/>
      </c>
      <c r="AE277" s="28" t="str">
        <f>IFERROR(VLOOKUP(AC277,Horarios!$H:$I,2,0),"")</f>
        <v/>
      </c>
      <c r="AF277" s="28" t="str">
        <f t="shared" si="196"/>
        <v>00:00</v>
      </c>
      <c r="AG277" s="29"/>
      <c r="AH277" s="27"/>
      <c r="AI277" s="27"/>
      <c r="AJ277" s="28" t="str">
        <f>IFERROR(VLOOKUP(AH277,Horarios!$H:$I,2,0),"")</f>
        <v/>
      </c>
      <c r="AK277" s="28" t="str">
        <f>IFERROR(VLOOKUP(AI277,Horarios!$H:$I,2,0),"")</f>
        <v/>
      </c>
      <c r="AL277" s="28" t="str">
        <f t="shared" si="197"/>
        <v>00:00</v>
      </c>
      <c r="AM277" s="29"/>
      <c r="AN277" s="27"/>
      <c r="AO277" s="27"/>
      <c r="AP277" s="28" t="str">
        <f>IFERROR(VLOOKUP(AN277,Horarios!$H:$I,2,0),"")</f>
        <v/>
      </c>
      <c r="AQ277" s="28" t="str">
        <f>IFERROR(VLOOKUP(AO277,Horarios!$H:$I,2,0),"")</f>
        <v/>
      </c>
      <c r="AR277" s="28" t="str">
        <f t="shared" si="198"/>
        <v>00:00</v>
      </c>
      <c r="AS277" s="29"/>
      <c r="AT277" s="31" t="str">
        <f t="shared" si="199"/>
        <v/>
      </c>
      <c r="AU277" s="27"/>
      <c r="AV277" s="27"/>
      <c r="AW277" s="28" t="str">
        <f>IFERROR(VLOOKUP(AU277,Horarios!$H:$I,2,0),"")</f>
        <v/>
      </c>
      <c r="AX277" s="28" t="str">
        <f>IFERROR(VLOOKUP(AV277,Horarios!$H:$I,2,0),"")</f>
        <v/>
      </c>
      <c r="AY277" s="28" t="str">
        <f t="shared" si="200"/>
        <v>00:00</v>
      </c>
      <c r="AZ277" s="29"/>
      <c r="BA277" s="27"/>
      <c r="BB277" s="27"/>
      <c r="BC277" s="28" t="str">
        <f>IFERROR(VLOOKUP(BA277,Horarios!$H:$I,2,0),"")</f>
        <v/>
      </c>
      <c r="BD277" s="28" t="str">
        <f>IFERROR(VLOOKUP(BB277,Horarios!$H:$I,2,0),"")</f>
        <v/>
      </c>
      <c r="BE277" s="28" t="str">
        <f t="shared" si="201"/>
        <v>00:00</v>
      </c>
      <c r="BF277" s="29"/>
      <c r="BG277" s="27"/>
      <c r="BH277" s="27"/>
      <c r="BI277" s="28" t="str">
        <f>IFERROR(VLOOKUP(BG277,Horarios!$H:$I,2,0),"")</f>
        <v/>
      </c>
      <c r="BJ277" s="28" t="str">
        <f>IFERROR(VLOOKUP(BH277,Horarios!$H:$I,2,0),"")</f>
        <v/>
      </c>
      <c r="BK277" s="28" t="str">
        <f t="shared" si="202"/>
        <v>00:00</v>
      </c>
      <c r="BL277" s="29"/>
      <c r="BM277" s="27"/>
      <c r="BN277" s="27"/>
      <c r="BO277" s="28" t="str">
        <f>IFERROR(VLOOKUP(BM277,Horarios!$H:$I,2,0),"")</f>
        <v/>
      </c>
      <c r="BP277" s="28" t="str">
        <f>IFERROR(VLOOKUP(BN277,Horarios!$H:$I,2,0),"")</f>
        <v/>
      </c>
      <c r="BQ277" s="28" t="str">
        <f t="shared" si="203"/>
        <v>00:00</v>
      </c>
      <c r="BR277" s="29"/>
      <c r="BS277" s="27"/>
      <c r="BT277" s="27"/>
      <c r="BU277" s="28" t="str">
        <f>IFERROR(VLOOKUP(BS277,Horarios!$H:$I,2,0),"")</f>
        <v/>
      </c>
      <c r="BV277" s="28" t="str">
        <f>IFERROR(VLOOKUP(BT277,Horarios!$H:$I,2,0),"")</f>
        <v/>
      </c>
      <c r="BW277" s="28" t="str">
        <f t="shared" si="204"/>
        <v>00:00</v>
      </c>
      <c r="BX277" s="29"/>
      <c r="BY277" s="27"/>
      <c r="BZ277" s="27"/>
      <c r="CA277" s="28" t="str">
        <f>IFERROR(VLOOKUP(BY277,Horarios!$H:$I,2,0),"")</f>
        <v/>
      </c>
      <c r="CB277" s="28" t="str">
        <f>IFERROR(VLOOKUP(BZ277,Horarios!$H:$I,2,0),"")</f>
        <v/>
      </c>
      <c r="CC277" s="28" t="str">
        <f t="shared" si="205"/>
        <v>00:00</v>
      </c>
      <c r="CD277" s="29"/>
      <c r="CE277" s="27"/>
      <c r="CF277" s="27"/>
      <c r="CG277" s="28" t="str">
        <f>IFERROR(VLOOKUP(CE277,Horarios!$H:$I,2,0),"")</f>
        <v/>
      </c>
      <c r="CH277" s="28" t="str">
        <f>IFERROR(VLOOKUP(CF277,Horarios!$H:$I,2,0),"")</f>
        <v/>
      </c>
      <c r="CI277" s="28" t="str">
        <f t="shared" si="206"/>
        <v>00:00</v>
      </c>
      <c r="CJ277" s="29"/>
      <c r="CK277" s="31" t="str">
        <f t="shared" si="207"/>
        <v/>
      </c>
      <c r="CL277" s="27"/>
      <c r="CM277" s="27"/>
      <c r="CN277" s="28" t="str">
        <f>IFERROR(VLOOKUP(CL277,Horarios!$H:$I,2,0),"")</f>
        <v/>
      </c>
      <c r="CO277" s="28" t="str">
        <f>IFERROR(VLOOKUP(CM277,Horarios!$H:$I,2,0),"")</f>
        <v/>
      </c>
      <c r="CP277" s="28" t="str">
        <f t="shared" si="208"/>
        <v>00:00</v>
      </c>
      <c r="CQ277" s="29"/>
      <c r="CR277" s="27"/>
      <c r="CS277" s="27"/>
      <c r="CT277" s="28" t="str">
        <f>IFERROR(VLOOKUP(CR277,Horarios!$H:$I,2,0),"")</f>
        <v/>
      </c>
      <c r="CU277" s="28" t="str">
        <f>IFERROR(VLOOKUP(CS277,Horarios!$H:$I,2,0),"")</f>
        <v/>
      </c>
      <c r="CV277" s="28" t="str">
        <f t="shared" si="209"/>
        <v>00:00</v>
      </c>
      <c r="CW277" s="29"/>
      <c r="CX277" s="27"/>
      <c r="CY277" s="27"/>
      <c r="CZ277" s="28" t="str">
        <f>IFERROR(VLOOKUP(CX277,Horarios!$H:$I,2,0),"")</f>
        <v/>
      </c>
      <c r="DA277" s="28" t="str">
        <f>IFERROR(VLOOKUP(CY277,Horarios!$H:$I,2,0),"")</f>
        <v/>
      </c>
      <c r="DB277" s="28" t="str">
        <f t="shared" si="210"/>
        <v>00:00</v>
      </c>
      <c r="DC277" s="29"/>
      <c r="DD277" s="27"/>
      <c r="DE277" s="27"/>
      <c r="DF277" s="28" t="str">
        <f>IFERROR(VLOOKUP(DD277,Horarios!$H:$I,2,0),"")</f>
        <v/>
      </c>
      <c r="DG277" s="28" t="str">
        <f>IFERROR(VLOOKUP(DE277,Horarios!$H:$I,2,0),"")</f>
        <v/>
      </c>
      <c r="DH277" s="28" t="str">
        <f t="shared" si="211"/>
        <v>00:00</v>
      </c>
      <c r="DI277" s="29"/>
      <c r="DJ277" s="27"/>
      <c r="DK277" s="27"/>
      <c r="DL277" s="28" t="str">
        <f>IFERROR(VLOOKUP(DJ277,Horarios!$H:$I,2,0),"")</f>
        <v/>
      </c>
      <c r="DM277" s="28" t="str">
        <f>IFERROR(VLOOKUP(DK277,Horarios!$H:$I,2,0),"")</f>
        <v/>
      </c>
      <c r="DN277" s="28" t="str">
        <f t="shared" si="212"/>
        <v>00:00</v>
      </c>
      <c r="DO277" s="29"/>
      <c r="DP277" s="27"/>
      <c r="DQ277" s="27"/>
      <c r="DR277" s="28" t="str">
        <f>IFERROR(VLOOKUP(DP277,Horarios!$H:$I,2,0),"")</f>
        <v/>
      </c>
      <c r="DS277" s="28" t="str">
        <f>IFERROR(VLOOKUP(DQ277,Horarios!$H:$I,2,0),"")</f>
        <v/>
      </c>
      <c r="DT277" s="28" t="str">
        <f t="shared" si="213"/>
        <v>00:00</v>
      </c>
      <c r="DU277" s="29"/>
      <c r="DV277" s="27"/>
      <c r="DW277" s="27"/>
      <c r="DX277" s="28" t="str">
        <f>IFERROR(VLOOKUP(DV277,Horarios!$H:$I,2,0),"")</f>
        <v/>
      </c>
      <c r="DY277" s="28" t="str">
        <f>IFERROR(VLOOKUP(DW277,Horarios!$H:$I,2,0),"")</f>
        <v/>
      </c>
      <c r="DZ277" s="28" t="str">
        <f t="shared" si="214"/>
        <v>00:00</v>
      </c>
      <c r="EA277" s="29"/>
      <c r="EB277" s="31" t="str">
        <f t="shared" si="215"/>
        <v/>
      </c>
      <c r="EC277" s="27"/>
      <c r="ED277" s="27"/>
      <c r="EE277" s="28" t="str">
        <f>IFERROR(VLOOKUP(EC277,Horarios!$H:$I,2,0),"")</f>
        <v/>
      </c>
      <c r="EF277" s="28" t="str">
        <f>IFERROR(VLOOKUP(ED277,Horarios!$H:$I,2,0),"")</f>
        <v/>
      </c>
      <c r="EG277" s="28" t="str">
        <f t="shared" si="216"/>
        <v>00:00</v>
      </c>
      <c r="EH277" s="29"/>
      <c r="EI277" s="27"/>
      <c r="EJ277" s="27"/>
      <c r="EK277" s="28" t="str">
        <f>IFERROR(VLOOKUP(EI277,Horarios!$H:$I,2,0),"")</f>
        <v/>
      </c>
      <c r="EL277" s="28" t="str">
        <f>IFERROR(VLOOKUP(EJ277,Horarios!$H:$I,2,0),"")</f>
        <v/>
      </c>
      <c r="EM277" s="28" t="str">
        <f t="shared" si="217"/>
        <v>00:00</v>
      </c>
      <c r="EN277" s="29"/>
      <c r="EO277" s="27"/>
      <c r="EP277" s="27"/>
      <c r="EQ277" s="28" t="str">
        <f>IFERROR(VLOOKUP(EO277,Horarios!$H:$I,2,0),"")</f>
        <v/>
      </c>
      <c r="ER277" s="28" t="str">
        <f>IFERROR(VLOOKUP(EP277,Horarios!$H:$I,2,0),"")</f>
        <v/>
      </c>
      <c r="ES277" s="28" t="str">
        <f t="shared" si="218"/>
        <v>00:00</v>
      </c>
      <c r="ET277" s="29"/>
      <c r="EU277" s="27"/>
      <c r="EV277" s="27"/>
      <c r="EW277" s="28" t="str">
        <f>IFERROR(VLOOKUP(EU277,Horarios!$H:$I,2,0),"")</f>
        <v/>
      </c>
      <c r="EX277" s="28" t="str">
        <f>IFERROR(VLOOKUP(EV277,Horarios!$H:$I,2,0),"")</f>
        <v/>
      </c>
      <c r="EY277" s="28" t="str">
        <f t="shared" si="219"/>
        <v>00:00</v>
      </c>
      <c r="EZ277" s="29"/>
      <c r="FA277" s="27"/>
      <c r="FB277" s="27"/>
      <c r="FC277" s="28" t="str">
        <f>IFERROR(VLOOKUP(FA277,Horarios!$H:$I,2,0),"")</f>
        <v/>
      </c>
      <c r="FD277" s="28" t="str">
        <f>IFERROR(VLOOKUP(FB277,Horarios!$H:$I,2,0),"")</f>
        <v/>
      </c>
      <c r="FE277" s="28" t="str">
        <f t="shared" si="220"/>
        <v>00:00</v>
      </c>
      <c r="FF277" s="29"/>
      <c r="FG277" s="27"/>
      <c r="FH277" s="27"/>
      <c r="FI277" s="28" t="str">
        <f>IFERROR(VLOOKUP(FG277,Horarios!$H:$I,2,0),"")</f>
        <v/>
      </c>
      <c r="FJ277" s="28" t="str">
        <f>IFERROR(VLOOKUP(FH277,Horarios!$H:$I,2,0),"")</f>
        <v/>
      </c>
      <c r="FK277" s="28" t="str">
        <f t="shared" si="221"/>
        <v>00:00</v>
      </c>
      <c r="FL277" s="29"/>
      <c r="FM277" s="27"/>
      <c r="FN277" s="27"/>
      <c r="FO277" s="28" t="str">
        <f>IFERROR(VLOOKUP(FM277,Horarios!$H:$I,2,0),"")</f>
        <v/>
      </c>
      <c r="FP277" s="28" t="str">
        <f>IFERROR(VLOOKUP(FN277,Horarios!$H:$I,2,0),"")</f>
        <v/>
      </c>
      <c r="FQ277" s="28" t="str">
        <f t="shared" si="222"/>
        <v>00:00</v>
      </c>
      <c r="FR277" s="29"/>
      <c r="FS277" s="31" t="str">
        <f t="shared" si="223"/>
        <v/>
      </c>
      <c r="FT277" s="27"/>
      <c r="FU277" s="27"/>
      <c r="FV277" s="28" t="str">
        <f>IFERROR(VLOOKUP(FT277,Horarios!$H:$I,2,0),"")</f>
        <v/>
      </c>
      <c r="FW277" s="28" t="str">
        <f>IFERROR(VLOOKUP(FU277,Horarios!$H:$I,2,0),"")</f>
        <v/>
      </c>
      <c r="FX277" s="28" t="str">
        <f t="shared" si="224"/>
        <v>00:00</v>
      </c>
      <c r="FY277" s="29"/>
      <c r="FZ277" s="27"/>
      <c r="GA277" s="27"/>
      <c r="GB277" s="28" t="str">
        <f>IFERROR(VLOOKUP(FZ277,Horarios!$H:$I,2,0),"")</f>
        <v/>
      </c>
      <c r="GC277" s="28" t="str">
        <f>IFERROR(VLOOKUP(GA277,Horarios!$H:$I,2,0),"")</f>
        <v/>
      </c>
      <c r="GD277" s="28" t="str">
        <f t="shared" si="225"/>
        <v>00:00</v>
      </c>
      <c r="GE277" s="29"/>
      <c r="GF277" s="27"/>
      <c r="GG277" s="27"/>
      <c r="GH277" s="28" t="str">
        <f>IFERROR(VLOOKUP(GF277,Horarios!$H:$I,2,0),"")</f>
        <v/>
      </c>
      <c r="GI277" s="28" t="str">
        <f>IFERROR(VLOOKUP(GG277,Horarios!$H:$I,2,0),"")</f>
        <v/>
      </c>
      <c r="GJ277" s="28" t="str">
        <f t="shared" si="226"/>
        <v>00:00</v>
      </c>
      <c r="GK277" s="29"/>
      <c r="GL277" s="27"/>
      <c r="GM277" s="27"/>
      <c r="GN277" s="28" t="str">
        <f>IFERROR(VLOOKUP(GL277,Horarios!$H:$I,2,0),"")</f>
        <v/>
      </c>
      <c r="GO277" s="28" t="str">
        <f>IFERROR(VLOOKUP(GM277,Horarios!$H:$I,2,0),"")</f>
        <v/>
      </c>
      <c r="GP277" s="28" t="str">
        <f t="shared" si="227"/>
        <v>00:00</v>
      </c>
      <c r="GQ277" s="29"/>
      <c r="GR277" s="27"/>
      <c r="GS277" s="27"/>
      <c r="GT277" s="28" t="str">
        <f>IFERROR(VLOOKUP(GR277,Horarios!$H:$I,2,0),"")</f>
        <v/>
      </c>
      <c r="GU277" s="28" t="str">
        <f>IFERROR(VLOOKUP(GS277,Horarios!$H:$I,2,0),"")</f>
        <v/>
      </c>
      <c r="GV277" s="28" t="str">
        <f t="shared" si="228"/>
        <v>00:00</v>
      </c>
      <c r="GW277" s="29"/>
      <c r="GX277" s="27"/>
      <c r="GY277" s="27"/>
      <c r="GZ277" s="28" t="str">
        <f>IFERROR(VLOOKUP(GX277,Horarios!$H:$I,2,0),"")</f>
        <v/>
      </c>
      <c r="HA277" s="28" t="str">
        <f>IFERROR(VLOOKUP(GY277,Horarios!$H:$I,2,0),"")</f>
        <v/>
      </c>
      <c r="HB277" s="28" t="str">
        <f t="shared" si="229"/>
        <v>00:00</v>
      </c>
      <c r="HC277" s="29"/>
      <c r="HD277" s="27"/>
      <c r="HE277" s="27"/>
      <c r="HF277" s="28" t="str">
        <f>IFERROR(VLOOKUP(HD277,Horarios!$H:$I,2,0),"")</f>
        <v/>
      </c>
      <c r="HG277" s="28" t="str">
        <f>IFERROR(VLOOKUP(HE277,Horarios!$H:$I,2,0),"")</f>
        <v/>
      </c>
      <c r="HH277" s="28" t="str">
        <f t="shared" si="230"/>
        <v>00:00</v>
      </c>
      <c r="HI277" s="29"/>
      <c r="HJ277" s="31" t="str">
        <f t="shared" si="231"/>
        <v/>
      </c>
      <c r="HK277" s="27"/>
      <c r="HL277" s="27"/>
      <c r="HM277" s="28" t="str">
        <f>IFERROR(VLOOKUP(HK277,Horarios!$H:$I,2,0),"")</f>
        <v/>
      </c>
      <c r="HN277" s="28" t="str">
        <f>IFERROR(VLOOKUP(HL277,Horarios!$H:$I,2,0),"")</f>
        <v/>
      </c>
      <c r="HO277" s="28" t="str">
        <f t="shared" si="232"/>
        <v>00:00</v>
      </c>
      <c r="HP277" s="29"/>
      <c r="HQ277" s="27"/>
      <c r="HR277" s="27"/>
      <c r="HS277" s="28" t="str">
        <f>IFERROR(VLOOKUP(HQ277,Horarios!$H:$I,2,0),"")</f>
        <v/>
      </c>
      <c r="HT277" s="28" t="str">
        <f>IFERROR(VLOOKUP(HR277,Horarios!$H:$I,2,0),"")</f>
        <v/>
      </c>
      <c r="HU277" s="28" t="str">
        <f t="shared" si="233"/>
        <v>00:00</v>
      </c>
      <c r="HV277" s="29"/>
      <c r="HW277" s="27"/>
      <c r="HX277" s="27"/>
      <c r="HY277" s="28" t="str">
        <f>IFERROR(VLOOKUP(HW277,Horarios!$H:$I,2,0),"")</f>
        <v/>
      </c>
      <c r="HZ277" s="28" t="str">
        <f>IFERROR(VLOOKUP(HX277,Horarios!$H:$I,2,0),"")</f>
        <v/>
      </c>
      <c r="IA277" s="28" t="str">
        <f t="shared" si="234"/>
        <v>00:00</v>
      </c>
      <c r="IB277" s="29"/>
      <c r="IC277" s="27"/>
      <c r="ID277" s="27"/>
      <c r="IE277" s="28" t="str">
        <f>IFERROR(VLOOKUP(IC277,Horarios!$H:$I,2,0),"")</f>
        <v/>
      </c>
      <c r="IF277" s="28" t="str">
        <f>IFERROR(VLOOKUP(ID277,Horarios!$H:$I,2,0),"")</f>
        <v/>
      </c>
      <c r="IG277" s="28" t="str">
        <f t="shared" si="235"/>
        <v>00:00</v>
      </c>
      <c r="IH277" s="29"/>
      <c r="II277" s="27"/>
      <c r="IJ277" s="27"/>
      <c r="IK277" s="28" t="str">
        <f>IFERROR(VLOOKUP(II277,Horarios!$H:$I,2,0),"")</f>
        <v/>
      </c>
      <c r="IL277" s="28" t="str">
        <f>IFERROR(VLOOKUP(IJ277,Horarios!$H:$I,2,0),"")</f>
        <v/>
      </c>
      <c r="IM277" s="28" t="str">
        <f t="shared" si="236"/>
        <v>00:00</v>
      </c>
      <c r="IN277" s="29"/>
      <c r="IO277" s="27"/>
      <c r="IP277" s="27"/>
      <c r="IQ277" s="28" t="str">
        <f>IFERROR(VLOOKUP(IO277,Horarios!$H:$I,2,0),"")</f>
        <v/>
      </c>
      <c r="IR277" s="28" t="str">
        <f>IFERROR(VLOOKUP(IP277,Horarios!$H:$I,2,0),"")</f>
        <v/>
      </c>
      <c r="IS277" s="28" t="str">
        <f t="shared" si="237"/>
        <v>00:00</v>
      </c>
      <c r="IT277" s="29"/>
      <c r="IU277" s="27"/>
      <c r="IV277" s="27"/>
      <c r="IW277" s="28" t="str">
        <f>IFERROR(VLOOKUP(IU277,Horarios!$H:$I,2,0),"")</f>
        <v/>
      </c>
      <c r="IX277" s="28" t="str">
        <f>IFERROR(VLOOKUP(IV277,Horarios!$H:$I,2,0),"")</f>
        <v/>
      </c>
      <c r="IY277" s="28" t="str">
        <f t="shared" si="238"/>
        <v>00:00</v>
      </c>
      <c r="IZ277" s="29"/>
      <c r="JA277" s="31" t="str">
        <f t="shared" si="239"/>
        <v/>
      </c>
    </row>
    <row r="278" spans="1:261" s="24" customFormat="1" ht="17.399999999999999" x14ac:dyDescent="0.25">
      <c r="A278" s="25"/>
      <c r="B278" s="26" t="str">
        <f>IFERROR(VLOOKUP(A278,BaseNombres!A:B,2,0),"")</f>
        <v/>
      </c>
      <c r="C278" s="26" t="str">
        <f>IFERROR(VLOOKUP(A278,BaseNombres!A:C,3,0),"")</f>
        <v/>
      </c>
      <c r="D278" s="27"/>
      <c r="E278" s="27"/>
      <c r="F278" s="28" t="str">
        <f>IFERROR(VLOOKUP(D278,Horarios!$H:$I,2,0),"")</f>
        <v/>
      </c>
      <c r="G278" s="28" t="str">
        <f>IFERROR(VLOOKUP(E278,Horarios!$H:$I,2,0),"")</f>
        <v/>
      </c>
      <c r="H278" s="28" t="str">
        <f t="shared" si="192"/>
        <v>00:00</v>
      </c>
      <c r="I278" s="29"/>
      <c r="J278" s="27"/>
      <c r="K278" s="27"/>
      <c r="L278" s="28" t="str">
        <f>IFERROR(VLOOKUP(J278,Horarios!$H:$I,2,0),"")</f>
        <v/>
      </c>
      <c r="M278" s="28" t="str">
        <f>IFERROR(VLOOKUP(K278,Horarios!$H:$I,2,0),"")</f>
        <v/>
      </c>
      <c r="N278" s="28" t="str">
        <f t="shared" si="193"/>
        <v>00:00</v>
      </c>
      <c r="O278" s="29"/>
      <c r="P278" s="27"/>
      <c r="Q278" s="27"/>
      <c r="R278" s="28" t="str">
        <f>IFERROR(VLOOKUP(P278,Horarios!$H:$I,2,0),"")</f>
        <v/>
      </c>
      <c r="S278" s="28" t="str">
        <f>IFERROR(VLOOKUP(Q278,Horarios!$H:$I,2,0),"")</f>
        <v/>
      </c>
      <c r="T278" s="28" t="str">
        <f t="shared" si="194"/>
        <v>00:00</v>
      </c>
      <c r="U278" s="29"/>
      <c r="V278" s="27"/>
      <c r="W278" s="27"/>
      <c r="X278" s="28" t="str">
        <f>IFERROR(VLOOKUP(V278,Horarios!$H:$I,2,0),"")</f>
        <v/>
      </c>
      <c r="Y278" s="28" t="str">
        <f>IFERROR(VLOOKUP(W278,Horarios!$H:$I,2,0),"")</f>
        <v/>
      </c>
      <c r="Z278" s="28" t="str">
        <f t="shared" si="195"/>
        <v>00:00</v>
      </c>
      <c r="AA278" s="29"/>
      <c r="AB278" s="27"/>
      <c r="AC278" s="27"/>
      <c r="AD278" s="28" t="str">
        <f>IFERROR(VLOOKUP(AB278,Horarios!$H:$I,2,0),"")</f>
        <v/>
      </c>
      <c r="AE278" s="28" t="str">
        <f>IFERROR(VLOOKUP(AC278,Horarios!$H:$I,2,0),"")</f>
        <v/>
      </c>
      <c r="AF278" s="28" t="str">
        <f t="shared" si="196"/>
        <v>00:00</v>
      </c>
      <c r="AG278" s="29"/>
      <c r="AH278" s="27"/>
      <c r="AI278" s="27"/>
      <c r="AJ278" s="28" t="str">
        <f>IFERROR(VLOOKUP(AH278,Horarios!$H:$I,2,0),"")</f>
        <v/>
      </c>
      <c r="AK278" s="28" t="str">
        <f>IFERROR(VLOOKUP(AI278,Horarios!$H:$I,2,0),"")</f>
        <v/>
      </c>
      <c r="AL278" s="28" t="str">
        <f t="shared" si="197"/>
        <v>00:00</v>
      </c>
      <c r="AM278" s="29"/>
      <c r="AN278" s="27"/>
      <c r="AO278" s="27"/>
      <c r="AP278" s="28" t="str">
        <f>IFERROR(VLOOKUP(AN278,Horarios!$H:$I,2,0),"")</f>
        <v/>
      </c>
      <c r="AQ278" s="28" t="str">
        <f>IFERROR(VLOOKUP(AO278,Horarios!$H:$I,2,0),"")</f>
        <v/>
      </c>
      <c r="AR278" s="28" t="str">
        <f t="shared" si="198"/>
        <v>00:00</v>
      </c>
      <c r="AS278" s="29"/>
      <c r="AT278" s="31" t="str">
        <f t="shared" si="199"/>
        <v/>
      </c>
      <c r="AU278" s="27"/>
      <c r="AV278" s="27"/>
      <c r="AW278" s="28" t="str">
        <f>IFERROR(VLOOKUP(AU278,Horarios!$H:$I,2,0),"")</f>
        <v/>
      </c>
      <c r="AX278" s="28" t="str">
        <f>IFERROR(VLOOKUP(AV278,Horarios!$H:$I,2,0),"")</f>
        <v/>
      </c>
      <c r="AY278" s="28" t="str">
        <f t="shared" si="200"/>
        <v>00:00</v>
      </c>
      <c r="AZ278" s="29"/>
      <c r="BA278" s="27"/>
      <c r="BB278" s="27"/>
      <c r="BC278" s="28" t="str">
        <f>IFERROR(VLOOKUP(BA278,Horarios!$H:$I,2,0),"")</f>
        <v/>
      </c>
      <c r="BD278" s="28" t="str">
        <f>IFERROR(VLOOKUP(BB278,Horarios!$H:$I,2,0),"")</f>
        <v/>
      </c>
      <c r="BE278" s="28" t="str">
        <f t="shared" si="201"/>
        <v>00:00</v>
      </c>
      <c r="BF278" s="29"/>
      <c r="BG278" s="27"/>
      <c r="BH278" s="27"/>
      <c r="BI278" s="28" t="str">
        <f>IFERROR(VLOOKUP(BG278,Horarios!$H:$I,2,0),"")</f>
        <v/>
      </c>
      <c r="BJ278" s="28" t="str">
        <f>IFERROR(VLOOKUP(BH278,Horarios!$H:$I,2,0),"")</f>
        <v/>
      </c>
      <c r="BK278" s="28" t="str">
        <f t="shared" si="202"/>
        <v>00:00</v>
      </c>
      <c r="BL278" s="29"/>
      <c r="BM278" s="27"/>
      <c r="BN278" s="27"/>
      <c r="BO278" s="28" t="str">
        <f>IFERROR(VLOOKUP(BM278,Horarios!$H:$I,2,0),"")</f>
        <v/>
      </c>
      <c r="BP278" s="28" t="str">
        <f>IFERROR(VLOOKUP(BN278,Horarios!$H:$I,2,0),"")</f>
        <v/>
      </c>
      <c r="BQ278" s="28" t="str">
        <f t="shared" si="203"/>
        <v>00:00</v>
      </c>
      <c r="BR278" s="29"/>
      <c r="BS278" s="27"/>
      <c r="BT278" s="27"/>
      <c r="BU278" s="28" t="str">
        <f>IFERROR(VLOOKUP(BS278,Horarios!$H:$I,2,0),"")</f>
        <v/>
      </c>
      <c r="BV278" s="28" t="str">
        <f>IFERROR(VLOOKUP(BT278,Horarios!$H:$I,2,0),"")</f>
        <v/>
      </c>
      <c r="BW278" s="28" t="str">
        <f t="shared" si="204"/>
        <v>00:00</v>
      </c>
      <c r="BX278" s="29"/>
      <c r="BY278" s="27"/>
      <c r="BZ278" s="27"/>
      <c r="CA278" s="28" t="str">
        <f>IFERROR(VLOOKUP(BY278,Horarios!$H:$I,2,0),"")</f>
        <v/>
      </c>
      <c r="CB278" s="28" t="str">
        <f>IFERROR(VLOOKUP(BZ278,Horarios!$H:$I,2,0),"")</f>
        <v/>
      </c>
      <c r="CC278" s="28" t="str">
        <f t="shared" si="205"/>
        <v>00:00</v>
      </c>
      <c r="CD278" s="29"/>
      <c r="CE278" s="27"/>
      <c r="CF278" s="27"/>
      <c r="CG278" s="28" t="str">
        <f>IFERROR(VLOOKUP(CE278,Horarios!$H:$I,2,0),"")</f>
        <v/>
      </c>
      <c r="CH278" s="28" t="str">
        <f>IFERROR(VLOOKUP(CF278,Horarios!$H:$I,2,0),"")</f>
        <v/>
      </c>
      <c r="CI278" s="28" t="str">
        <f t="shared" si="206"/>
        <v>00:00</v>
      </c>
      <c r="CJ278" s="29"/>
      <c r="CK278" s="31" t="str">
        <f t="shared" si="207"/>
        <v/>
      </c>
      <c r="CL278" s="27"/>
      <c r="CM278" s="27"/>
      <c r="CN278" s="28" t="str">
        <f>IFERROR(VLOOKUP(CL278,Horarios!$H:$I,2,0),"")</f>
        <v/>
      </c>
      <c r="CO278" s="28" t="str">
        <f>IFERROR(VLOOKUP(CM278,Horarios!$H:$I,2,0),"")</f>
        <v/>
      </c>
      <c r="CP278" s="28" t="str">
        <f t="shared" si="208"/>
        <v>00:00</v>
      </c>
      <c r="CQ278" s="29"/>
      <c r="CR278" s="27"/>
      <c r="CS278" s="27"/>
      <c r="CT278" s="28" t="str">
        <f>IFERROR(VLOOKUP(CR278,Horarios!$H:$I,2,0),"")</f>
        <v/>
      </c>
      <c r="CU278" s="28" t="str">
        <f>IFERROR(VLOOKUP(CS278,Horarios!$H:$I,2,0),"")</f>
        <v/>
      </c>
      <c r="CV278" s="28" t="str">
        <f t="shared" si="209"/>
        <v>00:00</v>
      </c>
      <c r="CW278" s="29"/>
      <c r="CX278" s="27"/>
      <c r="CY278" s="27"/>
      <c r="CZ278" s="28" t="str">
        <f>IFERROR(VLOOKUP(CX278,Horarios!$H:$I,2,0),"")</f>
        <v/>
      </c>
      <c r="DA278" s="28" t="str">
        <f>IFERROR(VLOOKUP(CY278,Horarios!$H:$I,2,0),"")</f>
        <v/>
      </c>
      <c r="DB278" s="28" t="str">
        <f t="shared" si="210"/>
        <v>00:00</v>
      </c>
      <c r="DC278" s="29"/>
      <c r="DD278" s="27"/>
      <c r="DE278" s="27"/>
      <c r="DF278" s="28" t="str">
        <f>IFERROR(VLOOKUP(DD278,Horarios!$H:$I,2,0),"")</f>
        <v/>
      </c>
      <c r="DG278" s="28" t="str">
        <f>IFERROR(VLOOKUP(DE278,Horarios!$H:$I,2,0),"")</f>
        <v/>
      </c>
      <c r="DH278" s="28" t="str">
        <f t="shared" si="211"/>
        <v>00:00</v>
      </c>
      <c r="DI278" s="29"/>
      <c r="DJ278" s="27"/>
      <c r="DK278" s="27"/>
      <c r="DL278" s="28" t="str">
        <f>IFERROR(VLOOKUP(DJ278,Horarios!$H:$I,2,0),"")</f>
        <v/>
      </c>
      <c r="DM278" s="28" t="str">
        <f>IFERROR(VLOOKUP(DK278,Horarios!$H:$I,2,0),"")</f>
        <v/>
      </c>
      <c r="DN278" s="28" t="str">
        <f t="shared" si="212"/>
        <v>00:00</v>
      </c>
      <c r="DO278" s="29"/>
      <c r="DP278" s="27"/>
      <c r="DQ278" s="27"/>
      <c r="DR278" s="28" t="str">
        <f>IFERROR(VLOOKUP(DP278,Horarios!$H:$I,2,0),"")</f>
        <v/>
      </c>
      <c r="DS278" s="28" t="str">
        <f>IFERROR(VLOOKUP(DQ278,Horarios!$H:$I,2,0),"")</f>
        <v/>
      </c>
      <c r="DT278" s="28" t="str">
        <f t="shared" si="213"/>
        <v>00:00</v>
      </c>
      <c r="DU278" s="29"/>
      <c r="DV278" s="27"/>
      <c r="DW278" s="27"/>
      <c r="DX278" s="28" t="str">
        <f>IFERROR(VLOOKUP(DV278,Horarios!$H:$I,2,0),"")</f>
        <v/>
      </c>
      <c r="DY278" s="28" t="str">
        <f>IFERROR(VLOOKUP(DW278,Horarios!$H:$I,2,0),"")</f>
        <v/>
      </c>
      <c r="DZ278" s="28" t="str">
        <f t="shared" si="214"/>
        <v>00:00</v>
      </c>
      <c r="EA278" s="29"/>
      <c r="EB278" s="31" t="str">
        <f t="shared" si="215"/>
        <v/>
      </c>
      <c r="EC278" s="27"/>
      <c r="ED278" s="27"/>
      <c r="EE278" s="28" t="str">
        <f>IFERROR(VLOOKUP(EC278,Horarios!$H:$I,2,0),"")</f>
        <v/>
      </c>
      <c r="EF278" s="28" t="str">
        <f>IFERROR(VLOOKUP(ED278,Horarios!$H:$I,2,0),"")</f>
        <v/>
      </c>
      <c r="EG278" s="28" t="str">
        <f t="shared" si="216"/>
        <v>00:00</v>
      </c>
      <c r="EH278" s="29"/>
      <c r="EI278" s="27"/>
      <c r="EJ278" s="27"/>
      <c r="EK278" s="28" t="str">
        <f>IFERROR(VLOOKUP(EI278,Horarios!$H:$I,2,0),"")</f>
        <v/>
      </c>
      <c r="EL278" s="28" t="str">
        <f>IFERROR(VLOOKUP(EJ278,Horarios!$H:$I,2,0),"")</f>
        <v/>
      </c>
      <c r="EM278" s="28" t="str">
        <f t="shared" si="217"/>
        <v>00:00</v>
      </c>
      <c r="EN278" s="29"/>
      <c r="EO278" s="27"/>
      <c r="EP278" s="27"/>
      <c r="EQ278" s="28" t="str">
        <f>IFERROR(VLOOKUP(EO278,Horarios!$H:$I,2,0),"")</f>
        <v/>
      </c>
      <c r="ER278" s="28" t="str">
        <f>IFERROR(VLOOKUP(EP278,Horarios!$H:$I,2,0),"")</f>
        <v/>
      </c>
      <c r="ES278" s="28" t="str">
        <f t="shared" si="218"/>
        <v>00:00</v>
      </c>
      <c r="ET278" s="29"/>
      <c r="EU278" s="27"/>
      <c r="EV278" s="27"/>
      <c r="EW278" s="28" t="str">
        <f>IFERROR(VLOOKUP(EU278,Horarios!$H:$I,2,0),"")</f>
        <v/>
      </c>
      <c r="EX278" s="28" t="str">
        <f>IFERROR(VLOOKUP(EV278,Horarios!$H:$I,2,0),"")</f>
        <v/>
      </c>
      <c r="EY278" s="28" t="str">
        <f t="shared" si="219"/>
        <v>00:00</v>
      </c>
      <c r="EZ278" s="29"/>
      <c r="FA278" s="27"/>
      <c r="FB278" s="27"/>
      <c r="FC278" s="28" t="str">
        <f>IFERROR(VLOOKUP(FA278,Horarios!$H:$I,2,0),"")</f>
        <v/>
      </c>
      <c r="FD278" s="28" t="str">
        <f>IFERROR(VLOOKUP(FB278,Horarios!$H:$I,2,0),"")</f>
        <v/>
      </c>
      <c r="FE278" s="28" t="str">
        <f t="shared" si="220"/>
        <v>00:00</v>
      </c>
      <c r="FF278" s="29"/>
      <c r="FG278" s="27"/>
      <c r="FH278" s="27"/>
      <c r="FI278" s="28" t="str">
        <f>IFERROR(VLOOKUP(FG278,Horarios!$H:$I,2,0),"")</f>
        <v/>
      </c>
      <c r="FJ278" s="28" t="str">
        <f>IFERROR(VLOOKUP(FH278,Horarios!$H:$I,2,0),"")</f>
        <v/>
      </c>
      <c r="FK278" s="28" t="str">
        <f t="shared" si="221"/>
        <v>00:00</v>
      </c>
      <c r="FL278" s="29"/>
      <c r="FM278" s="27"/>
      <c r="FN278" s="27"/>
      <c r="FO278" s="28" t="str">
        <f>IFERROR(VLOOKUP(FM278,Horarios!$H:$I,2,0),"")</f>
        <v/>
      </c>
      <c r="FP278" s="28" t="str">
        <f>IFERROR(VLOOKUP(FN278,Horarios!$H:$I,2,0),"")</f>
        <v/>
      </c>
      <c r="FQ278" s="28" t="str">
        <f t="shared" si="222"/>
        <v>00:00</v>
      </c>
      <c r="FR278" s="29"/>
      <c r="FS278" s="31" t="str">
        <f t="shared" si="223"/>
        <v/>
      </c>
      <c r="FT278" s="27"/>
      <c r="FU278" s="27"/>
      <c r="FV278" s="28" t="str">
        <f>IFERROR(VLOOKUP(FT278,Horarios!$H:$I,2,0),"")</f>
        <v/>
      </c>
      <c r="FW278" s="28" t="str">
        <f>IFERROR(VLOOKUP(FU278,Horarios!$H:$I,2,0),"")</f>
        <v/>
      </c>
      <c r="FX278" s="28" t="str">
        <f t="shared" si="224"/>
        <v>00:00</v>
      </c>
      <c r="FY278" s="29"/>
      <c r="FZ278" s="27"/>
      <c r="GA278" s="27"/>
      <c r="GB278" s="28" t="str">
        <f>IFERROR(VLOOKUP(FZ278,Horarios!$H:$I,2,0),"")</f>
        <v/>
      </c>
      <c r="GC278" s="28" t="str">
        <f>IFERROR(VLOOKUP(GA278,Horarios!$H:$I,2,0),"")</f>
        <v/>
      </c>
      <c r="GD278" s="28" t="str">
        <f t="shared" si="225"/>
        <v>00:00</v>
      </c>
      <c r="GE278" s="29"/>
      <c r="GF278" s="27"/>
      <c r="GG278" s="27"/>
      <c r="GH278" s="28" t="str">
        <f>IFERROR(VLOOKUP(GF278,Horarios!$H:$I,2,0),"")</f>
        <v/>
      </c>
      <c r="GI278" s="28" t="str">
        <f>IFERROR(VLOOKUP(GG278,Horarios!$H:$I,2,0),"")</f>
        <v/>
      </c>
      <c r="GJ278" s="28" t="str">
        <f t="shared" si="226"/>
        <v>00:00</v>
      </c>
      <c r="GK278" s="29"/>
      <c r="GL278" s="27"/>
      <c r="GM278" s="27"/>
      <c r="GN278" s="28" t="str">
        <f>IFERROR(VLOOKUP(GL278,Horarios!$H:$I,2,0),"")</f>
        <v/>
      </c>
      <c r="GO278" s="28" t="str">
        <f>IFERROR(VLOOKUP(GM278,Horarios!$H:$I,2,0),"")</f>
        <v/>
      </c>
      <c r="GP278" s="28" t="str">
        <f t="shared" si="227"/>
        <v>00:00</v>
      </c>
      <c r="GQ278" s="29"/>
      <c r="GR278" s="27"/>
      <c r="GS278" s="27"/>
      <c r="GT278" s="28" t="str">
        <f>IFERROR(VLOOKUP(GR278,Horarios!$H:$I,2,0),"")</f>
        <v/>
      </c>
      <c r="GU278" s="28" t="str">
        <f>IFERROR(VLOOKUP(GS278,Horarios!$H:$I,2,0),"")</f>
        <v/>
      </c>
      <c r="GV278" s="28" t="str">
        <f t="shared" si="228"/>
        <v>00:00</v>
      </c>
      <c r="GW278" s="29"/>
      <c r="GX278" s="27"/>
      <c r="GY278" s="27"/>
      <c r="GZ278" s="28" t="str">
        <f>IFERROR(VLOOKUP(GX278,Horarios!$H:$I,2,0),"")</f>
        <v/>
      </c>
      <c r="HA278" s="28" t="str">
        <f>IFERROR(VLOOKUP(GY278,Horarios!$H:$I,2,0),"")</f>
        <v/>
      </c>
      <c r="HB278" s="28" t="str">
        <f t="shared" si="229"/>
        <v>00:00</v>
      </c>
      <c r="HC278" s="29"/>
      <c r="HD278" s="27"/>
      <c r="HE278" s="27"/>
      <c r="HF278" s="28" t="str">
        <f>IFERROR(VLOOKUP(HD278,Horarios!$H:$I,2,0),"")</f>
        <v/>
      </c>
      <c r="HG278" s="28" t="str">
        <f>IFERROR(VLOOKUP(HE278,Horarios!$H:$I,2,0),"")</f>
        <v/>
      </c>
      <c r="HH278" s="28" t="str">
        <f t="shared" si="230"/>
        <v>00:00</v>
      </c>
      <c r="HI278" s="29"/>
      <c r="HJ278" s="31" t="str">
        <f t="shared" si="231"/>
        <v/>
      </c>
      <c r="HK278" s="27"/>
      <c r="HL278" s="27"/>
      <c r="HM278" s="28" t="str">
        <f>IFERROR(VLOOKUP(HK278,Horarios!$H:$I,2,0),"")</f>
        <v/>
      </c>
      <c r="HN278" s="28" t="str">
        <f>IFERROR(VLOOKUP(HL278,Horarios!$H:$I,2,0),"")</f>
        <v/>
      </c>
      <c r="HO278" s="28" t="str">
        <f t="shared" si="232"/>
        <v>00:00</v>
      </c>
      <c r="HP278" s="29"/>
      <c r="HQ278" s="27"/>
      <c r="HR278" s="27"/>
      <c r="HS278" s="28" t="str">
        <f>IFERROR(VLOOKUP(HQ278,Horarios!$H:$I,2,0),"")</f>
        <v/>
      </c>
      <c r="HT278" s="28" t="str">
        <f>IFERROR(VLOOKUP(HR278,Horarios!$H:$I,2,0),"")</f>
        <v/>
      </c>
      <c r="HU278" s="28" t="str">
        <f t="shared" si="233"/>
        <v>00:00</v>
      </c>
      <c r="HV278" s="29"/>
      <c r="HW278" s="27"/>
      <c r="HX278" s="27"/>
      <c r="HY278" s="28" t="str">
        <f>IFERROR(VLOOKUP(HW278,Horarios!$H:$I,2,0),"")</f>
        <v/>
      </c>
      <c r="HZ278" s="28" t="str">
        <f>IFERROR(VLOOKUP(HX278,Horarios!$H:$I,2,0),"")</f>
        <v/>
      </c>
      <c r="IA278" s="28" t="str">
        <f t="shared" si="234"/>
        <v>00:00</v>
      </c>
      <c r="IB278" s="29"/>
      <c r="IC278" s="27"/>
      <c r="ID278" s="27"/>
      <c r="IE278" s="28" t="str">
        <f>IFERROR(VLOOKUP(IC278,Horarios!$H:$I,2,0),"")</f>
        <v/>
      </c>
      <c r="IF278" s="28" t="str">
        <f>IFERROR(VLOOKUP(ID278,Horarios!$H:$I,2,0),"")</f>
        <v/>
      </c>
      <c r="IG278" s="28" t="str">
        <f t="shared" si="235"/>
        <v>00:00</v>
      </c>
      <c r="IH278" s="29"/>
      <c r="II278" s="27"/>
      <c r="IJ278" s="27"/>
      <c r="IK278" s="28" t="str">
        <f>IFERROR(VLOOKUP(II278,Horarios!$H:$I,2,0),"")</f>
        <v/>
      </c>
      <c r="IL278" s="28" t="str">
        <f>IFERROR(VLOOKUP(IJ278,Horarios!$H:$I,2,0),"")</f>
        <v/>
      </c>
      <c r="IM278" s="28" t="str">
        <f t="shared" si="236"/>
        <v>00:00</v>
      </c>
      <c r="IN278" s="29"/>
      <c r="IO278" s="27"/>
      <c r="IP278" s="27"/>
      <c r="IQ278" s="28" t="str">
        <f>IFERROR(VLOOKUP(IO278,Horarios!$H:$I,2,0),"")</f>
        <v/>
      </c>
      <c r="IR278" s="28" t="str">
        <f>IFERROR(VLOOKUP(IP278,Horarios!$H:$I,2,0),"")</f>
        <v/>
      </c>
      <c r="IS278" s="28" t="str">
        <f t="shared" si="237"/>
        <v>00:00</v>
      </c>
      <c r="IT278" s="29"/>
      <c r="IU278" s="27"/>
      <c r="IV278" s="27"/>
      <c r="IW278" s="28" t="str">
        <f>IFERROR(VLOOKUP(IU278,Horarios!$H:$I,2,0),"")</f>
        <v/>
      </c>
      <c r="IX278" s="28" t="str">
        <f>IFERROR(VLOOKUP(IV278,Horarios!$H:$I,2,0),"")</f>
        <v/>
      </c>
      <c r="IY278" s="28" t="str">
        <f t="shared" si="238"/>
        <v>00:00</v>
      </c>
      <c r="IZ278" s="29"/>
      <c r="JA278" s="31" t="str">
        <f t="shared" si="239"/>
        <v/>
      </c>
    </row>
    <row r="279" spans="1:261" s="24" customFormat="1" ht="17.399999999999999" x14ac:dyDescent="0.25">
      <c r="A279" s="25"/>
      <c r="B279" s="26" t="str">
        <f>IFERROR(VLOOKUP(A279,BaseNombres!A:B,2,0),"")</f>
        <v/>
      </c>
      <c r="C279" s="26" t="str">
        <f>IFERROR(VLOOKUP(A279,BaseNombres!A:C,3,0),"")</f>
        <v/>
      </c>
      <c r="D279" s="27"/>
      <c r="E279" s="27"/>
      <c r="F279" s="28" t="str">
        <f>IFERROR(VLOOKUP(D279,Horarios!$H:$I,2,0),"")</f>
        <v/>
      </c>
      <c r="G279" s="28" t="str">
        <f>IFERROR(VLOOKUP(E279,Horarios!$H:$I,2,0),"")</f>
        <v/>
      </c>
      <c r="H279" s="28" t="str">
        <f t="shared" si="192"/>
        <v>00:00</v>
      </c>
      <c r="I279" s="29"/>
      <c r="J279" s="27"/>
      <c r="K279" s="27"/>
      <c r="L279" s="28" t="str">
        <f>IFERROR(VLOOKUP(J279,Horarios!$H:$I,2,0),"")</f>
        <v/>
      </c>
      <c r="M279" s="28" t="str">
        <f>IFERROR(VLOOKUP(K279,Horarios!$H:$I,2,0),"")</f>
        <v/>
      </c>
      <c r="N279" s="28" t="str">
        <f t="shared" si="193"/>
        <v>00:00</v>
      </c>
      <c r="O279" s="29"/>
      <c r="P279" s="27"/>
      <c r="Q279" s="27"/>
      <c r="R279" s="28" t="str">
        <f>IFERROR(VLOOKUP(P279,Horarios!$H:$I,2,0),"")</f>
        <v/>
      </c>
      <c r="S279" s="28" t="str">
        <f>IFERROR(VLOOKUP(Q279,Horarios!$H:$I,2,0),"")</f>
        <v/>
      </c>
      <c r="T279" s="28" t="str">
        <f t="shared" si="194"/>
        <v>00:00</v>
      </c>
      <c r="U279" s="29"/>
      <c r="V279" s="27"/>
      <c r="W279" s="27"/>
      <c r="X279" s="28" t="str">
        <f>IFERROR(VLOOKUP(V279,Horarios!$H:$I,2,0),"")</f>
        <v/>
      </c>
      <c r="Y279" s="28" t="str">
        <f>IFERROR(VLOOKUP(W279,Horarios!$H:$I,2,0),"")</f>
        <v/>
      </c>
      <c r="Z279" s="28" t="str">
        <f t="shared" si="195"/>
        <v>00:00</v>
      </c>
      <c r="AA279" s="29"/>
      <c r="AB279" s="27"/>
      <c r="AC279" s="27"/>
      <c r="AD279" s="28" t="str">
        <f>IFERROR(VLOOKUP(AB279,Horarios!$H:$I,2,0),"")</f>
        <v/>
      </c>
      <c r="AE279" s="28" t="str">
        <f>IFERROR(VLOOKUP(AC279,Horarios!$H:$I,2,0),"")</f>
        <v/>
      </c>
      <c r="AF279" s="28" t="str">
        <f t="shared" si="196"/>
        <v>00:00</v>
      </c>
      <c r="AG279" s="29"/>
      <c r="AH279" s="27"/>
      <c r="AI279" s="27"/>
      <c r="AJ279" s="28" t="str">
        <f>IFERROR(VLOOKUP(AH279,Horarios!$H:$I,2,0),"")</f>
        <v/>
      </c>
      <c r="AK279" s="28" t="str">
        <f>IFERROR(VLOOKUP(AI279,Horarios!$H:$I,2,0),"")</f>
        <v/>
      </c>
      <c r="AL279" s="28" t="str">
        <f t="shared" si="197"/>
        <v>00:00</v>
      </c>
      <c r="AM279" s="29"/>
      <c r="AN279" s="27"/>
      <c r="AO279" s="27"/>
      <c r="AP279" s="28" t="str">
        <f>IFERROR(VLOOKUP(AN279,Horarios!$H:$I,2,0),"")</f>
        <v/>
      </c>
      <c r="AQ279" s="28" t="str">
        <f>IFERROR(VLOOKUP(AO279,Horarios!$H:$I,2,0),"")</f>
        <v/>
      </c>
      <c r="AR279" s="28" t="str">
        <f t="shared" si="198"/>
        <v>00:00</v>
      </c>
      <c r="AS279" s="29"/>
      <c r="AT279" s="31" t="str">
        <f t="shared" si="199"/>
        <v/>
      </c>
      <c r="AU279" s="27"/>
      <c r="AV279" s="27"/>
      <c r="AW279" s="28" t="str">
        <f>IFERROR(VLOOKUP(AU279,Horarios!$H:$I,2,0),"")</f>
        <v/>
      </c>
      <c r="AX279" s="28" t="str">
        <f>IFERROR(VLOOKUP(AV279,Horarios!$H:$I,2,0),"")</f>
        <v/>
      </c>
      <c r="AY279" s="28" t="str">
        <f t="shared" si="200"/>
        <v>00:00</v>
      </c>
      <c r="AZ279" s="29"/>
      <c r="BA279" s="27"/>
      <c r="BB279" s="27"/>
      <c r="BC279" s="28" t="str">
        <f>IFERROR(VLOOKUP(BA279,Horarios!$H:$I,2,0),"")</f>
        <v/>
      </c>
      <c r="BD279" s="28" t="str">
        <f>IFERROR(VLOOKUP(BB279,Horarios!$H:$I,2,0),"")</f>
        <v/>
      </c>
      <c r="BE279" s="28" t="str">
        <f t="shared" si="201"/>
        <v>00:00</v>
      </c>
      <c r="BF279" s="29"/>
      <c r="BG279" s="27"/>
      <c r="BH279" s="27"/>
      <c r="BI279" s="28" t="str">
        <f>IFERROR(VLOOKUP(BG279,Horarios!$H:$I,2,0),"")</f>
        <v/>
      </c>
      <c r="BJ279" s="28" t="str">
        <f>IFERROR(VLOOKUP(BH279,Horarios!$H:$I,2,0),"")</f>
        <v/>
      </c>
      <c r="BK279" s="28" t="str">
        <f t="shared" si="202"/>
        <v>00:00</v>
      </c>
      <c r="BL279" s="29"/>
      <c r="BM279" s="27"/>
      <c r="BN279" s="27"/>
      <c r="BO279" s="28" t="str">
        <f>IFERROR(VLOOKUP(BM279,Horarios!$H:$I,2,0),"")</f>
        <v/>
      </c>
      <c r="BP279" s="28" t="str">
        <f>IFERROR(VLOOKUP(BN279,Horarios!$H:$I,2,0),"")</f>
        <v/>
      </c>
      <c r="BQ279" s="28" t="str">
        <f t="shared" si="203"/>
        <v>00:00</v>
      </c>
      <c r="BR279" s="29"/>
      <c r="BS279" s="27"/>
      <c r="BT279" s="27"/>
      <c r="BU279" s="28" t="str">
        <f>IFERROR(VLOOKUP(BS279,Horarios!$H:$I,2,0),"")</f>
        <v/>
      </c>
      <c r="BV279" s="28" t="str">
        <f>IFERROR(VLOOKUP(BT279,Horarios!$H:$I,2,0),"")</f>
        <v/>
      </c>
      <c r="BW279" s="28" t="str">
        <f t="shared" si="204"/>
        <v>00:00</v>
      </c>
      <c r="BX279" s="29"/>
      <c r="BY279" s="27"/>
      <c r="BZ279" s="27"/>
      <c r="CA279" s="28" t="str">
        <f>IFERROR(VLOOKUP(BY279,Horarios!$H:$I,2,0),"")</f>
        <v/>
      </c>
      <c r="CB279" s="28" t="str">
        <f>IFERROR(VLOOKUP(BZ279,Horarios!$H:$I,2,0),"")</f>
        <v/>
      </c>
      <c r="CC279" s="28" t="str">
        <f t="shared" si="205"/>
        <v>00:00</v>
      </c>
      <c r="CD279" s="29"/>
      <c r="CE279" s="27"/>
      <c r="CF279" s="27"/>
      <c r="CG279" s="28" t="str">
        <f>IFERROR(VLOOKUP(CE279,Horarios!$H:$I,2,0),"")</f>
        <v/>
      </c>
      <c r="CH279" s="28" t="str">
        <f>IFERROR(VLOOKUP(CF279,Horarios!$H:$I,2,0),"")</f>
        <v/>
      </c>
      <c r="CI279" s="28" t="str">
        <f t="shared" si="206"/>
        <v>00:00</v>
      </c>
      <c r="CJ279" s="29"/>
      <c r="CK279" s="31" t="str">
        <f t="shared" si="207"/>
        <v/>
      </c>
      <c r="CL279" s="27"/>
      <c r="CM279" s="27"/>
      <c r="CN279" s="28" t="str">
        <f>IFERROR(VLOOKUP(CL279,Horarios!$H:$I,2,0),"")</f>
        <v/>
      </c>
      <c r="CO279" s="28" t="str">
        <f>IFERROR(VLOOKUP(CM279,Horarios!$H:$I,2,0),"")</f>
        <v/>
      </c>
      <c r="CP279" s="28" t="str">
        <f t="shared" si="208"/>
        <v>00:00</v>
      </c>
      <c r="CQ279" s="29"/>
      <c r="CR279" s="27"/>
      <c r="CS279" s="27"/>
      <c r="CT279" s="28" t="str">
        <f>IFERROR(VLOOKUP(CR279,Horarios!$H:$I,2,0),"")</f>
        <v/>
      </c>
      <c r="CU279" s="28" t="str">
        <f>IFERROR(VLOOKUP(CS279,Horarios!$H:$I,2,0),"")</f>
        <v/>
      </c>
      <c r="CV279" s="28" t="str">
        <f t="shared" si="209"/>
        <v>00:00</v>
      </c>
      <c r="CW279" s="29"/>
      <c r="CX279" s="27"/>
      <c r="CY279" s="27"/>
      <c r="CZ279" s="28" t="str">
        <f>IFERROR(VLOOKUP(CX279,Horarios!$H:$I,2,0),"")</f>
        <v/>
      </c>
      <c r="DA279" s="28" t="str">
        <f>IFERROR(VLOOKUP(CY279,Horarios!$H:$I,2,0),"")</f>
        <v/>
      </c>
      <c r="DB279" s="28" t="str">
        <f t="shared" si="210"/>
        <v>00:00</v>
      </c>
      <c r="DC279" s="29"/>
      <c r="DD279" s="27"/>
      <c r="DE279" s="27"/>
      <c r="DF279" s="28" t="str">
        <f>IFERROR(VLOOKUP(DD279,Horarios!$H:$I,2,0),"")</f>
        <v/>
      </c>
      <c r="DG279" s="28" t="str">
        <f>IFERROR(VLOOKUP(DE279,Horarios!$H:$I,2,0),"")</f>
        <v/>
      </c>
      <c r="DH279" s="28" t="str">
        <f t="shared" si="211"/>
        <v>00:00</v>
      </c>
      <c r="DI279" s="29"/>
      <c r="DJ279" s="27"/>
      <c r="DK279" s="27"/>
      <c r="DL279" s="28" t="str">
        <f>IFERROR(VLOOKUP(DJ279,Horarios!$H:$I,2,0),"")</f>
        <v/>
      </c>
      <c r="DM279" s="28" t="str">
        <f>IFERROR(VLOOKUP(DK279,Horarios!$H:$I,2,0),"")</f>
        <v/>
      </c>
      <c r="DN279" s="28" t="str">
        <f t="shared" si="212"/>
        <v>00:00</v>
      </c>
      <c r="DO279" s="29"/>
      <c r="DP279" s="27"/>
      <c r="DQ279" s="27"/>
      <c r="DR279" s="28" t="str">
        <f>IFERROR(VLOOKUP(DP279,Horarios!$H:$I,2,0),"")</f>
        <v/>
      </c>
      <c r="DS279" s="28" t="str">
        <f>IFERROR(VLOOKUP(DQ279,Horarios!$H:$I,2,0),"")</f>
        <v/>
      </c>
      <c r="DT279" s="28" t="str">
        <f t="shared" si="213"/>
        <v>00:00</v>
      </c>
      <c r="DU279" s="29"/>
      <c r="DV279" s="27"/>
      <c r="DW279" s="27"/>
      <c r="DX279" s="28" t="str">
        <f>IFERROR(VLOOKUP(DV279,Horarios!$H:$I,2,0),"")</f>
        <v/>
      </c>
      <c r="DY279" s="28" t="str">
        <f>IFERROR(VLOOKUP(DW279,Horarios!$H:$I,2,0),"")</f>
        <v/>
      </c>
      <c r="DZ279" s="28" t="str">
        <f t="shared" si="214"/>
        <v>00:00</v>
      </c>
      <c r="EA279" s="29"/>
      <c r="EB279" s="31" t="str">
        <f t="shared" si="215"/>
        <v/>
      </c>
      <c r="EC279" s="27"/>
      <c r="ED279" s="27"/>
      <c r="EE279" s="28" t="str">
        <f>IFERROR(VLOOKUP(EC279,Horarios!$H:$I,2,0),"")</f>
        <v/>
      </c>
      <c r="EF279" s="28" t="str">
        <f>IFERROR(VLOOKUP(ED279,Horarios!$H:$I,2,0),"")</f>
        <v/>
      </c>
      <c r="EG279" s="28" t="str">
        <f t="shared" si="216"/>
        <v>00:00</v>
      </c>
      <c r="EH279" s="29"/>
      <c r="EI279" s="27"/>
      <c r="EJ279" s="27"/>
      <c r="EK279" s="28" t="str">
        <f>IFERROR(VLOOKUP(EI279,Horarios!$H:$I,2,0),"")</f>
        <v/>
      </c>
      <c r="EL279" s="28" t="str">
        <f>IFERROR(VLOOKUP(EJ279,Horarios!$H:$I,2,0),"")</f>
        <v/>
      </c>
      <c r="EM279" s="28" t="str">
        <f t="shared" si="217"/>
        <v>00:00</v>
      </c>
      <c r="EN279" s="29"/>
      <c r="EO279" s="27"/>
      <c r="EP279" s="27"/>
      <c r="EQ279" s="28" t="str">
        <f>IFERROR(VLOOKUP(EO279,Horarios!$H:$I,2,0),"")</f>
        <v/>
      </c>
      <c r="ER279" s="28" t="str">
        <f>IFERROR(VLOOKUP(EP279,Horarios!$H:$I,2,0),"")</f>
        <v/>
      </c>
      <c r="ES279" s="28" t="str">
        <f t="shared" si="218"/>
        <v>00:00</v>
      </c>
      <c r="ET279" s="29"/>
      <c r="EU279" s="27"/>
      <c r="EV279" s="27"/>
      <c r="EW279" s="28" t="str">
        <f>IFERROR(VLOOKUP(EU279,Horarios!$H:$I,2,0),"")</f>
        <v/>
      </c>
      <c r="EX279" s="28" t="str">
        <f>IFERROR(VLOOKUP(EV279,Horarios!$H:$I,2,0),"")</f>
        <v/>
      </c>
      <c r="EY279" s="28" t="str">
        <f t="shared" si="219"/>
        <v>00:00</v>
      </c>
      <c r="EZ279" s="29"/>
      <c r="FA279" s="27"/>
      <c r="FB279" s="27"/>
      <c r="FC279" s="28" t="str">
        <f>IFERROR(VLOOKUP(FA279,Horarios!$H:$I,2,0),"")</f>
        <v/>
      </c>
      <c r="FD279" s="28" t="str">
        <f>IFERROR(VLOOKUP(FB279,Horarios!$H:$I,2,0),"")</f>
        <v/>
      </c>
      <c r="FE279" s="28" t="str">
        <f t="shared" si="220"/>
        <v>00:00</v>
      </c>
      <c r="FF279" s="29"/>
      <c r="FG279" s="27"/>
      <c r="FH279" s="27"/>
      <c r="FI279" s="28" t="str">
        <f>IFERROR(VLOOKUP(FG279,Horarios!$H:$I,2,0),"")</f>
        <v/>
      </c>
      <c r="FJ279" s="28" t="str">
        <f>IFERROR(VLOOKUP(FH279,Horarios!$H:$I,2,0),"")</f>
        <v/>
      </c>
      <c r="FK279" s="28" t="str">
        <f t="shared" si="221"/>
        <v>00:00</v>
      </c>
      <c r="FL279" s="29"/>
      <c r="FM279" s="27"/>
      <c r="FN279" s="27"/>
      <c r="FO279" s="28" t="str">
        <f>IFERROR(VLOOKUP(FM279,Horarios!$H:$I,2,0),"")</f>
        <v/>
      </c>
      <c r="FP279" s="28" t="str">
        <f>IFERROR(VLOOKUP(FN279,Horarios!$H:$I,2,0),"")</f>
        <v/>
      </c>
      <c r="FQ279" s="28" t="str">
        <f t="shared" si="222"/>
        <v>00:00</v>
      </c>
      <c r="FR279" s="29"/>
      <c r="FS279" s="31" t="str">
        <f t="shared" si="223"/>
        <v/>
      </c>
      <c r="FT279" s="27"/>
      <c r="FU279" s="27"/>
      <c r="FV279" s="28" t="str">
        <f>IFERROR(VLOOKUP(FT279,Horarios!$H:$I,2,0),"")</f>
        <v/>
      </c>
      <c r="FW279" s="28" t="str">
        <f>IFERROR(VLOOKUP(FU279,Horarios!$H:$I,2,0),"")</f>
        <v/>
      </c>
      <c r="FX279" s="28" t="str">
        <f t="shared" si="224"/>
        <v>00:00</v>
      </c>
      <c r="FY279" s="29"/>
      <c r="FZ279" s="27"/>
      <c r="GA279" s="27"/>
      <c r="GB279" s="28" t="str">
        <f>IFERROR(VLOOKUP(FZ279,Horarios!$H:$I,2,0),"")</f>
        <v/>
      </c>
      <c r="GC279" s="28" t="str">
        <f>IFERROR(VLOOKUP(GA279,Horarios!$H:$I,2,0),"")</f>
        <v/>
      </c>
      <c r="GD279" s="28" t="str">
        <f t="shared" si="225"/>
        <v>00:00</v>
      </c>
      <c r="GE279" s="29"/>
      <c r="GF279" s="27"/>
      <c r="GG279" s="27"/>
      <c r="GH279" s="28" t="str">
        <f>IFERROR(VLOOKUP(GF279,Horarios!$H:$I,2,0),"")</f>
        <v/>
      </c>
      <c r="GI279" s="28" t="str">
        <f>IFERROR(VLOOKUP(GG279,Horarios!$H:$I,2,0),"")</f>
        <v/>
      </c>
      <c r="GJ279" s="28" t="str">
        <f t="shared" si="226"/>
        <v>00:00</v>
      </c>
      <c r="GK279" s="29"/>
      <c r="GL279" s="27"/>
      <c r="GM279" s="27"/>
      <c r="GN279" s="28" t="str">
        <f>IFERROR(VLOOKUP(GL279,Horarios!$H:$I,2,0),"")</f>
        <v/>
      </c>
      <c r="GO279" s="28" t="str">
        <f>IFERROR(VLOOKUP(GM279,Horarios!$H:$I,2,0),"")</f>
        <v/>
      </c>
      <c r="GP279" s="28" t="str">
        <f t="shared" si="227"/>
        <v>00:00</v>
      </c>
      <c r="GQ279" s="29"/>
      <c r="GR279" s="27"/>
      <c r="GS279" s="27"/>
      <c r="GT279" s="28" t="str">
        <f>IFERROR(VLOOKUP(GR279,Horarios!$H:$I,2,0),"")</f>
        <v/>
      </c>
      <c r="GU279" s="28" t="str">
        <f>IFERROR(VLOOKUP(GS279,Horarios!$H:$I,2,0),"")</f>
        <v/>
      </c>
      <c r="GV279" s="28" t="str">
        <f t="shared" si="228"/>
        <v>00:00</v>
      </c>
      <c r="GW279" s="29"/>
      <c r="GX279" s="27"/>
      <c r="GY279" s="27"/>
      <c r="GZ279" s="28" t="str">
        <f>IFERROR(VLOOKUP(GX279,Horarios!$H:$I,2,0),"")</f>
        <v/>
      </c>
      <c r="HA279" s="28" t="str">
        <f>IFERROR(VLOOKUP(GY279,Horarios!$H:$I,2,0),"")</f>
        <v/>
      </c>
      <c r="HB279" s="28" t="str">
        <f t="shared" si="229"/>
        <v>00:00</v>
      </c>
      <c r="HC279" s="29"/>
      <c r="HD279" s="27"/>
      <c r="HE279" s="27"/>
      <c r="HF279" s="28" t="str">
        <f>IFERROR(VLOOKUP(HD279,Horarios!$H:$I,2,0),"")</f>
        <v/>
      </c>
      <c r="HG279" s="28" t="str">
        <f>IFERROR(VLOOKUP(HE279,Horarios!$H:$I,2,0),"")</f>
        <v/>
      </c>
      <c r="HH279" s="28" t="str">
        <f t="shared" si="230"/>
        <v>00:00</v>
      </c>
      <c r="HI279" s="29"/>
      <c r="HJ279" s="31" t="str">
        <f t="shared" si="231"/>
        <v/>
      </c>
      <c r="HK279" s="27"/>
      <c r="HL279" s="27"/>
      <c r="HM279" s="28" t="str">
        <f>IFERROR(VLOOKUP(HK279,Horarios!$H:$I,2,0),"")</f>
        <v/>
      </c>
      <c r="HN279" s="28" t="str">
        <f>IFERROR(VLOOKUP(HL279,Horarios!$H:$I,2,0),"")</f>
        <v/>
      </c>
      <c r="HO279" s="28" t="str">
        <f t="shared" si="232"/>
        <v>00:00</v>
      </c>
      <c r="HP279" s="29"/>
      <c r="HQ279" s="27"/>
      <c r="HR279" s="27"/>
      <c r="HS279" s="28" t="str">
        <f>IFERROR(VLOOKUP(HQ279,Horarios!$H:$I,2,0),"")</f>
        <v/>
      </c>
      <c r="HT279" s="28" t="str">
        <f>IFERROR(VLOOKUP(HR279,Horarios!$H:$I,2,0),"")</f>
        <v/>
      </c>
      <c r="HU279" s="28" t="str">
        <f t="shared" si="233"/>
        <v>00:00</v>
      </c>
      <c r="HV279" s="29"/>
      <c r="HW279" s="27"/>
      <c r="HX279" s="27"/>
      <c r="HY279" s="28" t="str">
        <f>IFERROR(VLOOKUP(HW279,Horarios!$H:$I,2,0),"")</f>
        <v/>
      </c>
      <c r="HZ279" s="28" t="str">
        <f>IFERROR(VLOOKUP(HX279,Horarios!$H:$I,2,0),"")</f>
        <v/>
      </c>
      <c r="IA279" s="28" t="str">
        <f t="shared" si="234"/>
        <v>00:00</v>
      </c>
      <c r="IB279" s="29"/>
      <c r="IC279" s="27"/>
      <c r="ID279" s="27"/>
      <c r="IE279" s="28" t="str">
        <f>IFERROR(VLOOKUP(IC279,Horarios!$H:$I,2,0),"")</f>
        <v/>
      </c>
      <c r="IF279" s="28" t="str">
        <f>IFERROR(VLOOKUP(ID279,Horarios!$H:$I,2,0),"")</f>
        <v/>
      </c>
      <c r="IG279" s="28" t="str">
        <f t="shared" si="235"/>
        <v>00:00</v>
      </c>
      <c r="IH279" s="29"/>
      <c r="II279" s="27"/>
      <c r="IJ279" s="27"/>
      <c r="IK279" s="28" t="str">
        <f>IFERROR(VLOOKUP(II279,Horarios!$H:$I,2,0),"")</f>
        <v/>
      </c>
      <c r="IL279" s="28" t="str">
        <f>IFERROR(VLOOKUP(IJ279,Horarios!$H:$I,2,0),"")</f>
        <v/>
      </c>
      <c r="IM279" s="28" t="str">
        <f t="shared" si="236"/>
        <v>00:00</v>
      </c>
      <c r="IN279" s="29"/>
      <c r="IO279" s="27"/>
      <c r="IP279" s="27"/>
      <c r="IQ279" s="28" t="str">
        <f>IFERROR(VLOOKUP(IO279,Horarios!$H:$I,2,0),"")</f>
        <v/>
      </c>
      <c r="IR279" s="28" t="str">
        <f>IFERROR(VLOOKUP(IP279,Horarios!$H:$I,2,0),"")</f>
        <v/>
      </c>
      <c r="IS279" s="28" t="str">
        <f t="shared" si="237"/>
        <v>00:00</v>
      </c>
      <c r="IT279" s="29"/>
      <c r="IU279" s="27"/>
      <c r="IV279" s="27"/>
      <c r="IW279" s="28" t="str">
        <f>IFERROR(VLOOKUP(IU279,Horarios!$H:$I,2,0),"")</f>
        <v/>
      </c>
      <c r="IX279" s="28" t="str">
        <f>IFERROR(VLOOKUP(IV279,Horarios!$H:$I,2,0),"")</f>
        <v/>
      </c>
      <c r="IY279" s="28" t="str">
        <f t="shared" si="238"/>
        <v>00:00</v>
      </c>
      <c r="IZ279" s="29"/>
      <c r="JA279" s="31" t="str">
        <f t="shared" si="239"/>
        <v/>
      </c>
    </row>
    <row r="280" spans="1:261" s="24" customFormat="1" ht="17.399999999999999" x14ac:dyDescent="0.25">
      <c r="A280" s="25"/>
      <c r="B280" s="26" t="str">
        <f>IFERROR(VLOOKUP(A280,BaseNombres!A:B,2,0),"")</f>
        <v/>
      </c>
      <c r="C280" s="26" t="str">
        <f>IFERROR(VLOOKUP(A280,BaseNombres!A:C,3,0),"")</f>
        <v/>
      </c>
      <c r="D280" s="27"/>
      <c r="E280" s="27"/>
      <c r="F280" s="28" t="str">
        <f>IFERROR(VLOOKUP(D280,Horarios!$H:$I,2,0),"")</f>
        <v/>
      </c>
      <c r="G280" s="28" t="str">
        <f>IFERROR(VLOOKUP(E280,Horarios!$H:$I,2,0),"")</f>
        <v/>
      </c>
      <c r="H280" s="28" t="str">
        <f t="shared" si="192"/>
        <v>00:00</v>
      </c>
      <c r="I280" s="29"/>
      <c r="J280" s="27"/>
      <c r="K280" s="27"/>
      <c r="L280" s="28" t="str">
        <f>IFERROR(VLOOKUP(J280,Horarios!$H:$I,2,0),"")</f>
        <v/>
      </c>
      <c r="M280" s="28" t="str">
        <f>IFERROR(VLOOKUP(K280,Horarios!$H:$I,2,0),"")</f>
        <v/>
      </c>
      <c r="N280" s="28" t="str">
        <f t="shared" si="193"/>
        <v>00:00</v>
      </c>
      <c r="O280" s="29"/>
      <c r="P280" s="27"/>
      <c r="Q280" s="27"/>
      <c r="R280" s="28" t="str">
        <f>IFERROR(VLOOKUP(P280,Horarios!$H:$I,2,0),"")</f>
        <v/>
      </c>
      <c r="S280" s="28" t="str">
        <f>IFERROR(VLOOKUP(Q280,Horarios!$H:$I,2,0),"")</f>
        <v/>
      </c>
      <c r="T280" s="28" t="str">
        <f t="shared" si="194"/>
        <v>00:00</v>
      </c>
      <c r="U280" s="29"/>
      <c r="V280" s="27"/>
      <c r="W280" s="27"/>
      <c r="X280" s="28" t="str">
        <f>IFERROR(VLOOKUP(V280,Horarios!$H:$I,2,0),"")</f>
        <v/>
      </c>
      <c r="Y280" s="28" t="str">
        <f>IFERROR(VLOOKUP(W280,Horarios!$H:$I,2,0),"")</f>
        <v/>
      </c>
      <c r="Z280" s="28" t="str">
        <f t="shared" si="195"/>
        <v>00:00</v>
      </c>
      <c r="AA280" s="29"/>
      <c r="AB280" s="27"/>
      <c r="AC280" s="27"/>
      <c r="AD280" s="28" t="str">
        <f>IFERROR(VLOOKUP(AB280,Horarios!$H:$I,2,0),"")</f>
        <v/>
      </c>
      <c r="AE280" s="28" t="str">
        <f>IFERROR(VLOOKUP(AC280,Horarios!$H:$I,2,0),"")</f>
        <v/>
      </c>
      <c r="AF280" s="28" t="str">
        <f t="shared" si="196"/>
        <v>00:00</v>
      </c>
      <c r="AG280" s="29"/>
      <c r="AH280" s="27"/>
      <c r="AI280" s="27"/>
      <c r="AJ280" s="28" t="str">
        <f>IFERROR(VLOOKUP(AH280,Horarios!$H:$I,2,0),"")</f>
        <v/>
      </c>
      <c r="AK280" s="28" t="str">
        <f>IFERROR(VLOOKUP(AI280,Horarios!$H:$I,2,0),"")</f>
        <v/>
      </c>
      <c r="AL280" s="28" t="str">
        <f t="shared" si="197"/>
        <v>00:00</v>
      </c>
      <c r="AM280" s="29"/>
      <c r="AN280" s="27"/>
      <c r="AO280" s="27"/>
      <c r="AP280" s="28" t="str">
        <f>IFERROR(VLOOKUP(AN280,Horarios!$H:$I,2,0),"")</f>
        <v/>
      </c>
      <c r="AQ280" s="28" t="str">
        <f>IFERROR(VLOOKUP(AO280,Horarios!$H:$I,2,0),"")</f>
        <v/>
      </c>
      <c r="AR280" s="28" t="str">
        <f t="shared" si="198"/>
        <v>00:00</v>
      </c>
      <c r="AS280" s="29"/>
      <c r="AT280" s="31" t="str">
        <f t="shared" si="199"/>
        <v/>
      </c>
      <c r="AU280" s="27"/>
      <c r="AV280" s="27"/>
      <c r="AW280" s="28" t="str">
        <f>IFERROR(VLOOKUP(AU280,Horarios!$H:$I,2,0),"")</f>
        <v/>
      </c>
      <c r="AX280" s="28" t="str">
        <f>IFERROR(VLOOKUP(AV280,Horarios!$H:$I,2,0),"")</f>
        <v/>
      </c>
      <c r="AY280" s="28" t="str">
        <f t="shared" si="200"/>
        <v>00:00</v>
      </c>
      <c r="AZ280" s="29"/>
      <c r="BA280" s="27"/>
      <c r="BB280" s="27"/>
      <c r="BC280" s="28" t="str">
        <f>IFERROR(VLOOKUP(BA280,Horarios!$H:$I,2,0),"")</f>
        <v/>
      </c>
      <c r="BD280" s="28" t="str">
        <f>IFERROR(VLOOKUP(BB280,Horarios!$H:$I,2,0),"")</f>
        <v/>
      </c>
      <c r="BE280" s="28" t="str">
        <f t="shared" si="201"/>
        <v>00:00</v>
      </c>
      <c r="BF280" s="29"/>
      <c r="BG280" s="27"/>
      <c r="BH280" s="27"/>
      <c r="BI280" s="28" t="str">
        <f>IFERROR(VLOOKUP(BG280,Horarios!$H:$I,2,0),"")</f>
        <v/>
      </c>
      <c r="BJ280" s="28" t="str">
        <f>IFERROR(VLOOKUP(BH280,Horarios!$H:$I,2,0),"")</f>
        <v/>
      </c>
      <c r="BK280" s="28" t="str">
        <f t="shared" si="202"/>
        <v>00:00</v>
      </c>
      <c r="BL280" s="29"/>
      <c r="BM280" s="27"/>
      <c r="BN280" s="27"/>
      <c r="BO280" s="28" t="str">
        <f>IFERROR(VLOOKUP(BM280,Horarios!$H:$I,2,0),"")</f>
        <v/>
      </c>
      <c r="BP280" s="28" t="str">
        <f>IFERROR(VLOOKUP(BN280,Horarios!$H:$I,2,0),"")</f>
        <v/>
      </c>
      <c r="BQ280" s="28" t="str">
        <f t="shared" si="203"/>
        <v>00:00</v>
      </c>
      <c r="BR280" s="29"/>
      <c r="BS280" s="27"/>
      <c r="BT280" s="27"/>
      <c r="BU280" s="28" t="str">
        <f>IFERROR(VLOOKUP(BS280,Horarios!$H:$I,2,0),"")</f>
        <v/>
      </c>
      <c r="BV280" s="28" t="str">
        <f>IFERROR(VLOOKUP(BT280,Horarios!$H:$I,2,0),"")</f>
        <v/>
      </c>
      <c r="BW280" s="28" t="str">
        <f t="shared" si="204"/>
        <v>00:00</v>
      </c>
      <c r="BX280" s="29"/>
      <c r="BY280" s="27"/>
      <c r="BZ280" s="27"/>
      <c r="CA280" s="28" t="str">
        <f>IFERROR(VLOOKUP(BY280,Horarios!$H:$I,2,0),"")</f>
        <v/>
      </c>
      <c r="CB280" s="28" t="str">
        <f>IFERROR(VLOOKUP(BZ280,Horarios!$H:$I,2,0),"")</f>
        <v/>
      </c>
      <c r="CC280" s="28" t="str">
        <f t="shared" si="205"/>
        <v>00:00</v>
      </c>
      <c r="CD280" s="29"/>
      <c r="CE280" s="27"/>
      <c r="CF280" s="27"/>
      <c r="CG280" s="28" t="str">
        <f>IFERROR(VLOOKUP(CE280,Horarios!$H:$I,2,0),"")</f>
        <v/>
      </c>
      <c r="CH280" s="28" t="str">
        <f>IFERROR(VLOOKUP(CF280,Horarios!$H:$I,2,0),"")</f>
        <v/>
      </c>
      <c r="CI280" s="28" t="str">
        <f t="shared" si="206"/>
        <v>00:00</v>
      </c>
      <c r="CJ280" s="29"/>
      <c r="CK280" s="31" t="str">
        <f t="shared" si="207"/>
        <v/>
      </c>
      <c r="CL280" s="27"/>
      <c r="CM280" s="27"/>
      <c r="CN280" s="28" t="str">
        <f>IFERROR(VLOOKUP(CL280,Horarios!$H:$I,2,0),"")</f>
        <v/>
      </c>
      <c r="CO280" s="28" t="str">
        <f>IFERROR(VLOOKUP(CM280,Horarios!$H:$I,2,0),"")</f>
        <v/>
      </c>
      <c r="CP280" s="28" t="str">
        <f t="shared" si="208"/>
        <v>00:00</v>
      </c>
      <c r="CQ280" s="29"/>
      <c r="CR280" s="27"/>
      <c r="CS280" s="27"/>
      <c r="CT280" s="28" t="str">
        <f>IFERROR(VLOOKUP(CR280,Horarios!$H:$I,2,0),"")</f>
        <v/>
      </c>
      <c r="CU280" s="28" t="str">
        <f>IFERROR(VLOOKUP(CS280,Horarios!$H:$I,2,0),"")</f>
        <v/>
      </c>
      <c r="CV280" s="28" t="str">
        <f t="shared" si="209"/>
        <v>00:00</v>
      </c>
      <c r="CW280" s="29"/>
      <c r="CX280" s="27"/>
      <c r="CY280" s="27"/>
      <c r="CZ280" s="28" t="str">
        <f>IFERROR(VLOOKUP(CX280,Horarios!$H:$I,2,0),"")</f>
        <v/>
      </c>
      <c r="DA280" s="28" t="str">
        <f>IFERROR(VLOOKUP(CY280,Horarios!$H:$I,2,0),"")</f>
        <v/>
      </c>
      <c r="DB280" s="28" t="str">
        <f t="shared" si="210"/>
        <v>00:00</v>
      </c>
      <c r="DC280" s="29"/>
      <c r="DD280" s="27"/>
      <c r="DE280" s="27"/>
      <c r="DF280" s="28" t="str">
        <f>IFERROR(VLOOKUP(DD280,Horarios!$H:$I,2,0),"")</f>
        <v/>
      </c>
      <c r="DG280" s="28" t="str">
        <f>IFERROR(VLOOKUP(DE280,Horarios!$H:$I,2,0),"")</f>
        <v/>
      </c>
      <c r="DH280" s="28" t="str">
        <f t="shared" si="211"/>
        <v>00:00</v>
      </c>
      <c r="DI280" s="29"/>
      <c r="DJ280" s="27"/>
      <c r="DK280" s="27"/>
      <c r="DL280" s="28" t="str">
        <f>IFERROR(VLOOKUP(DJ280,Horarios!$H:$I,2,0),"")</f>
        <v/>
      </c>
      <c r="DM280" s="28" t="str">
        <f>IFERROR(VLOOKUP(DK280,Horarios!$H:$I,2,0),"")</f>
        <v/>
      </c>
      <c r="DN280" s="28" t="str">
        <f t="shared" si="212"/>
        <v>00:00</v>
      </c>
      <c r="DO280" s="29"/>
      <c r="DP280" s="27"/>
      <c r="DQ280" s="27"/>
      <c r="DR280" s="28" t="str">
        <f>IFERROR(VLOOKUP(DP280,Horarios!$H:$I,2,0),"")</f>
        <v/>
      </c>
      <c r="DS280" s="28" t="str">
        <f>IFERROR(VLOOKUP(DQ280,Horarios!$H:$I,2,0),"")</f>
        <v/>
      </c>
      <c r="DT280" s="28" t="str">
        <f t="shared" si="213"/>
        <v>00:00</v>
      </c>
      <c r="DU280" s="29"/>
      <c r="DV280" s="27"/>
      <c r="DW280" s="27"/>
      <c r="DX280" s="28" t="str">
        <f>IFERROR(VLOOKUP(DV280,Horarios!$H:$I,2,0),"")</f>
        <v/>
      </c>
      <c r="DY280" s="28" t="str">
        <f>IFERROR(VLOOKUP(DW280,Horarios!$H:$I,2,0),"")</f>
        <v/>
      </c>
      <c r="DZ280" s="28" t="str">
        <f t="shared" si="214"/>
        <v>00:00</v>
      </c>
      <c r="EA280" s="29"/>
      <c r="EB280" s="31" t="str">
        <f t="shared" si="215"/>
        <v/>
      </c>
      <c r="EC280" s="27"/>
      <c r="ED280" s="27"/>
      <c r="EE280" s="28" t="str">
        <f>IFERROR(VLOOKUP(EC280,Horarios!$H:$I,2,0),"")</f>
        <v/>
      </c>
      <c r="EF280" s="28" t="str">
        <f>IFERROR(VLOOKUP(ED280,Horarios!$H:$I,2,0),"")</f>
        <v/>
      </c>
      <c r="EG280" s="28" t="str">
        <f t="shared" si="216"/>
        <v>00:00</v>
      </c>
      <c r="EH280" s="29"/>
      <c r="EI280" s="27"/>
      <c r="EJ280" s="27"/>
      <c r="EK280" s="28" t="str">
        <f>IFERROR(VLOOKUP(EI280,Horarios!$H:$I,2,0),"")</f>
        <v/>
      </c>
      <c r="EL280" s="28" t="str">
        <f>IFERROR(VLOOKUP(EJ280,Horarios!$H:$I,2,0),"")</f>
        <v/>
      </c>
      <c r="EM280" s="28" t="str">
        <f t="shared" si="217"/>
        <v>00:00</v>
      </c>
      <c r="EN280" s="29"/>
      <c r="EO280" s="27"/>
      <c r="EP280" s="27"/>
      <c r="EQ280" s="28" t="str">
        <f>IFERROR(VLOOKUP(EO280,Horarios!$H:$I,2,0),"")</f>
        <v/>
      </c>
      <c r="ER280" s="28" t="str">
        <f>IFERROR(VLOOKUP(EP280,Horarios!$H:$I,2,0),"")</f>
        <v/>
      </c>
      <c r="ES280" s="28" t="str">
        <f t="shared" si="218"/>
        <v>00:00</v>
      </c>
      <c r="ET280" s="29"/>
      <c r="EU280" s="27"/>
      <c r="EV280" s="27"/>
      <c r="EW280" s="28" t="str">
        <f>IFERROR(VLOOKUP(EU280,Horarios!$H:$I,2,0),"")</f>
        <v/>
      </c>
      <c r="EX280" s="28" t="str">
        <f>IFERROR(VLOOKUP(EV280,Horarios!$H:$I,2,0),"")</f>
        <v/>
      </c>
      <c r="EY280" s="28" t="str">
        <f t="shared" si="219"/>
        <v>00:00</v>
      </c>
      <c r="EZ280" s="29"/>
      <c r="FA280" s="27"/>
      <c r="FB280" s="27"/>
      <c r="FC280" s="28" t="str">
        <f>IFERROR(VLOOKUP(FA280,Horarios!$H:$I,2,0),"")</f>
        <v/>
      </c>
      <c r="FD280" s="28" t="str">
        <f>IFERROR(VLOOKUP(FB280,Horarios!$H:$I,2,0),"")</f>
        <v/>
      </c>
      <c r="FE280" s="28" t="str">
        <f t="shared" si="220"/>
        <v>00:00</v>
      </c>
      <c r="FF280" s="29"/>
      <c r="FG280" s="27"/>
      <c r="FH280" s="27"/>
      <c r="FI280" s="28" t="str">
        <f>IFERROR(VLOOKUP(FG280,Horarios!$H:$I,2,0),"")</f>
        <v/>
      </c>
      <c r="FJ280" s="28" t="str">
        <f>IFERROR(VLOOKUP(FH280,Horarios!$H:$I,2,0),"")</f>
        <v/>
      </c>
      <c r="FK280" s="28" t="str">
        <f t="shared" si="221"/>
        <v>00:00</v>
      </c>
      <c r="FL280" s="29"/>
      <c r="FM280" s="27"/>
      <c r="FN280" s="27"/>
      <c r="FO280" s="28" t="str">
        <f>IFERROR(VLOOKUP(FM280,Horarios!$H:$I,2,0),"")</f>
        <v/>
      </c>
      <c r="FP280" s="28" t="str">
        <f>IFERROR(VLOOKUP(FN280,Horarios!$H:$I,2,0),"")</f>
        <v/>
      </c>
      <c r="FQ280" s="28" t="str">
        <f t="shared" si="222"/>
        <v>00:00</v>
      </c>
      <c r="FR280" s="29"/>
      <c r="FS280" s="31" t="str">
        <f t="shared" si="223"/>
        <v/>
      </c>
      <c r="FT280" s="27"/>
      <c r="FU280" s="27"/>
      <c r="FV280" s="28" t="str">
        <f>IFERROR(VLOOKUP(FT280,Horarios!$H:$I,2,0),"")</f>
        <v/>
      </c>
      <c r="FW280" s="28" t="str">
        <f>IFERROR(VLOOKUP(FU280,Horarios!$H:$I,2,0),"")</f>
        <v/>
      </c>
      <c r="FX280" s="28" t="str">
        <f t="shared" si="224"/>
        <v>00:00</v>
      </c>
      <c r="FY280" s="29"/>
      <c r="FZ280" s="27"/>
      <c r="GA280" s="27"/>
      <c r="GB280" s="28" t="str">
        <f>IFERROR(VLOOKUP(FZ280,Horarios!$H:$I,2,0),"")</f>
        <v/>
      </c>
      <c r="GC280" s="28" t="str">
        <f>IFERROR(VLOOKUP(GA280,Horarios!$H:$I,2,0),"")</f>
        <v/>
      </c>
      <c r="GD280" s="28" t="str">
        <f t="shared" si="225"/>
        <v>00:00</v>
      </c>
      <c r="GE280" s="29"/>
      <c r="GF280" s="27"/>
      <c r="GG280" s="27"/>
      <c r="GH280" s="28" t="str">
        <f>IFERROR(VLOOKUP(GF280,Horarios!$H:$I,2,0),"")</f>
        <v/>
      </c>
      <c r="GI280" s="28" t="str">
        <f>IFERROR(VLOOKUP(GG280,Horarios!$H:$I,2,0),"")</f>
        <v/>
      </c>
      <c r="GJ280" s="28" t="str">
        <f t="shared" si="226"/>
        <v>00:00</v>
      </c>
      <c r="GK280" s="29"/>
      <c r="GL280" s="27"/>
      <c r="GM280" s="27"/>
      <c r="GN280" s="28" t="str">
        <f>IFERROR(VLOOKUP(GL280,Horarios!$H:$I,2,0),"")</f>
        <v/>
      </c>
      <c r="GO280" s="28" t="str">
        <f>IFERROR(VLOOKUP(GM280,Horarios!$H:$I,2,0),"")</f>
        <v/>
      </c>
      <c r="GP280" s="28" t="str">
        <f t="shared" si="227"/>
        <v>00:00</v>
      </c>
      <c r="GQ280" s="29"/>
      <c r="GR280" s="27"/>
      <c r="GS280" s="27"/>
      <c r="GT280" s="28" t="str">
        <f>IFERROR(VLOOKUP(GR280,Horarios!$H:$I,2,0),"")</f>
        <v/>
      </c>
      <c r="GU280" s="28" t="str">
        <f>IFERROR(VLOOKUP(GS280,Horarios!$H:$I,2,0),"")</f>
        <v/>
      </c>
      <c r="GV280" s="28" t="str">
        <f t="shared" si="228"/>
        <v>00:00</v>
      </c>
      <c r="GW280" s="29"/>
      <c r="GX280" s="27"/>
      <c r="GY280" s="27"/>
      <c r="GZ280" s="28" t="str">
        <f>IFERROR(VLOOKUP(GX280,Horarios!$H:$I,2,0),"")</f>
        <v/>
      </c>
      <c r="HA280" s="28" t="str">
        <f>IFERROR(VLOOKUP(GY280,Horarios!$H:$I,2,0),"")</f>
        <v/>
      </c>
      <c r="HB280" s="28" t="str">
        <f t="shared" si="229"/>
        <v>00:00</v>
      </c>
      <c r="HC280" s="29"/>
      <c r="HD280" s="27"/>
      <c r="HE280" s="27"/>
      <c r="HF280" s="28" t="str">
        <f>IFERROR(VLOOKUP(HD280,Horarios!$H:$I,2,0),"")</f>
        <v/>
      </c>
      <c r="HG280" s="28" t="str">
        <f>IFERROR(VLOOKUP(HE280,Horarios!$H:$I,2,0),"")</f>
        <v/>
      </c>
      <c r="HH280" s="28" t="str">
        <f t="shared" si="230"/>
        <v>00:00</v>
      </c>
      <c r="HI280" s="29"/>
      <c r="HJ280" s="31" t="str">
        <f t="shared" si="231"/>
        <v/>
      </c>
      <c r="HK280" s="27"/>
      <c r="HL280" s="27"/>
      <c r="HM280" s="28" t="str">
        <f>IFERROR(VLOOKUP(HK280,Horarios!$H:$I,2,0),"")</f>
        <v/>
      </c>
      <c r="HN280" s="28" t="str">
        <f>IFERROR(VLOOKUP(HL280,Horarios!$H:$I,2,0),"")</f>
        <v/>
      </c>
      <c r="HO280" s="28" t="str">
        <f t="shared" si="232"/>
        <v>00:00</v>
      </c>
      <c r="HP280" s="29"/>
      <c r="HQ280" s="27"/>
      <c r="HR280" s="27"/>
      <c r="HS280" s="28" t="str">
        <f>IFERROR(VLOOKUP(HQ280,Horarios!$H:$I,2,0),"")</f>
        <v/>
      </c>
      <c r="HT280" s="28" t="str">
        <f>IFERROR(VLOOKUP(HR280,Horarios!$H:$I,2,0),"")</f>
        <v/>
      </c>
      <c r="HU280" s="28" t="str">
        <f t="shared" si="233"/>
        <v>00:00</v>
      </c>
      <c r="HV280" s="29"/>
      <c r="HW280" s="27"/>
      <c r="HX280" s="27"/>
      <c r="HY280" s="28" t="str">
        <f>IFERROR(VLOOKUP(HW280,Horarios!$H:$I,2,0),"")</f>
        <v/>
      </c>
      <c r="HZ280" s="28" t="str">
        <f>IFERROR(VLOOKUP(HX280,Horarios!$H:$I,2,0),"")</f>
        <v/>
      </c>
      <c r="IA280" s="28" t="str">
        <f t="shared" si="234"/>
        <v>00:00</v>
      </c>
      <c r="IB280" s="29"/>
      <c r="IC280" s="27"/>
      <c r="ID280" s="27"/>
      <c r="IE280" s="28" t="str">
        <f>IFERROR(VLOOKUP(IC280,Horarios!$H:$I,2,0),"")</f>
        <v/>
      </c>
      <c r="IF280" s="28" t="str">
        <f>IFERROR(VLOOKUP(ID280,Horarios!$H:$I,2,0),"")</f>
        <v/>
      </c>
      <c r="IG280" s="28" t="str">
        <f t="shared" si="235"/>
        <v>00:00</v>
      </c>
      <c r="IH280" s="29"/>
      <c r="II280" s="27"/>
      <c r="IJ280" s="27"/>
      <c r="IK280" s="28" t="str">
        <f>IFERROR(VLOOKUP(II280,Horarios!$H:$I,2,0),"")</f>
        <v/>
      </c>
      <c r="IL280" s="28" t="str">
        <f>IFERROR(VLOOKUP(IJ280,Horarios!$H:$I,2,0),"")</f>
        <v/>
      </c>
      <c r="IM280" s="28" t="str">
        <f t="shared" si="236"/>
        <v>00:00</v>
      </c>
      <c r="IN280" s="29"/>
      <c r="IO280" s="27"/>
      <c r="IP280" s="27"/>
      <c r="IQ280" s="28" t="str">
        <f>IFERROR(VLOOKUP(IO280,Horarios!$H:$I,2,0),"")</f>
        <v/>
      </c>
      <c r="IR280" s="28" t="str">
        <f>IFERROR(VLOOKUP(IP280,Horarios!$H:$I,2,0),"")</f>
        <v/>
      </c>
      <c r="IS280" s="28" t="str">
        <f t="shared" si="237"/>
        <v>00:00</v>
      </c>
      <c r="IT280" s="29"/>
      <c r="IU280" s="27"/>
      <c r="IV280" s="27"/>
      <c r="IW280" s="28" t="str">
        <f>IFERROR(VLOOKUP(IU280,Horarios!$H:$I,2,0),"")</f>
        <v/>
      </c>
      <c r="IX280" s="28" t="str">
        <f>IFERROR(VLOOKUP(IV280,Horarios!$H:$I,2,0),"")</f>
        <v/>
      </c>
      <c r="IY280" s="28" t="str">
        <f t="shared" si="238"/>
        <v>00:00</v>
      </c>
      <c r="IZ280" s="29"/>
      <c r="JA280" s="31" t="str">
        <f t="shared" si="239"/>
        <v/>
      </c>
    </row>
    <row r="281" spans="1:261" s="24" customFormat="1" ht="17.399999999999999" x14ac:dyDescent="0.25">
      <c r="A281" s="25"/>
      <c r="B281" s="26" t="str">
        <f>IFERROR(VLOOKUP(A281,BaseNombres!A:B,2,0),"")</f>
        <v/>
      </c>
      <c r="C281" s="26" t="str">
        <f>IFERROR(VLOOKUP(A281,BaseNombres!A:C,3,0),"")</f>
        <v/>
      </c>
      <c r="D281" s="27"/>
      <c r="E281" s="27"/>
      <c r="F281" s="28" t="str">
        <f>IFERROR(VLOOKUP(D281,Horarios!$H:$I,2,0),"")</f>
        <v/>
      </c>
      <c r="G281" s="28" t="str">
        <f>IFERROR(VLOOKUP(E281,Horarios!$H:$I,2,0),"")</f>
        <v/>
      </c>
      <c r="H281" s="28" t="str">
        <f t="shared" si="192"/>
        <v>00:00</v>
      </c>
      <c r="I281" s="29"/>
      <c r="J281" s="27"/>
      <c r="K281" s="27"/>
      <c r="L281" s="28" t="str">
        <f>IFERROR(VLOOKUP(J281,Horarios!$H:$I,2,0),"")</f>
        <v/>
      </c>
      <c r="M281" s="28" t="str">
        <f>IFERROR(VLOOKUP(K281,Horarios!$H:$I,2,0),"")</f>
        <v/>
      </c>
      <c r="N281" s="28" t="str">
        <f t="shared" si="193"/>
        <v>00:00</v>
      </c>
      <c r="O281" s="29"/>
      <c r="P281" s="27"/>
      <c r="Q281" s="27"/>
      <c r="R281" s="28" t="str">
        <f>IFERROR(VLOOKUP(P281,Horarios!$H:$I,2,0),"")</f>
        <v/>
      </c>
      <c r="S281" s="28" t="str">
        <f>IFERROR(VLOOKUP(Q281,Horarios!$H:$I,2,0),"")</f>
        <v/>
      </c>
      <c r="T281" s="28" t="str">
        <f t="shared" si="194"/>
        <v>00:00</v>
      </c>
      <c r="U281" s="29"/>
      <c r="V281" s="27"/>
      <c r="W281" s="27"/>
      <c r="X281" s="28" t="str">
        <f>IFERROR(VLOOKUP(V281,Horarios!$H:$I,2,0),"")</f>
        <v/>
      </c>
      <c r="Y281" s="28" t="str">
        <f>IFERROR(VLOOKUP(W281,Horarios!$H:$I,2,0),"")</f>
        <v/>
      </c>
      <c r="Z281" s="28" t="str">
        <f t="shared" si="195"/>
        <v>00:00</v>
      </c>
      <c r="AA281" s="29"/>
      <c r="AB281" s="27"/>
      <c r="AC281" s="27"/>
      <c r="AD281" s="28" t="str">
        <f>IFERROR(VLOOKUP(AB281,Horarios!$H:$I,2,0),"")</f>
        <v/>
      </c>
      <c r="AE281" s="28" t="str">
        <f>IFERROR(VLOOKUP(AC281,Horarios!$H:$I,2,0),"")</f>
        <v/>
      </c>
      <c r="AF281" s="28" t="str">
        <f t="shared" si="196"/>
        <v>00:00</v>
      </c>
      <c r="AG281" s="29"/>
      <c r="AH281" s="27"/>
      <c r="AI281" s="27"/>
      <c r="AJ281" s="28" t="str">
        <f>IFERROR(VLOOKUP(AH281,Horarios!$H:$I,2,0),"")</f>
        <v/>
      </c>
      <c r="AK281" s="28" t="str">
        <f>IFERROR(VLOOKUP(AI281,Horarios!$H:$I,2,0),"")</f>
        <v/>
      </c>
      <c r="AL281" s="28" t="str">
        <f t="shared" si="197"/>
        <v>00:00</v>
      </c>
      <c r="AM281" s="29"/>
      <c r="AN281" s="27"/>
      <c r="AO281" s="27"/>
      <c r="AP281" s="28" t="str">
        <f>IFERROR(VLOOKUP(AN281,Horarios!$H:$I,2,0),"")</f>
        <v/>
      </c>
      <c r="AQ281" s="28" t="str">
        <f>IFERROR(VLOOKUP(AO281,Horarios!$H:$I,2,0),"")</f>
        <v/>
      </c>
      <c r="AR281" s="28" t="str">
        <f t="shared" si="198"/>
        <v>00:00</v>
      </c>
      <c r="AS281" s="29"/>
      <c r="AT281" s="31" t="str">
        <f t="shared" si="199"/>
        <v/>
      </c>
      <c r="AU281" s="27"/>
      <c r="AV281" s="27"/>
      <c r="AW281" s="28" t="str">
        <f>IFERROR(VLOOKUP(AU281,Horarios!$H:$I,2,0),"")</f>
        <v/>
      </c>
      <c r="AX281" s="28" t="str">
        <f>IFERROR(VLOOKUP(AV281,Horarios!$H:$I,2,0),"")</f>
        <v/>
      </c>
      <c r="AY281" s="28" t="str">
        <f t="shared" si="200"/>
        <v>00:00</v>
      </c>
      <c r="AZ281" s="29"/>
      <c r="BA281" s="27"/>
      <c r="BB281" s="27"/>
      <c r="BC281" s="28" t="str">
        <f>IFERROR(VLOOKUP(BA281,Horarios!$H:$I,2,0),"")</f>
        <v/>
      </c>
      <c r="BD281" s="28" t="str">
        <f>IFERROR(VLOOKUP(BB281,Horarios!$H:$I,2,0),"")</f>
        <v/>
      </c>
      <c r="BE281" s="28" t="str">
        <f t="shared" si="201"/>
        <v>00:00</v>
      </c>
      <c r="BF281" s="29"/>
      <c r="BG281" s="27"/>
      <c r="BH281" s="27"/>
      <c r="BI281" s="28" t="str">
        <f>IFERROR(VLOOKUP(BG281,Horarios!$H:$I,2,0),"")</f>
        <v/>
      </c>
      <c r="BJ281" s="28" t="str">
        <f>IFERROR(VLOOKUP(BH281,Horarios!$H:$I,2,0),"")</f>
        <v/>
      </c>
      <c r="BK281" s="28" t="str">
        <f t="shared" si="202"/>
        <v>00:00</v>
      </c>
      <c r="BL281" s="29"/>
      <c r="BM281" s="27"/>
      <c r="BN281" s="27"/>
      <c r="BO281" s="28" t="str">
        <f>IFERROR(VLOOKUP(BM281,Horarios!$H:$I,2,0),"")</f>
        <v/>
      </c>
      <c r="BP281" s="28" t="str">
        <f>IFERROR(VLOOKUP(BN281,Horarios!$H:$I,2,0),"")</f>
        <v/>
      </c>
      <c r="BQ281" s="28" t="str">
        <f t="shared" si="203"/>
        <v>00:00</v>
      </c>
      <c r="BR281" s="29"/>
      <c r="BS281" s="27"/>
      <c r="BT281" s="27"/>
      <c r="BU281" s="28" t="str">
        <f>IFERROR(VLOOKUP(BS281,Horarios!$H:$I,2,0),"")</f>
        <v/>
      </c>
      <c r="BV281" s="28" t="str">
        <f>IFERROR(VLOOKUP(BT281,Horarios!$H:$I,2,0),"")</f>
        <v/>
      </c>
      <c r="BW281" s="28" t="str">
        <f t="shared" si="204"/>
        <v>00:00</v>
      </c>
      <c r="BX281" s="29"/>
      <c r="BY281" s="27"/>
      <c r="BZ281" s="27"/>
      <c r="CA281" s="28" t="str">
        <f>IFERROR(VLOOKUP(BY281,Horarios!$H:$I,2,0),"")</f>
        <v/>
      </c>
      <c r="CB281" s="28" t="str">
        <f>IFERROR(VLOOKUP(BZ281,Horarios!$H:$I,2,0),"")</f>
        <v/>
      </c>
      <c r="CC281" s="28" t="str">
        <f t="shared" si="205"/>
        <v>00:00</v>
      </c>
      <c r="CD281" s="29"/>
      <c r="CE281" s="27"/>
      <c r="CF281" s="27"/>
      <c r="CG281" s="28" t="str">
        <f>IFERROR(VLOOKUP(CE281,Horarios!$H:$I,2,0),"")</f>
        <v/>
      </c>
      <c r="CH281" s="28" t="str">
        <f>IFERROR(VLOOKUP(CF281,Horarios!$H:$I,2,0),"")</f>
        <v/>
      </c>
      <c r="CI281" s="28" t="str">
        <f t="shared" si="206"/>
        <v>00:00</v>
      </c>
      <c r="CJ281" s="29"/>
      <c r="CK281" s="31" t="str">
        <f t="shared" si="207"/>
        <v/>
      </c>
      <c r="CL281" s="27"/>
      <c r="CM281" s="27"/>
      <c r="CN281" s="28" t="str">
        <f>IFERROR(VLOOKUP(CL281,Horarios!$H:$I,2,0),"")</f>
        <v/>
      </c>
      <c r="CO281" s="28" t="str">
        <f>IFERROR(VLOOKUP(CM281,Horarios!$H:$I,2,0),"")</f>
        <v/>
      </c>
      <c r="CP281" s="28" t="str">
        <f t="shared" si="208"/>
        <v>00:00</v>
      </c>
      <c r="CQ281" s="29"/>
      <c r="CR281" s="27"/>
      <c r="CS281" s="27"/>
      <c r="CT281" s="28" t="str">
        <f>IFERROR(VLOOKUP(CR281,Horarios!$H:$I,2,0),"")</f>
        <v/>
      </c>
      <c r="CU281" s="28" t="str">
        <f>IFERROR(VLOOKUP(CS281,Horarios!$H:$I,2,0),"")</f>
        <v/>
      </c>
      <c r="CV281" s="28" t="str">
        <f t="shared" si="209"/>
        <v>00:00</v>
      </c>
      <c r="CW281" s="29"/>
      <c r="CX281" s="27"/>
      <c r="CY281" s="27"/>
      <c r="CZ281" s="28" t="str">
        <f>IFERROR(VLOOKUP(CX281,Horarios!$H:$I,2,0),"")</f>
        <v/>
      </c>
      <c r="DA281" s="28" t="str">
        <f>IFERROR(VLOOKUP(CY281,Horarios!$H:$I,2,0),"")</f>
        <v/>
      </c>
      <c r="DB281" s="28" t="str">
        <f t="shared" si="210"/>
        <v>00:00</v>
      </c>
      <c r="DC281" s="29"/>
      <c r="DD281" s="27"/>
      <c r="DE281" s="27"/>
      <c r="DF281" s="28" t="str">
        <f>IFERROR(VLOOKUP(DD281,Horarios!$H:$I,2,0),"")</f>
        <v/>
      </c>
      <c r="DG281" s="28" t="str">
        <f>IFERROR(VLOOKUP(DE281,Horarios!$H:$I,2,0),"")</f>
        <v/>
      </c>
      <c r="DH281" s="28" t="str">
        <f t="shared" si="211"/>
        <v>00:00</v>
      </c>
      <c r="DI281" s="29"/>
      <c r="DJ281" s="27"/>
      <c r="DK281" s="27"/>
      <c r="DL281" s="28" t="str">
        <f>IFERROR(VLOOKUP(DJ281,Horarios!$H:$I,2,0),"")</f>
        <v/>
      </c>
      <c r="DM281" s="28" t="str">
        <f>IFERROR(VLOOKUP(DK281,Horarios!$H:$I,2,0),"")</f>
        <v/>
      </c>
      <c r="DN281" s="28" t="str">
        <f t="shared" si="212"/>
        <v>00:00</v>
      </c>
      <c r="DO281" s="29"/>
      <c r="DP281" s="27"/>
      <c r="DQ281" s="27"/>
      <c r="DR281" s="28" t="str">
        <f>IFERROR(VLOOKUP(DP281,Horarios!$H:$I,2,0),"")</f>
        <v/>
      </c>
      <c r="DS281" s="28" t="str">
        <f>IFERROR(VLOOKUP(DQ281,Horarios!$H:$I,2,0),"")</f>
        <v/>
      </c>
      <c r="DT281" s="28" t="str">
        <f t="shared" si="213"/>
        <v>00:00</v>
      </c>
      <c r="DU281" s="29"/>
      <c r="DV281" s="27"/>
      <c r="DW281" s="27"/>
      <c r="DX281" s="28" t="str">
        <f>IFERROR(VLOOKUP(DV281,Horarios!$H:$I,2,0),"")</f>
        <v/>
      </c>
      <c r="DY281" s="28" t="str">
        <f>IFERROR(VLOOKUP(DW281,Horarios!$H:$I,2,0),"")</f>
        <v/>
      </c>
      <c r="DZ281" s="28" t="str">
        <f t="shared" si="214"/>
        <v>00:00</v>
      </c>
      <c r="EA281" s="29"/>
      <c r="EB281" s="31" t="str">
        <f t="shared" si="215"/>
        <v/>
      </c>
      <c r="EC281" s="27"/>
      <c r="ED281" s="27"/>
      <c r="EE281" s="28" t="str">
        <f>IFERROR(VLOOKUP(EC281,Horarios!$H:$I,2,0),"")</f>
        <v/>
      </c>
      <c r="EF281" s="28" t="str">
        <f>IFERROR(VLOOKUP(ED281,Horarios!$H:$I,2,0),"")</f>
        <v/>
      </c>
      <c r="EG281" s="28" t="str">
        <f t="shared" si="216"/>
        <v>00:00</v>
      </c>
      <c r="EH281" s="29"/>
      <c r="EI281" s="27"/>
      <c r="EJ281" s="27"/>
      <c r="EK281" s="28" t="str">
        <f>IFERROR(VLOOKUP(EI281,Horarios!$H:$I,2,0),"")</f>
        <v/>
      </c>
      <c r="EL281" s="28" t="str">
        <f>IFERROR(VLOOKUP(EJ281,Horarios!$H:$I,2,0),"")</f>
        <v/>
      </c>
      <c r="EM281" s="28" t="str">
        <f t="shared" si="217"/>
        <v>00:00</v>
      </c>
      <c r="EN281" s="29"/>
      <c r="EO281" s="27"/>
      <c r="EP281" s="27"/>
      <c r="EQ281" s="28" t="str">
        <f>IFERROR(VLOOKUP(EO281,Horarios!$H:$I,2,0),"")</f>
        <v/>
      </c>
      <c r="ER281" s="28" t="str">
        <f>IFERROR(VLOOKUP(EP281,Horarios!$H:$I,2,0),"")</f>
        <v/>
      </c>
      <c r="ES281" s="28" t="str">
        <f t="shared" si="218"/>
        <v>00:00</v>
      </c>
      <c r="ET281" s="29"/>
      <c r="EU281" s="27"/>
      <c r="EV281" s="27"/>
      <c r="EW281" s="28" t="str">
        <f>IFERROR(VLOOKUP(EU281,Horarios!$H:$I,2,0),"")</f>
        <v/>
      </c>
      <c r="EX281" s="28" t="str">
        <f>IFERROR(VLOOKUP(EV281,Horarios!$H:$I,2,0),"")</f>
        <v/>
      </c>
      <c r="EY281" s="28" t="str">
        <f t="shared" si="219"/>
        <v>00:00</v>
      </c>
      <c r="EZ281" s="29"/>
      <c r="FA281" s="27"/>
      <c r="FB281" s="27"/>
      <c r="FC281" s="28" t="str">
        <f>IFERROR(VLOOKUP(FA281,Horarios!$H:$I,2,0),"")</f>
        <v/>
      </c>
      <c r="FD281" s="28" t="str">
        <f>IFERROR(VLOOKUP(FB281,Horarios!$H:$I,2,0),"")</f>
        <v/>
      </c>
      <c r="FE281" s="28" t="str">
        <f t="shared" si="220"/>
        <v>00:00</v>
      </c>
      <c r="FF281" s="29"/>
      <c r="FG281" s="27"/>
      <c r="FH281" s="27"/>
      <c r="FI281" s="28" t="str">
        <f>IFERROR(VLOOKUP(FG281,Horarios!$H:$I,2,0),"")</f>
        <v/>
      </c>
      <c r="FJ281" s="28" t="str">
        <f>IFERROR(VLOOKUP(FH281,Horarios!$H:$I,2,0),"")</f>
        <v/>
      </c>
      <c r="FK281" s="28" t="str">
        <f t="shared" si="221"/>
        <v>00:00</v>
      </c>
      <c r="FL281" s="29"/>
      <c r="FM281" s="27"/>
      <c r="FN281" s="27"/>
      <c r="FO281" s="28" t="str">
        <f>IFERROR(VLOOKUP(FM281,Horarios!$H:$I,2,0),"")</f>
        <v/>
      </c>
      <c r="FP281" s="28" t="str">
        <f>IFERROR(VLOOKUP(FN281,Horarios!$H:$I,2,0),"")</f>
        <v/>
      </c>
      <c r="FQ281" s="28" t="str">
        <f t="shared" si="222"/>
        <v>00:00</v>
      </c>
      <c r="FR281" s="29"/>
      <c r="FS281" s="31" t="str">
        <f t="shared" si="223"/>
        <v/>
      </c>
      <c r="FT281" s="27"/>
      <c r="FU281" s="27"/>
      <c r="FV281" s="28" t="str">
        <f>IFERROR(VLOOKUP(FT281,Horarios!$H:$I,2,0),"")</f>
        <v/>
      </c>
      <c r="FW281" s="28" t="str">
        <f>IFERROR(VLOOKUP(FU281,Horarios!$H:$I,2,0),"")</f>
        <v/>
      </c>
      <c r="FX281" s="28" t="str">
        <f t="shared" si="224"/>
        <v>00:00</v>
      </c>
      <c r="FY281" s="29"/>
      <c r="FZ281" s="27"/>
      <c r="GA281" s="27"/>
      <c r="GB281" s="28" t="str">
        <f>IFERROR(VLOOKUP(FZ281,Horarios!$H:$I,2,0),"")</f>
        <v/>
      </c>
      <c r="GC281" s="28" t="str">
        <f>IFERROR(VLOOKUP(GA281,Horarios!$H:$I,2,0),"")</f>
        <v/>
      </c>
      <c r="GD281" s="28" t="str">
        <f t="shared" si="225"/>
        <v>00:00</v>
      </c>
      <c r="GE281" s="29"/>
      <c r="GF281" s="27"/>
      <c r="GG281" s="27"/>
      <c r="GH281" s="28" t="str">
        <f>IFERROR(VLOOKUP(GF281,Horarios!$H:$I,2,0),"")</f>
        <v/>
      </c>
      <c r="GI281" s="28" t="str">
        <f>IFERROR(VLOOKUP(GG281,Horarios!$H:$I,2,0),"")</f>
        <v/>
      </c>
      <c r="GJ281" s="28" t="str">
        <f t="shared" si="226"/>
        <v>00:00</v>
      </c>
      <c r="GK281" s="29"/>
      <c r="GL281" s="27"/>
      <c r="GM281" s="27"/>
      <c r="GN281" s="28" t="str">
        <f>IFERROR(VLOOKUP(GL281,Horarios!$H:$I,2,0),"")</f>
        <v/>
      </c>
      <c r="GO281" s="28" t="str">
        <f>IFERROR(VLOOKUP(GM281,Horarios!$H:$I,2,0),"")</f>
        <v/>
      </c>
      <c r="GP281" s="28" t="str">
        <f t="shared" si="227"/>
        <v>00:00</v>
      </c>
      <c r="GQ281" s="29"/>
      <c r="GR281" s="27"/>
      <c r="GS281" s="27"/>
      <c r="GT281" s="28" t="str">
        <f>IFERROR(VLOOKUP(GR281,Horarios!$H:$I,2,0),"")</f>
        <v/>
      </c>
      <c r="GU281" s="28" t="str">
        <f>IFERROR(VLOOKUP(GS281,Horarios!$H:$I,2,0),"")</f>
        <v/>
      </c>
      <c r="GV281" s="28" t="str">
        <f t="shared" si="228"/>
        <v>00:00</v>
      </c>
      <c r="GW281" s="29"/>
      <c r="GX281" s="27"/>
      <c r="GY281" s="27"/>
      <c r="GZ281" s="28" t="str">
        <f>IFERROR(VLOOKUP(GX281,Horarios!$H:$I,2,0),"")</f>
        <v/>
      </c>
      <c r="HA281" s="28" t="str">
        <f>IFERROR(VLOOKUP(GY281,Horarios!$H:$I,2,0),"")</f>
        <v/>
      </c>
      <c r="HB281" s="28" t="str">
        <f t="shared" si="229"/>
        <v>00:00</v>
      </c>
      <c r="HC281" s="29"/>
      <c r="HD281" s="27"/>
      <c r="HE281" s="27"/>
      <c r="HF281" s="28" t="str">
        <f>IFERROR(VLOOKUP(HD281,Horarios!$H:$I,2,0),"")</f>
        <v/>
      </c>
      <c r="HG281" s="28" t="str">
        <f>IFERROR(VLOOKUP(HE281,Horarios!$H:$I,2,0),"")</f>
        <v/>
      </c>
      <c r="HH281" s="28" t="str">
        <f t="shared" si="230"/>
        <v>00:00</v>
      </c>
      <c r="HI281" s="29"/>
      <c r="HJ281" s="31" t="str">
        <f t="shared" si="231"/>
        <v/>
      </c>
      <c r="HK281" s="27"/>
      <c r="HL281" s="27"/>
      <c r="HM281" s="28" t="str">
        <f>IFERROR(VLOOKUP(HK281,Horarios!$H:$I,2,0),"")</f>
        <v/>
      </c>
      <c r="HN281" s="28" t="str">
        <f>IFERROR(VLOOKUP(HL281,Horarios!$H:$I,2,0),"")</f>
        <v/>
      </c>
      <c r="HO281" s="28" t="str">
        <f t="shared" si="232"/>
        <v>00:00</v>
      </c>
      <c r="HP281" s="29"/>
      <c r="HQ281" s="27"/>
      <c r="HR281" s="27"/>
      <c r="HS281" s="28" t="str">
        <f>IFERROR(VLOOKUP(HQ281,Horarios!$H:$I,2,0),"")</f>
        <v/>
      </c>
      <c r="HT281" s="28" t="str">
        <f>IFERROR(VLOOKUP(HR281,Horarios!$H:$I,2,0),"")</f>
        <v/>
      </c>
      <c r="HU281" s="28" t="str">
        <f t="shared" si="233"/>
        <v>00:00</v>
      </c>
      <c r="HV281" s="29"/>
      <c r="HW281" s="27"/>
      <c r="HX281" s="27"/>
      <c r="HY281" s="28" t="str">
        <f>IFERROR(VLOOKUP(HW281,Horarios!$H:$I,2,0),"")</f>
        <v/>
      </c>
      <c r="HZ281" s="28" t="str">
        <f>IFERROR(VLOOKUP(HX281,Horarios!$H:$I,2,0),"")</f>
        <v/>
      </c>
      <c r="IA281" s="28" t="str">
        <f t="shared" si="234"/>
        <v>00:00</v>
      </c>
      <c r="IB281" s="29"/>
      <c r="IC281" s="27"/>
      <c r="ID281" s="27"/>
      <c r="IE281" s="28" t="str">
        <f>IFERROR(VLOOKUP(IC281,Horarios!$H:$I,2,0),"")</f>
        <v/>
      </c>
      <c r="IF281" s="28" t="str">
        <f>IFERROR(VLOOKUP(ID281,Horarios!$H:$I,2,0),"")</f>
        <v/>
      </c>
      <c r="IG281" s="28" t="str">
        <f t="shared" si="235"/>
        <v>00:00</v>
      </c>
      <c r="IH281" s="29"/>
      <c r="II281" s="27"/>
      <c r="IJ281" s="27"/>
      <c r="IK281" s="28" t="str">
        <f>IFERROR(VLOOKUP(II281,Horarios!$H:$I,2,0),"")</f>
        <v/>
      </c>
      <c r="IL281" s="28" t="str">
        <f>IFERROR(VLOOKUP(IJ281,Horarios!$H:$I,2,0),"")</f>
        <v/>
      </c>
      <c r="IM281" s="28" t="str">
        <f t="shared" si="236"/>
        <v>00:00</v>
      </c>
      <c r="IN281" s="29"/>
      <c r="IO281" s="27"/>
      <c r="IP281" s="27"/>
      <c r="IQ281" s="28" t="str">
        <f>IFERROR(VLOOKUP(IO281,Horarios!$H:$I,2,0),"")</f>
        <v/>
      </c>
      <c r="IR281" s="28" t="str">
        <f>IFERROR(VLOOKUP(IP281,Horarios!$H:$I,2,0),"")</f>
        <v/>
      </c>
      <c r="IS281" s="28" t="str">
        <f t="shared" si="237"/>
        <v>00:00</v>
      </c>
      <c r="IT281" s="29"/>
      <c r="IU281" s="27"/>
      <c r="IV281" s="27"/>
      <c r="IW281" s="28" t="str">
        <f>IFERROR(VLOOKUP(IU281,Horarios!$H:$I,2,0),"")</f>
        <v/>
      </c>
      <c r="IX281" s="28" t="str">
        <f>IFERROR(VLOOKUP(IV281,Horarios!$H:$I,2,0),"")</f>
        <v/>
      </c>
      <c r="IY281" s="28" t="str">
        <f t="shared" si="238"/>
        <v>00:00</v>
      </c>
      <c r="IZ281" s="29"/>
      <c r="JA281" s="31" t="str">
        <f t="shared" si="239"/>
        <v/>
      </c>
    </row>
    <row r="282" spans="1:261" s="24" customFormat="1" ht="17.399999999999999" x14ac:dyDescent="0.25">
      <c r="A282" s="25"/>
      <c r="B282" s="26" t="str">
        <f>IFERROR(VLOOKUP(A282,BaseNombres!A:B,2,0),"")</f>
        <v/>
      </c>
      <c r="C282" s="26" t="str">
        <f>IFERROR(VLOOKUP(A282,BaseNombres!A:C,3,0),"")</f>
        <v/>
      </c>
      <c r="D282" s="27"/>
      <c r="E282" s="27"/>
      <c r="F282" s="28" t="str">
        <f>IFERROR(VLOOKUP(D282,Horarios!$H:$I,2,0),"")</f>
        <v/>
      </c>
      <c r="G282" s="28" t="str">
        <f>IFERROR(VLOOKUP(E282,Horarios!$H:$I,2,0),"")</f>
        <v/>
      </c>
      <c r="H282" s="28" t="str">
        <f t="shared" si="192"/>
        <v>00:00</v>
      </c>
      <c r="I282" s="29"/>
      <c r="J282" s="27"/>
      <c r="K282" s="27"/>
      <c r="L282" s="28" t="str">
        <f>IFERROR(VLOOKUP(J282,Horarios!$H:$I,2,0),"")</f>
        <v/>
      </c>
      <c r="M282" s="28" t="str">
        <f>IFERROR(VLOOKUP(K282,Horarios!$H:$I,2,0),"")</f>
        <v/>
      </c>
      <c r="N282" s="28" t="str">
        <f t="shared" si="193"/>
        <v>00:00</v>
      </c>
      <c r="O282" s="29"/>
      <c r="P282" s="27"/>
      <c r="Q282" s="27"/>
      <c r="R282" s="28" t="str">
        <f>IFERROR(VLOOKUP(P282,Horarios!$H:$I,2,0),"")</f>
        <v/>
      </c>
      <c r="S282" s="28" t="str">
        <f>IFERROR(VLOOKUP(Q282,Horarios!$H:$I,2,0),"")</f>
        <v/>
      </c>
      <c r="T282" s="28" t="str">
        <f t="shared" si="194"/>
        <v>00:00</v>
      </c>
      <c r="U282" s="29"/>
      <c r="V282" s="27"/>
      <c r="W282" s="27"/>
      <c r="X282" s="28" t="str">
        <f>IFERROR(VLOOKUP(V282,Horarios!$H:$I,2,0),"")</f>
        <v/>
      </c>
      <c r="Y282" s="28" t="str">
        <f>IFERROR(VLOOKUP(W282,Horarios!$H:$I,2,0),"")</f>
        <v/>
      </c>
      <c r="Z282" s="28" t="str">
        <f t="shared" si="195"/>
        <v>00:00</v>
      </c>
      <c r="AA282" s="29"/>
      <c r="AB282" s="27"/>
      <c r="AC282" s="27"/>
      <c r="AD282" s="28" t="str">
        <f>IFERROR(VLOOKUP(AB282,Horarios!$H:$I,2,0),"")</f>
        <v/>
      </c>
      <c r="AE282" s="28" t="str">
        <f>IFERROR(VLOOKUP(AC282,Horarios!$H:$I,2,0),"")</f>
        <v/>
      </c>
      <c r="AF282" s="28" t="str">
        <f t="shared" si="196"/>
        <v>00:00</v>
      </c>
      <c r="AG282" s="29"/>
      <c r="AH282" s="27"/>
      <c r="AI282" s="27"/>
      <c r="AJ282" s="28" t="str">
        <f>IFERROR(VLOOKUP(AH282,Horarios!$H:$I,2,0),"")</f>
        <v/>
      </c>
      <c r="AK282" s="28" t="str">
        <f>IFERROR(VLOOKUP(AI282,Horarios!$H:$I,2,0),"")</f>
        <v/>
      </c>
      <c r="AL282" s="28" t="str">
        <f t="shared" si="197"/>
        <v>00:00</v>
      </c>
      <c r="AM282" s="29"/>
      <c r="AN282" s="27"/>
      <c r="AO282" s="27"/>
      <c r="AP282" s="28" t="str">
        <f>IFERROR(VLOOKUP(AN282,Horarios!$H:$I,2,0),"")</f>
        <v/>
      </c>
      <c r="AQ282" s="28" t="str">
        <f>IFERROR(VLOOKUP(AO282,Horarios!$H:$I,2,0),"")</f>
        <v/>
      </c>
      <c r="AR282" s="28" t="str">
        <f t="shared" si="198"/>
        <v>00:00</v>
      </c>
      <c r="AS282" s="29"/>
      <c r="AT282" s="31" t="str">
        <f t="shared" si="199"/>
        <v/>
      </c>
      <c r="AU282" s="27"/>
      <c r="AV282" s="27"/>
      <c r="AW282" s="28" t="str">
        <f>IFERROR(VLOOKUP(AU282,Horarios!$H:$I,2,0),"")</f>
        <v/>
      </c>
      <c r="AX282" s="28" t="str">
        <f>IFERROR(VLOOKUP(AV282,Horarios!$H:$I,2,0),"")</f>
        <v/>
      </c>
      <c r="AY282" s="28" t="str">
        <f t="shared" si="200"/>
        <v>00:00</v>
      </c>
      <c r="AZ282" s="29"/>
      <c r="BA282" s="27"/>
      <c r="BB282" s="27"/>
      <c r="BC282" s="28" t="str">
        <f>IFERROR(VLOOKUP(BA282,Horarios!$H:$I,2,0),"")</f>
        <v/>
      </c>
      <c r="BD282" s="28" t="str">
        <f>IFERROR(VLOOKUP(BB282,Horarios!$H:$I,2,0),"")</f>
        <v/>
      </c>
      <c r="BE282" s="28" t="str">
        <f t="shared" si="201"/>
        <v>00:00</v>
      </c>
      <c r="BF282" s="29"/>
      <c r="BG282" s="27"/>
      <c r="BH282" s="27"/>
      <c r="BI282" s="28" t="str">
        <f>IFERROR(VLOOKUP(BG282,Horarios!$H:$I,2,0),"")</f>
        <v/>
      </c>
      <c r="BJ282" s="28" t="str">
        <f>IFERROR(VLOOKUP(BH282,Horarios!$H:$I,2,0),"")</f>
        <v/>
      </c>
      <c r="BK282" s="28" t="str">
        <f t="shared" si="202"/>
        <v>00:00</v>
      </c>
      <c r="BL282" s="29"/>
      <c r="BM282" s="27"/>
      <c r="BN282" s="27"/>
      <c r="BO282" s="28" t="str">
        <f>IFERROR(VLOOKUP(BM282,Horarios!$H:$I,2,0),"")</f>
        <v/>
      </c>
      <c r="BP282" s="28" t="str">
        <f>IFERROR(VLOOKUP(BN282,Horarios!$H:$I,2,0),"")</f>
        <v/>
      </c>
      <c r="BQ282" s="28" t="str">
        <f t="shared" si="203"/>
        <v>00:00</v>
      </c>
      <c r="BR282" s="29"/>
      <c r="BS282" s="27"/>
      <c r="BT282" s="27"/>
      <c r="BU282" s="28" t="str">
        <f>IFERROR(VLOOKUP(BS282,Horarios!$H:$I,2,0),"")</f>
        <v/>
      </c>
      <c r="BV282" s="28" t="str">
        <f>IFERROR(VLOOKUP(BT282,Horarios!$H:$I,2,0),"")</f>
        <v/>
      </c>
      <c r="BW282" s="28" t="str">
        <f t="shared" si="204"/>
        <v>00:00</v>
      </c>
      <c r="BX282" s="29"/>
      <c r="BY282" s="27"/>
      <c r="BZ282" s="27"/>
      <c r="CA282" s="28" t="str">
        <f>IFERROR(VLOOKUP(BY282,Horarios!$H:$I,2,0),"")</f>
        <v/>
      </c>
      <c r="CB282" s="28" t="str">
        <f>IFERROR(VLOOKUP(BZ282,Horarios!$H:$I,2,0),"")</f>
        <v/>
      </c>
      <c r="CC282" s="28" t="str">
        <f t="shared" si="205"/>
        <v>00:00</v>
      </c>
      <c r="CD282" s="29"/>
      <c r="CE282" s="27"/>
      <c r="CF282" s="27"/>
      <c r="CG282" s="28" t="str">
        <f>IFERROR(VLOOKUP(CE282,Horarios!$H:$I,2,0),"")</f>
        <v/>
      </c>
      <c r="CH282" s="28" t="str">
        <f>IFERROR(VLOOKUP(CF282,Horarios!$H:$I,2,0),"")</f>
        <v/>
      </c>
      <c r="CI282" s="28" t="str">
        <f t="shared" si="206"/>
        <v>00:00</v>
      </c>
      <c r="CJ282" s="29"/>
      <c r="CK282" s="31" t="str">
        <f t="shared" si="207"/>
        <v/>
      </c>
      <c r="CL282" s="27"/>
      <c r="CM282" s="27"/>
      <c r="CN282" s="28" t="str">
        <f>IFERROR(VLOOKUP(CL282,Horarios!$H:$I,2,0),"")</f>
        <v/>
      </c>
      <c r="CO282" s="28" t="str">
        <f>IFERROR(VLOOKUP(CM282,Horarios!$H:$I,2,0),"")</f>
        <v/>
      </c>
      <c r="CP282" s="28" t="str">
        <f t="shared" si="208"/>
        <v>00:00</v>
      </c>
      <c r="CQ282" s="29"/>
      <c r="CR282" s="27"/>
      <c r="CS282" s="27"/>
      <c r="CT282" s="28" t="str">
        <f>IFERROR(VLOOKUP(CR282,Horarios!$H:$I,2,0),"")</f>
        <v/>
      </c>
      <c r="CU282" s="28" t="str">
        <f>IFERROR(VLOOKUP(CS282,Horarios!$H:$I,2,0),"")</f>
        <v/>
      </c>
      <c r="CV282" s="28" t="str">
        <f t="shared" si="209"/>
        <v>00:00</v>
      </c>
      <c r="CW282" s="29"/>
      <c r="CX282" s="27"/>
      <c r="CY282" s="27"/>
      <c r="CZ282" s="28" t="str">
        <f>IFERROR(VLOOKUP(CX282,Horarios!$H:$I,2,0),"")</f>
        <v/>
      </c>
      <c r="DA282" s="28" t="str">
        <f>IFERROR(VLOOKUP(CY282,Horarios!$H:$I,2,0),"")</f>
        <v/>
      </c>
      <c r="DB282" s="28" t="str">
        <f t="shared" si="210"/>
        <v>00:00</v>
      </c>
      <c r="DC282" s="29"/>
      <c r="DD282" s="27"/>
      <c r="DE282" s="27"/>
      <c r="DF282" s="28" t="str">
        <f>IFERROR(VLOOKUP(DD282,Horarios!$H:$I,2,0),"")</f>
        <v/>
      </c>
      <c r="DG282" s="28" t="str">
        <f>IFERROR(VLOOKUP(DE282,Horarios!$H:$I,2,0),"")</f>
        <v/>
      </c>
      <c r="DH282" s="28" t="str">
        <f t="shared" si="211"/>
        <v>00:00</v>
      </c>
      <c r="DI282" s="29"/>
      <c r="DJ282" s="27"/>
      <c r="DK282" s="27"/>
      <c r="DL282" s="28" t="str">
        <f>IFERROR(VLOOKUP(DJ282,Horarios!$H:$I,2,0),"")</f>
        <v/>
      </c>
      <c r="DM282" s="28" t="str">
        <f>IFERROR(VLOOKUP(DK282,Horarios!$H:$I,2,0),"")</f>
        <v/>
      </c>
      <c r="DN282" s="28" t="str">
        <f t="shared" si="212"/>
        <v>00:00</v>
      </c>
      <c r="DO282" s="29"/>
      <c r="DP282" s="27"/>
      <c r="DQ282" s="27"/>
      <c r="DR282" s="28" t="str">
        <f>IFERROR(VLOOKUP(DP282,Horarios!$H:$I,2,0),"")</f>
        <v/>
      </c>
      <c r="DS282" s="28" t="str">
        <f>IFERROR(VLOOKUP(DQ282,Horarios!$H:$I,2,0),"")</f>
        <v/>
      </c>
      <c r="DT282" s="28" t="str">
        <f t="shared" si="213"/>
        <v>00:00</v>
      </c>
      <c r="DU282" s="29"/>
      <c r="DV282" s="27"/>
      <c r="DW282" s="27"/>
      <c r="DX282" s="28" t="str">
        <f>IFERROR(VLOOKUP(DV282,Horarios!$H:$I,2,0),"")</f>
        <v/>
      </c>
      <c r="DY282" s="28" t="str">
        <f>IFERROR(VLOOKUP(DW282,Horarios!$H:$I,2,0),"")</f>
        <v/>
      </c>
      <c r="DZ282" s="28" t="str">
        <f t="shared" si="214"/>
        <v>00:00</v>
      </c>
      <c r="EA282" s="29"/>
      <c r="EB282" s="31" t="str">
        <f t="shared" si="215"/>
        <v/>
      </c>
      <c r="EC282" s="27"/>
      <c r="ED282" s="27"/>
      <c r="EE282" s="28" t="str">
        <f>IFERROR(VLOOKUP(EC282,Horarios!$H:$I,2,0),"")</f>
        <v/>
      </c>
      <c r="EF282" s="28" t="str">
        <f>IFERROR(VLOOKUP(ED282,Horarios!$H:$I,2,0),"")</f>
        <v/>
      </c>
      <c r="EG282" s="28" t="str">
        <f t="shared" si="216"/>
        <v>00:00</v>
      </c>
      <c r="EH282" s="29"/>
      <c r="EI282" s="27"/>
      <c r="EJ282" s="27"/>
      <c r="EK282" s="28" t="str">
        <f>IFERROR(VLOOKUP(EI282,Horarios!$H:$I,2,0),"")</f>
        <v/>
      </c>
      <c r="EL282" s="28" t="str">
        <f>IFERROR(VLOOKUP(EJ282,Horarios!$H:$I,2,0),"")</f>
        <v/>
      </c>
      <c r="EM282" s="28" t="str">
        <f t="shared" si="217"/>
        <v>00:00</v>
      </c>
      <c r="EN282" s="29"/>
      <c r="EO282" s="27"/>
      <c r="EP282" s="27"/>
      <c r="EQ282" s="28" t="str">
        <f>IFERROR(VLOOKUP(EO282,Horarios!$H:$I,2,0),"")</f>
        <v/>
      </c>
      <c r="ER282" s="28" t="str">
        <f>IFERROR(VLOOKUP(EP282,Horarios!$H:$I,2,0),"")</f>
        <v/>
      </c>
      <c r="ES282" s="28" t="str">
        <f t="shared" si="218"/>
        <v>00:00</v>
      </c>
      <c r="ET282" s="29"/>
      <c r="EU282" s="27"/>
      <c r="EV282" s="27"/>
      <c r="EW282" s="28" t="str">
        <f>IFERROR(VLOOKUP(EU282,Horarios!$H:$I,2,0),"")</f>
        <v/>
      </c>
      <c r="EX282" s="28" t="str">
        <f>IFERROR(VLOOKUP(EV282,Horarios!$H:$I,2,0),"")</f>
        <v/>
      </c>
      <c r="EY282" s="28" t="str">
        <f t="shared" si="219"/>
        <v>00:00</v>
      </c>
      <c r="EZ282" s="29"/>
      <c r="FA282" s="27"/>
      <c r="FB282" s="27"/>
      <c r="FC282" s="28" t="str">
        <f>IFERROR(VLOOKUP(FA282,Horarios!$H:$I,2,0),"")</f>
        <v/>
      </c>
      <c r="FD282" s="28" t="str">
        <f>IFERROR(VLOOKUP(FB282,Horarios!$H:$I,2,0),"")</f>
        <v/>
      </c>
      <c r="FE282" s="28" t="str">
        <f t="shared" si="220"/>
        <v>00:00</v>
      </c>
      <c r="FF282" s="29"/>
      <c r="FG282" s="27"/>
      <c r="FH282" s="27"/>
      <c r="FI282" s="28" t="str">
        <f>IFERROR(VLOOKUP(FG282,Horarios!$H:$I,2,0),"")</f>
        <v/>
      </c>
      <c r="FJ282" s="28" t="str">
        <f>IFERROR(VLOOKUP(FH282,Horarios!$H:$I,2,0),"")</f>
        <v/>
      </c>
      <c r="FK282" s="28" t="str">
        <f t="shared" si="221"/>
        <v>00:00</v>
      </c>
      <c r="FL282" s="29"/>
      <c r="FM282" s="27"/>
      <c r="FN282" s="27"/>
      <c r="FO282" s="28" t="str">
        <f>IFERROR(VLOOKUP(FM282,Horarios!$H:$I,2,0),"")</f>
        <v/>
      </c>
      <c r="FP282" s="28" t="str">
        <f>IFERROR(VLOOKUP(FN282,Horarios!$H:$I,2,0),"")</f>
        <v/>
      </c>
      <c r="FQ282" s="28" t="str">
        <f t="shared" si="222"/>
        <v>00:00</v>
      </c>
      <c r="FR282" s="29"/>
      <c r="FS282" s="31" t="str">
        <f t="shared" si="223"/>
        <v/>
      </c>
      <c r="FT282" s="27"/>
      <c r="FU282" s="27"/>
      <c r="FV282" s="28" t="str">
        <f>IFERROR(VLOOKUP(FT282,Horarios!$H:$I,2,0),"")</f>
        <v/>
      </c>
      <c r="FW282" s="28" t="str">
        <f>IFERROR(VLOOKUP(FU282,Horarios!$H:$I,2,0),"")</f>
        <v/>
      </c>
      <c r="FX282" s="28" t="str">
        <f t="shared" si="224"/>
        <v>00:00</v>
      </c>
      <c r="FY282" s="29"/>
      <c r="FZ282" s="27"/>
      <c r="GA282" s="27"/>
      <c r="GB282" s="28" t="str">
        <f>IFERROR(VLOOKUP(FZ282,Horarios!$H:$I,2,0),"")</f>
        <v/>
      </c>
      <c r="GC282" s="28" t="str">
        <f>IFERROR(VLOOKUP(GA282,Horarios!$H:$I,2,0),"")</f>
        <v/>
      </c>
      <c r="GD282" s="28" t="str">
        <f t="shared" si="225"/>
        <v>00:00</v>
      </c>
      <c r="GE282" s="29"/>
      <c r="GF282" s="27"/>
      <c r="GG282" s="27"/>
      <c r="GH282" s="28" t="str">
        <f>IFERROR(VLOOKUP(GF282,Horarios!$H:$I,2,0),"")</f>
        <v/>
      </c>
      <c r="GI282" s="28" t="str">
        <f>IFERROR(VLOOKUP(GG282,Horarios!$H:$I,2,0),"")</f>
        <v/>
      </c>
      <c r="GJ282" s="28" t="str">
        <f t="shared" si="226"/>
        <v>00:00</v>
      </c>
      <c r="GK282" s="29"/>
      <c r="GL282" s="27"/>
      <c r="GM282" s="27"/>
      <c r="GN282" s="28" t="str">
        <f>IFERROR(VLOOKUP(GL282,Horarios!$H:$I,2,0),"")</f>
        <v/>
      </c>
      <c r="GO282" s="28" t="str">
        <f>IFERROR(VLOOKUP(GM282,Horarios!$H:$I,2,0),"")</f>
        <v/>
      </c>
      <c r="GP282" s="28" t="str">
        <f t="shared" si="227"/>
        <v>00:00</v>
      </c>
      <c r="GQ282" s="29"/>
      <c r="GR282" s="27"/>
      <c r="GS282" s="27"/>
      <c r="GT282" s="28" t="str">
        <f>IFERROR(VLOOKUP(GR282,Horarios!$H:$I,2,0),"")</f>
        <v/>
      </c>
      <c r="GU282" s="28" t="str">
        <f>IFERROR(VLOOKUP(GS282,Horarios!$H:$I,2,0),"")</f>
        <v/>
      </c>
      <c r="GV282" s="28" t="str">
        <f t="shared" si="228"/>
        <v>00:00</v>
      </c>
      <c r="GW282" s="29"/>
      <c r="GX282" s="27"/>
      <c r="GY282" s="27"/>
      <c r="GZ282" s="28" t="str">
        <f>IFERROR(VLOOKUP(GX282,Horarios!$H:$I,2,0),"")</f>
        <v/>
      </c>
      <c r="HA282" s="28" t="str">
        <f>IFERROR(VLOOKUP(GY282,Horarios!$H:$I,2,0),"")</f>
        <v/>
      </c>
      <c r="HB282" s="28" t="str">
        <f t="shared" si="229"/>
        <v>00:00</v>
      </c>
      <c r="HC282" s="29"/>
      <c r="HD282" s="27"/>
      <c r="HE282" s="27"/>
      <c r="HF282" s="28" t="str">
        <f>IFERROR(VLOOKUP(HD282,Horarios!$H:$I,2,0),"")</f>
        <v/>
      </c>
      <c r="HG282" s="28" t="str">
        <f>IFERROR(VLOOKUP(HE282,Horarios!$H:$I,2,0),"")</f>
        <v/>
      </c>
      <c r="HH282" s="28" t="str">
        <f t="shared" si="230"/>
        <v>00:00</v>
      </c>
      <c r="HI282" s="29"/>
      <c r="HJ282" s="31" t="str">
        <f t="shared" si="231"/>
        <v/>
      </c>
      <c r="HK282" s="27"/>
      <c r="HL282" s="27"/>
      <c r="HM282" s="28" t="str">
        <f>IFERROR(VLOOKUP(HK282,Horarios!$H:$I,2,0),"")</f>
        <v/>
      </c>
      <c r="HN282" s="28" t="str">
        <f>IFERROR(VLOOKUP(HL282,Horarios!$H:$I,2,0),"")</f>
        <v/>
      </c>
      <c r="HO282" s="28" t="str">
        <f t="shared" si="232"/>
        <v>00:00</v>
      </c>
      <c r="HP282" s="29"/>
      <c r="HQ282" s="27"/>
      <c r="HR282" s="27"/>
      <c r="HS282" s="28" t="str">
        <f>IFERROR(VLOOKUP(HQ282,Horarios!$H:$I,2,0),"")</f>
        <v/>
      </c>
      <c r="HT282" s="28" t="str">
        <f>IFERROR(VLOOKUP(HR282,Horarios!$H:$I,2,0),"")</f>
        <v/>
      </c>
      <c r="HU282" s="28" t="str">
        <f t="shared" si="233"/>
        <v>00:00</v>
      </c>
      <c r="HV282" s="29"/>
      <c r="HW282" s="27"/>
      <c r="HX282" s="27"/>
      <c r="HY282" s="28" t="str">
        <f>IFERROR(VLOOKUP(HW282,Horarios!$H:$I,2,0),"")</f>
        <v/>
      </c>
      <c r="HZ282" s="28" t="str">
        <f>IFERROR(VLOOKUP(HX282,Horarios!$H:$I,2,0),"")</f>
        <v/>
      </c>
      <c r="IA282" s="28" t="str">
        <f t="shared" si="234"/>
        <v>00:00</v>
      </c>
      <c r="IB282" s="29"/>
      <c r="IC282" s="27"/>
      <c r="ID282" s="27"/>
      <c r="IE282" s="28" t="str">
        <f>IFERROR(VLOOKUP(IC282,Horarios!$H:$I,2,0),"")</f>
        <v/>
      </c>
      <c r="IF282" s="28" t="str">
        <f>IFERROR(VLOOKUP(ID282,Horarios!$H:$I,2,0),"")</f>
        <v/>
      </c>
      <c r="IG282" s="28" t="str">
        <f t="shared" si="235"/>
        <v>00:00</v>
      </c>
      <c r="IH282" s="29"/>
      <c r="II282" s="27"/>
      <c r="IJ282" s="27"/>
      <c r="IK282" s="28" t="str">
        <f>IFERROR(VLOOKUP(II282,Horarios!$H:$I,2,0),"")</f>
        <v/>
      </c>
      <c r="IL282" s="28" t="str">
        <f>IFERROR(VLOOKUP(IJ282,Horarios!$H:$I,2,0),"")</f>
        <v/>
      </c>
      <c r="IM282" s="28" t="str">
        <f t="shared" si="236"/>
        <v>00:00</v>
      </c>
      <c r="IN282" s="29"/>
      <c r="IO282" s="27"/>
      <c r="IP282" s="27"/>
      <c r="IQ282" s="28" t="str">
        <f>IFERROR(VLOOKUP(IO282,Horarios!$H:$I,2,0),"")</f>
        <v/>
      </c>
      <c r="IR282" s="28" t="str">
        <f>IFERROR(VLOOKUP(IP282,Horarios!$H:$I,2,0),"")</f>
        <v/>
      </c>
      <c r="IS282" s="28" t="str">
        <f t="shared" si="237"/>
        <v>00:00</v>
      </c>
      <c r="IT282" s="29"/>
      <c r="IU282" s="27"/>
      <c r="IV282" s="27"/>
      <c r="IW282" s="28" t="str">
        <f>IFERROR(VLOOKUP(IU282,Horarios!$H:$I,2,0),"")</f>
        <v/>
      </c>
      <c r="IX282" s="28" t="str">
        <f>IFERROR(VLOOKUP(IV282,Horarios!$H:$I,2,0),"")</f>
        <v/>
      </c>
      <c r="IY282" s="28" t="str">
        <f t="shared" si="238"/>
        <v>00:00</v>
      </c>
      <c r="IZ282" s="29"/>
      <c r="JA282" s="31" t="str">
        <f t="shared" si="239"/>
        <v/>
      </c>
    </row>
    <row r="283" spans="1:261" s="24" customFormat="1" ht="17.399999999999999" x14ac:dyDescent="0.25">
      <c r="A283" s="25"/>
      <c r="B283" s="26" t="str">
        <f>IFERROR(VLOOKUP(A283,BaseNombres!A:B,2,0),"")</f>
        <v/>
      </c>
      <c r="C283" s="26" t="str">
        <f>IFERROR(VLOOKUP(A283,BaseNombres!A:C,3,0),"")</f>
        <v/>
      </c>
      <c r="D283" s="27"/>
      <c r="E283" s="27"/>
      <c r="F283" s="28" t="str">
        <f>IFERROR(VLOOKUP(D283,Horarios!$H:$I,2,0),"")</f>
        <v/>
      </c>
      <c r="G283" s="28" t="str">
        <f>IFERROR(VLOOKUP(E283,Horarios!$H:$I,2,0),"")</f>
        <v/>
      </c>
      <c r="H283" s="28" t="str">
        <f t="shared" si="192"/>
        <v>00:00</v>
      </c>
      <c r="I283" s="29"/>
      <c r="J283" s="27"/>
      <c r="K283" s="27"/>
      <c r="L283" s="28" t="str">
        <f>IFERROR(VLOOKUP(J283,Horarios!$H:$I,2,0),"")</f>
        <v/>
      </c>
      <c r="M283" s="28" t="str">
        <f>IFERROR(VLOOKUP(K283,Horarios!$H:$I,2,0),"")</f>
        <v/>
      </c>
      <c r="N283" s="28" t="str">
        <f t="shared" si="193"/>
        <v>00:00</v>
      </c>
      <c r="O283" s="29"/>
      <c r="P283" s="27"/>
      <c r="Q283" s="27"/>
      <c r="R283" s="28" t="str">
        <f>IFERROR(VLOOKUP(P283,Horarios!$H:$I,2,0),"")</f>
        <v/>
      </c>
      <c r="S283" s="28" t="str">
        <f>IFERROR(VLOOKUP(Q283,Horarios!$H:$I,2,0),"")</f>
        <v/>
      </c>
      <c r="T283" s="28" t="str">
        <f t="shared" si="194"/>
        <v>00:00</v>
      </c>
      <c r="U283" s="29"/>
      <c r="V283" s="27"/>
      <c r="W283" s="27"/>
      <c r="X283" s="28" t="str">
        <f>IFERROR(VLOOKUP(V283,Horarios!$H:$I,2,0),"")</f>
        <v/>
      </c>
      <c r="Y283" s="28" t="str">
        <f>IFERROR(VLOOKUP(W283,Horarios!$H:$I,2,0),"")</f>
        <v/>
      </c>
      <c r="Z283" s="28" t="str">
        <f t="shared" si="195"/>
        <v>00:00</v>
      </c>
      <c r="AA283" s="29"/>
      <c r="AB283" s="27"/>
      <c r="AC283" s="27"/>
      <c r="AD283" s="28" t="str">
        <f>IFERROR(VLOOKUP(AB283,Horarios!$H:$I,2,0),"")</f>
        <v/>
      </c>
      <c r="AE283" s="28" t="str">
        <f>IFERROR(VLOOKUP(AC283,Horarios!$H:$I,2,0),"")</f>
        <v/>
      </c>
      <c r="AF283" s="28" t="str">
        <f t="shared" si="196"/>
        <v>00:00</v>
      </c>
      <c r="AG283" s="29"/>
      <c r="AH283" s="27"/>
      <c r="AI283" s="27"/>
      <c r="AJ283" s="28" t="str">
        <f>IFERROR(VLOOKUP(AH283,Horarios!$H:$I,2,0),"")</f>
        <v/>
      </c>
      <c r="AK283" s="28" t="str">
        <f>IFERROR(VLOOKUP(AI283,Horarios!$H:$I,2,0),"")</f>
        <v/>
      </c>
      <c r="AL283" s="28" t="str">
        <f t="shared" si="197"/>
        <v>00:00</v>
      </c>
      <c r="AM283" s="29"/>
      <c r="AN283" s="27"/>
      <c r="AO283" s="27"/>
      <c r="AP283" s="28" t="str">
        <f>IFERROR(VLOOKUP(AN283,Horarios!$H:$I,2,0),"")</f>
        <v/>
      </c>
      <c r="AQ283" s="28" t="str">
        <f>IFERROR(VLOOKUP(AO283,Horarios!$H:$I,2,0),"")</f>
        <v/>
      </c>
      <c r="AR283" s="28" t="str">
        <f t="shared" si="198"/>
        <v>00:00</v>
      </c>
      <c r="AS283" s="29"/>
      <c r="AT283" s="31" t="str">
        <f t="shared" si="199"/>
        <v/>
      </c>
      <c r="AU283" s="27"/>
      <c r="AV283" s="27"/>
      <c r="AW283" s="28" t="str">
        <f>IFERROR(VLOOKUP(AU283,Horarios!$H:$I,2,0),"")</f>
        <v/>
      </c>
      <c r="AX283" s="28" t="str">
        <f>IFERROR(VLOOKUP(AV283,Horarios!$H:$I,2,0),"")</f>
        <v/>
      </c>
      <c r="AY283" s="28" t="str">
        <f t="shared" si="200"/>
        <v>00:00</v>
      </c>
      <c r="AZ283" s="29"/>
      <c r="BA283" s="27"/>
      <c r="BB283" s="27"/>
      <c r="BC283" s="28" t="str">
        <f>IFERROR(VLOOKUP(BA283,Horarios!$H:$I,2,0),"")</f>
        <v/>
      </c>
      <c r="BD283" s="28" t="str">
        <f>IFERROR(VLOOKUP(BB283,Horarios!$H:$I,2,0),"")</f>
        <v/>
      </c>
      <c r="BE283" s="28" t="str">
        <f t="shared" si="201"/>
        <v>00:00</v>
      </c>
      <c r="BF283" s="29"/>
      <c r="BG283" s="27"/>
      <c r="BH283" s="27"/>
      <c r="BI283" s="28" t="str">
        <f>IFERROR(VLOOKUP(BG283,Horarios!$H:$I,2,0),"")</f>
        <v/>
      </c>
      <c r="BJ283" s="28" t="str">
        <f>IFERROR(VLOOKUP(BH283,Horarios!$H:$I,2,0),"")</f>
        <v/>
      </c>
      <c r="BK283" s="28" t="str">
        <f t="shared" si="202"/>
        <v>00:00</v>
      </c>
      <c r="BL283" s="29"/>
      <c r="BM283" s="27"/>
      <c r="BN283" s="27"/>
      <c r="BO283" s="28" t="str">
        <f>IFERROR(VLOOKUP(BM283,Horarios!$H:$I,2,0),"")</f>
        <v/>
      </c>
      <c r="BP283" s="28" t="str">
        <f>IFERROR(VLOOKUP(BN283,Horarios!$H:$I,2,0),"")</f>
        <v/>
      </c>
      <c r="BQ283" s="28" t="str">
        <f t="shared" si="203"/>
        <v>00:00</v>
      </c>
      <c r="BR283" s="29"/>
      <c r="BS283" s="27"/>
      <c r="BT283" s="27"/>
      <c r="BU283" s="28" t="str">
        <f>IFERROR(VLOOKUP(BS283,Horarios!$H:$I,2,0),"")</f>
        <v/>
      </c>
      <c r="BV283" s="28" t="str">
        <f>IFERROR(VLOOKUP(BT283,Horarios!$H:$I,2,0),"")</f>
        <v/>
      </c>
      <c r="BW283" s="28" t="str">
        <f t="shared" si="204"/>
        <v>00:00</v>
      </c>
      <c r="BX283" s="29"/>
      <c r="BY283" s="27"/>
      <c r="BZ283" s="27"/>
      <c r="CA283" s="28" t="str">
        <f>IFERROR(VLOOKUP(BY283,Horarios!$H:$I,2,0),"")</f>
        <v/>
      </c>
      <c r="CB283" s="28" t="str">
        <f>IFERROR(VLOOKUP(BZ283,Horarios!$H:$I,2,0),"")</f>
        <v/>
      </c>
      <c r="CC283" s="28" t="str">
        <f t="shared" si="205"/>
        <v>00:00</v>
      </c>
      <c r="CD283" s="29"/>
      <c r="CE283" s="27"/>
      <c r="CF283" s="27"/>
      <c r="CG283" s="28" t="str">
        <f>IFERROR(VLOOKUP(CE283,Horarios!$H:$I,2,0),"")</f>
        <v/>
      </c>
      <c r="CH283" s="28" t="str">
        <f>IFERROR(VLOOKUP(CF283,Horarios!$H:$I,2,0),"")</f>
        <v/>
      </c>
      <c r="CI283" s="28" t="str">
        <f t="shared" si="206"/>
        <v>00:00</v>
      </c>
      <c r="CJ283" s="29"/>
      <c r="CK283" s="31" t="str">
        <f t="shared" si="207"/>
        <v/>
      </c>
      <c r="CL283" s="27"/>
      <c r="CM283" s="27"/>
      <c r="CN283" s="28" t="str">
        <f>IFERROR(VLOOKUP(CL283,Horarios!$H:$I,2,0),"")</f>
        <v/>
      </c>
      <c r="CO283" s="28" t="str">
        <f>IFERROR(VLOOKUP(CM283,Horarios!$H:$I,2,0),"")</f>
        <v/>
      </c>
      <c r="CP283" s="28" t="str">
        <f t="shared" si="208"/>
        <v>00:00</v>
      </c>
      <c r="CQ283" s="29"/>
      <c r="CR283" s="27"/>
      <c r="CS283" s="27"/>
      <c r="CT283" s="28" t="str">
        <f>IFERROR(VLOOKUP(CR283,Horarios!$H:$I,2,0),"")</f>
        <v/>
      </c>
      <c r="CU283" s="28" t="str">
        <f>IFERROR(VLOOKUP(CS283,Horarios!$H:$I,2,0),"")</f>
        <v/>
      </c>
      <c r="CV283" s="28" t="str">
        <f t="shared" si="209"/>
        <v>00:00</v>
      </c>
      <c r="CW283" s="29"/>
      <c r="CX283" s="27"/>
      <c r="CY283" s="27"/>
      <c r="CZ283" s="28" t="str">
        <f>IFERROR(VLOOKUP(CX283,Horarios!$H:$I,2,0),"")</f>
        <v/>
      </c>
      <c r="DA283" s="28" t="str">
        <f>IFERROR(VLOOKUP(CY283,Horarios!$H:$I,2,0),"")</f>
        <v/>
      </c>
      <c r="DB283" s="28" t="str">
        <f t="shared" si="210"/>
        <v>00:00</v>
      </c>
      <c r="DC283" s="29"/>
      <c r="DD283" s="27"/>
      <c r="DE283" s="27"/>
      <c r="DF283" s="28" t="str">
        <f>IFERROR(VLOOKUP(DD283,Horarios!$H:$I,2,0),"")</f>
        <v/>
      </c>
      <c r="DG283" s="28" t="str">
        <f>IFERROR(VLOOKUP(DE283,Horarios!$H:$I,2,0),"")</f>
        <v/>
      </c>
      <c r="DH283" s="28" t="str">
        <f t="shared" si="211"/>
        <v>00:00</v>
      </c>
      <c r="DI283" s="29"/>
      <c r="DJ283" s="27"/>
      <c r="DK283" s="27"/>
      <c r="DL283" s="28" t="str">
        <f>IFERROR(VLOOKUP(DJ283,Horarios!$H:$I,2,0),"")</f>
        <v/>
      </c>
      <c r="DM283" s="28" t="str">
        <f>IFERROR(VLOOKUP(DK283,Horarios!$H:$I,2,0),"")</f>
        <v/>
      </c>
      <c r="DN283" s="28" t="str">
        <f t="shared" si="212"/>
        <v>00:00</v>
      </c>
      <c r="DO283" s="29"/>
      <c r="DP283" s="27"/>
      <c r="DQ283" s="27"/>
      <c r="DR283" s="28" t="str">
        <f>IFERROR(VLOOKUP(DP283,Horarios!$H:$I,2,0),"")</f>
        <v/>
      </c>
      <c r="DS283" s="28" t="str">
        <f>IFERROR(VLOOKUP(DQ283,Horarios!$H:$I,2,0),"")</f>
        <v/>
      </c>
      <c r="DT283" s="28" t="str">
        <f t="shared" si="213"/>
        <v>00:00</v>
      </c>
      <c r="DU283" s="29"/>
      <c r="DV283" s="27"/>
      <c r="DW283" s="27"/>
      <c r="DX283" s="28" t="str">
        <f>IFERROR(VLOOKUP(DV283,Horarios!$H:$I,2,0),"")</f>
        <v/>
      </c>
      <c r="DY283" s="28" t="str">
        <f>IFERROR(VLOOKUP(DW283,Horarios!$H:$I,2,0),"")</f>
        <v/>
      </c>
      <c r="DZ283" s="28" t="str">
        <f t="shared" si="214"/>
        <v>00:00</v>
      </c>
      <c r="EA283" s="29"/>
      <c r="EB283" s="31" t="str">
        <f t="shared" si="215"/>
        <v/>
      </c>
      <c r="EC283" s="27"/>
      <c r="ED283" s="27"/>
      <c r="EE283" s="28" t="str">
        <f>IFERROR(VLOOKUP(EC283,Horarios!$H:$I,2,0),"")</f>
        <v/>
      </c>
      <c r="EF283" s="28" t="str">
        <f>IFERROR(VLOOKUP(ED283,Horarios!$H:$I,2,0),"")</f>
        <v/>
      </c>
      <c r="EG283" s="28" t="str">
        <f t="shared" si="216"/>
        <v>00:00</v>
      </c>
      <c r="EH283" s="29"/>
      <c r="EI283" s="27"/>
      <c r="EJ283" s="27"/>
      <c r="EK283" s="28" t="str">
        <f>IFERROR(VLOOKUP(EI283,Horarios!$H:$I,2,0),"")</f>
        <v/>
      </c>
      <c r="EL283" s="28" t="str">
        <f>IFERROR(VLOOKUP(EJ283,Horarios!$H:$I,2,0),"")</f>
        <v/>
      </c>
      <c r="EM283" s="28" t="str">
        <f t="shared" si="217"/>
        <v>00:00</v>
      </c>
      <c r="EN283" s="29"/>
      <c r="EO283" s="27"/>
      <c r="EP283" s="27"/>
      <c r="EQ283" s="28" t="str">
        <f>IFERROR(VLOOKUP(EO283,Horarios!$H:$I,2,0),"")</f>
        <v/>
      </c>
      <c r="ER283" s="28" t="str">
        <f>IFERROR(VLOOKUP(EP283,Horarios!$H:$I,2,0),"")</f>
        <v/>
      </c>
      <c r="ES283" s="28" t="str">
        <f t="shared" si="218"/>
        <v>00:00</v>
      </c>
      <c r="ET283" s="29"/>
      <c r="EU283" s="27"/>
      <c r="EV283" s="27"/>
      <c r="EW283" s="28" t="str">
        <f>IFERROR(VLOOKUP(EU283,Horarios!$H:$I,2,0),"")</f>
        <v/>
      </c>
      <c r="EX283" s="28" t="str">
        <f>IFERROR(VLOOKUP(EV283,Horarios!$H:$I,2,0),"")</f>
        <v/>
      </c>
      <c r="EY283" s="28" t="str">
        <f t="shared" si="219"/>
        <v>00:00</v>
      </c>
      <c r="EZ283" s="29"/>
      <c r="FA283" s="27"/>
      <c r="FB283" s="27"/>
      <c r="FC283" s="28" t="str">
        <f>IFERROR(VLOOKUP(FA283,Horarios!$H:$I,2,0),"")</f>
        <v/>
      </c>
      <c r="FD283" s="28" t="str">
        <f>IFERROR(VLOOKUP(FB283,Horarios!$H:$I,2,0),"")</f>
        <v/>
      </c>
      <c r="FE283" s="28" t="str">
        <f t="shared" si="220"/>
        <v>00:00</v>
      </c>
      <c r="FF283" s="29"/>
      <c r="FG283" s="27"/>
      <c r="FH283" s="27"/>
      <c r="FI283" s="28" t="str">
        <f>IFERROR(VLOOKUP(FG283,Horarios!$H:$I,2,0),"")</f>
        <v/>
      </c>
      <c r="FJ283" s="28" t="str">
        <f>IFERROR(VLOOKUP(FH283,Horarios!$H:$I,2,0),"")</f>
        <v/>
      </c>
      <c r="FK283" s="28" t="str">
        <f t="shared" si="221"/>
        <v>00:00</v>
      </c>
      <c r="FL283" s="29"/>
      <c r="FM283" s="27"/>
      <c r="FN283" s="27"/>
      <c r="FO283" s="28" t="str">
        <f>IFERROR(VLOOKUP(FM283,Horarios!$H:$I,2,0),"")</f>
        <v/>
      </c>
      <c r="FP283" s="28" t="str">
        <f>IFERROR(VLOOKUP(FN283,Horarios!$H:$I,2,0),"")</f>
        <v/>
      </c>
      <c r="FQ283" s="28" t="str">
        <f t="shared" si="222"/>
        <v>00:00</v>
      </c>
      <c r="FR283" s="29"/>
      <c r="FS283" s="31" t="str">
        <f t="shared" si="223"/>
        <v/>
      </c>
      <c r="FT283" s="27"/>
      <c r="FU283" s="27"/>
      <c r="FV283" s="28" t="str">
        <f>IFERROR(VLOOKUP(FT283,Horarios!$H:$I,2,0),"")</f>
        <v/>
      </c>
      <c r="FW283" s="28" t="str">
        <f>IFERROR(VLOOKUP(FU283,Horarios!$H:$I,2,0),"")</f>
        <v/>
      </c>
      <c r="FX283" s="28" t="str">
        <f t="shared" si="224"/>
        <v>00:00</v>
      </c>
      <c r="FY283" s="29"/>
      <c r="FZ283" s="27"/>
      <c r="GA283" s="27"/>
      <c r="GB283" s="28" t="str">
        <f>IFERROR(VLOOKUP(FZ283,Horarios!$H:$I,2,0),"")</f>
        <v/>
      </c>
      <c r="GC283" s="28" t="str">
        <f>IFERROR(VLOOKUP(GA283,Horarios!$H:$I,2,0),"")</f>
        <v/>
      </c>
      <c r="GD283" s="28" t="str">
        <f t="shared" si="225"/>
        <v>00:00</v>
      </c>
      <c r="GE283" s="29"/>
      <c r="GF283" s="27"/>
      <c r="GG283" s="27"/>
      <c r="GH283" s="28" t="str">
        <f>IFERROR(VLOOKUP(GF283,Horarios!$H:$I,2,0),"")</f>
        <v/>
      </c>
      <c r="GI283" s="28" t="str">
        <f>IFERROR(VLOOKUP(GG283,Horarios!$H:$I,2,0),"")</f>
        <v/>
      </c>
      <c r="GJ283" s="28" t="str">
        <f t="shared" si="226"/>
        <v>00:00</v>
      </c>
      <c r="GK283" s="29"/>
      <c r="GL283" s="27"/>
      <c r="GM283" s="27"/>
      <c r="GN283" s="28" t="str">
        <f>IFERROR(VLOOKUP(GL283,Horarios!$H:$I,2,0),"")</f>
        <v/>
      </c>
      <c r="GO283" s="28" t="str">
        <f>IFERROR(VLOOKUP(GM283,Horarios!$H:$I,2,0),"")</f>
        <v/>
      </c>
      <c r="GP283" s="28" t="str">
        <f t="shared" si="227"/>
        <v>00:00</v>
      </c>
      <c r="GQ283" s="29"/>
      <c r="GR283" s="27"/>
      <c r="GS283" s="27"/>
      <c r="GT283" s="28" t="str">
        <f>IFERROR(VLOOKUP(GR283,Horarios!$H:$I,2,0),"")</f>
        <v/>
      </c>
      <c r="GU283" s="28" t="str">
        <f>IFERROR(VLOOKUP(GS283,Horarios!$H:$I,2,0),"")</f>
        <v/>
      </c>
      <c r="GV283" s="28" t="str">
        <f t="shared" si="228"/>
        <v>00:00</v>
      </c>
      <c r="GW283" s="29"/>
      <c r="GX283" s="27"/>
      <c r="GY283" s="27"/>
      <c r="GZ283" s="28" t="str">
        <f>IFERROR(VLOOKUP(GX283,Horarios!$H:$I,2,0),"")</f>
        <v/>
      </c>
      <c r="HA283" s="28" t="str">
        <f>IFERROR(VLOOKUP(GY283,Horarios!$H:$I,2,0),"")</f>
        <v/>
      </c>
      <c r="HB283" s="28" t="str">
        <f t="shared" si="229"/>
        <v>00:00</v>
      </c>
      <c r="HC283" s="29"/>
      <c r="HD283" s="27"/>
      <c r="HE283" s="27"/>
      <c r="HF283" s="28" t="str">
        <f>IFERROR(VLOOKUP(HD283,Horarios!$H:$I,2,0),"")</f>
        <v/>
      </c>
      <c r="HG283" s="28" t="str">
        <f>IFERROR(VLOOKUP(HE283,Horarios!$H:$I,2,0),"")</f>
        <v/>
      </c>
      <c r="HH283" s="28" t="str">
        <f t="shared" si="230"/>
        <v>00:00</v>
      </c>
      <c r="HI283" s="29"/>
      <c r="HJ283" s="31" t="str">
        <f t="shared" si="231"/>
        <v/>
      </c>
      <c r="HK283" s="27"/>
      <c r="HL283" s="27"/>
      <c r="HM283" s="28" t="str">
        <f>IFERROR(VLOOKUP(HK283,Horarios!$H:$I,2,0),"")</f>
        <v/>
      </c>
      <c r="HN283" s="28" t="str">
        <f>IFERROR(VLOOKUP(HL283,Horarios!$H:$I,2,0),"")</f>
        <v/>
      </c>
      <c r="HO283" s="28" t="str">
        <f t="shared" si="232"/>
        <v>00:00</v>
      </c>
      <c r="HP283" s="29"/>
      <c r="HQ283" s="27"/>
      <c r="HR283" s="27"/>
      <c r="HS283" s="28" t="str">
        <f>IFERROR(VLOOKUP(HQ283,Horarios!$H:$I,2,0),"")</f>
        <v/>
      </c>
      <c r="HT283" s="28" t="str">
        <f>IFERROR(VLOOKUP(HR283,Horarios!$H:$I,2,0),"")</f>
        <v/>
      </c>
      <c r="HU283" s="28" t="str">
        <f t="shared" si="233"/>
        <v>00:00</v>
      </c>
      <c r="HV283" s="29"/>
      <c r="HW283" s="27"/>
      <c r="HX283" s="27"/>
      <c r="HY283" s="28" t="str">
        <f>IFERROR(VLOOKUP(HW283,Horarios!$H:$I,2,0),"")</f>
        <v/>
      </c>
      <c r="HZ283" s="28" t="str">
        <f>IFERROR(VLOOKUP(HX283,Horarios!$H:$I,2,0),"")</f>
        <v/>
      </c>
      <c r="IA283" s="28" t="str">
        <f t="shared" si="234"/>
        <v>00:00</v>
      </c>
      <c r="IB283" s="29"/>
      <c r="IC283" s="27"/>
      <c r="ID283" s="27"/>
      <c r="IE283" s="28" t="str">
        <f>IFERROR(VLOOKUP(IC283,Horarios!$H:$I,2,0),"")</f>
        <v/>
      </c>
      <c r="IF283" s="28" t="str">
        <f>IFERROR(VLOOKUP(ID283,Horarios!$H:$I,2,0),"")</f>
        <v/>
      </c>
      <c r="IG283" s="28" t="str">
        <f t="shared" si="235"/>
        <v>00:00</v>
      </c>
      <c r="IH283" s="29"/>
      <c r="II283" s="27"/>
      <c r="IJ283" s="27"/>
      <c r="IK283" s="28" t="str">
        <f>IFERROR(VLOOKUP(II283,Horarios!$H:$I,2,0),"")</f>
        <v/>
      </c>
      <c r="IL283" s="28" t="str">
        <f>IFERROR(VLOOKUP(IJ283,Horarios!$H:$I,2,0),"")</f>
        <v/>
      </c>
      <c r="IM283" s="28" t="str">
        <f t="shared" si="236"/>
        <v>00:00</v>
      </c>
      <c r="IN283" s="29"/>
      <c r="IO283" s="27"/>
      <c r="IP283" s="27"/>
      <c r="IQ283" s="28" t="str">
        <f>IFERROR(VLOOKUP(IO283,Horarios!$H:$I,2,0),"")</f>
        <v/>
      </c>
      <c r="IR283" s="28" t="str">
        <f>IFERROR(VLOOKUP(IP283,Horarios!$H:$I,2,0),"")</f>
        <v/>
      </c>
      <c r="IS283" s="28" t="str">
        <f t="shared" si="237"/>
        <v>00:00</v>
      </c>
      <c r="IT283" s="29"/>
      <c r="IU283" s="27"/>
      <c r="IV283" s="27"/>
      <c r="IW283" s="28" t="str">
        <f>IFERROR(VLOOKUP(IU283,Horarios!$H:$I,2,0),"")</f>
        <v/>
      </c>
      <c r="IX283" s="28" t="str">
        <f>IFERROR(VLOOKUP(IV283,Horarios!$H:$I,2,0),"")</f>
        <v/>
      </c>
      <c r="IY283" s="28" t="str">
        <f t="shared" si="238"/>
        <v>00:00</v>
      </c>
      <c r="IZ283" s="29"/>
      <c r="JA283" s="31" t="str">
        <f t="shared" si="239"/>
        <v/>
      </c>
    </row>
    <row r="284" spans="1:261" s="24" customFormat="1" ht="17.399999999999999" x14ac:dyDescent="0.25">
      <c r="A284" s="25"/>
      <c r="B284" s="26" t="str">
        <f>IFERROR(VLOOKUP(A284,BaseNombres!A:B,2,0),"")</f>
        <v/>
      </c>
      <c r="C284" s="26" t="str">
        <f>IFERROR(VLOOKUP(A284,BaseNombres!A:C,3,0),"")</f>
        <v/>
      </c>
      <c r="D284" s="27"/>
      <c r="E284" s="27"/>
      <c r="F284" s="28" t="str">
        <f>IFERROR(VLOOKUP(D284,Horarios!$H:$I,2,0),"")</f>
        <v/>
      </c>
      <c r="G284" s="28" t="str">
        <f>IFERROR(VLOOKUP(E284,Horarios!$H:$I,2,0),"")</f>
        <v/>
      </c>
      <c r="H284" s="28" t="str">
        <f t="shared" si="192"/>
        <v>00:00</v>
      </c>
      <c r="I284" s="29"/>
      <c r="J284" s="27"/>
      <c r="K284" s="27"/>
      <c r="L284" s="28" t="str">
        <f>IFERROR(VLOOKUP(J284,Horarios!$H:$I,2,0),"")</f>
        <v/>
      </c>
      <c r="M284" s="28" t="str">
        <f>IFERROR(VLOOKUP(K284,Horarios!$H:$I,2,0),"")</f>
        <v/>
      </c>
      <c r="N284" s="28" t="str">
        <f t="shared" si="193"/>
        <v>00:00</v>
      </c>
      <c r="O284" s="29"/>
      <c r="P284" s="27"/>
      <c r="Q284" s="27"/>
      <c r="R284" s="28" t="str">
        <f>IFERROR(VLOOKUP(P284,Horarios!$H:$I,2,0),"")</f>
        <v/>
      </c>
      <c r="S284" s="28" t="str">
        <f>IFERROR(VLOOKUP(Q284,Horarios!$H:$I,2,0),"")</f>
        <v/>
      </c>
      <c r="T284" s="28" t="str">
        <f t="shared" si="194"/>
        <v>00:00</v>
      </c>
      <c r="U284" s="29"/>
      <c r="V284" s="27"/>
      <c r="W284" s="27"/>
      <c r="X284" s="28" t="str">
        <f>IFERROR(VLOOKUP(V284,Horarios!$H:$I,2,0),"")</f>
        <v/>
      </c>
      <c r="Y284" s="28" t="str">
        <f>IFERROR(VLOOKUP(W284,Horarios!$H:$I,2,0),"")</f>
        <v/>
      </c>
      <c r="Z284" s="28" t="str">
        <f t="shared" si="195"/>
        <v>00:00</v>
      </c>
      <c r="AA284" s="29"/>
      <c r="AB284" s="27"/>
      <c r="AC284" s="27"/>
      <c r="AD284" s="28" t="str">
        <f>IFERROR(VLOOKUP(AB284,Horarios!$H:$I,2,0),"")</f>
        <v/>
      </c>
      <c r="AE284" s="28" t="str">
        <f>IFERROR(VLOOKUP(AC284,Horarios!$H:$I,2,0),"")</f>
        <v/>
      </c>
      <c r="AF284" s="28" t="str">
        <f t="shared" si="196"/>
        <v>00:00</v>
      </c>
      <c r="AG284" s="29"/>
      <c r="AH284" s="27"/>
      <c r="AI284" s="27"/>
      <c r="AJ284" s="28" t="str">
        <f>IFERROR(VLOOKUP(AH284,Horarios!$H:$I,2,0),"")</f>
        <v/>
      </c>
      <c r="AK284" s="28" t="str">
        <f>IFERROR(VLOOKUP(AI284,Horarios!$H:$I,2,0),"")</f>
        <v/>
      </c>
      <c r="AL284" s="28" t="str">
        <f t="shared" si="197"/>
        <v>00:00</v>
      </c>
      <c r="AM284" s="29"/>
      <c r="AN284" s="27"/>
      <c r="AO284" s="27"/>
      <c r="AP284" s="28" t="str">
        <f>IFERROR(VLOOKUP(AN284,Horarios!$H:$I,2,0),"")</f>
        <v/>
      </c>
      <c r="AQ284" s="28" t="str">
        <f>IFERROR(VLOOKUP(AO284,Horarios!$H:$I,2,0),"")</f>
        <v/>
      </c>
      <c r="AR284" s="28" t="str">
        <f t="shared" si="198"/>
        <v>00:00</v>
      </c>
      <c r="AS284" s="29"/>
      <c r="AT284" s="31" t="str">
        <f t="shared" si="199"/>
        <v/>
      </c>
      <c r="AU284" s="27"/>
      <c r="AV284" s="27"/>
      <c r="AW284" s="28" t="str">
        <f>IFERROR(VLOOKUP(AU284,Horarios!$H:$I,2,0),"")</f>
        <v/>
      </c>
      <c r="AX284" s="28" t="str">
        <f>IFERROR(VLOOKUP(AV284,Horarios!$H:$I,2,0),"")</f>
        <v/>
      </c>
      <c r="AY284" s="28" t="str">
        <f t="shared" si="200"/>
        <v>00:00</v>
      </c>
      <c r="AZ284" s="29"/>
      <c r="BA284" s="27"/>
      <c r="BB284" s="27"/>
      <c r="BC284" s="28" t="str">
        <f>IFERROR(VLOOKUP(BA284,Horarios!$H:$I,2,0),"")</f>
        <v/>
      </c>
      <c r="BD284" s="28" t="str">
        <f>IFERROR(VLOOKUP(BB284,Horarios!$H:$I,2,0),"")</f>
        <v/>
      </c>
      <c r="BE284" s="28" t="str">
        <f t="shared" si="201"/>
        <v>00:00</v>
      </c>
      <c r="BF284" s="29"/>
      <c r="BG284" s="27"/>
      <c r="BH284" s="27"/>
      <c r="BI284" s="28" t="str">
        <f>IFERROR(VLOOKUP(BG284,Horarios!$H:$I,2,0),"")</f>
        <v/>
      </c>
      <c r="BJ284" s="28" t="str">
        <f>IFERROR(VLOOKUP(BH284,Horarios!$H:$I,2,0),"")</f>
        <v/>
      </c>
      <c r="BK284" s="28" t="str">
        <f t="shared" si="202"/>
        <v>00:00</v>
      </c>
      <c r="BL284" s="29"/>
      <c r="BM284" s="27"/>
      <c r="BN284" s="27"/>
      <c r="BO284" s="28" t="str">
        <f>IFERROR(VLOOKUP(BM284,Horarios!$H:$I,2,0),"")</f>
        <v/>
      </c>
      <c r="BP284" s="28" t="str">
        <f>IFERROR(VLOOKUP(BN284,Horarios!$H:$I,2,0),"")</f>
        <v/>
      </c>
      <c r="BQ284" s="28" t="str">
        <f t="shared" si="203"/>
        <v>00:00</v>
      </c>
      <c r="BR284" s="29"/>
      <c r="BS284" s="27"/>
      <c r="BT284" s="27"/>
      <c r="BU284" s="28" t="str">
        <f>IFERROR(VLOOKUP(BS284,Horarios!$H:$I,2,0),"")</f>
        <v/>
      </c>
      <c r="BV284" s="28" t="str">
        <f>IFERROR(VLOOKUP(BT284,Horarios!$H:$I,2,0),"")</f>
        <v/>
      </c>
      <c r="BW284" s="28" t="str">
        <f t="shared" si="204"/>
        <v>00:00</v>
      </c>
      <c r="BX284" s="29"/>
      <c r="BY284" s="27"/>
      <c r="BZ284" s="27"/>
      <c r="CA284" s="28" t="str">
        <f>IFERROR(VLOOKUP(BY284,Horarios!$H:$I,2,0),"")</f>
        <v/>
      </c>
      <c r="CB284" s="28" t="str">
        <f>IFERROR(VLOOKUP(BZ284,Horarios!$H:$I,2,0),"")</f>
        <v/>
      </c>
      <c r="CC284" s="28" t="str">
        <f t="shared" si="205"/>
        <v>00:00</v>
      </c>
      <c r="CD284" s="29"/>
      <c r="CE284" s="27"/>
      <c r="CF284" s="27"/>
      <c r="CG284" s="28" t="str">
        <f>IFERROR(VLOOKUP(CE284,Horarios!$H:$I,2,0),"")</f>
        <v/>
      </c>
      <c r="CH284" s="28" t="str">
        <f>IFERROR(VLOOKUP(CF284,Horarios!$H:$I,2,0),"")</f>
        <v/>
      </c>
      <c r="CI284" s="28" t="str">
        <f t="shared" si="206"/>
        <v>00:00</v>
      </c>
      <c r="CJ284" s="29"/>
      <c r="CK284" s="31" t="str">
        <f t="shared" si="207"/>
        <v/>
      </c>
      <c r="CL284" s="27"/>
      <c r="CM284" s="27"/>
      <c r="CN284" s="28" t="str">
        <f>IFERROR(VLOOKUP(CL284,Horarios!$H:$I,2,0),"")</f>
        <v/>
      </c>
      <c r="CO284" s="28" t="str">
        <f>IFERROR(VLOOKUP(CM284,Horarios!$H:$I,2,0),"")</f>
        <v/>
      </c>
      <c r="CP284" s="28" t="str">
        <f t="shared" si="208"/>
        <v>00:00</v>
      </c>
      <c r="CQ284" s="29"/>
      <c r="CR284" s="27"/>
      <c r="CS284" s="27"/>
      <c r="CT284" s="28" t="str">
        <f>IFERROR(VLOOKUP(CR284,Horarios!$H:$I,2,0),"")</f>
        <v/>
      </c>
      <c r="CU284" s="28" t="str">
        <f>IFERROR(VLOOKUP(CS284,Horarios!$H:$I,2,0),"")</f>
        <v/>
      </c>
      <c r="CV284" s="28" t="str">
        <f t="shared" si="209"/>
        <v>00:00</v>
      </c>
      <c r="CW284" s="29"/>
      <c r="CX284" s="27"/>
      <c r="CY284" s="27"/>
      <c r="CZ284" s="28" t="str">
        <f>IFERROR(VLOOKUP(CX284,Horarios!$H:$I,2,0),"")</f>
        <v/>
      </c>
      <c r="DA284" s="28" t="str">
        <f>IFERROR(VLOOKUP(CY284,Horarios!$H:$I,2,0),"")</f>
        <v/>
      </c>
      <c r="DB284" s="28" t="str">
        <f t="shared" si="210"/>
        <v>00:00</v>
      </c>
      <c r="DC284" s="29"/>
      <c r="DD284" s="27"/>
      <c r="DE284" s="27"/>
      <c r="DF284" s="28" t="str">
        <f>IFERROR(VLOOKUP(DD284,Horarios!$H:$I,2,0),"")</f>
        <v/>
      </c>
      <c r="DG284" s="28" t="str">
        <f>IFERROR(VLOOKUP(DE284,Horarios!$H:$I,2,0),"")</f>
        <v/>
      </c>
      <c r="DH284" s="28" t="str">
        <f t="shared" si="211"/>
        <v>00:00</v>
      </c>
      <c r="DI284" s="29"/>
      <c r="DJ284" s="27"/>
      <c r="DK284" s="27"/>
      <c r="DL284" s="28" t="str">
        <f>IFERROR(VLOOKUP(DJ284,Horarios!$H:$I,2,0),"")</f>
        <v/>
      </c>
      <c r="DM284" s="28" t="str">
        <f>IFERROR(VLOOKUP(DK284,Horarios!$H:$I,2,0),"")</f>
        <v/>
      </c>
      <c r="DN284" s="28" t="str">
        <f t="shared" si="212"/>
        <v>00:00</v>
      </c>
      <c r="DO284" s="29"/>
      <c r="DP284" s="27"/>
      <c r="DQ284" s="27"/>
      <c r="DR284" s="28" t="str">
        <f>IFERROR(VLOOKUP(DP284,Horarios!$H:$I,2,0),"")</f>
        <v/>
      </c>
      <c r="DS284" s="28" t="str">
        <f>IFERROR(VLOOKUP(DQ284,Horarios!$H:$I,2,0),"")</f>
        <v/>
      </c>
      <c r="DT284" s="28" t="str">
        <f t="shared" si="213"/>
        <v>00:00</v>
      </c>
      <c r="DU284" s="29"/>
      <c r="DV284" s="27"/>
      <c r="DW284" s="27"/>
      <c r="DX284" s="28" t="str">
        <f>IFERROR(VLOOKUP(DV284,Horarios!$H:$I,2,0),"")</f>
        <v/>
      </c>
      <c r="DY284" s="28" t="str">
        <f>IFERROR(VLOOKUP(DW284,Horarios!$H:$I,2,0),"")</f>
        <v/>
      </c>
      <c r="DZ284" s="28" t="str">
        <f t="shared" si="214"/>
        <v>00:00</v>
      </c>
      <c r="EA284" s="29"/>
      <c r="EB284" s="31" t="str">
        <f t="shared" si="215"/>
        <v/>
      </c>
      <c r="EC284" s="27"/>
      <c r="ED284" s="27"/>
      <c r="EE284" s="28" t="str">
        <f>IFERROR(VLOOKUP(EC284,Horarios!$H:$I,2,0),"")</f>
        <v/>
      </c>
      <c r="EF284" s="28" t="str">
        <f>IFERROR(VLOOKUP(ED284,Horarios!$H:$I,2,0),"")</f>
        <v/>
      </c>
      <c r="EG284" s="28" t="str">
        <f t="shared" si="216"/>
        <v>00:00</v>
      </c>
      <c r="EH284" s="29"/>
      <c r="EI284" s="27"/>
      <c r="EJ284" s="27"/>
      <c r="EK284" s="28" t="str">
        <f>IFERROR(VLOOKUP(EI284,Horarios!$H:$I,2,0),"")</f>
        <v/>
      </c>
      <c r="EL284" s="28" t="str">
        <f>IFERROR(VLOOKUP(EJ284,Horarios!$H:$I,2,0),"")</f>
        <v/>
      </c>
      <c r="EM284" s="28" t="str">
        <f t="shared" si="217"/>
        <v>00:00</v>
      </c>
      <c r="EN284" s="29"/>
      <c r="EO284" s="27"/>
      <c r="EP284" s="27"/>
      <c r="EQ284" s="28" t="str">
        <f>IFERROR(VLOOKUP(EO284,Horarios!$H:$I,2,0),"")</f>
        <v/>
      </c>
      <c r="ER284" s="28" t="str">
        <f>IFERROR(VLOOKUP(EP284,Horarios!$H:$I,2,0),"")</f>
        <v/>
      </c>
      <c r="ES284" s="28" t="str">
        <f t="shared" si="218"/>
        <v>00:00</v>
      </c>
      <c r="ET284" s="29"/>
      <c r="EU284" s="27"/>
      <c r="EV284" s="27"/>
      <c r="EW284" s="28" t="str">
        <f>IFERROR(VLOOKUP(EU284,Horarios!$H:$I,2,0),"")</f>
        <v/>
      </c>
      <c r="EX284" s="28" t="str">
        <f>IFERROR(VLOOKUP(EV284,Horarios!$H:$I,2,0),"")</f>
        <v/>
      </c>
      <c r="EY284" s="28" t="str">
        <f t="shared" si="219"/>
        <v>00:00</v>
      </c>
      <c r="EZ284" s="29"/>
      <c r="FA284" s="27"/>
      <c r="FB284" s="27"/>
      <c r="FC284" s="28" t="str">
        <f>IFERROR(VLOOKUP(FA284,Horarios!$H:$I,2,0),"")</f>
        <v/>
      </c>
      <c r="FD284" s="28" t="str">
        <f>IFERROR(VLOOKUP(FB284,Horarios!$H:$I,2,0),"")</f>
        <v/>
      </c>
      <c r="FE284" s="28" t="str">
        <f t="shared" si="220"/>
        <v>00:00</v>
      </c>
      <c r="FF284" s="29"/>
      <c r="FG284" s="27"/>
      <c r="FH284" s="27"/>
      <c r="FI284" s="28" t="str">
        <f>IFERROR(VLOOKUP(FG284,Horarios!$H:$I,2,0),"")</f>
        <v/>
      </c>
      <c r="FJ284" s="28" t="str">
        <f>IFERROR(VLOOKUP(FH284,Horarios!$H:$I,2,0),"")</f>
        <v/>
      </c>
      <c r="FK284" s="28" t="str">
        <f t="shared" si="221"/>
        <v>00:00</v>
      </c>
      <c r="FL284" s="29"/>
      <c r="FM284" s="27"/>
      <c r="FN284" s="27"/>
      <c r="FO284" s="28" t="str">
        <f>IFERROR(VLOOKUP(FM284,Horarios!$H:$I,2,0),"")</f>
        <v/>
      </c>
      <c r="FP284" s="28" t="str">
        <f>IFERROR(VLOOKUP(FN284,Horarios!$H:$I,2,0),"")</f>
        <v/>
      </c>
      <c r="FQ284" s="28" t="str">
        <f t="shared" si="222"/>
        <v>00:00</v>
      </c>
      <c r="FR284" s="29"/>
      <c r="FS284" s="31" t="str">
        <f t="shared" si="223"/>
        <v/>
      </c>
      <c r="FT284" s="27"/>
      <c r="FU284" s="27"/>
      <c r="FV284" s="28" t="str">
        <f>IFERROR(VLOOKUP(FT284,Horarios!$H:$I,2,0),"")</f>
        <v/>
      </c>
      <c r="FW284" s="28" t="str">
        <f>IFERROR(VLOOKUP(FU284,Horarios!$H:$I,2,0),"")</f>
        <v/>
      </c>
      <c r="FX284" s="28" t="str">
        <f t="shared" si="224"/>
        <v>00:00</v>
      </c>
      <c r="FY284" s="29"/>
      <c r="FZ284" s="27"/>
      <c r="GA284" s="27"/>
      <c r="GB284" s="28" t="str">
        <f>IFERROR(VLOOKUP(FZ284,Horarios!$H:$I,2,0),"")</f>
        <v/>
      </c>
      <c r="GC284" s="28" t="str">
        <f>IFERROR(VLOOKUP(GA284,Horarios!$H:$I,2,0),"")</f>
        <v/>
      </c>
      <c r="GD284" s="28" t="str">
        <f t="shared" si="225"/>
        <v>00:00</v>
      </c>
      <c r="GE284" s="29"/>
      <c r="GF284" s="27"/>
      <c r="GG284" s="27"/>
      <c r="GH284" s="28" t="str">
        <f>IFERROR(VLOOKUP(GF284,Horarios!$H:$I,2,0),"")</f>
        <v/>
      </c>
      <c r="GI284" s="28" t="str">
        <f>IFERROR(VLOOKUP(GG284,Horarios!$H:$I,2,0),"")</f>
        <v/>
      </c>
      <c r="GJ284" s="28" t="str">
        <f t="shared" si="226"/>
        <v>00:00</v>
      </c>
      <c r="GK284" s="29"/>
      <c r="GL284" s="27"/>
      <c r="GM284" s="27"/>
      <c r="GN284" s="28" t="str">
        <f>IFERROR(VLOOKUP(GL284,Horarios!$H:$I,2,0),"")</f>
        <v/>
      </c>
      <c r="GO284" s="28" t="str">
        <f>IFERROR(VLOOKUP(GM284,Horarios!$H:$I,2,0),"")</f>
        <v/>
      </c>
      <c r="GP284" s="28" t="str">
        <f t="shared" si="227"/>
        <v>00:00</v>
      </c>
      <c r="GQ284" s="29"/>
      <c r="GR284" s="27"/>
      <c r="GS284" s="27"/>
      <c r="GT284" s="28" t="str">
        <f>IFERROR(VLOOKUP(GR284,Horarios!$H:$I,2,0),"")</f>
        <v/>
      </c>
      <c r="GU284" s="28" t="str">
        <f>IFERROR(VLOOKUP(GS284,Horarios!$H:$I,2,0),"")</f>
        <v/>
      </c>
      <c r="GV284" s="28" t="str">
        <f t="shared" si="228"/>
        <v>00:00</v>
      </c>
      <c r="GW284" s="29"/>
      <c r="GX284" s="27"/>
      <c r="GY284" s="27"/>
      <c r="GZ284" s="28" t="str">
        <f>IFERROR(VLOOKUP(GX284,Horarios!$H:$I,2,0),"")</f>
        <v/>
      </c>
      <c r="HA284" s="28" t="str">
        <f>IFERROR(VLOOKUP(GY284,Horarios!$H:$I,2,0),"")</f>
        <v/>
      </c>
      <c r="HB284" s="28" t="str">
        <f t="shared" si="229"/>
        <v>00:00</v>
      </c>
      <c r="HC284" s="29"/>
      <c r="HD284" s="27"/>
      <c r="HE284" s="27"/>
      <c r="HF284" s="28" t="str">
        <f>IFERROR(VLOOKUP(HD284,Horarios!$H:$I,2,0),"")</f>
        <v/>
      </c>
      <c r="HG284" s="28" t="str">
        <f>IFERROR(VLOOKUP(HE284,Horarios!$H:$I,2,0),"")</f>
        <v/>
      </c>
      <c r="HH284" s="28" t="str">
        <f t="shared" si="230"/>
        <v>00:00</v>
      </c>
      <c r="HI284" s="29"/>
      <c r="HJ284" s="31" t="str">
        <f t="shared" si="231"/>
        <v/>
      </c>
      <c r="HK284" s="27"/>
      <c r="HL284" s="27"/>
      <c r="HM284" s="28" t="str">
        <f>IFERROR(VLOOKUP(HK284,Horarios!$H:$I,2,0),"")</f>
        <v/>
      </c>
      <c r="HN284" s="28" t="str">
        <f>IFERROR(VLOOKUP(HL284,Horarios!$H:$I,2,0),"")</f>
        <v/>
      </c>
      <c r="HO284" s="28" t="str">
        <f t="shared" si="232"/>
        <v>00:00</v>
      </c>
      <c r="HP284" s="29"/>
      <c r="HQ284" s="27"/>
      <c r="HR284" s="27"/>
      <c r="HS284" s="28" t="str">
        <f>IFERROR(VLOOKUP(HQ284,Horarios!$H:$I,2,0),"")</f>
        <v/>
      </c>
      <c r="HT284" s="28" t="str">
        <f>IFERROR(VLOOKUP(HR284,Horarios!$H:$I,2,0),"")</f>
        <v/>
      </c>
      <c r="HU284" s="28" t="str">
        <f t="shared" si="233"/>
        <v>00:00</v>
      </c>
      <c r="HV284" s="29"/>
      <c r="HW284" s="27"/>
      <c r="HX284" s="27"/>
      <c r="HY284" s="28" t="str">
        <f>IFERROR(VLOOKUP(HW284,Horarios!$H:$I,2,0),"")</f>
        <v/>
      </c>
      <c r="HZ284" s="28" t="str">
        <f>IFERROR(VLOOKUP(HX284,Horarios!$H:$I,2,0),"")</f>
        <v/>
      </c>
      <c r="IA284" s="28" t="str">
        <f t="shared" si="234"/>
        <v>00:00</v>
      </c>
      <c r="IB284" s="29"/>
      <c r="IC284" s="27"/>
      <c r="ID284" s="27"/>
      <c r="IE284" s="28" t="str">
        <f>IFERROR(VLOOKUP(IC284,Horarios!$H:$I,2,0),"")</f>
        <v/>
      </c>
      <c r="IF284" s="28" t="str">
        <f>IFERROR(VLOOKUP(ID284,Horarios!$H:$I,2,0),"")</f>
        <v/>
      </c>
      <c r="IG284" s="28" t="str">
        <f t="shared" si="235"/>
        <v>00:00</v>
      </c>
      <c r="IH284" s="29"/>
      <c r="II284" s="27"/>
      <c r="IJ284" s="27"/>
      <c r="IK284" s="28" t="str">
        <f>IFERROR(VLOOKUP(II284,Horarios!$H:$I,2,0),"")</f>
        <v/>
      </c>
      <c r="IL284" s="28" t="str">
        <f>IFERROR(VLOOKUP(IJ284,Horarios!$H:$I,2,0),"")</f>
        <v/>
      </c>
      <c r="IM284" s="28" t="str">
        <f t="shared" si="236"/>
        <v>00:00</v>
      </c>
      <c r="IN284" s="29"/>
      <c r="IO284" s="27"/>
      <c r="IP284" s="27"/>
      <c r="IQ284" s="28" t="str">
        <f>IFERROR(VLOOKUP(IO284,Horarios!$H:$I,2,0),"")</f>
        <v/>
      </c>
      <c r="IR284" s="28" t="str">
        <f>IFERROR(VLOOKUP(IP284,Horarios!$H:$I,2,0),"")</f>
        <v/>
      </c>
      <c r="IS284" s="28" t="str">
        <f t="shared" si="237"/>
        <v>00:00</v>
      </c>
      <c r="IT284" s="29"/>
      <c r="IU284" s="27"/>
      <c r="IV284" s="27"/>
      <c r="IW284" s="28" t="str">
        <f>IFERROR(VLOOKUP(IU284,Horarios!$H:$I,2,0),"")</f>
        <v/>
      </c>
      <c r="IX284" s="28" t="str">
        <f>IFERROR(VLOOKUP(IV284,Horarios!$H:$I,2,0),"")</f>
        <v/>
      </c>
      <c r="IY284" s="28" t="str">
        <f t="shared" si="238"/>
        <v>00:00</v>
      </c>
      <c r="IZ284" s="29"/>
      <c r="JA284" s="31" t="str">
        <f t="shared" si="239"/>
        <v/>
      </c>
    </row>
    <row r="285" spans="1:261" s="24" customFormat="1" ht="17.399999999999999" x14ac:dyDescent="0.25">
      <c r="A285" s="25"/>
      <c r="B285" s="26" t="str">
        <f>IFERROR(VLOOKUP(A285,BaseNombres!A:B,2,0),"")</f>
        <v/>
      </c>
      <c r="C285" s="26" t="str">
        <f>IFERROR(VLOOKUP(A285,BaseNombres!A:C,3,0),"")</f>
        <v/>
      </c>
      <c r="D285" s="27"/>
      <c r="E285" s="27"/>
      <c r="F285" s="28" t="str">
        <f>IFERROR(VLOOKUP(D285,Horarios!$H:$I,2,0),"")</f>
        <v/>
      </c>
      <c r="G285" s="28" t="str">
        <f>IFERROR(VLOOKUP(E285,Horarios!$H:$I,2,0),"")</f>
        <v/>
      </c>
      <c r="H285" s="28" t="str">
        <f t="shared" si="192"/>
        <v>00:00</v>
      </c>
      <c r="I285" s="29"/>
      <c r="J285" s="27"/>
      <c r="K285" s="27"/>
      <c r="L285" s="28" t="str">
        <f>IFERROR(VLOOKUP(J285,Horarios!$H:$I,2,0),"")</f>
        <v/>
      </c>
      <c r="M285" s="28" t="str">
        <f>IFERROR(VLOOKUP(K285,Horarios!$H:$I,2,0),"")</f>
        <v/>
      </c>
      <c r="N285" s="28" t="str">
        <f t="shared" si="193"/>
        <v>00:00</v>
      </c>
      <c r="O285" s="29"/>
      <c r="P285" s="27"/>
      <c r="Q285" s="27"/>
      <c r="R285" s="28" t="str">
        <f>IFERROR(VLOOKUP(P285,Horarios!$H:$I,2,0),"")</f>
        <v/>
      </c>
      <c r="S285" s="28" t="str">
        <f>IFERROR(VLOOKUP(Q285,Horarios!$H:$I,2,0),"")</f>
        <v/>
      </c>
      <c r="T285" s="28" t="str">
        <f t="shared" si="194"/>
        <v>00:00</v>
      </c>
      <c r="U285" s="29"/>
      <c r="V285" s="27"/>
      <c r="W285" s="27"/>
      <c r="X285" s="28" t="str">
        <f>IFERROR(VLOOKUP(V285,Horarios!$H:$I,2,0),"")</f>
        <v/>
      </c>
      <c r="Y285" s="28" t="str">
        <f>IFERROR(VLOOKUP(W285,Horarios!$H:$I,2,0),"")</f>
        <v/>
      </c>
      <c r="Z285" s="28" t="str">
        <f t="shared" si="195"/>
        <v>00:00</v>
      </c>
      <c r="AA285" s="29"/>
      <c r="AB285" s="27"/>
      <c r="AC285" s="27"/>
      <c r="AD285" s="28" t="str">
        <f>IFERROR(VLOOKUP(AB285,Horarios!$H:$I,2,0),"")</f>
        <v/>
      </c>
      <c r="AE285" s="28" t="str">
        <f>IFERROR(VLOOKUP(AC285,Horarios!$H:$I,2,0),"")</f>
        <v/>
      </c>
      <c r="AF285" s="28" t="str">
        <f t="shared" si="196"/>
        <v>00:00</v>
      </c>
      <c r="AG285" s="29"/>
      <c r="AH285" s="27"/>
      <c r="AI285" s="27"/>
      <c r="AJ285" s="28" t="str">
        <f>IFERROR(VLOOKUP(AH285,Horarios!$H:$I,2,0),"")</f>
        <v/>
      </c>
      <c r="AK285" s="28" t="str">
        <f>IFERROR(VLOOKUP(AI285,Horarios!$H:$I,2,0),"")</f>
        <v/>
      </c>
      <c r="AL285" s="28" t="str">
        <f t="shared" si="197"/>
        <v>00:00</v>
      </c>
      <c r="AM285" s="29"/>
      <c r="AN285" s="27"/>
      <c r="AO285" s="27"/>
      <c r="AP285" s="28" t="str">
        <f>IFERROR(VLOOKUP(AN285,Horarios!$H:$I,2,0),"")</f>
        <v/>
      </c>
      <c r="AQ285" s="28" t="str">
        <f>IFERROR(VLOOKUP(AO285,Horarios!$H:$I,2,0),"")</f>
        <v/>
      </c>
      <c r="AR285" s="28" t="str">
        <f t="shared" si="198"/>
        <v>00:00</v>
      </c>
      <c r="AS285" s="29"/>
      <c r="AT285" s="31" t="str">
        <f t="shared" si="199"/>
        <v/>
      </c>
      <c r="AU285" s="27"/>
      <c r="AV285" s="27"/>
      <c r="AW285" s="28" t="str">
        <f>IFERROR(VLOOKUP(AU285,Horarios!$H:$I,2,0),"")</f>
        <v/>
      </c>
      <c r="AX285" s="28" t="str">
        <f>IFERROR(VLOOKUP(AV285,Horarios!$H:$I,2,0),"")</f>
        <v/>
      </c>
      <c r="AY285" s="28" t="str">
        <f t="shared" si="200"/>
        <v>00:00</v>
      </c>
      <c r="AZ285" s="29"/>
      <c r="BA285" s="27"/>
      <c r="BB285" s="27"/>
      <c r="BC285" s="28" t="str">
        <f>IFERROR(VLOOKUP(BA285,Horarios!$H:$I,2,0),"")</f>
        <v/>
      </c>
      <c r="BD285" s="28" t="str">
        <f>IFERROR(VLOOKUP(BB285,Horarios!$H:$I,2,0),"")</f>
        <v/>
      </c>
      <c r="BE285" s="28" t="str">
        <f t="shared" si="201"/>
        <v>00:00</v>
      </c>
      <c r="BF285" s="29"/>
      <c r="BG285" s="27"/>
      <c r="BH285" s="27"/>
      <c r="BI285" s="28" t="str">
        <f>IFERROR(VLOOKUP(BG285,Horarios!$H:$I,2,0),"")</f>
        <v/>
      </c>
      <c r="BJ285" s="28" t="str">
        <f>IFERROR(VLOOKUP(BH285,Horarios!$H:$I,2,0),"")</f>
        <v/>
      </c>
      <c r="BK285" s="28" t="str">
        <f t="shared" si="202"/>
        <v>00:00</v>
      </c>
      <c r="BL285" s="29"/>
      <c r="BM285" s="27"/>
      <c r="BN285" s="27"/>
      <c r="BO285" s="28" t="str">
        <f>IFERROR(VLOOKUP(BM285,Horarios!$H:$I,2,0),"")</f>
        <v/>
      </c>
      <c r="BP285" s="28" t="str">
        <f>IFERROR(VLOOKUP(BN285,Horarios!$H:$I,2,0),"")</f>
        <v/>
      </c>
      <c r="BQ285" s="28" t="str">
        <f t="shared" si="203"/>
        <v>00:00</v>
      </c>
      <c r="BR285" s="29"/>
      <c r="BS285" s="27"/>
      <c r="BT285" s="27"/>
      <c r="BU285" s="28" t="str">
        <f>IFERROR(VLOOKUP(BS285,Horarios!$H:$I,2,0),"")</f>
        <v/>
      </c>
      <c r="BV285" s="28" t="str">
        <f>IFERROR(VLOOKUP(BT285,Horarios!$H:$I,2,0),"")</f>
        <v/>
      </c>
      <c r="BW285" s="28" t="str">
        <f t="shared" si="204"/>
        <v>00:00</v>
      </c>
      <c r="BX285" s="29"/>
      <c r="BY285" s="27"/>
      <c r="BZ285" s="27"/>
      <c r="CA285" s="28" t="str">
        <f>IFERROR(VLOOKUP(BY285,Horarios!$H:$I,2,0),"")</f>
        <v/>
      </c>
      <c r="CB285" s="28" t="str">
        <f>IFERROR(VLOOKUP(BZ285,Horarios!$H:$I,2,0),"")</f>
        <v/>
      </c>
      <c r="CC285" s="28" t="str">
        <f t="shared" si="205"/>
        <v>00:00</v>
      </c>
      <c r="CD285" s="29"/>
      <c r="CE285" s="27"/>
      <c r="CF285" s="27"/>
      <c r="CG285" s="28" t="str">
        <f>IFERROR(VLOOKUP(CE285,Horarios!$H:$I,2,0),"")</f>
        <v/>
      </c>
      <c r="CH285" s="28" t="str">
        <f>IFERROR(VLOOKUP(CF285,Horarios!$H:$I,2,0),"")</f>
        <v/>
      </c>
      <c r="CI285" s="28" t="str">
        <f t="shared" si="206"/>
        <v>00:00</v>
      </c>
      <c r="CJ285" s="29"/>
      <c r="CK285" s="31" t="str">
        <f t="shared" si="207"/>
        <v/>
      </c>
      <c r="CL285" s="27"/>
      <c r="CM285" s="27"/>
      <c r="CN285" s="28" t="str">
        <f>IFERROR(VLOOKUP(CL285,Horarios!$H:$I,2,0),"")</f>
        <v/>
      </c>
      <c r="CO285" s="28" t="str">
        <f>IFERROR(VLOOKUP(CM285,Horarios!$H:$I,2,0),"")</f>
        <v/>
      </c>
      <c r="CP285" s="28" t="str">
        <f t="shared" si="208"/>
        <v>00:00</v>
      </c>
      <c r="CQ285" s="29"/>
      <c r="CR285" s="27"/>
      <c r="CS285" s="27"/>
      <c r="CT285" s="28" t="str">
        <f>IFERROR(VLOOKUP(CR285,Horarios!$H:$I,2,0),"")</f>
        <v/>
      </c>
      <c r="CU285" s="28" t="str">
        <f>IFERROR(VLOOKUP(CS285,Horarios!$H:$I,2,0),"")</f>
        <v/>
      </c>
      <c r="CV285" s="28" t="str">
        <f t="shared" si="209"/>
        <v>00:00</v>
      </c>
      <c r="CW285" s="29"/>
      <c r="CX285" s="27"/>
      <c r="CY285" s="27"/>
      <c r="CZ285" s="28" t="str">
        <f>IFERROR(VLOOKUP(CX285,Horarios!$H:$I,2,0),"")</f>
        <v/>
      </c>
      <c r="DA285" s="28" t="str">
        <f>IFERROR(VLOOKUP(CY285,Horarios!$H:$I,2,0),"")</f>
        <v/>
      </c>
      <c r="DB285" s="28" t="str">
        <f t="shared" si="210"/>
        <v>00:00</v>
      </c>
      <c r="DC285" s="29"/>
      <c r="DD285" s="27"/>
      <c r="DE285" s="27"/>
      <c r="DF285" s="28" t="str">
        <f>IFERROR(VLOOKUP(DD285,Horarios!$H:$I,2,0),"")</f>
        <v/>
      </c>
      <c r="DG285" s="28" t="str">
        <f>IFERROR(VLOOKUP(DE285,Horarios!$H:$I,2,0),"")</f>
        <v/>
      </c>
      <c r="DH285" s="28" t="str">
        <f t="shared" si="211"/>
        <v>00:00</v>
      </c>
      <c r="DI285" s="29"/>
      <c r="DJ285" s="27"/>
      <c r="DK285" s="27"/>
      <c r="DL285" s="28" t="str">
        <f>IFERROR(VLOOKUP(DJ285,Horarios!$H:$I,2,0),"")</f>
        <v/>
      </c>
      <c r="DM285" s="28" t="str">
        <f>IFERROR(VLOOKUP(DK285,Horarios!$H:$I,2,0),"")</f>
        <v/>
      </c>
      <c r="DN285" s="28" t="str">
        <f t="shared" si="212"/>
        <v>00:00</v>
      </c>
      <c r="DO285" s="29"/>
      <c r="DP285" s="27"/>
      <c r="DQ285" s="27"/>
      <c r="DR285" s="28" t="str">
        <f>IFERROR(VLOOKUP(DP285,Horarios!$H:$I,2,0),"")</f>
        <v/>
      </c>
      <c r="DS285" s="28" t="str">
        <f>IFERROR(VLOOKUP(DQ285,Horarios!$H:$I,2,0),"")</f>
        <v/>
      </c>
      <c r="DT285" s="28" t="str">
        <f t="shared" si="213"/>
        <v>00:00</v>
      </c>
      <c r="DU285" s="29"/>
      <c r="DV285" s="27"/>
      <c r="DW285" s="27"/>
      <c r="DX285" s="28" t="str">
        <f>IFERROR(VLOOKUP(DV285,Horarios!$H:$I,2,0),"")</f>
        <v/>
      </c>
      <c r="DY285" s="28" t="str">
        <f>IFERROR(VLOOKUP(DW285,Horarios!$H:$I,2,0),"")</f>
        <v/>
      </c>
      <c r="DZ285" s="28" t="str">
        <f t="shared" si="214"/>
        <v>00:00</v>
      </c>
      <c r="EA285" s="29"/>
      <c r="EB285" s="31" t="str">
        <f t="shared" si="215"/>
        <v/>
      </c>
      <c r="EC285" s="27"/>
      <c r="ED285" s="27"/>
      <c r="EE285" s="28" t="str">
        <f>IFERROR(VLOOKUP(EC285,Horarios!$H:$I,2,0),"")</f>
        <v/>
      </c>
      <c r="EF285" s="28" t="str">
        <f>IFERROR(VLOOKUP(ED285,Horarios!$H:$I,2,0),"")</f>
        <v/>
      </c>
      <c r="EG285" s="28" t="str">
        <f t="shared" si="216"/>
        <v>00:00</v>
      </c>
      <c r="EH285" s="29"/>
      <c r="EI285" s="27"/>
      <c r="EJ285" s="27"/>
      <c r="EK285" s="28" t="str">
        <f>IFERROR(VLOOKUP(EI285,Horarios!$H:$I,2,0),"")</f>
        <v/>
      </c>
      <c r="EL285" s="28" t="str">
        <f>IFERROR(VLOOKUP(EJ285,Horarios!$H:$I,2,0),"")</f>
        <v/>
      </c>
      <c r="EM285" s="28" t="str">
        <f t="shared" si="217"/>
        <v>00:00</v>
      </c>
      <c r="EN285" s="29"/>
      <c r="EO285" s="27"/>
      <c r="EP285" s="27"/>
      <c r="EQ285" s="28" t="str">
        <f>IFERROR(VLOOKUP(EO285,Horarios!$H:$I,2,0),"")</f>
        <v/>
      </c>
      <c r="ER285" s="28" t="str">
        <f>IFERROR(VLOOKUP(EP285,Horarios!$H:$I,2,0),"")</f>
        <v/>
      </c>
      <c r="ES285" s="28" t="str">
        <f t="shared" si="218"/>
        <v>00:00</v>
      </c>
      <c r="ET285" s="29"/>
      <c r="EU285" s="27"/>
      <c r="EV285" s="27"/>
      <c r="EW285" s="28" t="str">
        <f>IFERROR(VLOOKUP(EU285,Horarios!$H:$I,2,0),"")</f>
        <v/>
      </c>
      <c r="EX285" s="28" t="str">
        <f>IFERROR(VLOOKUP(EV285,Horarios!$H:$I,2,0),"")</f>
        <v/>
      </c>
      <c r="EY285" s="28" t="str">
        <f t="shared" si="219"/>
        <v>00:00</v>
      </c>
      <c r="EZ285" s="29"/>
      <c r="FA285" s="27"/>
      <c r="FB285" s="27"/>
      <c r="FC285" s="28" t="str">
        <f>IFERROR(VLOOKUP(FA285,Horarios!$H:$I,2,0),"")</f>
        <v/>
      </c>
      <c r="FD285" s="28" t="str">
        <f>IFERROR(VLOOKUP(FB285,Horarios!$H:$I,2,0),"")</f>
        <v/>
      </c>
      <c r="FE285" s="28" t="str">
        <f t="shared" si="220"/>
        <v>00:00</v>
      </c>
      <c r="FF285" s="29"/>
      <c r="FG285" s="27"/>
      <c r="FH285" s="27"/>
      <c r="FI285" s="28" t="str">
        <f>IFERROR(VLOOKUP(FG285,Horarios!$H:$I,2,0),"")</f>
        <v/>
      </c>
      <c r="FJ285" s="28" t="str">
        <f>IFERROR(VLOOKUP(FH285,Horarios!$H:$I,2,0),"")</f>
        <v/>
      </c>
      <c r="FK285" s="28" t="str">
        <f t="shared" si="221"/>
        <v>00:00</v>
      </c>
      <c r="FL285" s="29"/>
      <c r="FM285" s="27"/>
      <c r="FN285" s="27"/>
      <c r="FO285" s="28" t="str">
        <f>IFERROR(VLOOKUP(FM285,Horarios!$H:$I,2,0),"")</f>
        <v/>
      </c>
      <c r="FP285" s="28" t="str">
        <f>IFERROR(VLOOKUP(FN285,Horarios!$H:$I,2,0),"")</f>
        <v/>
      </c>
      <c r="FQ285" s="28" t="str">
        <f t="shared" si="222"/>
        <v>00:00</v>
      </c>
      <c r="FR285" s="29"/>
      <c r="FS285" s="31" t="str">
        <f t="shared" si="223"/>
        <v/>
      </c>
      <c r="FT285" s="27"/>
      <c r="FU285" s="27"/>
      <c r="FV285" s="28" t="str">
        <f>IFERROR(VLOOKUP(FT285,Horarios!$H:$I,2,0),"")</f>
        <v/>
      </c>
      <c r="FW285" s="28" t="str">
        <f>IFERROR(VLOOKUP(FU285,Horarios!$H:$I,2,0),"")</f>
        <v/>
      </c>
      <c r="FX285" s="28" t="str">
        <f t="shared" si="224"/>
        <v>00:00</v>
      </c>
      <c r="FY285" s="29"/>
      <c r="FZ285" s="27"/>
      <c r="GA285" s="27"/>
      <c r="GB285" s="28" t="str">
        <f>IFERROR(VLOOKUP(FZ285,Horarios!$H:$I,2,0),"")</f>
        <v/>
      </c>
      <c r="GC285" s="28" t="str">
        <f>IFERROR(VLOOKUP(GA285,Horarios!$H:$I,2,0),"")</f>
        <v/>
      </c>
      <c r="GD285" s="28" t="str">
        <f t="shared" si="225"/>
        <v>00:00</v>
      </c>
      <c r="GE285" s="29"/>
      <c r="GF285" s="27"/>
      <c r="GG285" s="27"/>
      <c r="GH285" s="28" t="str">
        <f>IFERROR(VLOOKUP(GF285,Horarios!$H:$I,2,0),"")</f>
        <v/>
      </c>
      <c r="GI285" s="28" t="str">
        <f>IFERROR(VLOOKUP(GG285,Horarios!$H:$I,2,0),"")</f>
        <v/>
      </c>
      <c r="GJ285" s="28" t="str">
        <f t="shared" si="226"/>
        <v>00:00</v>
      </c>
      <c r="GK285" s="29"/>
      <c r="GL285" s="27"/>
      <c r="GM285" s="27"/>
      <c r="GN285" s="28" t="str">
        <f>IFERROR(VLOOKUP(GL285,Horarios!$H:$I,2,0),"")</f>
        <v/>
      </c>
      <c r="GO285" s="28" t="str">
        <f>IFERROR(VLOOKUP(GM285,Horarios!$H:$I,2,0),"")</f>
        <v/>
      </c>
      <c r="GP285" s="28" t="str">
        <f t="shared" si="227"/>
        <v>00:00</v>
      </c>
      <c r="GQ285" s="29"/>
      <c r="GR285" s="27"/>
      <c r="GS285" s="27"/>
      <c r="GT285" s="28" t="str">
        <f>IFERROR(VLOOKUP(GR285,Horarios!$H:$I,2,0),"")</f>
        <v/>
      </c>
      <c r="GU285" s="28" t="str">
        <f>IFERROR(VLOOKUP(GS285,Horarios!$H:$I,2,0),"")</f>
        <v/>
      </c>
      <c r="GV285" s="28" t="str">
        <f t="shared" si="228"/>
        <v>00:00</v>
      </c>
      <c r="GW285" s="29"/>
      <c r="GX285" s="27"/>
      <c r="GY285" s="27"/>
      <c r="GZ285" s="28" t="str">
        <f>IFERROR(VLOOKUP(GX285,Horarios!$H:$I,2,0),"")</f>
        <v/>
      </c>
      <c r="HA285" s="28" t="str">
        <f>IFERROR(VLOOKUP(GY285,Horarios!$H:$I,2,0),"")</f>
        <v/>
      </c>
      <c r="HB285" s="28" t="str">
        <f t="shared" si="229"/>
        <v>00:00</v>
      </c>
      <c r="HC285" s="29"/>
      <c r="HD285" s="27"/>
      <c r="HE285" s="27"/>
      <c r="HF285" s="28" t="str">
        <f>IFERROR(VLOOKUP(HD285,Horarios!$H:$I,2,0),"")</f>
        <v/>
      </c>
      <c r="HG285" s="28" t="str">
        <f>IFERROR(VLOOKUP(HE285,Horarios!$H:$I,2,0),"")</f>
        <v/>
      </c>
      <c r="HH285" s="28" t="str">
        <f t="shared" si="230"/>
        <v>00:00</v>
      </c>
      <c r="HI285" s="29"/>
      <c r="HJ285" s="31" t="str">
        <f t="shared" si="231"/>
        <v/>
      </c>
      <c r="HK285" s="27"/>
      <c r="HL285" s="27"/>
      <c r="HM285" s="28" t="str">
        <f>IFERROR(VLOOKUP(HK285,Horarios!$H:$I,2,0),"")</f>
        <v/>
      </c>
      <c r="HN285" s="28" t="str">
        <f>IFERROR(VLOOKUP(HL285,Horarios!$H:$I,2,0),"")</f>
        <v/>
      </c>
      <c r="HO285" s="28" t="str">
        <f t="shared" si="232"/>
        <v>00:00</v>
      </c>
      <c r="HP285" s="29"/>
      <c r="HQ285" s="27"/>
      <c r="HR285" s="27"/>
      <c r="HS285" s="28" t="str">
        <f>IFERROR(VLOOKUP(HQ285,Horarios!$H:$I,2,0),"")</f>
        <v/>
      </c>
      <c r="HT285" s="28" t="str">
        <f>IFERROR(VLOOKUP(HR285,Horarios!$H:$I,2,0),"")</f>
        <v/>
      </c>
      <c r="HU285" s="28" t="str">
        <f t="shared" si="233"/>
        <v>00:00</v>
      </c>
      <c r="HV285" s="29"/>
      <c r="HW285" s="27"/>
      <c r="HX285" s="27"/>
      <c r="HY285" s="28" t="str">
        <f>IFERROR(VLOOKUP(HW285,Horarios!$H:$I,2,0),"")</f>
        <v/>
      </c>
      <c r="HZ285" s="28" t="str">
        <f>IFERROR(VLOOKUP(HX285,Horarios!$H:$I,2,0),"")</f>
        <v/>
      </c>
      <c r="IA285" s="28" t="str">
        <f t="shared" si="234"/>
        <v>00:00</v>
      </c>
      <c r="IB285" s="29"/>
      <c r="IC285" s="27"/>
      <c r="ID285" s="27"/>
      <c r="IE285" s="28" t="str">
        <f>IFERROR(VLOOKUP(IC285,Horarios!$H:$I,2,0),"")</f>
        <v/>
      </c>
      <c r="IF285" s="28" t="str">
        <f>IFERROR(VLOOKUP(ID285,Horarios!$H:$I,2,0),"")</f>
        <v/>
      </c>
      <c r="IG285" s="28" t="str">
        <f t="shared" si="235"/>
        <v>00:00</v>
      </c>
      <c r="IH285" s="29"/>
      <c r="II285" s="27"/>
      <c r="IJ285" s="27"/>
      <c r="IK285" s="28" t="str">
        <f>IFERROR(VLOOKUP(II285,Horarios!$H:$I,2,0),"")</f>
        <v/>
      </c>
      <c r="IL285" s="28" t="str">
        <f>IFERROR(VLOOKUP(IJ285,Horarios!$H:$I,2,0),"")</f>
        <v/>
      </c>
      <c r="IM285" s="28" t="str">
        <f t="shared" si="236"/>
        <v>00:00</v>
      </c>
      <c r="IN285" s="29"/>
      <c r="IO285" s="27"/>
      <c r="IP285" s="27"/>
      <c r="IQ285" s="28" t="str">
        <f>IFERROR(VLOOKUP(IO285,Horarios!$H:$I,2,0),"")</f>
        <v/>
      </c>
      <c r="IR285" s="28" t="str">
        <f>IFERROR(VLOOKUP(IP285,Horarios!$H:$I,2,0),"")</f>
        <v/>
      </c>
      <c r="IS285" s="28" t="str">
        <f t="shared" si="237"/>
        <v>00:00</v>
      </c>
      <c r="IT285" s="29"/>
      <c r="IU285" s="27"/>
      <c r="IV285" s="27"/>
      <c r="IW285" s="28" t="str">
        <f>IFERROR(VLOOKUP(IU285,Horarios!$H:$I,2,0),"")</f>
        <v/>
      </c>
      <c r="IX285" s="28" t="str">
        <f>IFERROR(VLOOKUP(IV285,Horarios!$H:$I,2,0),"")</f>
        <v/>
      </c>
      <c r="IY285" s="28" t="str">
        <f t="shared" si="238"/>
        <v>00:00</v>
      </c>
      <c r="IZ285" s="29"/>
      <c r="JA285" s="31" t="str">
        <f t="shared" si="239"/>
        <v/>
      </c>
    </row>
    <row r="286" spans="1:261" s="24" customFormat="1" ht="17.399999999999999" x14ac:dyDescent="0.25">
      <c r="A286" s="25"/>
      <c r="B286" s="26" t="str">
        <f>IFERROR(VLOOKUP(A286,BaseNombres!A:B,2,0),"")</f>
        <v/>
      </c>
      <c r="C286" s="26" t="str">
        <f>IFERROR(VLOOKUP(A286,BaseNombres!A:C,3,0),"")</f>
        <v/>
      </c>
      <c r="D286" s="27"/>
      <c r="E286" s="27"/>
      <c r="F286" s="28" t="str">
        <f>IFERROR(VLOOKUP(D286,Horarios!$H:$I,2,0),"")</f>
        <v/>
      </c>
      <c r="G286" s="28" t="str">
        <f>IFERROR(VLOOKUP(E286,Horarios!$H:$I,2,0),"")</f>
        <v/>
      </c>
      <c r="H286" s="28" t="str">
        <f t="shared" si="192"/>
        <v>00:00</v>
      </c>
      <c r="I286" s="29"/>
      <c r="J286" s="27"/>
      <c r="K286" s="27"/>
      <c r="L286" s="28" t="str">
        <f>IFERROR(VLOOKUP(J286,Horarios!$H:$I,2,0),"")</f>
        <v/>
      </c>
      <c r="M286" s="28" t="str">
        <f>IFERROR(VLOOKUP(K286,Horarios!$H:$I,2,0),"")</f>
        <v/>
      </c>
      <c r="N286" s="28" t="str">
        <f t="shared" si="193"/>
        <v>00:00</v>
      </c>
      <c r="O286" s="29"/>
      <c r="P286" s="27"/>
      <c r="Q286" s="27"/>
      <c r="R286" s="28" t="str">
        <f>IFERROR(VLOOKUP(P286,Horarios!$H:$I,2,0),"")</f>
        <v/>
      </c>
      <c r="S286" s="28" t="str">
        <f>IFERROR(VLOOKUP(Q286,Horarios!$H:$I,2,0),"")</f>
        <v/>
      </c>
      <c r="T286" s="28" t="str">
        <f t="shared" si="194"/>
        <v>00:00</v>
      </c>
      <c r="U286" s="29"/>
      <c r="V286" s="27"/>
      <c r="W286" s="27"/>
      <c r="X286" s="28" t="str">
        <f>IFERROR(VLOOKUP(V286,Horarios!$H:$I,2,0),"")</f>
        <v/>
      </c>
      <c r="Y286" s="28" t="str">
        <f>IFERROR(VLOOKUP(W286,Horarios!$H:$I,2,0),"")</f>
        <v/>
      </c>
      <c r="Z286" s="28" t="str">
        <f t="shared" si="195"/>
        <v>00:00</v>
      </c>
      <c r="AA286" s="29"/>
      <c r="AB286" s="27"/>
      <c r="AC286" s="27"/>
      <c r="AD286" s="28" t="str">
        <f>IFERROR(VLOOKUP(AB286,Horarios!$H:$I,2,0),"")</f>
        <v/>
      </c>
      <c r="AE286" s="28" t="str">
        <f>IFERROR(VLOOKUP(AC286,Horarios!$H:$I,2,0),"")</f>
        <v/>
      </c>
      <c r="AF286" s="28" t="str">
        <f t="shared" si="196"/>
        <v>00:00</v>
      </c>
      <c r="AG286" s="29"/>
      <c r="AH286" s="27"/>
      <c r="AI286" s="27"/>
      <c r="AJ286" s="28" t="str">
        <f>IFERROR(VLOOKUP(AH286,Horarios!$H:$I,2,0),"")</f>
        <v/>
      </c>
      <c r="AK286" s="28" t="str">
        <f>IFERROR(VLOOKUP(AI286,Horarios!$H:$I,2,0),"")</f>
        <v/>
      </c>
      <c r="AL286" s="28" t="str">
        <f t="shared" si="197"/>
        <v>00:00</v>
      </c>
      <c r="AM286" s="29"/>
      <c r="AN286" s="27"/>
      <c r="AO286" s="27"/>
      <c r="AP286" s="28" t="str">
        <f>IFERROR(VLOOKUP(AN286,Horarios!$H:$I,2,0),"")</f>
        <v/>
      </c>
      <c r="AQ286" s="28" t="str">
        <f>IFERROR(VLOOKUP(AO286,Horarios!$H:$I,2,0),"")</f>
        <v/>
      </c>
      <c r="AR286" s="28" t="str">
        <f t="shared" si="198"/>
        <v>00:00</v>
      </c>
      <c r="AS286" s="29"/>
      <c r="AT286" s="31" t="str">
        <f t="shared" si="199"/>
        <v/>
      </c>
      <c r="AU286" s="27"/>
      <c r="AV286" s="27"/>
      <c r="AW286" s="28" t="str">
        <f>IFERROR(VLOOKUP(AU286,Horarios!$H:$I,2,0),"")</f>
        <v/>
      </c>
      <c r="AX286" s="28" t="str">
        <f>IFERROR(VLOOKUP(AV286,Horarios!$H:$I,2,0),"")</f>
        <v/>
      </c>
      <c r="AY286" s="28" t="str">
        <f t="shared" si="200"/>
        <v>00:00</v>
      </c>
      <c r="AZ286" s="29"/>
      <c r="BA286" s="27"/>
      <c r="BB286" s="27"/>
      <c r="BC286" s="28" t="str">
        <f>IFERROR(VLOOKUP(BA286,Horarios!$H:$I,2,0),"")</f>
        <v/>
      </c>
      <c r="BD286" s="28" t="str">
        <f>IFERROR(VLOOKUP(BB286,Horarios!$H:$I,2,0),"")</f>
        <v/>
      </c>
      <c r="BE286" s="28" t="str">
        <f t="shared" si="201"/>
        <v>00:00</v>
      </c>
      <c r="BF286" s="29"/>
      <c r="BG286" s="27"/>
      <c r="BH286" s="27"/>
      <c r="BI286" s="28" t="str">
        <f>IFERROR(VLOOKUP(BG286,Horarios!$H:$I,2,0),"")</f>
        <v/>
      </c>
      <c r="BJ286" s="28" t="str">
        <f>IFERROR(VLOOKUP(BH286,Horarios!$H:$I,2,0),"")</f>
        <v/>
      </c>
      <c r="BK286" s="28" t="str">
        <f t="shared" si="202"/>
        <v>00:00</v>
      </c>
      <c r="BL286" s="29"/>
      <c r="BM286" s="27"/>
      <c r="BN286" s="27"/>
      <c r="BO286" s="28" t="str">
        <f>IFERROR(VLOOKUP(BM286,Horarios!$H:$I,2,0),"")</f>
        <v/>
      </c>
      <c r="BP286" s="28" t="str">
        <f>IFERROR(VLOOKUP(BN286,Horarios!$H:$I,2,0),"")</f>
        <v/>
      </c>
      <c r="BQ286" s="28" t="str">
        <f t="shared" si="203"/>
        <v>00:00</v>
      </c>
      <c r="BR286" s="29"/>
      <c r="BS286" s="27"/>
      <c r="BT286" s="27"/>
      <c r="BU286" s="28" t="str">
        <f>IFERROR(VLOOKUP(BS286,Horarios!$H:$I,2,0),"")</f>
        <v/>
      </c>
      <c r="BV286" s="28" t="str">
        <f>IFERROR(VLOOKUP(BT286,Horarios!$H:$I,2,0),"")</f>
        <v/>
      </c>
      <c r="BW286" s="28" t="str">
        <f t="shared" si="204"/>
        <v>00:00</v>
      </c>
      <c r="BX286" s="29"/>
      <c r="BY286" s="27"/>
      <c r="BZ286" s="27"/>
      <c r="CA286" s="28" t="str">
        <f>IFERROR(VLOOKUP(BY286,Horarios!$H:$I,2,0),"")</f>
        <v/>
      </c>
      <c r="CB286" s="28" t="str">
        <f>IFERROR(VLOOKUP(BZ286,Horarios!$H:$I,2,0),"")</f>
        <v/>
      </c>
      <c r="CC286" s="28" t="str">
        <f t="shared" si="205"/>
        <v>00:00</v>
      </c>
      <c r="CD286" s="29"/>
      <c r="CE286" s="27"/>
      <c r="CF286" s="27"/>
      <c r="CG286" s="28" t="str">
        <f>IFERROR(VLOOKUP(CE286,Horarios!$H:$I,2,0),"")</f>
        <v/>
      </c>
      <c r="CH286" s="28" t="str">
        <f>IFERROR(VLOOKUP(CF286,Horarios!$H:$I,2,0),"")</f>
        <v/>
      </c>
      <c r="CI286" s="28" t="str">
        <f t="shared" si="206"/>
        <v>00:00</v>
      </c>
      <c r="CJ286" s="29"/>
      <c r="CK286" s="31" t="str">
        <f t="shared" si="207"/>
        <v/>
      </c>
      <c r="CL286" s="27"/>
      <c r="CM286" s="27"/>
      <c r="CN286" s="28" t="str">
        <f>IFERROR(VLOOKUP(CL286,Horarios!$H:$I,2,0),"")</f>
        <v/>
      </c>
      <c r="CO286" s="28" t="str">
        <f>IFERROR(VLOOKUP(CM286,Horarios!$H:$I,2,0),"")</f>
        <v/>
      </c>
      <c r="CP286" s="28" t="str">
        <f t="shared" si="208"/>
        <v>00:00</v>
      </c>
      <c r="CQ286" s="29"/>
      <c r="CR286" s="27"/>
      <c r="CS286" s="27"/>
      <c r="CT286" s="28" t="str">
        <f>IFERROR(VLOOKUP(CR286,Horarios!$H:$I,2,0),"")</f>
        <v/>
      </c>
      <c r="CU286" s="28" t="str">
        <f>IFERROR(VLOOKUP(CS286,Horarios!$H:$I,2,0),"")</f>
        <v/>
      </c>
      <c r="CV286" s="28" t="str">
        <f t="shared" si="209"/>
        <v>00:00</v>
      </c>
      <c r="CW286" s="29"/>
      <c r="CX286" s="27"/>
      <c r="CY286" s="27"/>
      <c r="CZ286" s="28" t="str">
        <f>IFERROR(VLOOKUP(CX286,Horarios!$H:$I,2,0),"")</f>
        <v/>
      </c>
      <c r="DA286" s="28" t="str">
        <f>IFERROR(VLOOKUP(CY286,Horarios!$H:$I,2,0),"")</f>
        <v/>
      </c>
      <c r="DB286" s="28" t="str">
        <f t="shared" si="210"/>
        <v>00:00</v>
      </c>
      <c r="DC286" s="29"/>
      <c r="DD286" s="27"/>
      <c r="DE286" s="27"/>
      <c r="DF286" s="28" t="str">
        <f>IFERROR(VLOOKUP(DD286,Horarios!$H:$I,2,0),"")</f>
        <v/>
      </c>
      <c r="DG286" s="28" t="str">
        <f>IFERROR(VLOOKUP(DE286,Horarios!$H:$I,2,0),"")</f>
        <v/>
      </c>
      <c r="DH286" s="28" t="str">
        <f t="shared" si="211"/>
        <v>00:00</v>
      </c>
      <c r="DI286" s="29"/>
      <c r="DJ286" s="27"/>
      <c r="DK286" s="27"/>
      <c r="DL286" s="28" t="str">
        <f>IFERROR(VLOOKUP(DJ286,Horarios!$H:$I,2,0),"")</f>
        <v/>
      </c>
      <c r="DM286" s="28" t="str">
        <f>IFERROR(VLOOKUP(DK286,Horarios!$H:$I,2,0),"")</f>
        <v/>
      </c>
      <c r="DN286" s="28" t="str">
        <f t="shared" si="212"/>
        <v>00:00</v>
      </c>
      <c r="DO286" s="29"/>
      <c r="DP286" s="27"/>
      <c r="DQ286" s="27"/>
      <c r="DR286" s="28" t="str">
        <f>IFERROR(VLOOKUP(DP286,Horarios!$H:$I,2,0),"")</f>
        <v/>
      </c>
      <c r="DS286" s="28" t="str">
        <f>IFERROR(VLOOKUP(DQ286,Horarios!$H:$I,2,0),"")</f>
        <v/>
      </c>
      <c r="DT286" s="28" t="str">
        <f t="shared" si="213"/>
        <v>00:00</v>
      </c>
      <c r="DU286" s="29"/>
      <c r="DV286" s="27"/>
      <c r="DW286" s="27"/>
      <c r="DX286" s="28" t="str">
        <f>IFERROR(VLOOKUP(DV286,Horarios!$H:$I,2,0),"")</f>
        <v/>
      </c>
      <c r="DY286" s="28" t="str">
        <f>IFERROR(VLOOKUP(DW286,Horarios!$H:$I,2,0),"")</f>
        <v/>
      </c>
      <c r="DZ286" s="28" t="str">
        <f t="shared" si="214"/>
        <v>00:00</v>
      </c>
      <c r="EA286" s="29"/>
      <c r="EB286" s="31" t="str">
        <f t="shared" si="215"/>
        <v/>
      </c>
      <c r="EC286" s="27"/>
      <c r="ED286" s="27"/>
      <c r="EE286" s="28" t="str">
        <f>IFERROR(VLOOKUP(EC286,Horarios!$H:$I,2,0),"")</f>
        <v/>
      </c>
      <c r="EF286" s="28" t="str">
        <f>IFERROR(VLOOKUP(ED286,Horarios!$H:$I,2,0),"")</f>
        <v/>
      </c>
      <c r="EG286" s="28" t="str">
        <f t="shared" si="216"/>
        <v>00:00</v>
      </c>
      <c r="EH286" s="29"/>
      <c r="EI286" s="27"/>
      <c r="EJ286" s="27"/>
      <c r="EK286" s="28" t="str">
        <f>IFERROR(VLOOKUP(EI286,Horarios!$H:$I,2,0),"")</f>
        <v/>
      </c>
      <c r="EL286" s="28" t="str">
        <f>IFERROR(VLOOKUP(EJ286,Horarios!$H:$I,2,0),"")</f>
        <v/>
      </c>
      <c r="EM286" s="28" t="str">
        <f t="shared" si="217"/>
        <v>00:00</v>
      </c>
      <c r="EN286" s="29"/>
      <c r="EO286" s="27"/>
      <c r="EP286" s="27"/>
      <c r="EQ286" s="28" t="str">
        <f>IFERROR(VLOOKUP(EO286,Horarios!$H:$I,2,0),"")</f>
        <v/>
      </c>
      <c r="ER286" s="28" t="str">
        <f>IFERROR(VLOOKUP(EP286,Horarios!$H:$I,2,0),"")</f>
        <v/>
      </c>
      <c r="ES286" s="28" t="str">
        <f t="shared" si="218"/>
        <v>00:00</v>
      </c>
      <c r="ET286" s="29"/>
      <c r="EU286" s="27"/>
      <c r="EV286" s="27"/>
      <c r="EW286" s="28" t="str">
        <f>IFERROR(VLOOKUP(EU286,Horarios!$H:$I,2,0),"")</f>
        <v/>
      </c>
      <c r="EX286" s="28" t="str">
        <f>IFERROR(VLOOKUP(EV286,Horarios!$H:$I,2,0),"")</f>
        <v/>
      </c>
      <c r="EY286" s="28" t="str">
        <f t="shared" si="219"/>
        <v>00:00</v>
      </c>
      <c r="EZ286" s="29"/>
      <c r="FA286" s="27"/>
      <c r="FB286" s="27"/>
      <c r="FC286" s="28" t="str">
        <f>IFERROR(VLOOKUP(FA286,Horarios!$H:$I,2,0),"")</f>
        <v/>
      </c>
      <c r="FD286" s="28" t="str">
        <f>IFERROR(VLOOKUP(FB286,Horarios!$H:$I,2,0),"")</f>
        <v/>
      </c>
      <c r="FE286" s="28" t="str">
        <f t="shared" si="220"/>
        <v>00:00</v>
      </c>
      <c r="FF286" s="29"/>
      <c r="FG286" s="27"/>
      <c r="FH286" s="27"/>
      <c r="FI286" s="28" t="str">
        <f>IFERROR(VLOOKUP(FG286,Horarios!$H:$I,2,0),"")</f>
        <v/>
      </c>
      <c r="FJ286" s="28" t="str">
        <f>IFERROR(VLOOKUP(FH286,Horarios!$H:$I,2,0),"")</f>
        <v/>
      </c>
      <c r="FK286" s="28" t="str">
        <f t="shared" si="221"/>
        <v>00:00</v>
      </c>
      <c r="FL286" s="29"/>
      <c r="FM286" s="27"/>
      <c r="FN286" s="27"/>
      <c r="FO286" s="28" t="str">
        <f>IFERROR(VLOOKUP(FM286,Horarios!$H:$I,2,0),"")</f>
        <v/>
      </c>
      <c r="FP286" s="28" t="str">
        <f>IFERROR(VLOOKUP(FN286,Horarios!$H:$I,2,0),"")</f>
        <v/>
      </c>
      <c r="FQ286" s="28" t="str">
        <f t="shared" si="222"/>
        <v>00:00</v>
      </c>
      <c r="FR286" s="29"/>
      <c r="FS286" s="31" t="str">
        <f t="shared" si="223"/>
        <v/>
      </c>
      <c r="FT286" s="27"/>
      <c r="FU286" s="27"/>
      <c r="FV286" s="28" t="str">
        <f>IFERROR(VLOOKUP(FT286,Horarios!$H:$I,2,0),"")</f>
        <v/>
      </c>
      <c r="FW286" s="28" t="str">
        <f>IFERROR(VLOOKUP(FU286,Horarios!$H:$I,2,0),"")</f>
        <v/>
      </c>
      <c r="FX286" s="28" t="str">
        <f t="shared" si="224"/>
        <v>00:00</v>
      </c>
      <c r="FY286" s="29"/>
      <c r="FZ286" s="27"/>
      <c r="GA286" s="27"/>
      <c r="GB286" s="28" t="str">
        <f>IFERROR(VLOOKUP(FZ286,Horarios!$H:$I,2,0),"")</f>
        <v/>
      </c>
      <c r="GC286" s="28" t="str">
        <f>IFERROR(VLOOKUP(GA286,Horarios!$H:$I,2,0),"")</f>
        <v/>
      </c>
      <c r="GD286" s="28" t="str">
        <f t="shared" si="225"/>
        <v>00:00</v>
      </c>
      <c r="GE286" s="29"/>
      <c r="GF286" s="27"/>
      <c r="GG286" s="27"/>
      <c r="GH286" s="28" t="str">
        <f>IFERROR(VLOOKUP(GF286,Horarios!$H:$I,2,0),"")</f>
        <v/>
      </c>
      <c r="GI286" s="28" t="str">
        <f>IFERROR(VLOOKUP(GG286,Horarios!$H:$I,2,0),"")</f>
        <v/>
      </c>
      <c r="GJ286" s="28" t="str">
        <f t="shared" si="226"/>
        <v>00:00</v>
      </c>
      <c r="GK286" s="29"/>
      <c r="GL286" s="27"/>
      <c r="GM286" s="27"/>
      <c r="GN286" s="28" t="str">
        <f>IFERROR(VLOOKUP(GL286,Horarios!$H:$I,2,0),"")</f>
        <v/>
      </c>
      <c r="GO286" s="28" t="str">
        <f>IFERROR(VLOOKUP(GM286,Horarios!$H:$I,2,0),"")</f>
        <v/>
      </c>
      <c r="GP286" s="28" t="str">
        <f t="shared" si="227"/>
        <v>00:00</v>
      </c>
      <c r="GQ286" s="29"/>
      <c r="GR286" s="27"/>
      <c r="GS286" s="27"/>
      <c r="GT286" s="28" t="str">
        <f>IFERROR(VLOOKUP(GR286,Horarios!$H:$I,2,0),"")</f>
        <v/>
      </c>
      <c r="GU286" s="28" t="str">
        <f>IFERROR(VLOOKUP(GS286,Horarios!$H:$I,2,0),"")</f>
        <v/>
      </c>
      <c r="GV286" s="28" t="str">
        <f t="shared" si="228"/>
        <v>00:00</v>
      </c>
      <c r="GW286" s="29"/>
      <c r="GX286" s="27"/>
      <c r="GY286" s="27"/>
      <c r="GZ286" s="28" t="str">
        <f>IFERROR(VLOOKUP(GX286,Horarios!$H:$I,2,0),"")</f>
        <v/>
      </c>
      <c r="HA286" s="28" t="str">
        <f>IFERROR(VLOOKUP(GY286,Horarios!$H:$I,2,0),"")</f>
        <v/>
      </c>
      <c r="HB286" s="28" t="str">
        <f t="shared" si="229"/>
        <v>00:00</v>
      </c>
      <c r="HC286" s="29"/>
      <c r="HD286" s="27"/>
      <c r="HE286" s="27"/>
      <c r="HF286" s="28" t="str">
        <f>IFERROR(VLOOKUP(HD286,Horarios!$H:$I,2,0),"")</f>
        <v/>
      </c>
      <c r="HG286" s="28" t="str">
        <f>IFERROR(VLOOKUP(HE286,Horarios!$H:$I,2,0),"")</f>
        <v/>
      </c>
      <c r="HH286" s="28" t="str">
        <f t="shared" si="230"/>
        <v>00:00</v>
      </c>
      <c r="HI286" s="29"/>
      <c r="HJ286" s="31" t="str">
        <f t="shared" si="231"/>
        <v/>
      </c>
      <c r="HK286" s="27"/>
      <c r="HL286" s="27"/>
      <c r="HM286" s="28" t="str">
        <f>IFERROR(VLOOKUP(HK286,Horarios!$H:$I,2,0),"")</f>
        <v/>
      </c>
      <c r="HN286" s="28" t="str">
        <f>IFERROR(VLOOKUP(HL286,Horarios!$H:$I,2,0),"")</f>
        <v/>
      </c>
      <c r="HO286" s="28" t="str">
        <f t="shared" si="232"/>
        <v>00:00</v>
      </c>
      <c r="HP286" s="29"/>
      <c r="HQ286" s="27"/>
      <c r="HR286" s="27"/>
      <c r="HS286" s="28" t="str">
        <f>IFERROR(VLOOKUP(HQ286,Horarios!$H:$I,2,0),"")</f>
        <v/>
      </c>
      <c r="HT286" s="28" t="str">
        <f>IFERROR(VLOOKUP(HR286,Horarios!$H:$I,2,0),"")</f>
        <v/>
      </c>
      <c r="HU286" s="28" t="str">
        <f t="shared" si="233"/>
        <v>00:00</v>
      </c>
      <c r="HV286" s="29"/>
      <c r="HW286" s="27"/>
      <c r="HX286" s="27"/>
      <c r="HY286" s="28" t="str">
        <f>IFERROR(VLOOKUP(HW286,Horarios!$H:$I,2,0),"")</f>
        <v/>
      </c>
      <c r="HZ286" s="28" t="str">
        <f>IFERROR(VLOOKUP(HX286,Horarios!$H:$I,2,0),"")</f>
        <v/>
      </c>
      <c r="IA286" s="28" t="str">
        <f t="shared" si="234"/>
        <v>00:00</v>
      </c>
      <c r="IB286" s="29"/>
      <c r="IC286" s="27"/>
      <c r="ID286" s="27"/>
      <c r="IE286" s="28" t="str">
        <f>IFERROR(VLOOKUP(IC286,Horarios!$H:$I,2,0),"")</f>
        <v/>
      </c>
      <c r="IF286" s="28" t="str">
        <f>IFERROR(VLOOKUP(ID286,Horarios!$H:$I,2,0),"")</f>
        <v/>
      </c>
      <c r="IG286" s="28" t="str">
        <f t="shared" si="235"/>
        <v>00:00</v>
      </c>
      <c r="IH286" s="29"/>
      <c r="II286" s="27"/>
      <c r="IJ286" s="27"/>
      <c r="IK286" s="28" t="str">
        <f>IFERROR(VLOOKUP(II286,Horarios!$H:$I,2,0),"")</f>
        <v/>
      </c>
      <c r="IL286" s="28" t="str">
        <f>IFERROR(VLOOKUP(IJ286,Horarios!$H:$I,2,0),"")</f>
        <v/>
      </c>
      <c r="IM286" s="28" t="str">
        <f t="shared" si="236"/>
        <v>00:00</v>
      </c>
      <c r="IN286" s="29"/>
      <c r="IO286" s="27"/>
      <c r="IP286" s="27"/>
      <c r="IQ286" s="28" t="str">
        <f>IFERROR(VLOOKUP(IO286,Horarios!$H:$I,2,0),"")</f>
        <v/>
      </c>
      <c r="IR286" s="28" t="str">
        <f>IFERROR(VLOOKUP(IP286,Horarios!$H:$I,2,0),"")</f>
        <v/>
      </c>
      <c r="IS286" s="28" t="str">
        <f t="shared" si="237"/>
        <v>00:00</v>
      </c>
      <c r="IT286" s="29"/>
      <c r="IU286" s="27"/>
      <c r="IV286" s="27"/>
      <c r="IW286" s="28" t="str">
        <f>IFERROR(VLOOKUP(IU286,Horarios!$H:$I,2,0),"")</f>
        <v/>
      </c>
      <c r="IX286" s="28" t="str">
        <f>IFERROR(VLOOKUP(IV286,Horarios!$H:$I,2,0),"")</f>
        <v/>
      </c>
      <c r="IY286" s="28" t="str">
        <f t="shared" si="238"/>
        <v>00:00</v>
      </c>
      <c r="IZ286" s="29"/>
      <c r="JA286" s="31" t="str">
        <f t="shared" si="239"/>
        <v/>
      </c>
    </row>
    <row r="287" spans="1:261" s="24" customFormat="1" ht="17.399999999999999" x14ac:dyDescent="0.25">
      <c r="A287" s="25"/>
      <c r="B287" s="26" t="str">
        <f>IFERROR(VLOOKUP(A287,BaseNombres!A:B,2,0),"")</f>
        <v/>
      </c>
      <c r="C287" s="26" t="str">
        <f>IFERROR(VLOOKUP(A287,BaseNombres!A:C,3,0),"")</f>
        <v/>
      </c>
      <c r="D287" s="27"/>
      <c r="E287" s="27"/>
      <c r="F287" s="28" t="str">
        <f>IFERROR(VLOOKUP(D287,Horarios!$H:$I,2,0),"")</f>
        <v/>
      </c>
      <c r="G287" s="28" t="str">
        <f>IFERROR(VLOOKUP(E287,Horarios!$H:$I,2,0),"")</f>
        <v/>
      </c>
      <c r="H287" s="28" t="str">
        <f t="shared" si="192"/>
        <v>00:00</v>
      </c>
      <c r="I287" s="29"/>
      <c r="J287" s="27"/>
      <c r="K287" s="27"/>
      <c r="L287" s="28" t="str">
        <f>IFERROR(VLOOKUP(J287,Horarios!$H:$I,2,0),"")</f>
        <v/>
      </c>
      <c r="M287" s="28" t="str">
        <f>IFERROR(VLOOKUP(K287,Horarios!$H:$I,2,0),"")</f>
        <v/>
      </c>
      <c r="N287" s="28" t="str">
        <f t="shared" si="193"/>
        <v>00:00</v>
      </c>
      <c r="O287" s="29"/>
      <c r="P287" s="27"/>
      <c r="Q287" s="27"/>
      <c r="R287" s="28" t="str">
        <f>IFERROR(VLOOKUP(P287,Horarios!$H:$I,2,0),"")</f>
        <v/>
      </c>
      <c r="S287" s="28" t="str">
        <f>IFERROR(VLOOKUP(Q287,Horarios!$H:$I,2,0),"")</f>
        <v/>
      </c>
      <c r="T287" s="28" t="str">
        <f t="shared" si="194"/>
        <v>00:00</v>
      </c>
      <c r="U287" s="29"/>
      <c r="V287" s="27"/>
      <c r="W287" s="27"/>
      <c r="X287" s="28" t="str">
        <f>IFERROR(VLOOKUP(V287,Horarios!$H:$I,2,0),"")</f>
        <v/>
      </c>
      <c r="Y287" s="28" t="str">
        <f>IFERROR(VLOOKUP(W287,Horarios!$H:$I,2,0),"")</f>
        <v/>
      </c>
      <c r="Z287" s="28" t="str">
        <f t="shared" si="195"/>
        <v>00:00</v>
      </c>
      <c r="AA287" s="29"/>
      <c r="AB287" s="27"/>
      <c r="AC287" s="27"/>
      <c r="AD287" s="28" t="str">
        <f>IFERROR(VLOOKUP(AB287,Horarios!$H:$I,2,0),"")</f>
        <v/>
      </c>
      <c r="AE287" s="28" t="str">
        <f>IFERROR(VLOOKUP(AC287,Horarios!$H:$I,2,0),"")</f>
        <v/>
      </c>
      <c r="AF287" s="28" t="str">
        <f t="shared" si="196"/>
        <v>00:00</v>
      </c>
      <c r="AG287" s="29"/>
      <c r="AH287" s="27"/>
      <c r="AI287" s="27"/>
      <c r="AJ287" s="28" t="str">
        <f>IFERROR(VLOOKUP(AH287,Horarios!$H:$I,2,0),"")</f>
        <v/>
      </c>
      <c r="AK287" s="28" t="str">
        <f>IFERROR(VLOOKUP(AI287,Horarios!$H:$I,2,0),"")</f>
        <v/>
      </c>
      <c r="AL287" s="28" t="str">
        <f t="shared" si="197"/>
        <v>00:00</v>
      </c>
      <c r="AM287" s="29"/>
      <c r="AN287" s="27"/>
      <c r="AO287" s="27"/>
      <c r="AP287" s="28" t="str">
        <f>IFERROR(VLOOKUP(AN287,Horarios!$H:$I,2,0),"")</f>
        <v/>
      </c>
      <c r="AQ287" s="28" t="str">
        <f>IFERROR(VLOOKUP(AO287,Horarios!$H:$I,2,0),"")</f>
        <v/>
      </c>
      <c r="AR287" s="28" t="str">
        <f t="shared" si="198"/>
        <v>00:00</v>
      </c>
      <c r="AS287" s="29"/>
      <c r="AT287" s="31" t="str">
        <f t="shared" si="199"/>
        <v/>
      </c>
      <c r="AU287" s="27"/>
      <c r="AV287" s="27"/>
      <c r="AW287" s="28" t="str">
        <f>IFERROR(VLOOKUP(AU287,Horarios!$H:$I,2,0),"")</f>
        <v/>
      </c>
      <c r="AX287" s="28" t="str">
        <f>IFERROR(VLOOKUP(AV287,Horarios!$H:$I,2,0),"")</f>
        <v/>
      </c>
      <c r="AY287" s="28" t="str">
        <f t="shared" si="200"/>
        <v>00:00</v>
      </c>
      <c r="AZ287" s="29"/>
      <c r="BA287" s="27"/>
      <c r="BB287" s="27"/>
      <c r="BC287" s="28" t="str">
        <f>IFERROR(VLOOKUP(BA287,Horarios!$H:$I,2,0),"")</f>
        <v/>
      </c>
      <c r="BD287" s="28" t="str">
        <f>IFERROR(VLOOKUP(BB287,Horarios!$H:$I,2,0),"")</f>
        <v/>
      </c>
      <c r="BE287" s="28" t="str">
        <f t="shared" si="201"/>
        <v>00:00</v>
      </c>
      <c r="BF287" s="29"/>
      <c r="BG287" s="27"/>
      <c r="BH287" s="27"/>
      <c r="BI287" s="28" t="str">
        <f>IFERROR(VLOOKUP(BG287,Horarios!$H:$I,2,0),"")</f>
        <v/>
      </c>
      <c r="BJ287" s="28" t="str">
        <f>IFERROR(VLOOKUP(BH287,Horarios!$H:$I,2,0),"")</f>
        <v/>
      </c>
      <c r="BK287" s="28" t="str">
        <f t="shared" si="202"/>
        <v>00:00</v>
      </c>
      <c r="BL287" s="29"/>
      <c r="BM287" s="27"/>
      <c r="BN287" s="27"/>
      <c r="BO287" s="28" t="str">
        <f>IFERROR(VLOOKUP(BM287,Horarios!$H:$I,2,0),"")</f>
        <v/>
      </c>
      <c r="BP287" s="28" t="str">
        <f>IFERROR(VLOOKUP(BN287,Horarios!$H:$I,2,0),"")</f>
        <v/>
      </c>
      <c r="BQ287" s="28" t="str">
        <f t="shared" si="203"/>
        <v>00:00</v>
      </c>
      <c r="BR287" s="29"/>
      <c r="BS287" s="27"/>
      <c r="BT287" s="27"/>
      <c r="BU287" s="28" t="str">
        <f>IFERROR(VLOOKUP(BS287,Horarios!$H:$I,2,0),"")</f>
        <v/>
      </c>
      <c r="BV287" s="28" t="str">
        <f>IFERROR(VLOOKUP(BT287,Horarios!$H:$I,2,0),"")</f>
        <v/>
      </c>
      <c r="BW287" s="28" t="str">
        <f t="shared" si="204"/>
        <v>00:00</v>
      </c>
      <c r="BX287" s="29"/>
      <c r="BY287" s="27"/>
      <c r="BZ287" s="27"/>
      <c r="CA287" s="28" t="str">
        <f>IFERROR(VLOOKUP(BY287,Horarios!$H:$I,2,0),"")</f>
        <v/>
      </c>
      <c r="CB287" s="28" t="str">
        <f>IFERROR(VLOOKUP(BZ287,Horarios!$H:$I,2,0),"")</f>
        <v/>
      </c>
      <c r="CC287" s="28" t="str">
        <f t="shared" si="205"/>
        <v>00:00</v>
      </c>
      <c r="CD287" s="29"/>
      <c r="CE287" s="27"/>
      <c r="CF287" s="27"/>
      <c r="CG287" s="28" t="str">
        <f>IFERROR(VLOOKUP(CE287,Horarios!$H:$I,2,0),"")</f>
        <v/>
      </c>
      <c r="CH287" s="28" t="str">
        <f>IFERROR(VLOOKUP(CF287,Horarios!$H:$I,2,0),"")</f>
        <v/>
      </c>
      <c r="CI287" s="28" t="str">
        <f t="shared" si="206"/>
        <v>00:00</v>
      </c>
      <c r="CJ287" s="29"/>
      <c r="CK287" s="31" t="str">
        <f t="shared" si="207"/>
        <v/>
      </c>
      <c r="CL287" s="27"/>
      <c r="CM287" s="27"/>
      <c r="CN287" s="28" t="str">
        <f>IFERROR(VLOOKUP(CL287,Horarios!$H:$I,2,0),"")</f>
        <v/>
      </c>
      <c r="CO287" s="28" t="str">
        <f>IFERROR(VLOOKUP(CM287,Horarios!$H:$I,2,0),"")</f>
        <v/>
      </c>
      <c r="CP287" s="28" t="str">
        <f t="shared" si="208"/>
        <v>00:00</v>
      </c>
      <c r="CQ287" s="29"/>
      <c r="CR287" s="27"/>
      <c r="CS287" s="27"/>
      <c r="CT287" s="28" t="str">
        <f>IFERROR(VLOOKUP(CR287,Horarios!$H:$I,2,0),"")</f>
        <v/>
      </c>
      <c r="CU287" s="28" t="str">
        <f>IFERROR(VLOOKUP(CS287,Horarios!$H:$I,2,0),"")</f>
        <v/>
      </c>
      <c r="CV287" s="28" t="str">
        <f t="shared" si="209"/>
        <v>00:00</v>
      </c>
      <c r="CW287" s="29"/>
      <c r="CX287" s="27"/>
      <c r="CY287" s="27"/>
      <c r="CZ287" s="28" t="str">
        <f>IFERROR(VLOOKUP(CX287,Horarios!$H:$I,2,0),"")</f>
        <v/>
      </c>
      <c r="DA287" s="28" t="str">
        <f>IFERROR(VLOOKUP(CY287,Horarios!$H:$I,2,0),"")</f>
        <v/>
      </c>
      <c r="DB287" s="28" t="str">
        <f t="shared" si="210"/>
        <v>00:00</v>
      </c>
      <c r="DC287" s="29"/>
      <c r="DD287" s="27"/>
      <c r="DE287" s="27"/>
      <c r="DF287" s="28" t="str">
        <f>IFERROR(VLOOKUP(DD287,Horarios!$H:$I,2,0),"")</f>
        <v/>
      </c>
      <c r="DG287" s="28" t="str">
        <f>IFERROR(VLOOKUP(DE287,Horarios!$H:$I,2,0),"")</f>
        <v/>
      </c>
      <c r="DH287" s="28" t="str">
        <f t="shared" si="211"/>
        <v>00:00</v>
      </c>
      <c r="DI287" s="29"/>
      <c r="DJ287" s="27"/>
      <c r="DK287" s="27"/>
      <c r="DL287" s="28" t="str">
        <f>IFERROR(VLOOKUP(DJ287,Horarios!$H:$I,2,0),"")</f>
        <v/>
      </c>
      <c r="DM287" s="28" t="str">
        <f>IFERROR(VLOOKUP(DK287,Horarios!$H:$I,2,0),"")</f>
        <v/>
      </c>
      <c r="DN287" s="28" t="str">
        <f t="shared" si="212"/>
        <v>00:00</v>
      </c>
      <c r="DO287" s="29"/>
      <c r="DP287" s="27"/>
      <c r="DQ287" s="27"/>
      <c r="DR287" s="28" t="str">
        <f>IFERROR(VLOOKUP(DP287,Horarios!$H:$I,2,0),"")</f>
        <v/>
      </c>
      <c r="DS287" s="28" t="str">
        <f>IFERROR(VLOOKUP(DQ287,Horarios!$H:$I,2,0),"")</f>
        <v/>
      </c>
      <c r="DT287" s="28" t="str">
        <f t="shared" si="213"/>
        <v>00:00</v>
      </c>
      <c r="DU287" s="29"/>
      <c r="DV287" s="27"/>
      <c r="DW287" s="27"/>
      <c r="DX287" s="28" t="str">
        <f>IFERROR(VLOOKUP(DV287,Horarios!$H:$I,2,0),"")</f>
        <v/>
      </c>
      <c r="DY287" s="28" t="str">
        <f>IFERROR(VLOOKUP(DW287,Horarios!$H:$I,2,0),"")</f>
        <v/>
      </c>
      <c r="DZ287" s="28" t="str">
        <f t="shared" si="214"/>
        <v>00:00</v>
      </c>
      <c r="EA287" s="29"/>
      <c r="EB287" s="31" t="str">
        <f t="shared" si="215"/>
        <v/>
      </c>
      <c r="EC287" s="27"/>
      <c r="ED287" s="27"/>
      <c r="EE287" s="28" t="str">
        <f>IFERROR(VLOOKUP(EC287,Horarios!$H:$I,2,0),"")</f>
        <v/>
      </c>
      <c r="EF287" s="28" t="str">
        <f>IFERROR(VLOOKUP(ED287,Horarios!$H:$I,2,0),"")</f>
        <v/>
      </c>
      <c r="EG287" s="28" t="str">
        <f t="shared" si="216"/>
        <v>00:00</v>
      </c>
      <c r="EH287" s="29"/>
      <c r="EI287" s="27"/>
      <c r="EJ287" s="27"/>
      <c r="EK287" s="28" t="str">
        <f>IFERROR(VLOOKUP(EI287,Horarios!$H:$I,2,0),"")</f>
        <v/>
      </c>
      <c r="EL287" s="28" t="str">
        <f>IFERROR(VLOOKUP(EJ287,Horarios!$H:$I,2,0),"")</f>
        <v/>
      </c>
      <c r="EM287" s="28" t="str">
        <f t="shared" si="217"/>
        <v>00:00</v>
      </c>
      <c r="EN287" s="29"/>
      <c r="EO287" s="27"/>
      <c r="EP287" s="27"/>
      <c r="EQ287" s="28" t="str">
        <f>IFERROR(VLOOKUP(EO287,Horarios!$H:$I,2,0),"")</f>
        <v/>
      </c>
      <c r="ER287" s="28" t="str">
        <f>IFERROR(VLOOKUP(EP287,Horarios!$H:$I,2,0),"")</f>
        <v/>
      </c>
      <c r="ES287" s="28" t="str">
        <f t="shared" si="218"/>
        <v>00:00</v>
      </c>
      <c r="ET287" s="29"/>
      <c r="EU287" s="27"/>
      <c r="EV287" s="27"/>
      <c r="EW287" s="28" t="str">
        <f>IFERROR(VLOOKUP(EU287,Horarios!$H:$I,2,0),"")</f>
        <v/>
      </c>
      <c r="EX287" s="28" t="str">
        <f>IFERROR(VLOOKUP(EV287,Horarios!$H:$I,2,0),"")</f>
        <v/>
      </c>
      <c r="EY287" s="28" t="str">
        <f t="shared" si="219"/>
        <v>00:00</v>
      </c>
      <c r="EZ287" s="29"/>
      <c r="FA287" s="27"/>
      <c r="FB287" s="27"/>
      <c r="FC287" s="28" t="str">
        <f>IFERROR(VLOOKUP(FA287,Horarios!$H:$I,2,0),"")</f>
        <v/>
      </c>
      <c r="FD287" s="28" t="str">
        <f>IFERROR(VLOOKUP(FB287,Horarios!$H:$I,2,0),"")</f>
        <v/>
      </c>
      <c r="FE287" s="28" t="str">
        <f t="shared" si="220"/>
        <v>00:00</v>
      </c>
      <c r="FF287" s="29"/>
      <c r="FG287" s="27"/>
      <c r="FH287" s="27"/>
      <c r="FI287" s="28" t="str">
        <f>IFERROR(VLOOKUP(FG287,Horarios!$H:$I,2,0),"")</f>
        <v/>
      </c>
      <c r="FJ287" s="28" t="str">
        <f>IFERROR(VLOOKUP(FH287,Horarios!$H:$I,2,0),"")</f>
        <v/>
      </c>
      <c r="FK287" s="28" t="str">
        <f t="shared" si="221"/>
        <v>00:00</v>
      </c>
      <c r="FL287" s="29"/>
      <c r="FM287" s="27"/>
      <c r="FN287" s="27"/>
      <c r="FO287" s="28" t="str">
        <f>IFERROR(VLOOKUP(FM287,Horarios!$H:$I,2,0),"")</f>
        <v/>
      </c>
      <c r="FP287" s="28" t="str">
        <f>IFERROR(VLOOKUP(FN287,Horarios!$H:$I,2,0),"")</f>
        <v/>
      </c>
      <c r="FQ287" s="28" t="str">
        <f t="shared" si="222"/>
        <v>00:00</v>
      </c>
      <c r="FR287" s="29"/>
      <c r="FS287" s="31" t="str">
        <f t="shared" si="223"/>
        <v/>
      </c>
      <c r="FT287" s="27"/>
      <c r="FU287" s="27"/>
      <c r="FV287" s="28" t="str">
        <f>IFERROR(VLOOKUP(FT287,Horarios!$H:$I,2,0),"")</f>
        <v/>
      </c>
      <c r="FW287" s="28" t="str">
        <f>IFERROR(VLOOKUP(FU287,Horarios!$H:$I,2,0),"")</f>
        <v/>
      </c>
      <c r="FX287" s="28" t="str">
        <f t="shared" si="224"/>
        <v>00:00</v>
      </c>
      <c r="FY287" s="29"/>
      <c r="FZ287" s="27"/>
      <c r="GA287" s="27"/>
      <c r="GB287" s="28" t="str">
        <f>IFERROR(VLOOKUP(FZ287,Horarios!$H:$I,2,0),"")</f>
        <v/>
      </c>
      <c r="GC287" s="28" t="str">
        <f>IFERROR(VLOOKUP(GA287,Horarios!$H:$I,2,0),"")</f>
        <v/>
      </c>
      <c r="GD287" s="28" t="str">
        <f t="shared" si="225"/>
        <v>00:00</v>
      </c>
      <c r="GE287" s="29"/>
      <c r="GF287" s="27"/>
      <c r="GG287" s="27"/>
      <c r="GH287" s="28" t="str">
        <f>IFERROR(VLOOKUP(GF287,Horarios!$H:$I,2,0),"")</f>
        <v/>
      </c>
      <c r="GI287" s="28" t="str">
        <f>IFERROR(VLOOKUP(GG287,Horarios!$H:$I,2,0),"")</f>
        <v/>
      </c>
      <c r="GJ287" s="28" t="str">
        <f t="shared" si="226"/>
        <v>00:00</v>
      </c>
      <c r="GK287" s="29"/>
      <c r="GL287" s="27"/>
      <c r="GM287" s="27"/>
      <c r="GN287" s="28" t="str">
        <f>IFERROR(VLOOKUP(GL287,Horarios!$H:$I,2,0),"")</f>
        <v/>
      </c>
      <c r="GO287" s="28" t="str">
        <f>IFERROR(VLOOKUP(GM287,Horarios!$H:$I,2,0),"")</f>
        <v/>
      </c>
      <c r="GP287" s="28" t="str">
        <f t="shared" si="227"/>
        <v>00:00</v>
      </c>
      <c r="GQ287" s="29"/>
      <c r="GR287" s="27"/>
      <c r="GS287" s="27"/>
      <c r="GT287" s="28" t="str">
        <f>IFERROR(VLOOKUP(GR287,Horarios!$H:$I,2,0),"")</f>
        <v/>
      </c>
      <c r="GU287" s="28" t="str">
        <f>IFERROR(VLOOKUP(GS287,Horarios!$H:$I,2,0),"")</f>
        <v/>
      </c>
      <c r="GV287" s="28" t="str">
        <f t="shared" si="228"/>
        <v>00:00</v>
      </c>
      <c r="GW287" s="29"/>
      <c r="GX287" s="27"/>
      <c r="GY287" s="27"/>
      <c r="GZ287" s="28" t="str">
        <f>IFERROR(VLOOKUP(GX287,Horarios!$H:$I,2,0),"")</f>
        <v/>
      </c>
      <c r="HA287" s="28" t="str">
        <f>IFERROR(VLOOKUP(GY287,Horarios!$H:$I,2,0),"")</f>
        <v/>
      </c>
      <c r="HB287" s="28" t="str">
        <f t="shared" si="229"/>
        <v>00:00</v>
      </c>
      <c r="HC287" s="29"/>
      <c r="HD287" s="27"/>
      <c r="HE287" s="27"/>
      <c r="HF287" s="28" t="str">
        <f>IFERROR(VLOOKUP(HD287,Horarios!$H:$I,2,0),"")</f>
        <v/>
      </c>
      <c r="HG287" s="28" t="str">
        <f>IFERROR(VLOOKUP(HE287,Horarios!$H:$I,2,0),"")</f>
        <v/>
      </c>
      <c r="HH287" s="28" t="str">
        <f t="shared" si="230"/>
        <v>00:00</v>
      </c>
      <c r="HI287" s="29"/>
      <c r="HJ287" s="31" t="str">
        <f t="shared" si="231"/>
        <v/>
      </c>
      <c r="HK287" s="27"/>
      <c r="HL287" s="27"/>
      <c r="HM287" s="28" t="str">
        <f>IFERROR(VLOOKUP(HK287,Horarios!$H:$I,2,0),"")</f>
        <v/>
      </c>
      <c r="HN287" s="28" t="str">
        <f>IFERROR(VLOOKUP(HL287,Horarios!$H:$I,2,0),"")</f>
        <v/>
      </c>
      <c r="HO287" s="28" t="str">
        <f t="shared" si="232"/>
        <v>00:00</v>
      </c>
      <c r="HP287" s="29"/>
      <c r="HQ287" s="27"/>
      <c r="HR287" s="27"/>
      <c r="HS287" s="28" t="str">
        <f>IFERROR(VLOOKUP(HQ287,Horarios!$H:$I,2,0),"")</f>
        <v/>
      </c>
      <c r="HT287" s="28" t="str">
        <f>IFERROR(VLOOKUP(HR287,Horarios!$H:$I,2,0),"")</f>
        <v/>
      </c>
      <c r="HU287" s="28" t="str">
        <f t="shared" si="233"/>
        <v>00:00</v>
      </c>
      <c r="HV287" s="29"/>
      <c r="HW287" s="27"/>
      <c r="HX287" s="27"/>
      <c r="HY287" s="28" t="str">
        <f>IFERROR(VLOOKUP(HW287,Horarios!$H:$I,2,0),"")</f>
        <v/>
      </c>
      <c r="HZ287" s="28" t="str">
        <f>IFERROR(VLOOKUP(HX287,Horarios!$H:$I,2,0),"")</f>
        <v/>
      </c>
      <c r="IA287" s="28" t="str">
        <f t="shared" si="234"/>
        <v>00:00</v>
      </c>
      <c r="IB287" s="29"/>
      <c r="IC287" s="27"/>
      <c r="ID287" s="27"/>
      <c r="IE287" s="28" t="str">
        <f>IFERROR(VLOOKUP(IC287,Horarios!$H:$I,2,0),"")</f>
        <v/>
      </c>
      <c r="IF287" s="28" t="str">
        <f>IFERROR(VLOOKUP(ID287,Horarios!$H:$I,2,0),"")</f>
        <v/>
      </c>
      <c r="IG287" s="28" t="str">
        <f t="shared" si="235"/>
        <v>00:00</v>
      </c>
      <c r="IH287" s="29"/>
      <c r="II287" s="27"/>
      <c r="IJ287" s="27"/>
      <c r="IK287" s="28" t="str">
        <f>IFERROR(VLOOKUP(II287,Horarios!$H:$I,2,0),"")</f>
        <v/>
      </c>
      <c r="IL287" s="28" t="str">
        <f>IFERROR(VLOOKUP(IJ287,Horarios!$H:$I,2,0),"")</f>
        <v/>
      </c>
      <c r="IM287" s="28" t="str">
        <f t="shared" si="236"/>
        <v>00:00</v>
      </c>
      <c r="IN287" s="29"/>
      <c r="IO287" s="27"/>
      <c r="IP287" s="27"/>
      <c r="IQ287" s="28" t="str">
        <f>IFERROR(VLOOKUP(IO287,Horarios!$H:$I,2,0),"")</f>
        <v/>
      </c>
      <c r="IR287" s="28" t="str">
        <f>IFERROR(VLOOKUP(IP287,Horarios!$H:$I,2,0),"")</f>
        <v/>
      </c>
      <c r="IS287" s="28" t="str">
        <f t="shared" si="237"/>
        <v>00:00</v>
      </c>
      <c r="IT287" s="29"/>
      <c r="IU287" s="27"/>
      <c r="IV287" s="27"/>
      <c r="IW287" s="28" t="str">
        <f>IFERROR(VLOOKUP(IU287,Horarios!$H:$I,2,0),"")</f>
        <v/>
      </c>
      <c r="IX287" s="28" t="str">
        <f>IFERROR(VLOOKUP(IV287,Horarios!$H:$I,2,0),"")</f>
        <v/>
      </c>
      <c r="IY287" s="28" t="str">
        <f t="shared" si="238"/>
        <v>00:00</v>
      </c>
      <c r="IZ287" s="29"/>
      <c r="JA287" s="31" t="str">
        <f t="shared" si="239"/>
        <v/>
      </c>
    </row>
    <row r="288" spans="1:261" s="24" customFormat="1" ht="17.399999999999999" x14ac:dyDescent="0.25">
      <c r="A288" s="25"/>
      <c r="B288" s="26" t="str">
        <f>IFERROR(VLOOKUP(A288,BaseNombres!A:B,2,0),"")</f>
        <v/>
      </c>
      <c r="C288" s="26" t="str">
        <f>IFERROR(VLOOKUP(A288,BaseNombres!A:C,3,0),"")</f>
        <v/>
      </c>
      <c r="D288" s="27"/>
      <c r="E288" s="27"/>
      <c r="F288" s="28" t="str">
        <f>IFERROR(VLOOKUP(D288,Horarios!$H:$I,2,0),"")</f>
        <v/>
      </c>
      <c r="G288" s="28" t="str">
        <f>IFERROR(VLOOKUP(E288,Horarios!$H:$I,2,0),"")</f>
        <v/>
      </c>
      <c r="H288" s="28" t="str">
        <f t="shared" si="192"/>
        <v>00:00</v>
      </c>
      <c r="I288" s="29"/>
      <c r="J288" s="27"/>
      <c r="K288" s="27"/>
      <c r="L288" s="28" t="str">
        <f>IFERROR(VLOOKUP(J288,Horarios!$H:$I,2,0),"")</f>
        <v/>
      </c>
      <c r="M288" s="28" t="str">
        <f>IFERROR(VLOOKUP(K288,Horarios!$H:$I,2,0),"")</f>
        <v/>
      </c>
      <c r="N288" s="28" t="str">
        <f t="shared" si="193"/>
        <v>00:00</v>
      </c>
      <c r="O288" s="29"/>
      <c r="P288" s="27"/>
      <c r="Q288" s="27"/>
      <c r="R288" s="28" t="str">
        <f>IFERROR(VLOOKUP(P288,Horarios!$H:$I,2,0),"")</f>
        <v/>
      </c>
      <c r="S288" s="28" t="str">
        <f>IFERROR(VLOOKUP(Q288,Horarios!$H:$I,2,0),"")</f>
        <v/>
      </c>
      <c r="T288" s="28" t="str">
        <f t="shared" si="194"/>
        <v>00:00</v>
      </c>
      <c r="U288" s="29"/>
      <c r="V288" s="27"/>
      <c r="W288" s="27"/>
      <c r="X288" s="28" t="str">
        <f>IFERROR(VLOOKUP(V288,Horarios!$H:$I,2,0),"")</f>
        <v/>
      </c>
      <c r="Y288" s="28" t="str">
        <f>IFERROR(VLOOKUP(W288,Horarios!$H:$I,2,0),"")</f>
        <v/>
      </c>
      <c r="Z288" s="28" t="str">
        <f t="shared" si="195"/>
        <v>00:00</v>
      </c>
      <c r="AA288" s="29"/>
      <c r="AB288" s="27"/>
      <c r="AC288" s="27"/>
      <c r="AD288" s="28" t="str">
        <f>IFERROR(VLOOKUP(AB288,Horarios!$H:$I,2,0),"")</f>
        <v/>
      </c>
      <c r="AE288" s="28" t="str">
        <f>IFERROR(VLOOKUP(AC288,Horarios!$H:$I,2,0),"")</f>
        <v/>
      </c>
      <c r="AF288" s="28" t="str">
        <f t="shared" si="196"/>
        <v>00:00</v>
      </c>
      <c r="AG288" s="29"/>
      <c r="AH288" s="27"/>
      <c r="AI288" s="27"/>
      <c r="AJ288" s="28" t="str">
        <f>IFERROR(VLOOKUP(AH288,Horarios!$H:$I,2,0),"")</f>
        <v/>
      </c>
      <c r="AK288" s="28" t="str">
        <f>IFERROR(VLOOKUP(AI288,Horarios!$H:$I,2,0),"")</f>
        <v/>
      </c>
      <c r="AL288" s="28" t="str">
        <f t="shared" si="197"/>
        <v>00:00</v>
      </c>
      <c r="AM288" s="29"/>
      <c r="AN288" s="27"/>
      <c r="AO288" s="27"/>
      <c r="AP288" s="28" t="str">
        <f>IFERROR(VLOOKUP(AN288,Horarios!$H:$I,2,0),"")</f>
        <v/>
      </c>
      <c r="AQ288" s="28" t="str">
        <f>IFERROR(VLOOKUP(AO288,Horarios!$H:$I,2,0),"")</f>
        <v/>
      </c>
      <c r="AR288" s="28" t="str">
        <f t="shared" si="198"/>
        <v>00:00</v>
      </c>
      <c r="AS288" s="29"/>
      <c r="AT288" s="31" t="str">
        <f t="shared" si="199"/>
        <v/>
      </c>
      <c r="AU288" s="27"/>
      <c r="AV288" s="27"/>
      <c r="AW288" s="28" t="str">
        <f>IFERROR(VLOOKUP(AU288,Horarios!$H:$I,2,0),"")</f>
        <v/>
      </c>
      <c r="AX288" s="28" t="str">
        <f>IFERROR(VLOOKUP(AV288,Horarios!$H:$I,2,0),"")</f>
        <v/>
      </c>
      <c r="AY288" s="28" t="str">
        <f t="shared" si="200"/>
        <v>00:00</v>
      </c>
      <c r="AZ288" s="29"/>
      <c r="BA288" s="27"/>
      <c r="BB288" s="27"/>
      <c r="BC288" s="28" t="str">
        <f>IFERROR(VLOOKUP(BA288,Horarios!$H:$I,2,0),"")</f>
        <v/>
      </c>
      <c r="BD288" s="28" t="str">
        <f>IFERROR(VLOOKUP(BB288,Horarios!$H:$I,2,0),"")</f>
        <v/>
      </c>
      <c r="BE288" s="28" t="str">
        <f t="shared" si="201"/>
        <v>00:00</v>
      </c>
      <c r="BF288" s="29"/>
      <c r="BG288" s="27"/>
      <c r="BH288" s="27"/>
      <c r="BI288" s="28" t="str">
        <f>IFERROR(VLOOKUP(BG288,Horarios!$H:$I,2,0),"")</f>
        <v/>
      </c>
      <c r="BJ288" s="28" t="str">
        <f>IFERROR(VLOOKUP(BH288,Horarios!$H:$I,2,0),"")</f>
        <v/>
      </c>
      <c r="BK288" s="28" t="str">
        <f t="shared" si="202"/>
        <v>00:00</v>
      </c>
      <c r="BL288" s="29"/>
      <c r="BM288" s="27"/>
      <c r="BN288" s="27"/>
      <c r="BO288" s="28" t="str">
        <f>IFERROR(VLOOKUP(BM288,Horarios!$H:$I,2,0),"")</f>
        <v/>
      </c>
      <c r="BP288" s="28" t="str">
        <f>IFERROR(VLOOKUP(BN288,Horarios!$H:$I,2,0),"")</f>
        <v/>
      </c>
      <c r="BQ288" s="28" t="str">
        <f t="shared" si="203"/>
        <v>00:00</v>
      </c>
      <c r="BR288" s="29"/>
      <c r="BS288" s="27"/>
      <c r="BT288" s="27"/>
      <c r="BU288" s="28" t="str">
        <f>IFERROR(VLOOKUP(BS288,Horarios!$H:$I,2,0),"")</f>
        <v/>
      </c>
      <c r="BV288" s="28" t="str">
        <f>IFERROR(VLOOKUP(BT288,Horarios!$H:$I,2,0),"")</f>
        <v/>
      </c>
      <c r="BW288" s="28" t="str">
        <f t="shared" si="204"/>
        <v>00:00</v>
      </c>
      <c r="BX288" s="29"/>
      <c r="BY288" s="27"/>
      <c r="BZ288" s="27"/>
      <c r="CA288" s="28" t="str">
        <f>IFERROR(VLOOKUP(BY288,Horarios!$H:$I,2,0),"")</f>
        <v/>
      </c>
      <c r="CB288" s="28" t="str">
        <f>IFERROR(VLOOKUP(BZ288,Horarios!$H:$I,2,0),"")</f>
        <v/>
      </c>
      <c r="CC288" s="28" t="str">
        <f t="shared" si="205"/>
        <v>00:00</v>
      </c>
      <c r="CD288" s="29"/>
      <c r="CE288" s="27"/>
      <c r="CF288" s="27"/>
      <c r="CG288" s="28" t="str">
        <f>IFERROR(VLOOKUP(CE288,Horarios!$H:$I,2,0),"")</f>
        <v/>
      </c>
      <c r="CH288" s="28" t="str">
        <f>IFERROR(VLOOKUP(CF288,Horarios!$H:$I,2,0),"")</f>
        <v/>
      </c>
      <c r="CI288" s="28" t="str">
        <f t="shared" si="206"/>
        <v>00:00</v>
      </c>
      <c r="CJ288" s="29"/>
      <c r="CK288" s="31" t="str">
        <f t="shared" si="207"/>
        <v/>
      </c>
      <c r="CL288" s="27"/>
      <c r="CM288" s="27"/>
      <c r="CN288" s="28" t="str">
        <f>IFERROR(VLOOKUP(CL288,Horarios!$H:$I,2,0),"")</f>
        <v/>
      </c>
      <c r="CO288" s="28" t="str">
        <f>IFERROR(VLOOKUP(CM288,Horarios!$H:$I,2,0),"")</f>
        <v/>
      </c>
      <c r="CP288" s="28" t="str">
        <f t="shared" si="208"/>
        <v>00:00</v>
      </c>
      <c r="CQ288" s="29"/>
      <c r="CR288" s="27"/>
      <c r="CS288" s="27"/>
      <c r="CT288" s="28" t="str">
        <f>IFERROR(VLOOKUP(CR288,Horarios!$H:$I,2,0),"")</f>
        <v/>
      </c>
      <c r="CU288" s="28" t="str">
        <f>IFERROR(VLOOKUP(CS288,Horarios!$H:$I,2,0),"")</f>
        <v/>
      </c>
      <c r="CV288" s="28" t="str">
        <f t="shared" si="209"/>
        <v>00:00</v>
      </c>
      <c r="CW288" s="29"/>
      <c r="CX288" s="27"/>
      <c r="CY288" s="27"/>
      <c r="CZ288" s="28" t="str">
        <f>IFERROR(VLOOKUP(CX288,Horarios!$H:$I,2,0),"")</f>
        <v/>
      </c>
      <c r="DA288" s="28" t="str">
        <f>IFERROR(VLOOKUP(CY288,Horarios!$H:$I,2,0),"")</f>
        <v/>
      </c>
      <c r="DB288" s="28" t="str">
        <f t="shared" si="210"/>
        <v>00:00</v>
      </c>
      <c r="DC288" s="29"/>
      <c r="DD288" s="27"/>
      <c r="DE288" s="27"/>
      <c r="DF288" s="28" t="str">
        <f>IFERROR(VLOOKUP(DD288,Horarios!$H:$I,2,0),"")</f>
        <v/>
      </c>
      <c r="DG288" s="28" t="str">
        <f>IFERROR(VLOOKUP(DE288,Horarios!$H:$I,2,0),"")</f>
        <v/>
      </c>
      <c r="DH288" s="28" t="str">
        <f t="shared" si="211"/>
        <v>00:00</v>
      </c>
      <c r="DI288" s="29"/>
      <c r="DJ288" s="27"/>
      <c r="DK288" s="27"/>
      <c r="DL288" s="28" t="str">
        <f>IFERROR(VLOOKUP(DJ288,Horarios!$H:$I,2,0),"")</f>
        <v/>
      </c>
      <c r="DM288" s="28" t="str">
        <f>IFERROR(VLOOKUP(DK288,Horarios!$H:$I,2,0),"")</f>
        <v/>
      </c>
      <c r="DN288" s="28" t="str">
        <f t="shared" si="212"/>
        <v>00:00</v>
      </c>
      <c r="DO288" s="29"/>
      <c r="DP288" s="27"/>
      <c r="DQ288" s="27"/>
      <c r="DR288" s="28" t="str">
        <f>IFERROR(VLOOKUP(DP288,Horarios!$H:$I,2,0),"")</f>
        <v/>
      </c>
      <c r="DS288" s="28" t="str">
        <f>IFERROR(VLOOKUP(DQ288,Horarios!$H:$I,2,0),"")</f>
        <v/>
      </c>
      <c r="DT288" s="28" t="str">
        <f t="shared" si="213"/>
        <v>00:00</v>
      </c>
      <c r="DU288" s="29"/>
      <c r="DV288" s="27"/>
      <c r="DW288" s="27"/>
      <c r="DX288" s="28" t="str">
        <f>IFERROR(VLOOKUP(DV288,Horarios!$H:$I,2,0),"")</f>
        <v/>
      </c>
      <c r="DY288" s="28" t="str">
        <f>IFERROR(VLOOKUP(DW288,Horarios!$H:$I,2,0),"")</f>
        <v/>
      </c>
      <c r="DZ288" s="28" t="str">
        <f t="shared" si="214"/>
        <v>00:00</v>
      </c>
      <c r="EA288" s="29"/>
      <c r="EB288" s="31" t="str">
        <f t="shared" si="215"/>
        <v/>
      </c>
      <c r="EC288" s="27"/>
      <c r="ED288" s="27"/>
      <c r="EE288" s="28" t="str">
        <f>IFERROR(VLOOKUP(EC288,Horarios!$H:$I,2,0),"")</f>
        <v/>
      </c>
      <c r="EF288" s="28" t="str">
        <f>IFERROR(VLOOKUP(ED288,Horarios!$H:$I,2,0),"")</f>
        <v/>
      </c>
      <c r="EG288" s="28" t="str">
        <f t="shared" si="216"/>
        <v>00:00</v>
      </c>
      <c r="EH288" s="29"/>
      <c r="EI288" s="27"/>
      <c r="EJ288" s="27"/>
      <c r="EK288" s="28" t="str">
        <f>IFERROR(VLOOKUP(EI288,Horarios!$H:$I,2,0),"")</f>
        <v/>
      </c>
      <c r="EL288" s="28" t="str">
        <f>IFERROR(VLOOKUP(EJ288,Horarios!$H:$I,2,0),"")</f>
        <v/>
      </c>
      <c r="EM288" s="28" t="str">
        <f t="shared" si="217"/>
        <v>00:00</v>
      </c>
      <c r="EN288" s="29"/>
      <c r="EO288" s="27"/>
      <c r="EP288" s="27"/>
      <c r="EQ288" s="28" t="str">
        <f>IFERROR(VLOOKUP(EO288,Horarios!$H:$I,2,0),"")</f>
        <v/>
      </c>
      <c r="ER288" s="28" t="str">
        <f>IFERROR(VLOOKUP(EP288,Horarios!$H:$I,2,0),"")</f>
        <v/>
      </c>
      <c r="ES288" s="28" t="str">
        <f t="shared" si="218"/>
        <v>00:00</v>
      </c>
      <c r="ET288" s="29"/>
      <c r="EU288" s="27"/>
      <c r="EV288" s="27"/>
      <c r="EW288" s="28" t="str">
        <f>IFERROR(VLOOKUP(EU288,Horarios!$H:$I,2,0),"")</f>
        <v/>
      </c>
      <c r="EX288" s="28" t="str">
        <f>IFERROR(VLOOKUP(EV288,Horarios!$H:$I,2,0),"")</f>
        <v/>
      </c>
      <c r="EY288" s="28" t="str">
        <f t="shared" si="219"/>
        <v>00:00</v>
      </c>
      <c r="EZ288" s="29"/>
      <c r="FA288" s="27"/>
      <c r="FB288" s="27"/>
      <c r="FC288" s="28" t="str">
        <f>IFERROR(VLOOKUP(FA288,Horarios!$H:$I,2,0),"")</f>
        <v/>
      </c>
      <c r="FD288" s="28" t="str">
        <f>IFERROR(VLOOKUP(FB288,Horarios!$H:$I,2,0),"")</f>
        <v/>
      </c>
      <c r="FE288" s="28" t="str">
        <f t="shared" si="220"/>
        <v>00:00</v>
      </c>
      <c r="FF288" s="29"/>
      <c r="FG288" s="27"/>
      <c r="FH288" s="27"/>
      <c r="FI288" s="28" t="str">
        <f>IFERROR(VLOOKUP(FG288,Horarios!$H:$I,2,0),"")</f>
        <v/>
      </c>
      <c r="FJ288" s="28" t="str">
        <f>IFERROR(VLOOKUP(FH288,Horarios!$H:$I,2,0),"")</f>
        <v/>
      </c>
      <c r="FK288" s="28" t="str">
        <f t="shared" si="221"/>
        <v>00:00</v>
      </c>
      <c r="FL288" s="29"/>
      <c r="FM288" s="27"/>
      <c r="FN288" s="27"/>
      <c r="FO288" s="28" t="str">
        <f>IFERROR(VLOOKUP(FM288,Horarios!$H:$I,2,0),"")</f>
        <v/>
      </c>
      <c r="FP288" s="28" t="str">
        <f>IFERROR(VLOOKUP(FN288,Horarios!$H:$I,2,0),"")</f>
        <v/>
      </c>
      <c r="FQ288" s="28" t="str">
        <f t="shared" si="222"/>
        <v>00:00</v>
      </c>
      <c r="FR288" s="29"/>
      <c r="FS288" s="31" t="str">
        <f t="shared" si="223"/>
        <v/>
      </c>
      <c r="FT288" s="27"/>
      <c r="FU288" s="27"/>
      <c r="FV288" s="28" t="str">
        <f>IFERROR(VLOOKUP(FT288,Horarios!$H:$I,2,0),"")</f>
        <v/>
      </c>
      <c r="FW288" s="28" t="str">
        <f>IFERROR(VLOOKUP(FU288,Horarios!$H:$I,2,0),"")</f>
        <v/>
      </c>
      <c r="FX288" s="28" t="str">
        <f t="shared" si="224"/>
        <v>00:00</v>
      </c>
      <c r="FY288" s="29"/>
      <c r="FZ288" s="27"/>
      <c r="GA288" s="27"/>
      <c r="GB288" s="28" t="str">
        <f>IFERROR(VLOOKUP(FZ288,Horarios!$H:$I,2,0),"")</f>
        <v/>
      </c>
      <c r="GC288" s="28" t="str">
        <f>IFERROR(VLOOKUP(GA288,Horarios!$H:$I,2,0),"")</f>
        <v/>
      </c>
      <c r="GD288" s="28" t="str">
        <f t="shared" si="225"/>
        <v>00:00</v>
      </c>
      <c r="GE288" s="29"/>
      <c r="GF288" s="27"/>
      <c r="GG288" s="27"/>
      <c r="GH288" s="28" t="str">
        <f>IFERROR(VLOOKUP(GF288,Horarios!$H:$I,2,0),"")</f>
        <v/>
      </c>
      <c r="GI288" s="28" t="str">
        <f>IFERROR(VLOOKUP(GG288,Horarios!$H:$I,2,0),"")</f>
        <v/>
      </c>
      <c r="GJ288" s="28" t="str">
        <f t="shared" si="226"/>
        <v>00:00</v>
      </c>
      <c r="GK288" s="29"/>
      <c r="GL288" s="27"/>
      <c r="GM288" s="27"/>
      <c r="GN288" s="28" t="str">
        <f>IFERROR(VLOOKUP(GL288,Horarios!$H:$I,2,0),"")</f>
        <v/>
      </c>
      <c r="GO288" s="28" t="str">
        <f>IFERROR(VLOOKUP(GM288,Horarios!$H:$I,2,0),"")</f>
        <v/>
      </c>
      <c r="GP288" s="28" t="str">
        <f t="shared" si="227"/>
        <v>00:00</v>
      </c>
      <c r="GQ288" s="29"/>
      <c r="GR288" s="27"/>
      <c r="GS288" s="27"/>
      <c r="GT288" s="28" t="str">
        <f>IFERROR(VLOOKUP(GR288,Horarios!$H:$I,2,0),"")</f>
        <v/>
      </c>
      <c r="GU288" s="28" t="str">
        <f>IFERROR(VLOOKUP(GS288,Horarios!$H:$I,2,0),"")</f>
        <v/>
      </c>
      <c r="GV288" s="28" t="str">
        <f t="shared" si="228"/>
        <v>00:00</v>
      </c>
      <c r="GW288" s="29"/>
      <c r="GX288" s="27"/>
      <c r="GY288" s="27"/>
      <c r="GZ288" s="28" t="str">
        <f>IFERROR(VLOOKUP(GX288,Horarios!$H:$I,2,0),"")</f>
        <v/>
      </c>
      <c r="HA288" s="28" t="str">
        <f>IFERROR(VLOOKUP(GY288,Horarios!$H:$I,2,0),"")</f>
        <v/>
      </c>
      <c r="HB288" s="28" t="str">
        <f t="shared" si="229"/>
        <v>00:00</v>
      </c>
      <c r="HC288" s="29"/>
      <c r="HD288" s="27"/>
      <c r="HE288" s="27"/>
      <c r="HF288" s="28" t="str">
        <f>IFERROR(VLOOKUP(HD288,Horarios!$H:$I,2,0),"")</f>
        <v/>
      </c>
      <c r="HG288" s="28" t="str">
        <f>IFERROR(VLOOKUP(HE288,Horarios!$H:$I,2,0),"")</f>
        <v/>
      </c>
      <c r="HH288" s="28" t="str">
        <f t="shared" si="230"/>
        <v>00:00</v>
      </c>
      <c r="HI288" s="29"/>
      <c r="HJ288" s="31" t="str">
        <f t="shared" si="231"/>
        <v/>
      </c>
      <c r="HK288" s="27"/>
      <c r="HL288" s="27"/>
      <c r="HM288" s="28" t="str">
        <f>IFERROR(VLOOKUP(HK288,Horarios!$H:$I,2,0),"")</f>
        <v/>
      </c>
      <c r="HN288" s="28" t="str">
        <f>IFERROR(VLOOKUP(HL288,Horarios!$H:$I,2,0),"")</f>
        <v/>
      </c>
      <c r="HO288" s="28" t="str">
        <f t="shared" si="232"/>
        <v>00:00</v>
      </c>
      <c r="HP288" s="29"/>
      <c r="HQ288" s="27"/>
      <c r="HR288" s="27"/>
      <c r="HS288" s="28" t="str">
        <f>IFERROR(VLOOKUP(HQ288,Horarios!$H:$I,2,0),"")</f>
        <v/>
      </c>
      <c r="HT288" s="28" t="str">
        <f>IFERROR(VLOOKUP(HR288,Horarios!$H:$I,2,0),"")</f>
        <v/>
      </c>
      <c r="HU288" s="28" t="str">
        <f t="shared" si="233"/>
        <v>00:00</v>
      </c>
      <c r="HV288" s="29"/>
      <c r="HW288" s="27"/>
      <c r="HX288" s="27"/>
      <c r="HY288" s="28" t="str">
        <f>IFERROR(VLOOKUP(HW288,Horarios!$H:$I,2,0),"")</f>
        <v/>
      </c>
      <c r="HZ288" s="28" t="str">
        <f>IFERROR(VLOOKUP(HX288,Horarios!$H:$I,2,0),"")</f>
        <v/>
      </c>
      <c r="IA288" s="28" t="str">
        <f t="shared" si="234"/>
        <v>00:00</v>
      </c>
      <c r="IB288" s="29"/>
      <c r="IC288" s="27"/>
      <c r="ID288" s="27"/>
      <c r="IE288" s="28" t="str">
        <f>IFERROR(VLOOKUP(IC288,Horarios!$H:$I,2,0),"")</f>
        <v/>
      </c>
      <c r="IF288" s="28" t="str">
        <f>IFERROR(VLOOKUP(ID288,Horarios!$H:$I,2,0),"")</f>
        <v/>
      </c>
      <c r="IG288" s="28" t="str">
        <f t="shared" si="235"/>
        <v>00:00</v>
      </c>
      <c r="IH288" s="29"/>
      <c r="II288" s="27"/>
      <c r="IJ288" s="27"/>
      <c r="IK288" s="28" t="str">
        <f>IFERROR(VLOOKUP(II288,Horarios!$H:$I,2,0),"")</f>
        <v/>
      </c>
      <c r="IL288" s="28" t="str">
        <f>IFERROR(VLOOKUP(IJ288,Horarios!$H:$I,2,0),"")</f>
        <v/>
      </c>
      <c r="IM288" s="28" t="str">
        <f t="shared" si="236"/>
        <v>00:00</v>
      </c>
      <c r="IN288" s="29"/>
      <c r="IO288" s="27"/>
      <c r="IP288" s="27"/>
      <c r="IQ288" s="28" t="str">
        <f>IFERROR(VLOOKUP(IO288,Horarios!$H:$I,2,0),"")</f>
        <v/>
      </c>
      <c r="IR288" s="28" t="str">
        <f>IFERROR(VLOOKUP(IP288,Horarios!$H:$I,2,0),"")</f>
        <v/>
      </c>
      <c r="IS288" s="28" t="str">
        <f t="shared" si="237"/>
        <v>00:00</v>
      </c>
      <c r="IT288" s="29"/>
      <c r="IU288" s="27"/>
      <c r="IV288" s="27"/>
      <c r="IW288" s="28" t="str">
        <f>IFERROR(VLOOKUP(IU288,Horarios!$H:$I,2,0),"")</f>
        <v/>
      </c>
      <c r="IX288" s="28" t="str">
        <f>IFERROR(VLOOKUP(IV288,Horarios!$H:$I,2,0),"")</f>
        <v/>
      </c>
      <c r="IY288" s="28" t="str">
        <f t="shared" si="238"/>
        <v>00:00</v>
      </c>
      <c r="IZ288" s="29"/>
      <c r="JA288" s="31" t="str">
        <f t="shared" si="239"/>
        <v/>
      </c>
    </row>
    <row r="289" spans="1:261" s="24" customFormat="1" ht="17.399999999999999" x14ac:dyDescent="0.25">
      <c r="A289" s="25"/>
      <c r="B289" s="26" t="str">
        <f>IFERROR(VLOOKUP(A289,BaseNombres!A:B,2,0),"")</f>
        <v/>
      </c>
      <c r="C289" s="26" t="str">
        <f>IFERROR(VLOOKUP(A289,BaseNombres!A:C,3,0),"")</f>
        <v/>
      </c>
      <c r="D289" s="27"/>
      <c r="E289" s="27"/>
      <c r="F289" s="28" t="str">
        <f>IFERROR(VLOOKUP(D289,Horarios!$H:$I,2,0),"")</f>
        <v/>
      </c>
      <c r="G289" s="28" t="str">
        <f>IFERROR(VLOOKUP(E289,Horarios!$H:$I,2,0),"")</f>
        <v/>
      </c>
      <c r="H289" s="28" t="str">
        <f t="shared" si="192"/>
        <v>00:00</v>
      </c>
      <c r="I289" s="29"/>
      <c r="J289" s="27"/>
      <c r="K289" s="27"/>
      <c r="L289" s="28" t="str">
        <f>IFERROR(VLOOKUP(J289,Horarios!$H:$I,2,0),"")</f>
        <v/>
      </c>
      <c r="M289" s="28" t="str">
        <f>IFERROR(VLOOKUP(K289,Horarios!$H:$I,2,0),"")</f>
        <v/>
      </c>
      <c r="N289" s="28" t="str">
        <f t="shared" si="193"/>
        <v>00:00</v>
      </c>
      <c r="O289" s="29"/>
      <c r="P289" s="27"/>
      <c r="Q289" s="27"/>
      <c r="R289" s="28" t="str">
        <f>IFERROR(VLOOKUP(P289,Horarios!$H:$I,2,0),"")</f>
        <v/>
      </c>
      <c r="S289" s="28" t="str">
        <f>IFERROR(VLOOKUP(Q289,Horarios!$H:$I,2,0),"")</f>
        <v/>
      </c>
      <c r="T289" s="28" t="str">
        <f t="shared" si="194"/>
        <v>00:00</v>
      </c>
      <c r="U289" s="29"/>
      <c r="V289" s="27"/>
      <c r="W289" s="27"/>
      <c r="X289" s="28" t="str">
        <f>IFERROR(VLOOKUP(V289,Horarios!$H:$I,2,0),"")</f>
        <v/>
      </c>
      <c r="Y289" s="28" t="str">
        <f>IFERROR(VLOOKUP(W289,Horarios!$H:$I,2,0),"")</f>
        <v/>
      </c>
      <c r="Z289" s="28" t="str">
        <f t="shared" si="195"/>
        <v>00:00</v>
      </c>
      <c r="AA289" s="29"/>
      <c r="AB289" s="27"/>
      <c r="AC289" s="27"/>
      <c r="AD289" s="28" t="str">
        <f>IFERROR(VLOOKUP(AB289,Horarios!$H:$I,2,0),"")</f>
        <v/>
      </c>
      <c r="AE289" s="28" t="str">
        <f>IFERROR(VLOOKUP(AC289,Horarios!$H:$I,2,0),"")</f>
        <v/>
      </c>
      <c r="AF289" s="28" t="str">
        <f t="shared" si="196"/>
        <v>00:00</v>
      </c>
      <c r="AG289" s="29"/>
      <c r="AH289" s="27"/>
      <c r="AI289" s="27"/>
      <c r="AJ289" s="28" t="str">
        <f>IFERROR(VLOOKUP(AH289,Horarios!$H:$I,2,0),"")</f>
        <v/>
      </c>
      <c r="AK289" s="28" t="str">
        <f>IFERROR(VLOOKUP(AI289,Horarios!$H:$I,2,0),"")</f>
        <v/>
      </c>
      <c r="AL289" s="28" t="str">
        <f t="shared" si="197"/>
        <v>00:00</v>
      </c>
      <c r="AM289" s="29"/>
      <c r="AN289" s="27"/>
      <c r="AO289" s="27"/>
      <c r="AP289" s="28" t="str">
        <f>IFERROR(VLOOKUP(AN289,Horarios!$H:$I,2,0),"")</f>
        <v/>
      </c>
      <c r="AQ289" s="28" t="str">
        <f>IFERROR(VLOOKUP(AO289,Horarios!$H:$I,2,0),"")</f>
        <v/>
      </c>
      <c r="AR289" s="28" t="str">
        <f t="shared" si="198"/>
        <v>00:00</v>
      </c>
      <c r="AS289" s="29"/>
      <c r="AT289" s="31" t="str">
        <f t="shared" si="199"/>
        <v/>
      </c>
      <c r="AU289" s="27"/>
      <c r="AV289" s="27"/>
      <c r="AW289" s="28" t="str">
        <f>IFERROR(VLOOKUP(AU289,Horarios!$H:$I,2,0),"")</f>
        <v/>
      </c>
      <c r="AX289" s="28" t="str">
        <f>IFERROR(VLOOKUP(AV289,Horarios!$H:$I,2,0),"")</f>
        <v/>
      </c>
      <c r="AY289" s="28" t="str">
        <f t="shared" si="200"/>
        <v>00:00</v>
      </c>
      <c r="AZ289" s="29"/>
      <c r="BA289" s="27"/>
      <c r="BB289" s="27"/>
      <c r="BC289" s="28" t="str">
        <f>IFERROR(VLOOKUP(BA289,Horarios!$H:$I,2,0),"")</f>
        <v/>
      </c>
      <c r="BD289" s="28" t="str">
        <f>IFERROR(VLOOKUP(BB289,Horarios!$H:$I,2,0),"")</f>
        <v/>
      </c>
      <c r="BE289" s="28" t="str">
        <f t="shared" si="201"/>
        <v>00:00</v>
      </c>
      <c r="BF289" s="29"/>
      <c r="BG289" s="27"/>
      <c r="BH289" s="27"/>
      <c r="BI289" s="28" t="str">
        <f>IFERROR(VLOOKUP(BG289,Horarios!$H:$I,2,0),"")</f>
        <v/>
      </c>
      <c r="BJ289" s="28" t="str">
        <f>IFERROR(VLOOKUP(BH289,Horarios!$H:$I,2,0),"")</f>
        <v/>
      </c>
      <c r="BK289" s="28" t="str">
        <f t="shared" si="202"/>
        <v>00:00</v>
      </c>
      <c r="BL289" s="29"/>
      <c r="BM289" s="27"/>
      <c r="BN289" s="27"/>
      <c r="BO289" s="28" t="str">
        <f>IFERROR(VLOOKUP(BM289,Horarios!$H:$I,2,0),"")</f>
        <v/>
      </c>
      <c r="BP289" s="28" t="str">
        <f>IFERROR(VLOOKUP(BN289,Horarios!$H:$I,2,0),"")</f>
        <v/>
      </c>
      <c r="BQ289" s="28" t="str">
        <f t="shared" si="203"/>
        <v>00:00</v>
      </c>
      <c r="BR289" s="29"/>
      <c r="BS289" s="27"/>
      <c r="BT289" s="27"/>
      <c r="BU289" s="28" t="str">
        <f>IFERROR(VLOOKUP(BS289,Horarios!$H:$I,2,0),"")</f>
        <v/>
      </c>
      <c r="BV289" s="28" t="str">
        <f>IFERROR(VLOOKUP(BT289,Horarios!$H:$I,2,0),"")</f>
        <v/>
      </c>
      <c r="BW289" s="28" t="str">
        <f t="shared" si="204"/>
        <v>00:00</v>
      </c>
      <c r="BX289" s="29"/>
      <c r="BY289" s="27"/>
      <c r="BZ289" s="27"/>
      <c r="CA289" s="28" t="str">
        <f>IFERROR(VLOOKUP(BY289,Horarios!$H:$I,2,0),"")</f>
        <v/>
      </c>
      <c r="CB289" s="28" t="str">
        <f>IFERROR(VLOOKUP(BZ289,Horarios!$H:$I,2,0),"")</f>
        <v/>
      </c>
      <c r="CC289" s="28" t="str">
        <f t="shared" si="205"/>
        <v>00:00</v>
      </c>
      <c r="CD289" s="29"/>
      <c r="CE289" s="27"/>
      <c r="CF289" s="27"/>
      <c r="CG289" s="28" t="str">
        <f>IFERROR(VLOOKUP(CE289,Horarios!$H:$I,2,0),"")</f>
        <v/>
      </c>
      <c r="CH289" s="28" t="str">
        <f>IFERROR(VLOOKUP(CF289,Horarios!$H:$I,2,0),"")</f>
        <v/>
      </c>
      <c r="CI289" s="28" t="str">
        <f t="shared" si="206"/>
        <v>00:00</v>
      </c>
      <c r="CJ289" s="29"/>
      <c r="CK289" s="31" t="str">
        <f t="shared" si="207"/>
        <v/>
      </c>
      <c r="CL289" s="27"/>
      <c r="CM289" s="27"/>
      <c r="CN289" s="28" t="str">
        <f>IFERROR(VLOOKUP(CL289,Horarios!$H:$I,2,0),"")</f>
        <v/>
      </c>
      <c r="CO289" s="28" t="str">
        <f>IFERROR(VLOOKUP(CM289,Horarios!$H:$I,2,0),"")</f>
        <v/>
      </c>
      <c r="CP289" s="28" t="str">
        <f t="shared" si="208"/>
        <v>00:00</v>
      </c>
      <c r="CQ289" s="29"/>
      <c r="CR289" s="27"/>
      <c r="CS289" s="27"/>
      <c r="CT289" s="28" t="str">
        <f>IFERROR(VLOOKUP(CR289,Horarios!$H:$I,2,0),"")</f>
        <v/>
      </c>
      <c r="CU289" s="28" t="str">
        <f>IFERROR(VLOOKUP(CS289,Horarios!$H:$I,2,0),"")</f>
        <v/>
      </c>
      <c r="CV289" s="28" t="str">
        <f t="shared" si="209"/>
        <v>00:00</v>
      </c>
      <c r="CW289" s="29"/>
      <c r="CX289" s="27"/>
      <c r="CY289" s="27"/>
      <c r="CZ289" s="28" t="str">
        <f>IFERROR(VLOOKUP(CX289,Horarios!$H:$I,2,0),"")</f>
        <v/>
      </c>
      <c r="DA289" s="28" t="str">
        <f>IFERROR(VLOOKUP(CY289,Horarios!$H:$I,2,0),"")</f>
        <v/>
      </c>
      <c r="DB289" s="28" t="str">
        <f t="shared" si="210"/>
        <v>00:00</v>
      </c>
      <c r="DC289" s="29"/>
      <c r="DD289" s="27"/>
      <c r="DE289" s="27"/>
      <c r="DF289" s="28" t="str">
        <f>IFERROR(VLOOKUP(DD289,Horarios!$H:$I,2,0),"")</f>
        <v/>
      </c>
      <c r="DG289" s="28" t="str">
        <f>IFERROR(VLOOKUP(DE289,Horarios!$H:$I,2,0),"")</f>
        <v/>
      </c>
      <c r="DH289" s="28" t="str">
        <f t="shared" si="211"/>
        <v>00:00</v>
      </c>
      <c r="DI289" s="29"/>
      <c r="DJ289" s="27"/>
      <c r="DK289" s="27"/>
      <c r="DL289" s="28" t="str">
        <f>IFERROR(VLOOKUP(DJ289,Horarios!$H:$I,2,0),"")</f>
        <v/>
      </c>
      <c r="DM289" s="28" t="str">
        <f>IFERROR(VLOOKUP(DK289,Horarios!$H:$I,2,0),"")</f>
        <v/>
      </c>
      <c r="DN289" s="28" t="str">
        <f t="shared" si="212"/>
        <v>00:00</v>
      </c>
      <c r="DO289" s="29"/>
      <c r="DP289" s="27"/>
      <c r="DQ289" s="27"/>
      <c r="DR289" s="28" t="str">
        <f>IFERROR(VLOOKUP(DP289,Horarios!$H:$I,2,0),"")</f>
        <v/>
      </c>
      <c r="DS289" s="28" t="str">
        <f>IFERROR(VLOOKUP(DQ289,Horarios!$H:$I,2,0),"")</f>
        <v/>
      </c>
      <c r="DT289" s="28" t="str">
        <f t="shared" si="213"/>
        <v>00:00</v>
      </c>
      <c r="DU289" s="29"/>
      <c r="DV289" s="27"/>
      <c r="DW289" s="27"/>
      <c r="DX289" s="28" t="str">
        <f>IFERROR(VLOOKUP(DV289,Horarios!$H:$I,2,0),"")</f>
        <v/>
      </c>
      <c r="DY289" s="28" t="str">
        <f>IFERROR(VLOOKUP(DW289,Horarios!$H:$I,2,0),"")</f>
        <v/>
      </c>
      <c r="DZ289" s="28" t="str">
        <f t="shared" si="214"/>
        <v>00:00</v>
      </c>
      <c r="EA289" s="29"/>
      <c r="EB289" s="31" t="str">
        <f t="shared" si="215"/>
        <v/>
      </c>
      <c r="EC289" s="27"/>
      <c r="ED289" s="27"/>
      <c r="EE289" s="28" t="str">
        <f>IFERROR(VLOOKUP(EC289,Horarios!$H:$I,2,0),"")</f>
        <v/>
      </c>
      <c r="EF289" s="28" t="str">
        <f>IFERROR(VLOOKUP(ED289,Horarios!$H:$I,2,0),"")</f>
        <v/>
      </c>
      <c r="EG289" s="28" t="str">
        <f t="shared" si="216"/>
        <v>00:00</v>
      </c>
      <c r="EH289" s="29"/>
      <c r="EI289" s="27"/>
      <c r="EJ289" s="27"/>
      <c r="EK289" s="28" t="str">
        <f>IFERROR(VLOOKUP(EI289,Horarios!$H:$I,2,0),"")</f>
        <v/>
      </c>
      <c r="EL289" s="28" t="str">
        <f>IFERROR(VLOOKUP(EJ289,Horarios!$H:$I,2,0),"")</f>
        <v/>
      </c>
      <c r="EM289" s="28" t="str">
        <f t="shared" si="217"/>
        <v>00:00</v>
      </c>
      <c r="EN289" s="29"/>
      <c r="EO289" s="27"/>
      <c r="EP289" s="27"/>
      <c r="EQ289" s="28" t="str">
        <f>IFERROR(VLOOKUP(EO289,Horarios!$H:$I,2,0),"")</f>
        <v/>
      </c>
      <c r="ER289" s="28" t="str">
        <f>IFERROR(VLOOKUP(EP289,Horarios!$H:$I,2,0),"")</f>
        <v/>
      </c>
      <c r="ES289" s="28" t="str">
        <f t="shared" si="218"/>
        <v>00:00</v>
      </c>
      <c r="ET289" s="29"/>
      <c r="EU289" s="27"/>
      <c r="EV289" s="27"/>
      <c r="EW289" s="28" t="str">
        <f>IFERROR(VLOOKUP(EU289,Horarios!$H:$I,2,0),"")</f>
        <v/>
      </c>
      <c r="EX289" s="28" t="str">
        <f>IFERROR(VLOOKUP(EV289,Horarios!$H:$I,2,0),"")</f>
        <v/>
      </c>
      <c r="EY289" s="28" t="str">
        <f t="shared" si="219"/>
        <v>00:00</v>
      </c>
      <c r="EZ289" s="29"/>
      <c r="FA289" s="27"/>
      <c r="FB289" s="27"/>
      <c r="FC289" s="28" t="str">
        <f>IFERROR(VLOOKUP(FA289,Horarios!$H:$I,2,0),"")</f>
        <v/>
      </c>
      <c r="FD289" s="28" t="str">
        <f>IFERROR(VLOOKUP(FB289,Horarios!$H:$I,2,0),"")</f>
        <v/>
      </c>
      <c r="FE289" s="28" t="str">
        <f t="shared" si="220"/>
        <v>00:00</v>
      </c>
      <c r="FF289" s="29"/>
      <c r="FG289" s="27"/>
      <c r="FH289" s="27"/>
      <c r="FI289" s="28" t="str">
        <f>IFERROR(VLOOKUP(FG289,Horarios!$H:$I,2,0),"")</f>
        <v/>
      </c>
      <c r="FJ289" s="28" t="str">
        <f>IFERROR(VLOOKUP(FH289,Horarios!$H:$I,2,0),"")</f>
        <v/>
      </c>
      <c r="FK289" s="28" t="str">
        <f t="shared" si="221"/>
        <v>00:00</v>
      </c>
      <c r="FL289" s="29"/>
      <c r="FM289" s="27"/>
      <c r="FN289" s="27"/>
      <c r="FO289" s="28" t="str">
        <f>IFERROR(VLOOKUP(FM289,Horarios!$H:$I,2,0),"")</f>
        <v/>
      </c>
      <c r="FP289" s="28" t="str">
        <f>IFERROR(VLOOKUP(FN289,Horarios!$H:$I,2,0),"")</f>
        <v/>
      </c>
      <c r="FQ289" s="28" t="str">
        <f t="shared" si="222"/>
        <v>00:00</v>
      </c>
      <c r="FR289" s="29"/>
      <c r="FS289" s="31" t="str">
        <f t="shared" si="223"/>
        <v/>
      </c>
      <c r="FT289" s="27"/>
      <c r="FU289" s="27"/>
      <c r="FV289" s="28" t="str">
        <f>IFERROR(VLOOKUP(FT289,Horarios!$H:$I,2,0),"")</f>
        <v/>
      </c>
      <c r="FW289" s="28" t="str">
        <f>IFERROR(VLOOKUP(FU289,Horarios!$H:$I,2,0),"")</f>
        <v/>
      </c>
      <c r="FX289" s="28" t="str">
        <f t="shared" si="224"/>
        <v>00:00</v>
      </c>
      <c r="FY289" s="29"/>
      <c r="FZ289" s="27"/>
      <c r="GA289" s="27"/>
      <c r="GB289" s="28" t="str">
        <f>IFERROR(VLOOKUP(FZ289,Horarios!$H:$I,2,0),"")</f>
        <v/>
      </c>
      <c r="GC289" s="28" t="str">
        <f>IFERROR(VLOOKUP(GA289,Horarios!$H:$I,2,0),"")</f>
        <v/>
      </c>
      <c r="GD289" s="28" t="str">
        <f t="shared" si="225"/>
        <v>00:00</v>
      </c>
      <c r="GE289" s="29"/>
      <c r="GF289" s="27"/>
      <c r="GG289" s="27"/>
      <c r="GH289" s="28" t="str">
        <f>IFERROR(VLOOKUP(GF289,Horarios!$H:$I,2,0),"")</f>
        <v/>
      </c>
      <c r="GI289" s="28" t="str">
        <f>IFERROR(VLOOKUP(GG289,Horarios!$H:$I,2,0),"")</f>
        <v/>
      </c>
      <c r="GJ289" s="28" t="str">
        <f t="shared" si="226"/>
        <v>00:00</v>
      </c>
      <c r="GK289" s="29"/>
      <c r="GL289" s="27"/>
      <c r="GM289" s="27"/>
      <c r="GN289" s="28" t="str">
        <f>IFERROR(VLOOKUP(GL289,Horarios!$H:$I,2,0),"")</f>
        <v/>
      </c>
      <c r="GO289" s="28" t="str">
        <f>IFERROR(VLOOKUP(GM289,Horarios!$H:$I,2,0),"")</f>
        <v/>
      </c>
      <c r="GP289" s="28" t="str">
        <f t="shared" si="227"/>
        <v>00:00</v>
      </c>
      <c r="GQ289" s="29"/>
      <c r="GR289" s="27"/>
      <c r="GS289" s="27"/>
      <c r="GT289" s="28" t="str">
        <f>IFERROR(VLOOKUP(GR289,Horarios!$H:$I,2,0),"")</f>
        <v/>
      </c>
      <c r="GU289" s="28" t="str">
        <f>IFERROR(VLOOKUP(GS289,Horarios!$H:$I,2,0),"")</f>
        <v/>
      </c>
      <c r="GV289" s="28" t="str">
        <f t="shared" si="228"/>
        <v>00:00</v>
      </c>
      <c r="GW289" s="29"/>
      <c r="GX289" s="27"/>
      <c r="GY289" s="27"/>
      <c r="GZ289" s="28" t="str">
        <f>IFERROR(VLOOKUP(GX289,Horarios!$H:$I,2,0),"")</f>
        <v/>
      </c>
      <c r="HA289" s="28" t="str">
        <f>IFERROR(VLOOKUP(GY289,Horarios!$H:$I,2,0),"")</f>
        <v/>
      </c>
      <c r="HB289" s="28" t="str">
        <f t="shared" si="229"/>
        <v>00:00</v>
      </c>
      <c r="HC289" s="29"/>
      <c r="HD289" s="27"/>
      <c r="HE289" s="27"/>
      <c r="HF289" s="28" t="str">
        <f>IFERROR(VLOOKUP(HD289,Horarios!$H:$I,2,0),"")</f>
        <v/>
      </c>
      <c r="HG289" s="28" t="str">
        <f>IFERROR(VLOOKUP(HE289,Horarios!$H:$I,2,0),"")</f>
        <v/>
      </c>
      <c r="HH289" s="28" t="str">
        <f t="shared" si="230"/>
        <v>00:00</v>
      </c>
      <c r="HI289" s="29"/>
      <c r="HJ289" s="31" t="str">
        <f t="shared" si="231"/>
        <v/>
      </c>
      <c r="HK289" s="27"/>
      <c r="HL289" s="27"/>
      <c r="HM289" s="28" t="str">
        <f>IFERROR(VLOOKUP(HK289,Horarios!$H:$I,2,0),"")</f>
        <v/>
      </c>
      <c r="HN289" s="28" t="str">
        <f>IFERROR(VLOOKUP(HL289,Horarios!$H:$I,2,0),"")</f>
        <v/>
      </c>
      <c r="HO289" s="28" t="str">
        <f t="shared" si="232"/>
        <v>00:00</v>
      </c>
      <c r="HP289" s="29"/>
      <c r="HQ289" s="27"/>
      <c r="HR289" s="27"/>
      <c r="HS289" s="28" t="str">
        <f>IFERROR(VLOOKUP(HQ289,Horarios!$H:$I,2,0),"")</f>
        <v/>
      </c>
      <c r="HT289" s="28" t="str">
        <f>IFERROR(VLOOKUP(HR289,Horarios!$H:$I,2,0),"")</f>
        <v/>
      </c>
      <c r="HU289" s="28" t="str">
        <f t="shared" si="233"/>
        <v>00:00</v>
      </c>
      <c r="HV289" s="29"/>
      <c r="HW289" s="27"/>
      <c r="HX289" s="27"/>
      <c r="HY289" s="28" t="str">
        <f>IFERROR(VLOOKUP(HW289,Horarios!$H:$I,2,0),"")</f>
        <v/>
      </c>
      <c r="HZ289" s="28" t="str">
        <f>IFERROR(VLOOKUP(HX289,Horarios!$H:$I,2,0),"")</f>
        <v/>
      </c>
      <c r="IA289" s="28" t="str">
        <f t="shared" si="234"/>
        <v>00:00</v>
      </c>
      <c r="IB289" s="29"/>
      <c r="IC289" s="27"/>
      <c r="ID289" s="27"/>
      <c r="IE289" s="28" t="str">
        <f>IFERROR(VLOOKUP(IC289,Horarios!$H:$I,2,0),"")</f>
        <v/>
      </c>
      <c r="IF289" s="28" t="str">
        <f>IFERROR(VLOOKUP(ID289,Horarios!$H:$I,2,0),"")</f>
        <v/>
      </c>
      <c r="IG289" s="28" t="str">
        <f t="shared" si="235"/>
        <v>00:00</v>
      </c>
      <c r="IH289" s="29"/>
      <c r="II289" s="27"/>
      <c r="IJ289" s="27"/>
      <c r="IK289" s="28" t="str">
        <f>IFERROR(VLOOKUP(II289,Horarios!$H:$I,2,0),"")</f>
        <v/>
      </c>
      <c r="IL289" s="28" t="str">
        <f>IFERROR(VLOOKUP(IJ289,Horarios!$H:$I,2,0),"")</f>
        <v/>
      </c>
      <c r="IM289" s="28" t="str">
        <f t="shared" si="236"/>
        <v>00:00</v>
      </c>
      <c r="IN289" s="29"/>
      <c r="IO289" s="27"/>
      <c r="IP289" s="27"/>
      <c r="IQ289" s="28" t="str">
        <f>IFERROR(VLOOKUP(IO289,Horarios!$H:$I,2,0),"")</f>
        <v/>
      </c>
      <c r="IR289" s="28" t="str">
        <f>IFERROR(VLOOKUP(IP289,Horarios!$H:$I,2,0),"")</f>
        <v/>
      </c>
      <c r="IS289" s="28" t="str">
        <f t="shared" si="237"/>
        <v>00:00</v>
      </c>
      <c r="IT289" s="29"/>
      <c r="IU289" s="27"/>
      <c r="IV289" s="27"/>
      <c r="IW289" s="28" t="str">
        <f>IFERROR(VLOOKUP(IU289,Horarios!$H:$I,2,0),"")</f>
        <v/>
      </c>
      <c r="IX289" s="28" t="str">
        <f>IFERROR(VLOOKUP(IV289,Horarios!$H:$I,2,0),"")</f>
        <v/>
      </c>
      <c r="IY289" s="28" t="str">
        <f t="shared" si="238"/>
        <v>00:00</v>
      </c>
      <c r="IZ289" s="29"/>
      <c r="JA289" s="31" t="str">
        <f t="shared" si="239"/>
        <v/>
      </c>
    </row>
    <row r="290" spans="1:261" s="24" customFormat="1" ht="17.399999999999999" x14ac:dyDescent="0.25">
      <c r="A290" s="25"/>
      <c r="B290" s="26" t="str">
        <f>IFERROR(VLOOKUP(A290,BaseNombres!A:B,2,0),"")</f>
        <v/>
      </c>
      <c r="C290" s="26" t="str">
        <f>IFERROR(VLOOKUP(A290,BaseNombres!A:C,3,0),"")</f>
        <v/>
      </c>
      <c r="D290" s="27"/>
      <c r="E290" s="27"/>
      <c r="F290" s="28" t="str">
        <f>IFERROR(VLOOKUP(D290,Horarios!$H:$I,2,0),"")</f>
        <v/>
      </c>
      <c r="G290" s="28" t="str">
        <f>IFERROR(VLOOKUP(E290,Horarios!$H:$I,2,0),"")</f>
        <v/>
      </c>
      <c r="H290" s="28" t="str">
        <f t="shared" si="192"/>
        <v>00:00</v>
      </c>
      <c r="I290" s="29"/>
      <c r="J290" s="27"/>
      <c r="K290" s="27"/>
      <c r="L290" s="28" t="str">
        <f>IFERROR(VLOOKUP(J290,Horarios!$H:$I,2,0),"")</f>
        <v/>
      </c>
      <c r="M290" s="28" t="str">
        <f>IFERROR(VLOOKUP(K290,Horarios!$H:$I,2,0),"")</f>
        <v/>
      </c>
      <c r="N290" s="28" t="str">
        <f t="shared" si="193"/>
        <v>00:00</v>
      </c>
      <c r="O290" s="29"/>
      <c r="P290" s="27"/>
      <c r="Q290" s="27"/>
      <c r="R290" s="28" t="str">
        <f>IFERROR(VLOOKUP(P290,Horarios!$H:$I,2,0),"")</f>
        <v/>
      </c>
      <c r="S290" s="28" t="str">
        <f>IFERROR(VLOOKUP(Q290,Horarios!$H:$I,2,0),"")</f>
        <v/>
      </c>
      <c r="T290" s="28" t="str">
        <f t="shared" si="194"/>
        <v>00:00</v>
      </c>
      <c r="U290" s="29"/>
      <c r="V290" s="27"/>
      <c r="W290" s="27"/>
      <c r="X290" s="28" t="str">
        <f>IFERROR(VLOOKUP(V290,Horarios!$H:$I,2,0),"")</f>
        <v/>
      </c>
      <c r="Y290" s="28" t="str">
        <f>IFERROR(VLOOKUP(W290,Horarios!$H:$I,2,0),"")</f>
        <v/>
      </c>
      <c r="Z290" s="28" t="str">
        <f t="shared" si="195"/>
        <v>00:00</v>
      </c>
      <c r="AA290" s="29"/>
      <c r="AB290" s="27"/>
      <c r="AC290" s="27"/>
      <c r="AD290" s="28" t="str">
        <f>IFERROR(VLOOKUP(AB290,Horarios!$H:$I,2,0),"")</f>
        <v/>
      </c>
      <c r="AE290" s="28" t="str">
        <f>IFERROR(VLOOKUP(AC290,Horarios!$H:$I,2,0),"")</f>
        <v/>
      </c>
      <c r="AF290" s="28" t="str">
        <f t="shared" si="196"/>
        <v>00:00</v>
      </c>
      <c r="AG290" s="29"/>
      <c r="AH290" s="27"/>
      <c r="AI290" s="27"/>
      <c r="AJ290" s="28" t="str">
        <f>IFERROR(VLOOKUP(AH290,Horarios!$H:$I,2,0),"")</f>
        <v/>
      </c>
      <c r="AK290" s="28" t="str">
        <f>IFERROR(VLOOKUP(AI290,Horarios!$H:$I,2,0),"")</f>
        <v/>
      </c>
      <c r="AL290" s="28" t="str">
        <f t="shared" si="197"/>
        <v>00:00</v>
      </c>
      <c r="AM290" s="29"/>
      <c r="AN290" s="27"/>
      <c r="AO290" s="27"/>
      <c r="AP290" s="28" t="str">
        <f>IFERROR(VLOOKUP(AN290,Horarios!$H:$I,2,0),"")</f>
        <v/>
      </c>
      <c r="AQ290" s="28" t="str">
        <f>IFERROR(VLOOKUP(AO290,Horarios!$H:$I,2,0),"")</f>
        <v/>
      </c>
      <c r="AR290" s="28" t="str">
        <f t="shared" si="198"/>
        <v>00:00</v>
      </c>
      <c r="AS290" s="29"/>
      <c r="AT290" s="31" t="str">
        <f t="shared" si="199"/>
        <v/>
      </c>
      <c r="AU290" s="27"/>
      <c r="AV290" s="27"/>
      <c r="AW290" s="28" t="str">
        <f>IFERROR(VLOOKUP(AU290,Horarios!$H:$I,2,0),"")</f>
        <v/>
      </c>
      <c r="AX290" s="28" t="str">
        <f>IFERROR(VLOOKUP(AV290,Horarios!$H:$I,2,0),"")</f>
        <v/>
      </c>
      <c r="AY290" s="28" t="str">
        <f t="shared" si="200"/>
        <v>00:00</v>
      </c>
      <c r="AZ290" s="29"/>
      <c r="BA290" s="27"/>
      <c r="BB290" s="27"/>
      <c r="BC290" s="28" t="str">
        <f>IFERROR(VLOOKUP(BA290,Horarios!$H:$I,2,0),"")</f>
        <v/>
      </c>
      <c r="BD290" s="28" t="str">
        <f>IFERROR(VLOOKUP(BB290,Horarios!$H:$I,2,0),"")</f>
        <v/>
      </c>
      <c r="BE290" s="28" t="str">
        <f t="shared" si="201"/>
        <v>00:00</v>
      </c>
      <c r="BF290" s="29"/>
      <c r="BG290" s="27"/>
      <c r="BH290" s="27"/>
      <c r="BI290" s="28" t="str">
        <f>IFERROR(VLOOKUP(BG290,Horarios!$H:$I,2,0),"")</f>
        <v/>
      </c>
      <c r="BJ290" s="28" t="str">
        <f>IFERROR(VLOOKUP(BH290,Horarios!$H:$I,2,0),"")</f>
        <v/>
      </c>
      <c r="BK290" s="28" t="str">
        <f t="shared" si="202"/>
        <v>00:00</v>
      </c>
      <c r="BL290" s="29"/>
      <c r="BM290" s="27"/>
      <c r="BN290" s="27"/>
      <c r="BO290" s="28" t="str">
        <f>IFERROR(VLOOKUP(BM290,Horarios!$H:$I,2,0),"")</f>
        <v/>
      </c>
      <c r="BP290" s="28" t="str">
        <f>IFERROR(VLOOKUP(BN290,Horarios!$H:$I,2,0),"")</f>
        <v/>
      </c>
      <c r="BQ290" s="28" t="str">
        <f t="shared" si="203"/>
        <v>00:00</v>
      </c>
      <c r="BR290" s="29"/>
      <c r="BS290" s="27"/>
      <c r="BT290" s="27"/>
      <c r="BU290" s="28" t="str">
        <f>IFERROR(VLOOKUP(BS290,Horarios!$H:$I,2,0),"")</f>
        <v/>
      </c>
      <c r="BV290" s="28" t="str">
        <f>IFERROR(VLOOKUP(BT290,Horarios!$H:$I,2,0),"")</f>
        <v/>
      </c>
      <c r="BW290" s="28" t="str">
        <f t="shared" si="204"/>
        <v>00:00</v>
      </c>
      <c r="BX290" s="29"/>
      <c r="BY290" s="27"/>
      <c r="BZ290" s="27"/>
      <c r="CA290" s="28" t="str">
        <f>IFERROR(VLOOKUP(BY290,Horarios!$H:$I,2,0),"")</f>
        <v/>
      </c>
      <c r="CB290" s="28" t="str">
        <f>IFERROR(VLOOKUP(BZ290,Horarios!$H:$I,2,0),"")</f>
        <v/>
      </c>
      <c r="CC290" s="28" t="str">
        <f t="shared" si="205"/>
        <v>00:00</v>
      </c>
      <c r="CD290" s="29"/>
      <c r="CE290" s="27"/>
      <c r="CF290" s="27"/>
      <c r="CG290" s="28" t="str">
        <f>IFERROR(VLOOKUP(CE290,Horarios!$H:$I,2,0),"")</f>
        <v/>
      </c>
      <c r="CH290" s="28" t="str">
        <f>IFERROR(VLOOKUP(CF290,Horarios!$H:$I,2,0),"")</f>
        <v/>
      </c>
      <c r="CI290" s="28" t="str">
        <f t="shared" si="206"/>
        <v>00:00</v>
      </c>
      <c r="CJ290" s="29"/>
      <c r="CK290" s="31" t="str">
        <f t="shared" si="207"/>
        <v/>
      </c>
      <c r="CL290" s="27"/>
      <c r="CM290" s="27"/>
      <c r="CN290" s="28" t="str">
        <f>IFERROR(VLOOKUP(CL290,Horarios!$H:$I,2,0),"")</f>
        <v/>
      </c>
      <c r="CO290" s="28" t="str">
        <f>IFERROR(VLOOKUP(CM290,Horarios!$H:$I,2,0),"")</f>
        <v/>
      </c>
      <c r="CP290" s="28" t="str">
        <f t="shared" si="208"/>
        <v>00:00</v>
      </c>
      <c r="CQ290" s="29"/>
      <c r="CR290" s="27"/>
      <c r="CS290" s="27"/>
      <c r="CT290" s="28" t="str">
        <f>IFERROR(VLOOKUP(CR290,Horarios!$H:$I,2,0),"")</f>
        <v/>
      </c>
      <c r="CU290" s="28" t="str">
        <f>IFERROR(VLOOKUP(CS290,Horarios!$H:$I,2,0),"")</f>
        <v/>
      </c>
      <c r="CV290" s="28" t="str">
        <f t="shared" si="209"/>
        <v>00:00</v>
      </c>
      <c r="CW290" s="29"/>
      <c r="CX290" s="27"/>
      <c r="CY290" s="27"/>
      <c r="CZ290" s="28" t="str">
        <f>IFERROR(VLOOKUP(CX290,Horarios!$H:$I,2,0),"")</f>
        <v/>
      </c>
      <c r="DA290" s="28" t="str">
        <f>IFERROR(VLOOKUP(CY290,Horarios!$H:$I,2,0),"")</f>
        <v/>
      </c>
      <c r="DB290" s="28" t="str">
        <f t="shared" si="210"/>
        <v>00:00</v>
      </c>
      <c r="DC290" s="29"/>
      <c r="DD290" s="27"/>
      <c r="DE290" s="27"/>
      <c r="DF290" s="28" t="str">
        <f>IFERROR(VLOOKUP(DD290,Horarios!$H:$I,2,0),"")</f>
        <v/>
      </c>
      <c r="DG290" s="28" t="str">
        <f>IFERROR(VLOOKUP(DE290,Horarios!$H:$I,2,0),"")</f>
        <v/>
      </c>
      <c r="DH290" s="28" t="str">
        <f t="shared" si="211"/>
        <v>00:00</v>
      </c>
      <c r="DI290" s="29"/>
      <c r="DJ290" s="27"/>
      <c r="DK290" s="27"/>
      <c r="DL290" s="28" t="str">
        <f>IFERROR(VLOOKUP(DJ290,Horarios!$H:$I,2,0),"")</f>
        <v/>
      </c>
      <c r="DM290" s="28" t="str">
        <f>IFERROR(VLOOKUP(DK290,Horarios!$H:$I,2,0),"")</f>
        <v/>
      </c>
      <c r="DN290" s="28" t="str">
        <f t="shared" si="212"/>
        <v>00:00</v>
      </c>
      <c r="DO290" s="29"/>
      <c r="DP290" s="27"/>
      <c r="DQ290" s="27"/>
      <c r="DR290" s="28" t="str">
        <f>IFERROR(VLOOKUP(DP290,Horarios!$H:$I,2,0),"")</f>
        <v/>
      </c>
      <c r="DS290" s="28" t="str">
        <f>IFERROR(VLOOKUP(DQ290,Horarios!$H:$I,2,0),"")</f>
        <v/>
      </c>
      <c r="DT290" s="28" t="str">
        <f t="shared" si="213"/>
        <v>00:00</v>
      </c>
      <c r="DU290" s="29"/>
      <c r="DV290" s="27"/>
      <c r="DW290" s="27"/>
      <c r="DX290" s="28" t="str">
        <f>IFERROR(VLOOKUP(DV290,Horarios!$H:$I,2,0),"")</f>
        <v/>
      </c>
      <c r="DY290" s="28" t="str">
        <f>IFERROR(VLOOKUP(DW290,Horarios!$H:$I,2,0),"")</f>
        <v/>
      </c>
      <c r="DZ290" s="28" t="str">
        <f t="shared" si="214"/>
        <v>00:00</v>
      </c>
      <c r="EA290" s="29"/>
      <c r="EB290" s="31" t="str">
        <f t="shared" si="215"/>
        <v/>
      </c>
      <c r="EC290" s="27"/>
      <c r="ED290" s="27"/>
      <c r="EE290" s="28" t="str">
        <f>IFERROR(VLOOKUP(EC290,Horarios!$H:$I,2,0),"")</f>
        <v/>
      </c>
      <c r="EF290" s="28" t="str">
        <f>IFERROR(VLOOKUP(ED290,Horarios!$H:$I,2,0),"")</f>
        <v/>
      </c>
      <c r="EG290" s="28" t="str">
        <f t="shared" si="216"/>
        <v>00:00</v>
      </c>
      <c r="EH290" s="29"/>
      <c r="EI290" s="27"/>
      <c r="EJ290" s="27"/>
      <c r="EK290" s="28" t="str">
        <f>IFERROR(VLOOKUP(EI290,Horarios!$H:$I,2,0),"")</f>
        <v/>
      </c>
      <c r="EL290" s="28" t="str">
        <f>IFERROR(VLOOKUP(EJ290,Horarios!$H:$I,2,0),"")</f>
        <v/>
      </c>
      <c r="EM290" s="28" t="str">
        <f t="shared" si="217"/>
        <v>00:00</v>
      </c>
      <c r="EN290" s="29"/>
      <c r="EO290" s="27"/>
      <c r="EP290" s="27"/>
      <c r="EQ290" s="28" t="str">
        <f>IFERROR(VLOOKUP(EO290,Horarios!$H:$I,2,0),"")</f>
        <v/>
      </c>
      <c r="ER290" s="28" t="str">
        <f>IFERROR(VLOOKUP(EP290,Horarios!$H:$I,2,0),"")</f>
        <v/>
      </c>
      <c r="ES290" s="28" t="str">
        <f t="shared" si="218"/>
        <v>00:00</v>
      </c>
      <c r="ET290" s="29"/>
      <c r="EU290" s="27"/>
      <c r="EV290" s="27"/>
      <c r="EW290" s="28" t="str">
        <f>IFERROR(VLOOKUP(EU290,Horarios!$H:$I,2,0),"")</f>
        <v/>
      </c>
      <c r="EX290" s="28" t="str">
        <f>IFERROR(VLOOKUP(EV290,Horarios!$H:$I,2,0),"")</f>
        <v/>
      </c>
      <c r="EY290" s="28" t="str">
        <f t="shared" si="219"/>
        <v>00:00</v>
      </c>
      <c r="EZ290" s="29"/>
      <c r="FA290" s="27"/>
      <c r="FB290" s="27"/>
      <c r="FC290" s="28" t="str">
        <f>IFERROR(VLOOKUP(FA290,Horarios!$H:$I,2,0),"")</f>
        <v/>
      </c>
      <c r="FD290" s="28" t="str">
        <f>IFERROR(VLOOKUP(FB290,Horarios!$H:$I,2,0),"")</f>
        <v/>
      </c>
      <c r="FE290" s="28" t="str">
        <f t="shared" si="220"/>
        <v>00:00</v>
      </c>
      <c r="FF290" s="29"/>
      <c r="FG290" s="27"/>
      <c r="FH290" s="27"/>
      <c r="FI290" s="28" t="str">
        <f>IFERROR(VLOOKUP(FG290,Horarios!$H:$I,2,0),"")</f>
        <v/>
      </c>
      <c r="FJ290" s="28" t="str">
        <f>IFERROR(VLOOKUP(FH290,Horarios!$H:$I,2,0),"")</f>
        <v/>
      </c>
      <c r="FK290" s="28" t="str">
        <f t="shared" si="221"/>
        <v>00:00</v>
      </c>
      <c r="FL290" s="29"/>
      <c r="FM290" s="27"/>
      <c r="FN290" s="27"/>
      <c r="FO290" s="28" t="str">
        <f>IFERROR(VLOOKUP(FM290,Horarios!$H:$I,2,0),"")</f>
        <v/>
      </c>
      <c r="FP290" s="28" t="str">
        <f>IFERROR(VLOOKUP(FN290,Horarios!$H:$I,2,0),"")</f>
        <v/>
      </c>
      <c r="FQ290" s="28" t="str">
        <f t="shared" si="222"/>
        <v>00:00</v>
      </c>
      <c r="FR290" s="29"/>
      <c r="FS290" s="31" t="str">
        <f t="shared" si="223"/>
        <v/>
      </c>
      <c r="FT290" s="27"/>
      <c r="FU290" s="27"/>
      <c r="FV290" s="28" t="str">
        <f>IFERROR(VLOOKUP(FT290,Horarios!$H:$I,2,0),"")</f>
        <v/>
      </c>
      <c r="FW290" s="28" t="str">
        <f>IFERROR(VLOOKUP(FU290,Horarios!$H:$I,2,0),"")</f>
        <v/>
      </c>
      <c r="FX290" s="28" t="str">
        <f t="shared" si="224"/>
        <v>00:00</v>
      </c>
      <c r="FY290" s="29"/>
      <c r="FZ290" s="27"/>
      <c r="GA290" s="27"/>
      <c r="GB290" s="28" t="str">
        <f>IFERROR(VLOOKUP(FZ290,Horarios!$H:$I,2,0),"")</f>
        <v/>
      </c>
      <c r="GC290" s="28" t="str">
        <f>IFERROR(VLOOKUP(GA290,Horarios!$H:$I,2,0),"")</f>
        <v/>
      </c>
      <c r="GD290" s="28" t="str">
        <f t="shared" si="225"/>
        <v>00:00</v>
      </c>
      <c r="GE290" s="29"/>
      <c r="GF290" s="27"/>
      <c r="GG290" s="27"/>
      <c r="GH290" s="28" t="str">
        <f>IFERROR(VLOOKUP(GF290,Horarios!$H:$I,2,0),"")</f>
        <v/>
      </c>
      <c r="GI290" s="28" t="str">
        <f>IFERROR(VLOOKUP(GG290,Horarios!$H:$I,2,0),"")</f>
        <v/>
      </c>
      <c r="GJ290" s="28" t="str">
        <f t="shared" si="226"/>
        <v>00:00</v>
      </c>
      <c r="GK290" s="29"/>
      <c r="GL290" s="27"/>
      <c r="GM290" s="27"/>
      <c r="GN290" s="28" t="str">
        <f>IFERROR(VLOOKUP(GL290,Horarios!$H:$I,2,0),"")</f>
        <v/>
      </c>
      <c r="GO290" s="28" t="str">
        <f>IFERROR(VLOOKUP(GM290,Horarios!$H:$I,2,0),"")</f>
        <v/>
      </c>
      <c r="GP290" s="28" t="str">
        <f t="shared" si="227"/>
        <v>00:00</v>
      </c>
      <c r="GQ290" s="29"/>
      <c r="GR290" s="27"/>
      <c r="GS290" s="27"/>
      <c r="GT290" s="28" t="str">
        <f>IFERROR(VLOOKUP(GR290,Horarios!$H:$I,2,0),"")</f>
        <v/>
      </c>
      <c r="GU290" s="28" t="str">
        <f>IFERROR(VLOOKUP(GS290,Horarios!$H:$I,2,0),"")</f>
        <v/>
      </c>
      <c r="GV290" s="28" t="str">
        <f t="shared" si="228"/>
        <v>00:00</v>
      </c>
      <c r="GW290" s="29"/>
      <c r="GX290" s="27"/>
      <c r="GY290" s="27"/>
      <c r="GZ290" s="28" t="str">
        <f>IFERROR(VLOOKUP(GX290,Horarios!$H:$I,2,0),"")</f>
        <v/>
      </c>
      <c r="HA290" s="28" t="str">
        <f>IFERROR(VLOOKUP(GY290,Horarios!$H:$I,2,0),"")</f>
        <v/>
      </c>
      <c r="HB290" s="28" t="str">
        <f t="shared" si="229"/>
        <v>00:00</v>
      </c>
      <c r="HC290" s="29"/>
      <c r="HD290" s="27"/>
      <c r="HE290" s="27"/>
      <c r="HF290" s="28" t="str">
        <f>IFERROR(VLOOKUP(HD290,Horarios!$H:$I,2,0),"")</f>
        <v/>
      </c>
      <c r="HG290" s="28" t="str">
        <f>IFERROR(VLOOKUP(HE290,Horarios!$H:$I,2,0),"")</f>
        <v/>
      </c>
      <c r="HH290" s="28" t="str">
        <f t="shared" si="230"/>
        <v>00:00</v>
      </c>
      <c r="HI290" s="29"/>
      <c r="HJ290" s="31" t="str">
        <f t="shared" si="231"/>
        <v/>
      </c>
      <c r="HK290" s="27"/>
      <c r="HL290" s="27"/>
      <c r="HM290" s="28" t="str">
        <f>IFERROR(VLOOKUP(HK290,Horarios!$H:$I,2,0),"")</f>
        <v/>
      </c>
      <c r="HN290" s="28" t="str">
        <f>IFERROR(VLOOKUP(HL290,Horarios!$H:$I,2,0),"")</f>
        <v/>
      </c>
      <c r="HO290" s="28" t="str">
        <f t="shared" si="232"/>
        <v>00:00</v>
      </c>
      <c r="HP290" s="29"/>
      <c r="HQ290" s="27"/>
      <c r="HR290" s="27"/>
      <c r="HS290" s="28" t="str">
        <f>IFERROR(VLOOKUP(HQ290,Horarios!$H:$I,2,0),"")</f>
        <v/>
      </c>
      <c r="HT290" s="28" t="str">
        <f>IFERROR(VLOOKUP(HR290,Horarios!$H:$I,2,0),"")</f>
        <v/>
      </c>
      <c r="HU290" s="28" t="str">
        <f t="shared" si="233"/>
        <v>00:00</v>
      </c>
      <c r="HV290" s="29"/>
      <c r="HW290" s="27"/>
      <c r="HX290" s="27"/>
      <c r="HY290" s="28" t="str">
        <f>IFERROR(VLOOKUP(HW290,Horarios!$H:$I,2,0),"")</f>
        <v/>
      </c>
      <c r="HZ290" s="28" t="str">
        <f>IFERROR(VLOOKUP(HX290,Horarios!$H:$I,2,0),"")</f>
        <v/>
      </c>
      <c r="IA290" s="28" t="str">
        <f t="shared" si="234"/>
        <v>00:00</v>
      </c>
      <c r="IB290" s="29"/>
      <c r="IC290" s="27"/>
      <c r="ID290" s="27"/>
      <c r="IE290" s="28" t="str">
        <f>IFERROR(VLOOKUP(IC290,Horarios!$H:$I,2,0),"")</f>
        <v/>
      </c>
      <c r="IF290" s="28" t="str">
        <f>IFERROR(VLOOKUP(ID290,Horarios!$H:$I,2,0),"")</f>
        <v/>
      </c>
      <c r="IG290" s="28" t="str">
        <f t="shared" si="235"/>
        <v>00:00</v>
      </c>
      <c r="IH290" s="29"/>
      <c r="II290" s="27"/>
      <c r="IJ290" s="27"/>
      <c r="IK290" s="28" t="str">
        <f>IFERROR(VLOOKUP(II290,Horarios!$H:$I,2,0),"")</f>
        <v/>
      </c>
      <c r="IL290" s="28" t="str">
        <f>IFERROR(VLOOKUP(IJ290,Horarios!$H:$I,2,0),"")</f>
        <v/>
      </c>
      <c r="IM290" s="28" t="str">
        <f t="shared" si="236"/>
        <v>00:00</v>
      </c>
      <c r="IN290" s="29"/>
      <c r="IO290" s="27"/>
      <c r="IP290" s="27"/>
      <c r="IQ290" s="28" t="str">
        <f>IFERROR(VLOOKUP(IO290,Horarios!$H:$I,2,0),"")</f>
        <v/>
      </c>
      <c r="IR290" s="28" t="str">
        <f>IFERROR(VLOOKUP(IP290,Horarios!$H:$I,2,0),"")</f>
        <v/>
      </c>
      <c r="IS290" s="28" t="str">
        <f t="shared" si="237"/>
        <v>00:00</v>
      </c>
      <c r="IT290" s="29"/>
      <c r="IU290" s="27"/>
      <c r="IV290" s="27"/>
      <c r="IW290" s="28" t="str">
        <f>IFERROR(VLOOKUP(IU290,Horarios!$H:$I,2,0),"")</f>
        <v/>
      </c>
      <c r="IX290" s="28" t="str">
        <f>IFERROR(VLOOKUP(IV290,Horarios!$H:$I,2,0),"")</f>
        <v/>
      </c>
      <c r="IY290" s="28" t="str">
        <f t="shared" si="238"/>
        <v>00:00</v>
      </c>
      <c r="IZ290" s="29"/>
      <c r="JA290" s="31" t="str">
        <f t="shared" si="239"/>
        <v/>
      </c>
    </row>
    <row r="291" spans="1:261" s="24" customFormat="1" ht="17.399999999999999" x14ac:dyDescent="0.25">
      <c r="A291" s="25"/>
      <c r="B291" s="26" t="str">
        <f>IFERROR(VLOOKUP(A291,BaseNombres!A:B,2,0),"")</f>
        <v/>
      </c>
      <c r="C291" s="26" t="str">
        <f>IFERROR(VLOOKUP(A291,BaseNombres!A:C,3,0),"")</f>
        <v/>
      </c>
      <c r="D291" s="27"/>
      <c r="E291" s="27"/>
      <c r="F291" s="28" t="str">
        <f>IFERROR(VLOOKUP(D291,Horarios!$H:$I,2,0),"")</f>
        <v/>
      </c>
      <c r="G291" s="28" t="str">
        <f>IFERROR(VLOOKUP(E291,Horarios!$H:$I,2,0),"")</f>
        <v/>
      </c>
      <c r="H291" s="28" t="str">
        <f t="shared" si="192"/>
        <v>00:00</v>
      </c>
      <c r="I291" s="29"/>
      <c r="J291" s="27"/>
      <c r="K291" s="27"/>
      <c r="L291" s="28" t="str">
        <f>IFERROR(VLOOKUP(J291,Horarios!$H:$I,2,0),"")</f>
        <v/>
      </c>
      <c r="M291" s="28" t="str">
        <f>IFERROR(VLOOKUP(K291,Horarios!$H:$I,2,0),"")</f>
        <v/>
      </c>
      <c r="N291" s="28" t="str">
        <f t="shared" si="193"/>
        <v>00:00</v>
      </c>
      <c r="O291" s="29"/>
      <c r="P291" s="27"/>
      <c r="Q291" s="27"/>
      <c r="R291" s="28" t="str">
        <f>IFERROR(VLOOKUP(P291,Horarios!$H:$I,2,0),"")</f>
        <v/>
      </c>
      <c r="S291" s="28" t="str">
        <f>IFERROR(VLOOKUP(Q291,Horarios!$H:$I,2,0),"")</f>
        <v/>
      </c>
      <c r="T291" s="28" t="str">
        <f t="shared" si="194"/>
        <v>00:00</v>
      </c>
      <c r="U291" s="29"/>
      <c r="V291" s="27"/>
      <c r="W291" s="27"/>
      <c r="X291" s="28" t="str">
        <f>IFERROR(VLOOKUP(V291,Horarios!$H:$I,2,0),"")</f>
        <v/>
      </c>
      <c r="Y291" s="28" t="str">
        <f>IFERROR(VLOOKUP(W291,Horarios!$H:$I,2,0),"")</f>
        <v/>
      </c>
      <c r="Z291" s="28" t="str">
        <f t="shared" si="195"/>
        <v>00:00</v>
      </c>
      <c r="AA291" s="29"/>
      <c r="AB291" s="27"/>
      <c r="AC291" s="27"/>
      <c r="AD291" s="28" t="str">
        <f>IFERROR(VLOOKUP(AB291,Horarios!$H:$I,2,0),"")</f>
        <v/>
      </c>
      <c r="AE291" s="28" t="str">
        <f>IFERROR(VLOOKUP(AC291,Horarios!$H:$I,2,0),"")</f>
        <v/>
      </c>
      <c r="AF291" s="28" t="str">
        <f t="shared" si="196"/>
        <v>00:00</v>
      </c>
      <c r="AG291" s="29"/>
      <c r="AH291" s="27"/>
      <c r="AI291" s="27"/>
      <c r="AJ291" s="28" t="str">
        <f>IFERROR(VLOOKUP(AH291,Horarios!$H:$I,2,0),"")</f>
        <v/>
      </c>
      <c r="AK291" s="28" t="str">
        <f>IFERROR(VLOOKUP(AI291,Horarios!$H:$I,2,0),"")</f>
        <v/>
      </c>
      <c r="AL291" s="28" t="str">
        <f t="shared" si="197"/>
        <v>00:00</v>
      </c>
      <c r="AM291" s="29"/>
      <c r="AN291" s="27"/>
      <c r="AO291" s="27"/>
      <c r="AP291" s="28" t="str">
        <f>IFERROR(VLOOKUP(AN291,Horarios!$H:$I,2,0),"")</f>
        <v/>
      </c>
      <c r="AQ291" s="28" t="str">
        <f>IFERROR(VLOOKUP(AO291,Horarios!$H:$I,2,0),"")</f>
        <v/>
      </c>
      <c r="AR291" s="28" t="str">
        <f t="shared" si="198"/>
        <v>00:00</v>
      </c>
      <c r="AS291" s="29"/>
      <c r="AT291" s="31" t="str">
        <f t="shared" si="199"/>
        <v/>
      </c>
      <c r="AU291" s="27"/>
      <c r="AV291" s="27"/>
      <c r="AW291" s="28" t="str">
        <f>IFERROR(VLOOKUP(AU291,Horarios!$H:$I,2,0),"")</f>
        <v/>
      </c>
      <c r="AX291" s="28" t="str">
        <f>IFERROR(VLOOKUP(AV291,Horarios!$H:$I,2,0),"")</f>
        <v/>
      </c>
      <c r="AY291" s="28" t="str">
        <f t="shared" si="200"/>
        <v>00:00</v>
      </c>
      <c r="AZ291" s="29"/>
      <c r="BA291" s="27"/>
      <c r="BB291" s="27"/>
      <c r="BC291" s="28" t="str">
        <f>IFERROR(VLOOKUP(BA291,Horarios!$H:$I,2,0),"")</f>
        <v/>
      </c>
      <c r="BD291" s="28" t="str">
        <f>IFERROR(VLOOKUP(BB291,Horarios!$H:$I,2,0),"")</f>
        <v/>
      </c>
      <c r="BE291" s="28" t="str">
        <f t="shared" si="201"/>
        <v>00:00</v>
      </c>
      <c r="BF291" s="29"/>
      <c r="BG291" s="27"/>
      <c r="BH291" s="27"/>
      <c r="BI291" s="28" t="str">
        <f>IFERROR(VLOOKUP(BG291,Horarios!$H:$I,2,0),"")</f>
        <v/>
      </c>
      <c r="BJ291" s="28" t="str">
        <f>IFERROR(VLOOKUP(BH291,Horarios!$H:$I,2,0),"")</f>
        <v/>
      </c>
      <c r="BK291" s="28" t="str">
        <f t="shared" si="202"/>
        <v>00:00</v>
      </c>
      <c r="BL291" s="29"/>
      <c r="BM291" s="27"/>
      <c r="BN291" s="27"/>
      <c r="BO291" s="28" t="str">
        <f>IFERROR(VLOOKUP(BM291,Horarios!$H:$I,2,0),"")</f>
        <v/>
      </c>
      <c r="BP291" s="28" t="str">
        <f>IFERROR(VLOOKUP(BN291,Horarios!$H:$I,2,0),"")</f>
        <v/>
      </c>
      <c r="BQ291" s="28" t="str">
        <f t="shared" si="203"/>
        <v>00:00</v>
      </c>
      <c r="BR291" s="29"/>
      <c r="BS291" s="27"/>
      <c r="BT291" s="27"/>
      <c r="BU291" s="28" t="str">
        <f>IFERROR(VLOOKUP(BS291,Horarios!$H:$I,2,0),"")</f>
        <v/>
      </c>
      <c r="BV291" s="28" t="str">
        <f>IFERROR(VLOOKUP(BT291,Horarios!$H:$I,2,0),"")</f>
        <v/>
      </c>
      <c r="BW291" s="28" t="str">
        <f t="shared" si="204"/>
        <v>00:00</v>
      </c>
      <c r="BX291" s="29"/>
      <c r="BY291" s="27"/>
      <c r="BZ291" s="27"/>
      <c r="CA291" s="28" t="str">
        <f>IFERROR(VLOOKUP(BY291,Horarios!$H:$I,2,0),"")</f>
        <v/>
      </c>
      <c r="CB291" s="28" t="str">
        <f>IFERROR(VLOOKUP(BZ291,Horarios!$H:$I,2,0),"")</f>
        <v/>
      </c>
      <c r="CC291" s="28" t="str">
        <f t="shared" si="205"/>
        <v>00:00</v>
      </c>
      <c r="CD291" s="29"/>
      <c r="CE291" s="27"/>
      <c r="CF291" s="27"/>
      <c r="CG291" s="28" t="str">
        <f>IFERROR(VLOOKUP(CE291,Horarios!$H:$I,2,0),"")</f>
        <v/>
      </c>
      <c r="CH291" s="28" t="str">
        <f>IFERROR(VLOOKUP(CF291,Horarios!$H:$I,2,0),"")</f>
        <v/>
      </c>
      <c r="CI291" s="28" t="str">
        <f t="shared" si="206"/>
        <v>00:00</v>
      </c>
      <c r="CJ291" s="29"/>
      <c r="CK291" s="31" t="str">
        <f t="shared" si="207"/>
        <v/>
      </c>
      <c r="CL291" s="27"/>
      <c r="CM291" s="27"/>
      <c r="CN291" s="28" t="str">
        <f>IFERROR(VLOOKUP(CL291,Horarios!$H:$I,2,0),"")</f>
        <v/>
      </c>
      <c r="CO291" s="28" t="str">
        <f>IFERROR(VLOOKUP(CM291,Horarios!$H:$I,2,0),"")</f>
        <v/>
      </c>
      <c r="CP291" s="28" t="str">
        <f t="shared" si="208"/>
        <v>00:00</v>
      </c>
      <c r="CQ291" s="29"/>
      <c r="CR291" s="27"/>
      <c r="CS291" s="27"/>
      <c r="CT291" s="28" t="str">
        <f>IFERROR(VLOOKUP(CR291,Horarios!$H:$I,2,0),"")</f>
        <v/>
      </c>
      <c r="CU291" s="28" t="str">
        <f>IFERROR(VLOOKUP(CS291,Horarios!$H:$I,2,0),"")</f>
        <v/>
      </c>
      <c r="CV291" s="28" t="str">
        <f t="shared" si="209"/>
        <v>00:00</v>
      </c>
      <c r="CW291" s="29"/>
      <c r="CX291" s="27"/>
      <c r="CY291" s="27"/>
      <c r="CZ291" s="28" t="str">
        <f>IFERROR(VLOOKUP(CX291,Horarios!$H:$I,2,0),"")</f>
        <v/>
      </c>
      <c r="DA291" s="28" t="str">
        <f>IFERROR(VLOOKUP(CY291,Horarios!$H:$I,2,0),"")</f>
        <v/>
      </c>
      <c r="DB291" s="28" t="str">
        <f t="shared" si="210"/>
        <v>00:00</v>
      </c>
      <c r="DC291" s="29"/>
      <c r="DD291" s="27"/>
      <c r="DE291" s="27"/>
      <c r="DF291" s="28" t="str">
        <f>IFERROR(VLOOKUP(DD291,Horarios!$H:$I,2,0),"")</f>
        <v/>
      </c>
      <c r="DG291" s="28" t="str">
        <f>IFERROR(VLOOKUP(DE291,Horarios!$H:$I,2,0),"")</f>
        <v/>
      </c>
      <c r="DH291" s="28" t="str">
        <f t="shared" si="211"/>
        <v>00:00</v>
      </c>
      <c r="DI291" s="29"/>
      <c r="DJ291" s="27"/>
      <c r="DK291" s="27"/>
      <c r="DL291" s="28" t="str">
        <f>IFERROR(VLOOKUP(DJ291,Horarios!$H:$I,2,0),"")</f>
        <v/>
      </c>
      <c r="DM291" s="28" t="str">
        <f>IFERROR(VLOOKUP(DK291,Horarios!$H:$I,2,0),"")</f>
        <v/>
      </c>
      <c r="DN291" s="28" t="str">
        <f t="shared" si="212"/>
        <v>00:00</v>
      </c>
      <c r="DO291" s="29"/>
      <c r="DP291" s="27"/>
      <c r="DQ291" s="27"/>
      <c r="DR291" s="28" t="str">
        <f>IFERROR(VLOOKUP(DP291,Horarios!$H:$I,2,0),"")</f>
        <v/>
      </c>
      <c r="DS291" s="28" t="str">
        <f>IFERROR(VLOOKUP(DQ291,Horarios!$H:$I,2,0),"")</f>
        <v/>
      </c>
      <c r="DT291" s="28" t="str">
        <f t="shared" si="213"/>
        <v>00:00</v>
      </c>
      <c r="DU291" s="29"/>
      <c r="DV291" s="27"/>
      <c r="DW291" s="27"/>
      <c r="DX291" s="28" t="str">
        <f>IFERROR(VLOOKUP(DV291,Horarios!$H:$I,2,0),"")</f>
        <v/>
      </c>
      <c r="DY291" s="28" t="str">
        <f>IFERROR(VLOOKUP(DW291,Horarios!$H:$I,2,0),"")</f>
        <v/>
      </c>
      <c r="DZ291" s="28" t="str">
        <f t="shared" si="214"/>
        <v>00:00</v>
      </c>
      <c r="EA291" s="29"/>
      <c r="EB291" s="31" t="str">
        <f t="shared" si="215"/>
        <v/>
      </c>
      <c r="EC291" s="27"/>
      <c r="ED291" s="27"/>
      <c r="EE291" s="28" t="str">
        <f>IFERROR(VLOOKUP(EC291,Horarios!$H:$I,2,0),"")</f>
        <v/>
      </c>
      <c r="EF291" s="28" t="str">
        <f>IFERROR(VLOOKUP(ED291,Horarios!$H:$I,2,0),"")</f>
        <v/>
      </c>
      <c r="EG291" s="28" t="str">
        <f t="shared" si="216"/>
        <v>00:00</v>
      </c>
      <c r="EH291" s="29"/>
      <c r="EI291" s="27"/>
      <c r="EJ291" s="27"/>
      <c r="EK291" s="28" t="str">
        <f>IFERROR(VLOOKUP(EI291,Horarios!$H:$I,2,0),"")</f>
        <v/>
      </c>
      <c r="EL291" s="28" t="str">
        <f>IFERROR(VLOOKUP(EJ291,Horarios!$H:$I,2,0),"")</f>
        <v/>
      </c>
      <c r="EM291" s="28" t="str">
        <f t="shared" si="217"/>
        <v>00:00</v>
      </c>
      <c r="EN291" s="29"/>
      <c r="EO291" s="27"/>
      <c r="EP291" s="27"/>
      <c r="EQ291" s="28" t="str">
        <f>IFERROR(VLOOKUP(EO291,Horarios!$H:$I,2,0),"")</f>
        <v/>
      </c>
      <c r="ER291" s="28" t="str">
        <f>IFERROR(VLOOKUP(EP291,Horarios!$H:$I,2,0),"")</f>
        <v/>
      </c>
      <c r="ES291" s="28" t="str">
        <f t="shared" si="218"/>
        <v>00:00</v>
      </c>
      <c r="ET291" s="29"/>
      <c r="EU291" s="27"/>
      <c r="EV291" s="27"/>
      <c r="EW291" s="28" t="str">
        <f>IFERROR(VLOOKUP(EU291,Horarios!$H:$I,2,0),"")</f>
        <v/>
      </c>
      <c r="EX291" s="28" t="str">
        <f>IFERROR(VLOOKUP(EV291,Horarios!$H:$I,2,0),"")</f>
        <v/>
      </c>
      <c r="EY291" s="28" t="str">
        <f t="shared" si="219"/>
        <v>00:00</v>
      </c>
      <c r="EZ291" s="29"/>
      <c r="FA291" s="27"/>
      <c r="FB291" s="27"/>
      <c r="FC291" s="28" t="str">
        <f>IFERROR(VLOOKUP(FA291,Horarios!$H:$I,2,0),"")</f>
        <v/>
      </c>
      <c r="FD291" s="28" t="str">
        <f>IFERROR(VLOOKUP(FB291,Horarios!$H:$I,2,0),"")</f>
        <v/>
      </c>
      <c r="FE291" s="28" t="str">
        <f t="shared" si="220"/>
        <v>00:00</v>
      </c>
      <c r="FF291" s="29"/>
      <c r="FG291" s="27"/>
      <c r="FH291" s="27"/>
      <c r="FI291" s="28" t="str">
        <f>IFERROR(VLOOKUP(FG291,Horarios!$H:$I,2,0),"")</f>
        <v/>
      </c>
      <c r="FJ291" s="28" t="str">
        <f>IFERROR(VLOOKUP(FH291,Horarios!$H:$I,2,0),"")</f>
        <v/>
      </c>
      <c r="FK291" s="28" t="str">
        <f t="shared" si="221"/>
        <v>00:00</v>
      </c>
      <c r="FL291" s="29"/>
      <c r="FM291" s="27"/>
      <c r="FN291" s="27"/>
      <c r="FO291" s="28" t="str">
        <f>IFERROR(VLOOKUP(FM291,Horarios!$H:$I,2,0),"")</f>
        <v/>
      </c>
      <c r="FP291" s="28" t="str">
        <f>IFERROR(VLOOKUP(FN291,Horarios!$H:$I,2,0),"")</f>
        <v/>
      </c>
      <c r="FQ291" s="28" t="str">
        <f t="shared" si="222"/>
        <v>00:00</v>
      </c>
      <c r="FR291" s="29"/>
      <c r="FS291" s="31" t="str">
        <f t="shared" si="223"/>
        <v/>
      </c>
      <c r="FT291" s="27"/>
      <c r="FU291" s="27"/>
      <c r="FV291" s="28" t="str">
        <f>IFERROR(VLOOKUP(FT291,Horarios!$H:$I,2,0),"")</f>
        <v/>
      </c>
      <c r="FW291" s="28" t="str">
        <f>IFERROR(VLOOKUP(FU291,Horarios!$H:$I,2,0),"")</f>
        <v/>
      </c>
      <c r="FX291" s="28" t="str">
        <f t="shared" si="224"/>
        <v>00:00</v>
      </c>
      <c r="FY291" s="29"/>
      <c r="FZ291" s="27"/>
      <c r="GA291" s="27"/>
      <c r="GB291" s="28" t="str">
        <f>IFERROR(VLOOKUP(FZ291,Horarios!$H:$I,2,0),"")</f>
        <v/>
      </c>
      <c r="GC291" s="28" t="str">
        <f>IFERROR(VLOOKUP(GA291,Horarios!$H:$I,2,0),"")</f>
        <v/>
      </c>
      <c r="GD291" s="28" t="str">
        <f t="shared" si="225"/>
        <v>00:00</v>
      </c>
      <c r="GE291" s="29"/>
      <c r="GF291" s="27"/>
      <c r="GG291" s="27"/>
      <c r="GH291" s="28" t="str">
        <f>IFERROR(VLOOKUP(GF291,Horarios!$H:$I,2,0),"")</f>
        <v/>
      </c>
      <c r="GI291" s="28" t="str">
        <f>IFERROR(VLOOKUP(GG291,Horarios!$H:$I,2,0),"")</f>
        <v/>
      </c>
      <c r="GJ291" s="28" t="str">
        <f t="shared" si="226"/>
        <v>00:00</v>
      </c>
      <c r="GK291" s="29"/>
      <c r="GL291" s="27"/>
      <c r="GM291" s="27"/>
      <c r="GN291" s="28" t="str">
        <f>IFERROR(VLOOKUP(GL291,Horarios!$H:$I,2,0),"")</f>
        <v/>
      </c>
      <c r="GO291" s="28" t="str">
        <f>IFERROR(VLOOKUP(GM291,Horarios!$H:$I,2,0),"")</f>
        <v/>
      </c>
      <c r="GP291" s="28" t="str">
        <f t="shared" si="227"/>
        <v>00:00</v>
      </c>
      <c r="GQ291" s="29"/>
      <c r="GR291" s="27"/>
      <c r="GS291" s="27"/>
      <c r="GT291" s="28" t="str">
        <f>IFERROR(VLOOKUP(GR291,Horarios!$H:$I,2,0),"")</f>
        <v/>
      </c>
      <c r="GU291" s="28" t="str">
        <f>IFERROR(VLOOKUP(GS291,Horarios!$H:$I,2,0),"")</f>
        <v/>
      </c>
      <c r="GV291" s="28" t="str">
        <f t="shared" si="228"/>
        <v>00:00</v>
      </c>
      <c r="GW291" s="29"/>
      <c r="GX291" s="27"/>
      <c r="GY291" s="27"/>
      <c r="GZ291" s="28" t="str">
        <f>IFERROR(VLOOKUP(GX291,Horarios!$H:$I,2,0),"")</f>
        <v/>
      </c>
      <c r="HA291" s="28" t="str">
        <f>IFERROR(VLOOKUP(GY291,Horarios!$H:$I,2,0),"")</f>
        <v/>
      </c>
      <c r="HB291" s="28" t="str">
        <f t="shared" si="229"/>
        <v>00:00</v>
      </c>
      <c r="HC291" s="29"/>
      <c r="HD291" s="27"/>
      <c r="HE291" s="27"/>
      <c r="HF291" s="28" t="str">
        <f>IFERROR(VLOOKUP(HD291,Horarios!$H:$I,2,0),"")</f>
        <v/>
      </c>
      <c r="HG291" s="28" t="str">
        <f>IFERROR(VLOOKUP(HE291,Horarios!$H:$I,2,0),"")</f>
        <v/>
      </c>
      <c r="HH291" s="28" t="str">
        <f t="shared" si="230"/>
        <v>00:00</v>
      </c>
      <c r="HI291" s="29"/>
      <c r="HJ291" s="31" t="str">
        <f t="shared" si="231"/>
        <v/>
      </c>
      <c r="HK291" s="27"/>
      <c r="HL291" s="27"/>
      <c r="HM291" s="28" t="str">
        <f>IFERROR(VLOOKUP(HK291,Horarios!$H:$I,2,0),"")</f>
        <v/>
      </c>
      <c r="HN291" s="28" t="str">
        <f>IFERROR(VLOOKUP(HL291,Horarios!$H:$I,2,0),"")</f>
        <v/>
      </c>
      <c r="HO291" s="28" t="str">
        <f t="shared" si="232"/>
        <v>00:00</v>
      </c>
      <c r="HP291" s="29"/>
      <c r="HQ291" s="27"/>
      <c r="HR291" s="27"/>
      <c r="HS291" s="28" t="str">
        <f>IFERROR(VLOOKUP(HQ291,Horarios!$H:$I,2,0),"")</f>
        <v/>
      </c>
      <c r="HT291" s="28" t="str">
        <f>IFERROR(VLOOKUP(HR291,Horarios!$H:$I,2,0),"")</f>
        <v/>
      </c>
      <c r="HU291" s="28" t="str">
        <f t="shared" si="233"/>
        <v>00:00</v>
      </c>
      <c r="HV291" s="29"/>
      <c r="HW291" s="27"/>
      <c r="HX291" s="27"/>
      <c r="HY291" s="28" t="str">
        <f>IFERROR(VLOOKUP(HW291,Horarios!$H:$I,2,0),"")</f>
        <v/>
      </c>
      <c r="HZ291" s="28" t="str">
        <f>IFERROR(VLOOKUP(HX291,Horarios!$H:$I,2,0),"")</f>
        <v/>
      </c>
      <c r="IA291" s="28" t="str">
        <f t="shared" si="234"/>
        <v>00:00</v>
      </c>
      <c r="IB291" s="29"/>
      <c r="IC291" s="27"/>
      <c r="ID291" s="27"/>
      <c r="IE291" s="28" t="str">
        <f>IFERROR(VLOOKUP(IC291,Horarios!$H:$I,2,0),"")</f>
        <v/>
      </c>
      <c r="IF291" s="28" t="str">
        <f>IFERROR(VLOOKUP(ID291,Horarios!$H:$I,2,0),"")</f>
        <v/>
      </c>
      <c r="IG291" s="28" t="str">
        <f t="shared" si="235"/>
        <v>00:00</v>
      </c>
      <c r="IH291" s="29"/>
      <c r="II291" s="27"/>
      <c r="IJ291" s="27"/>
      <c r="IK291" s="28" t="str">
        <f>IFERROR(VLOOKUP(II291,Horarios!$H:$I,2,0),"")</f>
        <v/>
      </c>
      <c r="IL291" s="28" t="str">
        <f>IFERROR(VLOOKUP(IJ291,Horarios!$H:$I,2,0),"")</f>
        <v/>
      </c>
      <c r="IM291" s="28" t="str">
        <f t="shared" si="236"/>
        <v>00:00</v>
      </c>
      <c r="IN291" s="29"/>
      <c r="IO291" s="27"/>
      <c r="IP291" s="27"/>
      <c r="IQ291" s="28" t="str">
        <f>IFERROR(VLOOKUP(IO291,Horarios!$H:$I,2,0),"")</f>
        <v/>
      </c>
      <c r="IR291" s="28" t="str">
        <f>IFERROR(VLOOKUP(IP291,Horarios!$H:$I,2,0),"")</f>
        <v/>
      </c>
      <c r="IS291" s="28" t="str">
        <f t="shared" si="237"/>
        <v>00:00</v>
      </c>
      <c r="IT291" s="29"/>
      <c r="IU291" s="27"/>
      <c r="IV291" s="27"/>
      <c r="IW291" s="28" t="str">
        <f>IFERROR(VLOOKUP(IU291,Horarios!$H:$I,2,0),"")</f>
        <v/>
      </c>
      <c r="IX291" s="28" t="str">
        <f>IFERROR(VLOOKUP(IV291,Horarios!$H:$I,2,0),"")</f>
        <v/>
      </c>
      <c r="IY291" s="28" t="str">
        <f t="shared" si="238"/>
        <v>00:00</v>
      </c>
      <c r="IZ291" s="29"/>
      <c r="JA291" s="31" t="str">
        <f t="shared" si="239"/>
        <v/>
      </c>
    </row>
    <row r="292" spans="1:261" s="24" customFormat="1" ht="17.399999999999999" x14ac:dyDescent="0.25">
      <c r="A292" s="25"/>
      <c r="B292" s="26" t="str">
        <f>IFERROR(VLOOKUP(A292,BaseNombres!A:B,2,0),"")</f>
        <v/>
      </c>
      <c r="C292" s="26" t="str">
        <f>IFERROR(VLOOKUP(A292,BaseNombres!A:C,3,0),"")</f>
        <v/>
      </c>
      <c r="D292" s="27"/>
      <c r="E292" s="27"/>
      <c r="F292" s="28" t="str">
        <f>IFERROR(VLOOKUP(D292,Horarios!$H:$I,2,0),"")</f>
        <v/>
      </c>
      <c r="G292" s="28" t="str">
        <f>IFERROR(VLOOKUP(E292,Horarios!$H:$I,2,0),"")</f>
        <v/>
      </c>
      <c r="H292" s="28" t="str">
        <f t="shared" si="192"/>
        <v>00:00</v>
      </c>
      <c r="I292" s="29"/>
      <c r="J292" s="27"/>
      <c r="K292" s="27"/>
      <c r="L292" s="28" t="str">
        <f>IFERROR(VLOOKUP(J292,Horarios!$H:$I,2,0),"")</f>
        <v/>
      </c>
      <c r="M292" s="28" t="str">
        <f>IFERROR(VLOOKUP(K292,Horarios!$H:$I,2,0),"")</f>
        <v/>
      </c>
      <c r="N292" s="28" t="str">
        <f t="shared" si="193"/>
        <v>00:00</v>
      </c>
      <c r="O292" s="29"/>
      <c r="P292" s="27"/>
      <c r="Q292" s="27"/>
      <c r="R292" s="28" t="str">
        <f>IFERROR(VLOOKUP(P292,Horarios!$H:$I,2,0),"")</f>
        <v/>
      </c>
      <c r="S292" s="28" t="str">
        <f>IFERROR(VLOOKUP(Q292,Horarios!$H:$I,2,0),"")</f>
        <v/>
      </c>
      <c r="T292" s="28" t="str">
        <f t="shared" si="194"/>
        <v>00:00</v>
      </c>
      <c r="U292" s="29"/>
      <c r="V292" s="27"/>
      <c r="W292" s="27"/>
      <c r="X292" s="28" t="str">
        <f>IFERROR(VLOOKUP(V292,Horarios!$H:$I,2,0),"")</f>
        <v/>
      </c>
      <c r="Y292" s="28" t="str">
        <f>IFERROR(VLOOKUP(W292,Horarios!$H:$I,2,0),"")</f>
        <v/>
      </c>
      <c r="Z292" s="28" t="str">
        <f t="shared" si="195"/>
        <v>00:00</v>
      </c>
      <c r="AA292" s="29"/>
      <c r="AB292" s="27"/>
      <c r="AC292" s="27"/>
      <c r="AD292" s="28" t="str">
        <f>IFERROR(VLOOKUP(AB292,Horarios!$H:$I,2,0),"")</f>
        <v/>
      </c>
      <c r="AE292" s="28" t="str">
        <f>IFERROR(VLOOKUP(AC292,Horarios!$H:$I,2,0),"")</f>
        <v/>
      </c>
      <c r="AF292" s="28" t="str">
        <f t="shared" si="196"/>
        <v>00:00</v>
      </c>
      <c r="AG292" s="29"/>
      <c r="AH292" s="27"/>
      <c r="AI292" s="27"/>
      <c r="AJ292" s="28" t="str">
        <f>IFERROR(VLOOKUP(AH292,Horarios!$H:$I,2,0),"")</f>
        <v/>
      </c>
      <c r="AK292" s="28" t="str">
        <f>IFERROR(VLOOKUP(AI292,Horarios!$H:$I,2,0),"")</f>
        <v/>
      </c>
      <c r="AL292" s="28" t="str">
        <f t="shared" si="197"/>
        <v>00:00</v>
      </c>
      <c r="AM292" s="29"/>
      <c r="AN292" s="27"/>
      <c r="AO292" s="27"/>
      <c r="AP292" s="28" t="str">
        <f>IFERROR(VLOOKUP(AN292,Horarios!$H:$I,2,0),"")</f>
        <v/>
      </c>
      <c r="AQ292" s="28" t="str">
        <f>IFERROR(VLOOKUP(AO292,Horarios!$H:$I,2,0),"")</f>
        <v/>
      </c>
      <c r="AR292" s="28" t="str">
        <f t="shared" si="198"/>
        <v>00:00</v>
      </c>
      <c r="AS292" s="29"/>
      <c r="AT292" s="31" t="str">
        <f t="shared" si="199"/>
        <v/>
      </c>
      <c r="AU292" s="27"/>
      <c r="AV292" s="27"/>
      <c r="AW292" s="28" t="str">
        <f>IFERROR(VLOOKUP(AU292,Horarios!$H:$I,2,0),"")</f>
        <v/>
      </c>
      <c r="AX292" s="28" t="str">
        <f>IFERROR(VLOOKUP(AV292,Horarios!$H:$I,2,0),"")</f>
        <v/>
      </c>
      <c r="AY292" s="28" t="str">
        <f t="shared" si="200"/>
        <v>00:00</v>
      </c>
      <c r="AZ292" s="29"/>
      <c r="BA292" s="27"/>
      <c r="BB292" s="27"/>
      <c r="BC292" s="28" t="str">
        <f>IFERROR(VLOOKUP(BA292,Horarios!$H:$I,2,0),"")</f>
        <v/>
      </c>
      <c r="BD292" s="28" t="str">
        <f>IFERROR(VLOOKUP(BB292,Horarios!$H:$I,2,0),"")</f>
        <v/>
      </c>
      <c r="BE292" s="28" t="str">
        <f t="shared" si="201"/>
        <v>00:00</v>
      </c>
      <c r="BF292" s="29"/>
      <c r="BG292" s="27"/>
      <c r="BH292" s="27"/>
      <c r="BI292" s="28" t="str">
        <f>IFERROR(VLOOKUP(BG292,Horarios!$H:$I,2,0),"")</f>
        <v/>
      </c>
      <c r="BJ292" s="28" t="str">
        <f>IFERROR(VLOOKUP(BH292,Horarios!$H:$I,2,0),"")</f>
        <v/>
      </c>
      <c r="BK292" s="28" t="str">
        <f t="shared" si="202"/>
        <v>00:00</v>
      </c>
      <c r="BL292" s="29"/>
      <c r="BM292" s="27"/>
      <c r="BN292" s="27"/>
      <c r="BO292" s="28" t="str">
        <f>IFERROR(VLOOKUP(BM292,Horarios!$H:$I,2,0),"")</f>
        <v/>
      </c>
      <c r="BP292" s="28" t="str">
        <f>IFERROR(VLOOKUP(BN292,Horarios!$H:$I,2,0),"")</f>
        <v/>
      </c>
      <c r="BQ292" s="28" t="str">
        <f t="shared" si="203"/>
        <v>00:00</v>
      </c>
      <c r="BR292" s="29"/>
      <c r="BS292" s="27"/>
      <c r="BT292" s="27"/>
      <c r="BU292" s="28" t="str">
        <f>IFERROR(VLOOKUP(BS292,Horarios!$H:$I,2,0),"")</f>
        <v/>
      </c>
      <c r="BV292" s="28" t="str">
        <f>IFERROR(VLOOKUP(BT292,Horarios!$H:$I,2,0),"")</f>
        <v/>
      </c>
      <c r="BW292" s="28" t="str">
        <f t="shared" si="204"/>
        <v>00:00</v>
      </c>
      <c r="BX292" s="29"/>
      <c r="BY292" s="27"/>
      <c r="BZ292" s="27"/>
      <c r="CA292" s="28" t="str">
        <f>IFERROR(VLOOKUP(BY292,Horarios!$H:$I,2,0),"")</f>
        <v/>
      </c>
      <c r="CB292" s="28" t="str">
        <f>IFERROR(VLOOKUP(BZ292,Horarios!$H:$I,2,0),"")</f>
        <v/>
      </c>
      <c r="CC292" s="28" t="str">
        <f t="shared" si="205"/>
        <v>00:00</v>
      </c>
      <c r="CD292" s="29"/>
      <c r="CE292" s="27"/>
      <c r="CF292" s="27"/>
      <c r="CG292" s="28" t="str">
        <f>IFERROR(VLOOKUP(CE292,Horarios!$H:$I,2,0),"")</f>
        <v/>
      </c>
      <c r="CH292" s="28" t="str">
        <f>IFERROR(VLOOKUP(CF292,Horarios!$H:$I,2,0),"")</f>
        <v/>
      </c>
      <c r="CI292" s="28" t="str">
        <f t="shared" si="206"/>
        <v>00:00</v>
      </c>
      <c r="CJ292" s="29"/>
      <c r="CK292" s="31" t="str">
        <f t="shared" si="207"/>
        <v/>
      </c>
      <c r="CL292" s="27"/>
      <c r="CM292" s="27"/>
      <c r="CN292" s="28" t="str">
        <f>IFERROR(VLOOKUP(CL292,Horarios!$H:$I,2,0),"")</f>
        <v/>
      </c>
      <c r="CO292" s="28" t="str">
        <f>IFERROR(VLOOKUP(CM292,Horarios!$H:$I,2,0),"")</f>
        <v/>
      </c>
      <c r="CP292" s="28" t="str">
        <f t="shared" si="208"/>
        <v>00:00</v>
      </c>
      <c r="CQ292" s="29"/>
      <c r="CR292" s="27"/>
      <c r="CS292" s="27"/>
      <c r="CT292" s="28" t="str">
        <f>IFERROR(VLOOKUP(CR292,Horarios!$H:$I,2,0),"")</f>
        <v/>
      </c>
      <c r="CU292" s="28" t="str">
        <f>IFERROR(VLOOKUP(CS292,Horarios!$H:$I,2,0),"")</f>
        <v/>
      </c>
      <c r="CV292" s="28" t="str">
        <f t="shared" si="209"/>
        <v>00:00</v>
      </c>
      <c r="CW292" s="29"/>
      <c r="CX292" s="27"/>
      <c r="CY292" s="27"/>
      <c r="CZ292" s="28" t="str">
        <f>IFERROR(VLOOKUP(CX292,Horarios!$H:$I,2,0),"")</f>
        <v/>
      </c>
      <c r="DA292" s="28" t="str">
        <f>IFERROR(VLOOKUP(CY292,Horarios!$H:$I,2,0),"")</f>
        <v/>
      </c>
      <c r="DB292" s="28" t="str">
        <f t="shared" si="210"/>
        <v>00:00</v>
      </c>
      <c r="DC292" s="29"/>
      <c r="DD292" s="27"/>
      <c r="DE292" s="27"/>
      <c r="DF292" s="28" t="str">
        <f>IFERROR(VLOOKUP(DD292,Horarios!$H:$I,2,0),"")</f>
        <v/>
      </c>
      <c r="DG292" s="28" t="str">
        <f>IFERROR(VLOOKUP(DE292,Horarios!$H:$I,2,0),"")</f>
        <v/>
      </c>
      <c r="DH292" s="28" t="str">
        <f t="shared" si="211"/>
        <v>00:00</v>
      </c>
      <c r="DI292" s="29"/>
      <c r="DJ292" s="27"/>
      <c r="DK292" s="27"/>
      <c r="DL292" s="28" t="str">
        <f>IFERROR(VLOOKUP(DJ292,Horarios!$H:$I,2,0),"")</f>
        <v/>
      </c>
      <c r="DM292" s="28" t="str">
        <f>IFERROR(VLOOKUP(DK292,Horarios!$H:$I,2,0),"")</f>
        <v/>
      </c>
      <c r="DN292" s="28" t="str">
        <f t="shared" si="212"/>
        <v>00:00</v>
      </c>
      <c r="DO292" s="29"/>
      <c r="DP292" s="27"/>
      <c r="DQ292" s="27"/>
      <c r="DR292" s="28" t="str">
        <f>IFERROR(VLOOKUP(DP292,Horarios!$H:$I,2,0),"")</f>
        <v/>
      </c>
      <c r="DS292" s="28" t="str">
        <f>IFERROR(VLOOKUP(DQ292,Horarios!$H:$I,2,0),"")</f>
        <v/>
      </c>
      <c r="DT292" s="28" t="str">
        <f t="shared" si="213"/>
        <v>00:00</v>
      </c>
      <c r="DU292" s="29"/>
      <c r="DV292" s="27"/>
      <c r="DW292" s="27"/>
      <c r="DX292" s="28" t="str">
        <f>IFERROR(VLOOKUP(DV292,Horarios!$H:$I,2,0),"")</f>
        <v/>
      </c>
      <c r="DY292" s="28" t="str">
        <f>IFERROR(VLOOKUP(DW292,Horarios!$H:$I,2,0),"")</f>
        <v/>
      </c>
      <c r="DZ292" s="28" t="str">
        <f t="shared" si="214"/>
        <v>00:00</v>
      </c>
      <c r="EA292" s="29"/>
      <c r="EB292" s="31" t="str">
        <f t="shared" si="215"/>
        <v/>
      </c>
      <c r="EC292" s="27"/>
      <c r="ED292" s="27"/>
      <c r="EE292" s="28" t="str">
        <f>IFERROR(VLOOKUP(EC292,Horarios!$H:$I,2,0),"")</f>
        <v/>
      </c>
      <c r="EF292" s="28" t="str">
        <f>IFERROR(VLOOKUP(ED292,Horarios!$H:$I,2,0),"")</f>
        <v/>
      </c>
      <c r="EG292" s="28" t="str">
        <f t="shared" si="216"/>
        <v>00:00</v>
      </c>
      <c r="EH292" s="29"/>
      <c r="EI292" s="27"/>
      <c r="EJ292" s="27"/>
      <c r="EK292" s="28" t="str">
        <f>IFERROR(VLOOKUP(EI292,Horarios!$H:$I,2,0),"")</f>
        <v/>
      </c>
      <c r="EL292" s="28" t="str">
        <f>IFERROR(VLOOKUP(EJ292,Horarios!$H:$I,2,0),"")</f>
        <v/>
      </c>
      <c r="EM292" s="28" t="str">
        <f t="shared" si="217"/>
        <v>00:00</v>
      </c>
      <c r="EN292" s="29"/>
      <c r="EO292" s="27"/>
      <c r="EP292" s="27"/>
      <c r="EQ292" s="28" t="str">
        <f>IFERROR(VLOOKUP(EO292,Horarios!$H:$I,2,0),"")</f>
        <v/>
      </c>
      <c r="ER292" s="28" t="str">
        <f>IFERROR(VLOOKUP(EP292,Horarios!$H:$I,2,0),"")</f>
        <v/>
      </c>
      <c r="ES292" s="28" t="str">
        <f t="shared" si="218"/>
        <v>00:00</v>
      </c>
      <c r="ET292" s="29"/>
      <c r="EU292" s="27"/>
      <c r="EV292" s="27"/>
      <c r="EW292" s="28" t="str">
        <f>IFERROR(VLOOKUP(EU292,Horarios!$H:$I,2,0),"")</f>
        <v/>
      </c>
      <c r="EX292" s="28" t="str">
        <f>IFERROR(VLOOKUP(EV292,Horarios!$H:$I,2,0),"")</f>
        <v/>
      </c>
      <c r="EY292" s="28" t="str">
        <f t="shared" si="219"/>
        <v>00:00</v>
      </c>
      <c r="EZ292" s="29"/>
      <c r="FA292" s="27"/>
      <c r="FB292" s="27"/>
      <c r="FC292" s="28" t="str">
        <f>IFERROR(VLOOKUP(FA292,Horarios!$H:$I,2,0),"")</f>
        <v/>
      </c>
      <c r="FD292" s="28" t="str">
        <f>IFERROR(VLOOKUP(FB292,Horarios!$H:$I,2,0),"")</f>
        <v/>
      </c>
      <c r="FE292" s="28" t="str">
        <f t="shared" si="220"/>
        <v>00:00</v>
      </c>
      <c r="FF292" s="29"/>
      <c r="FG292" s="27"/>
      <c r="FH292" s="27"/>
      <c r="FI292" s="28" t="str">
        <f>IFERROR(VLOOKUP(FG292,Horarios!$H:$I,2,0),"")</f>
        <v/>
      </c>
      <c r="FJ292" s="28" t="str">
        <f>IFERROR(VLOOKUP(FH292,Horarios!$H:$I,2,0),"")</f>
        <v/>
      </c>
      <c r="FK292" s="28" t="str">
        <f t="shared" si="221"/>
        <v>00:00</v>
      </c>
      <c r="FL292" s="29"/>
      <c r="FM292" s="27"/>
      <c r="FN292" s="27"/>
      <c r="FO292" s="28" t="str">
        <f>IFERROR(VLOOKUP(FM292,Horarios!$H:$I,2,0),"")</f>
        <v/>
      </c>
      <c r="FP292" s="28" t="str">
        <f>IFERROR(VLOOKUP(FN292,Horarios!$H:$I,2,0),"")</f>
        <v/>
      </c>
      <c r="FQ292" s="28" t="str">
        <f t="shared" si="222"/>
        <v>00:00</v>
      </c>
      <c r="FR292" s="29"/>
      <c r="FS292" s="31" t="str">
        <f t="shared" si="223"/>
        <v/>
      </c>
      <c r="FT292" s="27"/>
      <c r="FU292" s="27"/>
      <c r="FV292" s="28" t="str">
        <f>IFERROR(VLOOKUP(FT292,Horarios!$H:$I,2,0),"")</f>
        <v/>
      </c>
      <c r="FW292" s="28" t="str">
        <f>IFERROR(VLOOKUP(FU292,Horarios!$H:$I,2,0),"")</f>
        <v/>
      </c>
      <c r="FX292" s="28" t="str">
        <f t="shared" si="224"/>
        <v>00:00</v>
      </c>
      <c r="FY292" s="29"/>
      <c r="FZ292" s="27"/>
      <c r="GA292" s="27"/>
      <c r="GB292" s="28" t="str">
        <f>IFERROR(VLOOKUP(FZ292,Horarios!$H:$I,2,0),"")</f>
        <v/>
      </c>
      <c r="GC292" s="28" t="str">
        <f>IFERROR(VLOOKUP(GA292,Horarios!$H:$I,2,0),"")</f>
        <v/>
      </c>
      <c r="GD292" s="28" t="str">
        <f t="shared" si="225"/>
        <v>00:00</v>
      </c>
      <c r="GE292" s="29"/>
      <c r="GF292" s="27"/>
      <c r="GG292" s="27"/>
      <c r="GH292" s="28" t="str">
        <f>IFERROR(VLOOKUP(GF292,Horarios!$H:$I,2,0),"")</f>
        <v/>
      </c>
      <c r="GI292" s="28" t="str">
        <f>IFERROR(VLOOKUP(GG292,Horarios!$H:$I,2,0),"")</f>
        <v/>
      </c>
      <c r="GJ292" s="28" t="str">
        <f t="shared" si="226"/>
        <v>00:00</v>
      </c>
      <c r="GK292" s="29"/>
      <c r="GL292" s="27"/>
      <c r="GM292" s="27"/>
      <c r="GN292" s="28" t="str">
        <f>IFERROR(VLOOKUP(GL292,Horarios!$H:$I,2,0),"")</f>
        <v/>
      </c>
      <c r="GO292" s="28" t="str">
        <f>IFERROR(VLOOKUP(GM292,Horarios!$H:$I,2,0),"")</f>
        <v/>
      </c>
      <c r="GP292" s="28" t="str">
        <f t="shared" si="227"/>
        <v>00:00</v>
      </c>
      <c r="GQ292" s="29"/>
      <c r="GR292" s="27"/>
      <c r="GS292" s="27"/>
      <c r="GT292" s="28" t="str">
        <f>IFERROR(VLOOKUP(GR292,Horarios!$H:$I,2,0),"")</f>
        <v/>
      </c>
      <c r="GU292" s="28" t="str">
        <f>IFERROR(VLOOKUP(GS292,Horarios!$H:$I,2,0),"")</f>
        <v/>
      </c>
      <c r="GV292" s="28" t="str">
        <f t="shared" si="228"/>
        <v>00:00</v>
      </c>
      <c r="GW292" s="29"/>
      <c r="GX292" s="27"/>
      <c r="GY292" s="27"/>
      <c r="GZ292" s="28" t="str">
        <f>IFERROR(VLOOKUP(GX292,Horarios!$H:$I,2,0),"")</f>
        <v/>
      </c>
      <c r="HA292" s="28" t="str">
        <f>IFERROR(VLOOKUP(GY292,Horarios!$H:$I,2,0),"")</f>
        <v/>
      </c>
      <c r="HB292" s="28" t="str">
        <f t="shared" si="229"/>
        <v>00:00</v>
      </c>
      <c r="HC292" s="29"/>
      <c r="HD292" s="27"/>
      <c r="HE292" s="27"/>
      <c r="HF292" s="28" t="str">
        <f>IFERROR(VLOOKUP(HD292,Horarios!$H:$I,2,0),"")</f>
        <v/>
      </c>
      <c r="HG292" s="28" t="str">
        <f>IFERROR(VLOOKUP(HE292,Horarios!$H:$I,2,0),"")</f>
        <v/>
      </c>
      <c r="HH292" s="28" t="str">
        <f t="shared" si="230"/>
        <v>00:00</v>
      </c>
      <c r="HI292" s="29"/>
      <c r="HJ292" s="31" t="str">
        <f t="shared" si="231"/>
        <v/>
      </c>
      <c r="HK292" s="27"/>
      <c r="HL292" s="27"/>
      <c r="HM292" s="28" t="str">
        <f>IFERROR(VLOOKUP(HK292,Horarios!$H:$I,2,0),"")</f>
        <v/>
      </c>
      <c r="HN292" s="28" t="str">
        <f>IFERROR(VLOOKUP(HL292,Horarios!$H:$I,2,0),"")</f>
        <v/>
      </c>
      <c r="HO292" s="28" t="str">
        <f t="shared" si="232"/>
        <v>00:00</v>
      </c>
      <c r="HP292" s="29"/>
      <c r="HQ292" s="27"/>
      <c r="HR292" s="27"/>
      <c r="HS292" s="28" t="str">
        <f>IFERROR(VLOOKUP(HQ292,Horarios!$H:$I,2,0),"")</f>
        <v/>
      </c>
      <c r="HT292" s="28" t="str">
        <f>IFERROR(VLOOKUP(HR292,Horarios!$H:$I,2,0),"")</f>
        <v/>
      </c>
      <c r="HU292" s="28" t="str">
        <f t="shared" si="233"/>
        <v>00:00</v>
      </c>
      <c r="HV292" s="29"/>
      <c r="HW292" s="27"/>
      <c r="HX292" s="27"/>
      <c r="HY292" s="28" t="str">
        <f>IFERROR(VLOOKUP(HW292,Horarios!$H:$I,2,0),"")</f>
        <v/>
      </c>
      <c r="HZ292" s="28" t="str">
        <f>IFERROR(VLOOKUP(HX292,Horarios!$H:$I,2,0),"")</f>
        <v/>
      </c>
      <c r="IA292" s="28" t="str">
        <f t="shared" si="234"/>
        <v>00:00</v>
      </c>
      <c r="IB292" s="29"/>
      <c r="IC292" s="27"/>
      <c r="ID292" s="27"/>
      <c r="IE292" s="28" t="str">
        <f>IFERROR(VLOOKUP(IC292,Horarios!$H:$I,2,0),"")</f>
        <v/>
      </c>
      <c r="IF292" s="28" t="str">
        <f>IFERROR(VLOOKUP(ID292,Horarios!$H:$I,2,0),"")</f>
        <v/>
      </c>
      <c r="IG292" s="28" t="str">
        <f t="shared" si="235"/>
        <v>00:00</v>
      </c>
      <c r="IH292" s="29"/>
      <c r="II292" s="27"/>
      <c r="IJ292" s="27"/>
      <c r="IK292" s="28" t="str">
        <f>IFERROR(VLOOKUP(II292,Horarios!$H:$I,2,0),"")</f>
        <v/>
      </c>
      <c r="IL292" s="28" t="str">
        <f>IFERROR(VLOOKUP(IJ292,Horarios!$H:$I,2,0),"")</f>
        <v/>
      </c>
      <c r="IM292" s="28" t="str">
        <f t="shared" si="236"/>
        <v>00:00</v>
      </c>
      <c r="IN292" s="29"/>
      <c r="IO292" s="27"/>
      <c r="IP292" s="27"/>
      <c r="IQ292" s="28" t="str">
        <f>IFERROR(VLOOKUP(IO292,Horarios!$H:$I,2,0),"")</f>
        <v/>
      </c>
      <c r="IR292" s="28" t="str">
        <f>IFERROR(VLOOKUP(IP292,Horarios!$H:$I,2,0),"")</f>
        <v/>
      </c>
      <c r="IS292" s="28" t="str">
        <f t="shared" si="237"/>
        <v>00:00</v>
      </c>
      <c r="IT292" s="29"/>
      <c r="IU292" s="27"/>
      <c r="IV292" s="27"/>
      <c r="IW292" s="28" t="str">
        <f>IFERROR(VLOOKUP(IU292,Horarios!$H:$I,2,0),"")</f>
        <v/>
      </c>
      <c r="IX292" s="28" t="str">
        <f>IFERROR(VLOOKUP(IV292,Horarios!$H:$I,2,0),"")</f>
        <v/>
      </c>
      <c r="IY292" s="28" t="str">
        <f t="shared" si="238"/>
        <v>00:00</v>
      </c>
      <c r="IZ292" s="29"/>
      <c r="JA292" s="31" t="str">
        <f t="shared" si="239"/>
        <v/>
      </c>
    </row>
    <row r="293" spans="1:261" s="24" customFormat="1" ht="17.399999999999999" x14ac:dyDescent="0.25">
      <c r="A293" s="25"/>
      <c r="B293" s="26" t="str">
        <f>IFERROR(VLOOKUP(A293,BaseNombres!A:B,2,0),"")</f>
        <v/>
      </c>
      <c r="C293" s="26" t="str">
        <f>IFERROR(VLOOKUP(A293,BaseNombres!A:C,3,0),"")</f>
        <v/>
      </c>
      <c r="D293" s="27"/>
      <c r="E293" s="27"/>
      <c r="F293" s="28" t="str">
        <f>IFERROR(VLOOKUP(D293,Horarios!$H:$I,2,0),"")</f>
        <v/>
      </c>
      <c r="G293" s="28" t="str">
        <f>IFERROR(VLOOKUP(E293,Horarios!$H:$I,2,0),"")</f>
        <v/>
      </c>
      <c r="H293" s="28" t="str">
        <f t="shared" si="192"/>
        <v>00:00</v>
      </c>
      <c r="I293" s="29"/>
      <c r="J293" s="27"/>
      <c r="K293" s="27"/>
      <c r="L293" s="28" t="str">
        <f>IFERROR(VLOOKUP(J293,Horarios!$H:$I,2,0),"")</f>
        <v/>
      </c>
      <c r="M293" s="28" t="str">
        <f>IFERROR(VLOOKUP(K293,Horarios!$H:$I,2,0),"")</f>
        <v/>
      </c>
      <c r="N293" s="28" t="str">
        <f t="shared" si="193"/>
        <v>00:00</v>
      </c>
      <c r="O293" s="29"/>
      <c r="P293" s="27"/>
      <c r="Q293" s="27"/>
      <c r="R293" s="28" t="str">
        <f>IFERROR(VLOOKUP(P293,Horarios!$H:$I,2,0),"")</f>
        <v/>
      </c>
      <c r="S293" s="28" t="str">
        <f>IFERROR(VLOOKUP(Q293,Horarios!$H:$I,2,0),"")</f>
        <v/>
      </c>
      <c r="T293" s="28" t="str">
        <f t="shared" si="194"/>
        <v>00:00</v>
      </c>
      <c r="U293" s="29"/>
      <c r="V293" s="27"/>
      <c r="W293" s="27"/>
      <c r="X293" s="28" t="str">
        <f>IFERROR(VLOOKUP(V293,Horarios!$H:$I,2,0),"")</f>
        <v/>
      </c>
      <c r="Y293" s="28" t="str">
        <f>IFERROR(VLOOKUP(W293,Horarios!$H:$I,2,0),"")</f>
        <v/>
      </c>
      <c r="Z293" s="28" t="str">
        <f t="shared" si="195"/>
        <v>00:00</v>
      </c>
      <c r="AA293" s="29"/>
      <c r="AB293" s="27"/>
      <c r="AC293" s="27"/>
      <c r="AD293" s="28" t="str">
        <f>IFERROR(VLOOKUP(AB293,Horarios!$H:$I,2,0),"")</f>
        <v/>
      </c>
      <c r="AE293" s="28" t="str">
        <f>IFERROR(VLOOKUP(AC293,Horarios!$H:$I,2,0),"")</f>
        <v/>
      </c>
      <c r="AF293" s="28" t="str">
        <f t="shared" si="196"/>
        <v>00:00</v>
      </c>
      <c r="AG293" s="29"/>
      <c r="AH293" s="27"/>
      <c r="AI293" s="27"/>
      <c r="AJ293" s="28" t="str">
        <f>IFERROR(VLOOKUP(AH293,Horarios!$H:$I,2,0),"")</f>
        <v/>
      </c>
      <c r="AK293" s="28" t="str">
        <f>IFERROR(VLOOKUP(AI293,Horarios!$H:$I,2,0),"")</f>
        <v/>
      </c>
      <c r="AL293" s="28" t="str">
        <f t="shared" si="197"/>
        <v>00:00</v>
      </c>
      <c r="AM293" s="29"/>
      <c r="AN293" s="27"/>
      <c r="AO293" s="27"/>
      <c r="AP293" s="28" t="str">
        <f>IFERROR(VLOOKUP(AN293,Horarios!$H:$I,2,0),"")</f>
        <v/>
      </c>
      <c r="AQ293" s="28" t="str">
        <f>IFERROR(VLOOKUP(AO293,Horarios!$H:$I,2,0),"")</f>
        <v/>
      </c>
      <c r="AR293" s="28" t="str">
        <f t="shared" si="198"/>
        <v>00:00</v>
      </c>
      <c r="AS293" s="29"/>
      <c r="AT293" s="31" t="str">
        <f t="shared" si="199"/>
        <v/>
      </c>
      <c r="AU293" s="27"/>
      <c r="AV293" s="27"/>
      <c r="AW293" s="28" t="str">
        <f>IFERROR(VLOOKUP(AU293,Horarios!$H:$I,2,0),"")</f>
        <v/>
      </c>
      <c r="AX293" s="28" t="str">
        <f>IFERROR(VLOOKUP(AV293,Horarios!$H:$I,2,0),"")</f>
        <v/>
      </c>
      <c r="AY293" s="28" t="str">
        <f t="shared" si="200"/>
        <v>00:00</v>
      </c>
      <c r="AZ293" s="29"/>
      <c r="BA293" s="27"/>
      <c r="BB293" s="27"/>
      <c r="BC293" s="28" t="str">
        <f>IFERROR(VLOOKUP(BA293,Horarios!$H:$I,2,0),"")</f>
        <v/>
      </c>
      <c r="BD293" s="28" t="str">
        <f>IFERROR(VLOOKUP(BB293,Horarios!$H:$I,2,0),"")</f>
        <v/>
      </c>
      <c r="BE293" s="28" t="str">
        <f t="shared" si="201"/>
        <v>00:00</v>
      </c>
      <c r="BF293" s="29"/>
      <c r="BG293" s="27"/>
      <c r="BH293" s="27"/>
      <c r="BI293" s="28" t="str">
        <f>IFERROR(VLOOKUP(BG293,Horarios!$H:$I,2,0),"")</f>
        <v/>
      </c>
      <c r="BJ293" s="28" t="str">
        <f>IFERROR(VLOOKUP(BH293,Horarios!$H:$I,2,0),"")</f>
        <v/>
      </c>
      <c r="BK293" s="28" t="str">
        <f t="shared" si="202"/>
        <v>00:00</v>
      </c>
      <c r="BL293" s="29"/>
      <c r="BM293" s="27"/>
      <c r="BN293" s="27"/>
      <c r="BO293" s="28" t="str">
        <f>IFERROR(VLOOKUP(BM293,Horarios!$H:$I,2,0),"")</f>
        <v/>
      </c>
      <c r="BP293" s="28" t="str">
        <f>IFERROR(VLOOKUP(BN293,Horarios!$H:$I,2,0),"")</f>
        <v/>
      </c>
      <c r="BQ293" s="28" t="str">
        <f t="shared" si="203"/>
        <v>00:00</v>
      </c>
      <c r="BR293" s="29"/>
      <c r="BS293" s="27"/>
      <c r="BT293" s="27"/>
      <c r="BU293" s="28" t="str">
        <f>IFERROR(VLOOKUP(BS293,Horarios!$H:$I,2,0),"")</f>
        <v/>
      </c>
      <c r="BV293" s="28" t="str">
        <f>IFERROR(VLOOKUP(BT293,Horarios!$H:$I,2,0),"")</f>
        <v/>
      </c>
      <c r="BW293" s="28" t="str">
        <f t="shared" si="204"/>
        <v>00:00</v>
      </c>
      <c r="BX293" s="29"/>
      <c r="BY293" s="27"/>
      <c r="BZ293" s="27"/>
      <c r="CA293" s="28" t="str">
        <f>IFERROR(VLOOKUP(BY293,Horarios!$H:$I,2,0),"")</f>
        <v/>
      </c>
      <c r="CB293" s="28" t="str">
        <f>IFERROR(VLOOKUP(BZ293,Horarios!$H:$I,2,0),"")</f>
        <v/>
      </c>
      <c r="CC293" s="28" t="str">
        <f t="shared" si="205"/>
        <v>00:00</v>
      </c>
      <c r="CD293" s="29"/>
      <c r="CE293" s="27"/>
      <c r="CF293" s="27"/>
      <c r="CG293" s="28" t="str">
        <f>IFERROR(VLOOKUP(CE293,Horarios!$H:$I,2,0),"")</f>
        <v/>
      </c>
      <c r="CH293" s="28" t="str">
        <f>IFERROR(VLOOKUP(CF293,Horarios!$H:$I,2,0),"")</f>
        <v/>
      </c>
      <c r="CI293" s="28" t="str">
        <f t="shared" si="206"/>
        <v>00:00</v>
      </c>
      <c r="CJ293" s="29"/>
      <c r="CK293" s="31" t="str">
        <f t="shared" si="207"/>
        <v/>
      </c>
      <c r="CL293" s="27"/>
      <c r="CM293" s="27"/>
      <c r="CN293" s="28" t="str">
        <f>IFERROR(VLOOKUP(CL293,Horarios!$H:$I,2,0),"")</f>
        <v/>
      </c>
      <c r="CO293" s="28" t="str">
        <f>IFERROR(VLOOKUP(CM293,Horarios!$H:$I,2,0),"")</f>
        <v/>
      </c>
      <c r="CP293" s="28" t="str">
        <f t="shared" si="208"/>
        <v>00:00</v>
      </c>
      <c r="CQ293" s="29"/>
      <c r="CR293" s="27"/>
      <c r="CS293" s="27"/>
      <c r="CT293" s="28" t="str">
        <f>IFERROR(VLOOKUP(CR293,Horarios!$H:$I,2,0),"")</f>
        <v/>
      </c>
      <c r="CU293" s="28" t="str">
        <f>IFERROR(VLOOKUP(CS293,Horarios!$H:$I,2,0),"")</f>
        <v/>
      </c>
      <c r="CV293" s="28" t="str">
        <f t="shared" si="209"/>
        <v>00:00</v>
      </c>
      <c r="CW293" s="29"/>
      <c r="CX293" s="27"/>
      <c r="CY293" s="27"/>
      <c r="CZ293" s="28" t="str">
        <f>IFERROR(VLOOKUP(CX293,Horarios!$H:$I,2,0),"")</f>
        <v/>
      </c>
      <c r="DA293" s="28" t="str">
        <f>IFERROR(VLOOKUP(CY293,Horarios!$H:$I,2,0),"")</f>
        <v/>
      </c>
      <c r="DB293" s="28" t="str">
        <f t="shared" si="210"/>
        <v>00:00</v>
      </c>
      <c r="DC293" s="29"/>
      <c r="DD293" s="27"/>
      <c r="DE293" s="27"/>
      <c r="DF293" s="28" t="str">
        <f>IFERROR(VLOOKUP(DD293,Horarios!$H:$I,2,0),"")</f>
        <v/>
      </c>
      <c r="DG293" s="28" t="str">
        <f>IFERROR(VLOOKUP(DE293,Horarios!$H:$I,2,0),"")</f>
        <v/>
      </c>
      <c r="DH293" s="28" t="str">
        <f t="shared" si="211"/>
        <v>00:00</v>
      </c>
      <c r="DI293" s="29"/>
      <c r="DJ293" s="27"/>
      <c r="DK293" s="27"/>
      <c r="DL293" s="28" t="str">
        <f>IFERROR(VLOOKUP(DJ293,Horarios!$H:$I,2,0),"")</f>
        <v/>
      </c>
      <c r="DM293" s="28" t="str">
        <f>IFERROR(VLOOKUP(DK293,Horarios!$H:$I,2,0),"")</f>
        <v/>
      </c>
      <c r="DN293" s="28" t="str">
        <f t="shared" si="212"/>
        <v>00:00</v>
      </c>
      <c r="DO293" s="29"/>
      <c r="DP293" s="27"/>
      <c r="DQ293" s="27"/>
      <c r="DR293" s="28" t="str">
        <f>IFERROR(VLOOKUP(DP293,Horarios!$H:$I,2,0),"")</f>
        <v/>
      </c>
      <c r="DS293" s="28" t="str">
        <f>IFERROR(VLOOKUP(DQ293,Horarios!$H:$I,2,0),"")</f>
        <v/>
      </c>
      <c r="DT293" s="28" t="str">
        <f t="shared" si="213"/>
        <v>00:00</v>
      </c>
      <c r="DU293" s="29"/>
      <c r="DV293" s="27"/>
      <c r="DW293" s="27"/>
      <c r="DX293" s="28" t="str">
        <f>IFERROR(VLOOKUP(DV293,Horarios!$H:$I,2,0),"")</f>
        <v/>
      </c>
      <c r="DY293" s="28" t="str">
        <f>IFERROR(VLOOKUP(DW293,Horarios!$H:$I,2,0),"")</f>
        <v/>
      </c>
      <c r="DZ293" s="28" t="str">
        <f t="shared" si="214"/>
        <v>00:00</v>
      </c>
      <c r="EA293" s="29"/>
      <c r="EB293" s="31" t="str">
        <f t="shared" si="215"/>
        <v/>
      </c>
      <c r="EC293" s="27"/>
      <c r="ED293" s="27"/>
      <c r="EE293" s="28" t="str">
        <f>IFERROR(VLOOKUP(EC293,Horarios!$H:$I,2,0),"")</f>
        <v/>
      </c>
      <c r="EF293" s="28" t="str">
        <f>IFERROR(VLOOKUP(ED293,Horarios!$H:$I,2,0),"")</f>
        <v/>
      </c>
      <c r="EG293" s="28" t="str">
        <f t="shared" si="216"/>
        <v>00:00</v>
      </c>
      <c r="EH293" s="29"/>
      <c r="EI293" s="27"/>
      <c r="EJ293" s="27"/>
      <c r="EK293" s="28" t="str">
        <f>IFERROR(VLOOKUP(EI293,Horarios!$H:$I,2,0),"")</f>
        <v/>
      </c>
      <c r="EL293" s="28" t="str">
        <f>IFERROR(VLOOKUP(EJ293,Horarios!$H:$I,2,0),"")</f>
        <v/>
      </c>
      <c r="EM293" s="28" t="str">
        <f t="shared" si="217"/>
        <v>00:00</v>
      </c>
      <c r="EN293" s="29"/>
      <c r="EO293" s="27"/>
      <c r="EP293" s="27"/>
      <c r="EQ293" s="28" t="str">
        <f>IFERROR(VLOOKUP(EO293,Horarios!$H:$I,2,0),"")</f>
        <v/>
      </c>
      <c r="ER293" s="28" t="str">
        <f>IFERROR(VLOOKUP(EP293,Horarios!$H:$I,2,0),"")</f>
        <v/>
      </c>
      <c r="ES293" s="28" t="str">
        <f t="shared" si="218"/>
        <v>00:00</v>
      </c>
      <c r="ET293" s="29"/>
      <c r="EU293" s="27"/>
      <c r="EV293" s="27"/>
      <c r="EW293" s="28" t="str">
        <f>IFERROR(VLOOKUP(EU293,Horarios!$H:$I,2,0),"")</f>
        <v/>
      </c>
      <c r="EX293" s="28" t="str">
        <f>IFERROR(VLOOKUP(EV293,Horarios!$H:$I,2,0),"")</f>
        <v/>
      </c>
      <c r="EY293" s="28" t="str">
        <f t="shared" si="219"/>
        <v>00:00</v>
      </c>
      <c r="EZ293" s="29"/>
      <c r="FA293" s="27"/>
      <c r="FB293" s="27"/>
      <c r="FC293" s="28" t="str">
        <f>IFERROR(VLOOKUP(FA293,Horarios!$H:$I,2,0),"")</f>
        <v/>
      </c>
      <c r="FD293" s="28" t="str">
        <f>IFERROR(VLOOKUP(FB293,Horarios!$H:$I,2,0),"")</f>
        <v/>
      </c>
      <c r="FE293" s="28" t="str">
        <f t="shared" si="220"/>
        <v>00:00</v>
      </c>
      <c r="FF293" s="29"/>
      <c r="FG293" s="27"/>
      <c r="FH293" s="27"/>
      <c r="FI293" s="28" t="str">
        <f>IFERROR(VLOOKUP(FG293,Horarios!$H:$I,2,0),"")</f>
        <v/>
      </c>
      <c r="FJ293" s="28" t="str">
        <f>IFERROR(VLOOKUP(FH293,Horarios!$H:$I,2,0),"")</f>
        <v/>
      </c>
      <c r="FK293" s="28" t="str">
        <f t="shared" si="221"/>
        <v>00:00</v>
      </c>
      <c r="FL293" s="29"/>
      <c r="FM293" s="27"/>
      <c r="FN293" s="27"/>
      <c r="FO293" s="28" t="str">
        <f>IFERROR(VLOOKUP(FM293,Horarios!$H:$I,2,0),"")</f>
        <v/>
      </c>
      <c r="FP293" s="28" t="str">
        <f>IFERROR(VLOOKUP(FN293,Horarios!$H:$I,2,0),"")</f>
        <v/>
      </c>
      <c r="FQ293" s="28" t="str">
        <f t="shared" si="222"/>
        <v>00:00</v>
      </c>
      <c r="FR293" s="29"/>
      <c r="FS293" s="31" t="str">
        <f t="shared" si="223"/>
        <v/>
      </c>
      <c r="FT293" s="27"/>
      <c r="FU293" s="27"/>
      <c r="FV293" s="28" t="str">
        <f>IFERROR(VLOOKUP(FT293,Horarios!$H:$I,2,0),"")</f>
        <v/>
      </c>
      <c r="FW293" s="28" t="str">
        <f>IFERROR(VLOOKUP(FU293,Horarios!$H:$I,2,0),"")</f>
        <v/>
      </c>
      <c r="FX293" s="28" t="str">
        <f t="shared" si="224"/>
        <v>00:00</v>
      </c>
      <c r="FY293" s="29"/>
      <c r="FZ293" s="27"/>
      <c r="GA293" s="27"/>
      <c r="GB293" s="28" t="str">
        <f>IFERROR(VLOOKUP(FZ293,Horarios!$H:$I,2,0),"")</f>
        <v/>
      </c>
      <c r="GC293" s="28" t="str">
        <f>IFERROR(VLOOKUP(GA293,Horarios!$H:$I,2,0),"")</f>
        <v/>
      </c>
      <c r="GD293" s="28" t="str">
        <f t="shared" si="225"/>
        <v>00:00</v>
      </c>
      <c r="GE293" s="29"/>
      <c r="GF293" s="27"/>
      <c r="GG293" s="27"/>
      <c r="GH293" s="28" t="str">
        <f>IFERROR(VLOOKUP(GF293,Horarios!$H:$I,2,0),"")</f>
        <v/>
      </c>
      <c r="GI293" s="28" t="str">
        <f>IFERROR(VLOOKUP(GG293,Horarios!$H:$I,2,0),"")</f>
        <v/>
      </c>
      <c r="GJ293" s="28" t="str">
        <f t="shared" si="226"/>
        <v>00:00</v>
      </c>
      <c r="GK293" s="29"/>
      <c r="GL293" s="27"/>
      <c r="GM293" s="27"/>
      <c r="GN293" s="28" t="str">
        <f>IFERROR(VLOOKUP(GL293,Horarios!$H:$I,2,0),"")</f>
        <v/>
      </c>
      <c r="GO293" s="28" t="str">
        <f>IFERROR(VLOOKUP(GM293,Horarios!$H:$I,2,0),"")</f>
        <v/>
      </c>
      <c r="GP293" s="28" t="str">
        <f t="shared" si="227"/>
        <v>00:00</v>
      </c>
      <c r="GQ293" s="29"/>
      <c r="GR293" s="27"/>
      <c r="GS293" s="27"/>
      <c r="GT293" s="28" t="str">
        <f>IFERROR(VLOOKUP(GR293,Horarios!$H:$I,2,0),"")</f>
        <v/>
      </c>
      <c r="GU293" s="28" t="str">
        <f>IFERROR(VLOOKUP(GS293,Horarios!$H:$I,2,0),"")</f>
        <v/>
      </c>
      <c r="GV293" s="28" t="str">
        <f t="shared" si="228"/>
        <v>00:00</v>
      </c>
      <c r="GW293" s="29"/>
      <c r="GX293" s="27"/>
      <c r="GY293" s="27"/>
      <c r="GZ293" s="28" t="str">
        <f>IFERROR(VLOOKUP(GX293,Horarios!$H:$I,2,0),"")</f>
        <v/>
      </c>
      <c r="HA293" s="28" t="str">
        <f>IFERROR(VLOOKUP(GY293,Horarios!$H:$I,2,0),"")</f>
        <v/>
      </c>
      <c r="HB293" s="28" t="str">
        <f t="shared" si="229"/>
        <v>00:00</v>
      </c>
      <c r="HC293" s="29"/>
      <c r="HD293" s="27"/>
      <c r="HE293" s="27"/>
      <c r="HF293" s="28" t="str">
        <f>IFERROR(VLOOKUP(HD293,Horarios!$H:$I,2,0),"")</f>
        <v/>
      </c>
      <c r="HG293" s="28" t="str">
        <f>IFERROR(VLOOKUP(HE293,Horarios!$H:$I,2,0),"")</f>
        <v/>
      </c>
      <c r="HH293" s="28" t="str">
        <f t="shared" si="230"/>
        <v>00:00</v>
      </c>
      <c r="HI293" s="29"/>
      <c r="HJ293" s="31" t="str">
        <f t="shared" si="231"/>
        <v/>
      </c>
      <c r="HK293" s="27"/>
      <c r="HL293" s="27"/>
      <c r="HM293" s="28" t="str">
        <f>IFERROR(VLOOKUP(HK293,Horarios!$H:$I,2,0),"")</f>
        <v/>
      </c>
      <c r="HN293" s="28" t="str">
        <f>IFERROR(VLOOKUP(HL293,Horarios!$H:$I,2,0),"")</f>
        <v/>
      </c>
      <c r="HO293" s="28" t="str">
        <f t="shared" si="232"/>
        <v>00:00</v>
      </c>
      <c r="HP293" s="29"/>
      <c r="HQ293" s="27"/>
      <c r="HR293" s="27"/>
      <c r="HS293" s="28" t="str">
        <f>IFERROR(VLOOKUP(HQ293,Horarios!$H:$I,2,0),"")</f>
        <v/>
      </c>
      <c r="HT293" s="28" t="str">
        <f>IFERROR(VLOOKUP(HR293,Horarios!$H:$I,2,0),"")</f>
        <v/>
      </c>
      <c r="HU293" s="28" t="str">
        <f t="shared" si="233"/>
        <v>00:00</v>
      </c>
      <c r="HV293" s="29"/>
      <c r="HW293" s="27"/>
      <c r="HX293" s="27"/>
      <c r="HY293" s="28" t="str">
        <f>IFERROR(VLOOKUP(HW293,Horarios!$H:$I,2,0),"")</f>
        <v/>
      </c>
      <c r="HZ293" s="28" t="str">
        <f>IFERROR(VLOOKUP(HX293,Horarios!$H:$I,2,0),"")</f>
        <v/>
      </c>
      <c r="IA293" s="28" t="str">
        <f t="shared" si="234"/>
        <v>00:00</v>
      </c>
      <c r="IB293" s="29"/>
      <c r="IC293" s="27"/>
      <c r="ID293" s="27"/>
      <c r="IE293" s="28" t="str">
        <f>IFERROR(VLOOKUP(IC293,Horarios!$H:$I,2,0),"")</f>
        <v/>
      </c>
      <c r="IF293" s="28" t="str">
        <f>IFERROR(VLOOKUP(ID293,Horarios!$H:$I,2,0),"")</f>
        <v/>
      </c>
      <c r="IG293" s="28" t="str">
        <f t="shared" si="235"/>
        <v>00:00</v>
      </c>
      <c r="IH293" s="29"/>
      <c r="II293" s="27"/>
      <c r="IJ293" s="27"/>
      <c r="IK293" s="28" t="str">
        <f>IFERROR(VLOOKUP(II293,Horarios!$H:$I,2,0),"")</f>
        <v/>
      </c>
      <c r="IL293" s="28" t="str">
        <f>IFERROR(VLOOKUP(IJ293,Horarios!$H:$I,2,0),"")</f>
        <v/>
      </c>
      <c r="IM293" s="28" t="str">
        <f t="shared" si="236"/>
        <v>00:00</v>
      </c>
      <c r="IN293" s="29"/>
      <c r="IO293" s="27"/>
      <c r="IP293" s="27"/>
      <c r="IQ293" s="28" t="str">
        <f>IFERROR(VLOOKUP(IO293,Horarios!$H:$I,2,0),"")</f>
        <v/>
      </c>
      <c r="IR293" s="28" t="str">
        <f>IFERROR(VLOOKUP(IP293,Horarios!$H:$I,2,0),"")</f>
        <v/>
      </c>
      <c r="IS293" s="28" t="str">
        <f t="shared" si="237"/>
        <v>00:00</v>
      </c>
      <c r="IT293" s="29"/>
      <c r="IU293" s="27"/>
      <c r="IV293" s="27"/>
      <c r="IW293" s="28" t="str">
        <f>IFERROR(VLOOKUP(IU293,Horarios!$H:$I,2,0),"")</f>
        <v/>
      </c>
      <c r="IX293" s="28" t="str">
        <f>IFERROR(VLOOKUP(IV293,Horarios!$H:$I,2,0),"")</f>
        <v/>
      </c>
      <c r="IY293" s="28" t="str">
        <f t="shared" si="238"/>
        <v>00:00</v>
      </c>
      <c r="IZ293" s="29"/>
      <c r="JA293" s="31" t="str">
        <f t="shared" si="239"/>
        <v/>
      </c>
    </row>
    <row r="294" spans="1:261" s="24" customFormat="1" ht="17.399999999999999" x14ac:dyDescent="0.25">
      <c r="A294" s="25"/>
      <c r="B294" s="26" t="str">
        <f>IFERROR(VLOOKUP(A294,BaseNombres!A:B,2,0),"")</f>
        <v/>
      </c>
      <c r="C294" s="26" t="str">
        <f>IFERROR(VLOOKUP(A294,BaseNombres!A:C,3,0),"")</f>
        <v/>
      </c>
      <c r="D294" s="27"/>
      <c r="E294" s="27"/>
      <c r="F294" s="28" t="str">
        <f>IFERROR(VLOOKUP(D294,Horarios!$H:$I,2,0),"")</f>
        <v/>
      </c>
      <c r="G294" s="28" t="str">
        <f>IFERROR(VLOOKUP(E294,Horarios!$H:$I,2,0),"")</f>
        <v/>
      </c>
      <c r="H294" s="28" t="str">
        <f t="shared" si="192"/>
        <v>00:00</v>
      </c>
      <c r="I294" s="29"/>
      <c r="J294" s="27"/>
      <c r="K294" s="27"/>
      <c r="L294" s="28" t="str">
        <f>IFERROR(VLOOKUP(J294,Horarios!$H:$I,2,0),"")</f>
        <v/>
      </c>
      <c r="M294" s="28" t="str">
        <f>IFERROR(VLOOKUP(K294,Horarios!$H:$I,2,0),"")</f>
        <v/>
      </c>
      <c r="N294" s="28" t="str">
        <f t="shared" si="193"/>
        <v>00:00</v>
      </c>
      <c r="O294" s="29"/>
      <c r="P294" s="27"/>
      <c r="Q294" s="27"/>
      <c r="R294" s="28" t="str">
        <f>IFERROR(VLOOKUP(P294,Horarios!$H:$I,2,0),"")</f>
        <v/>
      </c>
      <c r="S294" s="28" t="str">
        <f>IFERROR(VLOOKUP(Q294,Horarios!$H:$I,2,0),"")</f>
        <v/>
      </c>
      <c r="T294" s="28" t="str">
        <f t="shared" si="194"/>
        <v>00:00</v>
      </c>
      <c r="U294" s="29"/>
      <c r="V294" s="27"/>
      <c r="W294" s="27"/>
      <c r="X294" s="28" t="str">
        <f>IFERROR(VLOOKUP(V294,Horarios!$H:$I,2,0),"")</f>
        <v/>
      </c>
      <c r="Y294" s="28" t="str">
        <f>IFERROR(VLOOKUP(W294,Horarios!$H:$I,2,0),"")</f>
        <v/>
      </c>
      <c r="Z294" s="28" t="str">
        <f t="shared" si="195"/>
        <v>00:00</v>
      </c>
      <c r="AA294" s="29"/>
      <c r="AB294" s="27"/>
      <c r="AC294" s="27"/>
      <c r="AD294" s="28" t="str">
        <f>IFERROR(VLOOKUP(AB294,Horarios!$H:$I,2,0),"")</f>
        <v/>
      </c>
      <c r="AE294" s="28" t="str">
        <f>IFERROR(VLOOKUP(AC294,Horarios!$H:$I,2,0),"")</f>
        <v/>
      </c>
      <c r="AF294" s="28" t="str">
        <f t="shared" si="196"/>
        <v>00:00</v>
      </c>
      <c r="AG294" s="29"/>
      <c r="AH294" s="27"/>
      <c r="AI294" s="27"/>
      <c r="AJ294" s="28" t="str">
        <f>IFERROR(VLOOKUP(AH294,Horarios!$H:$I,2,0),"")</f>
        <v/>
      </c>
      <c r="AK294" s="28" t="str">
        <f>IFERROR(VLOOKUP(AI294,Horarios!$H:$I,2,0),"")</f>
        <v/>
      </c>
      <c r="AL294" s="28" t="str">
        <f t="shared" si="197"/>
        <v>00:00</v>
      </c>
      <c r="AM294" s="29"/>
      <c r="AN294" s="27"/>
      <c r="AO294" s="27"/>
      <c r="AP294" s="28" t="str">
        <f>IFERROR(VLOOKUP(AN294,Horarios!$H:$I,2,0),"")</f>
        <v/>
      </c>
      <c r="AQ294" s="28" t="str">
        <f>IFERROR(VLOOKUP(AO294,Horarios!$H:$I,2,0),"")</f>
        <v/>
      </c>
      <c r="AR294" s="28" t="str">
        <f t="shared" si="198"/>
        <v>00:00</v>
      </c>
      <c r="AS294" s="29"/>
      <c r="AT294" s="31" t="str">
        <f t="shared" si="199"/>
        <v/>
      </c>
      <c r="AU294" s="27"/>
      <c r="AV294" s="27"/>
      <c r="AW294" s="28" t="str">
        <f>IFERROR(VLOOKUP(AU294,Horarios!$H:$I,2,0),"")</f>
        <v/>
      </c>
      <c r="AX294" s="28" t="str">
        <f>IFERROR(VLOOKUP(AV294,Horarios!$H:$I,2,0),"")</f>
        <v/>
      </c>
      <c r="AY294" s="28" t="str">
        <f t="shared" si="200"/>
        <v>00:00</v>
      </c>
      <c r="AZ294" s="29"/>
      <c r="BA294" s="27"/>
      <c r="BB294" s="27"/>
      <c r="BC294" s="28" t="str">
        <f>IFERROR(VLOOKUP(BA294,Horarios!$H:$I,2,0),"")</f>
        <v/>
      </c>
      <c r="BD294" s="28" t="str">
        <f>IFERROR(VLOOKUP(BB294,Horarios!$H:$I,2,0),"")</f>
        <v/>
      </c>
      <c r="BE294" s="28" t="str">
        <f t="shared" si="201"/>
        <v>00:00</v>
      </c>
      <c r="BF294" s="29"/>
      <c r="BG294" s="27"/>
      <c r="BH294" s="27"/>
      <c r="BI294" s="28" t="str">
        <f>IFERROR(VLOOKUP(BG294,Horarios!$H:$I,2,0),"")</f>
        <v/>
      </c>
      <c r="BJ294" s="28" t="str">
        <f>IFERROR(VLOOKUP(BH294,Horarios!$H:$I,2,0),"")</f>
        <v/>
      </c>
      <c r="BK294" s="28" t="str">
        <f t="shared" si="202"/>
        <v>00:00</v>
      </c>
      <c r="BL294" s="29"/>
      <c r="BM294" s="27"/>
      <c r="BN294" s="27"/>
      <c r="BO294" s="28" t="str">
        <f>IFERROR(VLOOKUP(BM294,Horarios!$H:$I,2,0),"")</f>
        <v/>
      </c>
      <c r="BP294" s="28" t="str">
        <f>IFERROR(VLOOKUP(BN294,Horarios!$H:$I,2,0),"")</f>
        <v/>
      </c>
      <c r="BQ294" s="28" t="str">
        <f t="shared" si="203"/>
        <v>00:00</v>
      </c>
      <c r="BR294" s="29"/>
      <c r="BS294" s="27"/>
      <c r="BT294" s="27"/>
      <c r="BU294" s="28" t="str">
        <f>IFERROR(VLOOKUP(BS294,Horarios!$H:$I,2,0),"")</f>
        <v/>
      </c>
      <c r="BV294" s="28" t="str">
        <f>IFERROR(VLOOKUP(BT294,Horarios!$H:$I,2,0),"")</f>
        <v/>
      </c>
      <c r="BW294" s="28" t="str">
        <f t="shared" si="204"/>
        <v>00:00</v>
      </c>
      <c r="BX294" s="29"/>
      <c r="BY294" s="27"/>
      <c r="BZ294" s="27"/>
      <c r="CA294" s="28" t="str">
        <f>IFERROR(VLOOKUP(BY294,Horarios!$H:$I,2,0),"")</f>
        <v/>
      </c>
      <c r="CB294" s="28" t="str">
        <f>IFERROR(VLOOKUP(BZ294,Horarios!$H:$I,2,0),"")</f>
        <v/>
      </c>
      <c r="CC294" s="28" t="str">
        <f t="shared" si="205"/>
        <v>00:00</v>
      </c>
      <c r="CD294" s="29"/>
      <c r="CE294" s="27"/>
      <c r="CF294" s="27"/>
      <c r="CG294" s="28" t="str">
        <f>IFERROR(VLOOKUP(CE294,Horarios!$H:$I,2,0),"")</f>
        <v/>
      </c>
      <c r="CH294" s="28" t="str">
        <f>IFERROR(VLOOKUP(CF294,Horarios!$H:$I,2,0),"")</f>
        <v/>
      </c>
      <c r="CI294" s="28" t="str">
        <f t="shared" si="206"/>
        <v>00:00</v>
      </c>
      <c r="CJ294" s="29"/>
      <c r="CK294" s="31" t="str">
        <f t="shared" si="207"/>
        <v/>
      </c>
      <c r="CL294" s="27"/>
      <c r="CM294" s="27"/>
      <c r="CN294" s="28" t="str">
        <f>IFERROR(VLOOKUP(CL294,Horarios!$H:$I,2,0),"")</f>
        <v/>
      </c>
      <c r="CO294" s="28" t="str">
        <f>IFERROR(VLOOKUP(CM294,Horarios!$H:$I,2,0),"")</f>
        <v/>
      </c>
      <c r="CP294" s="28" t="str">
        <f t="shared" si="208"/>
        <v>00:00</v>
      </c>
      <c r="CQ294" s="29"/>
      <c r="CR294" s="27"/>
      <c r="CS294" s="27"/>
      <c r="CT294" s="28" t="str">
        <f>IFERROR(VLOOKUP(CR294,Horarios!$H:$I,2,0),"")</f>
        <v/>
      </c>
      <c r="CU294" s="28" t="str">
        <f>IFERROR(VLOOKUP(CS294,Horarios!$H:$I,2,0),"")</f>
        <v/>
      </c>
      <c r="CV294" s="28" t="str">
        <f t="shared" si="209"/>
        <v>00:00</v>
      </c>
      <c r="CW294" s="29"/>
      <c r="CX294" s="27"/>
      <c r="CY294" s="27"/>
      <c r="CZ294" s="28" t="str">
        <f>IFERROR(VLOOKUP(CX294,Horarios!$H:$I,2,0),"")</f>
        <v/>
      </c>
      <c r="DA294" s="28" t="str">
        <f>IFERROR(VLOOKUP(CY294,Horarios!$H:$I,2,0),"")</f>
        <v/>
      </c>
      <c r="DB294" s="28" t="str">
        <f t="shared" si="210"/>
        <v>00:00</v>
      </c>
      <c r="DC294" s="29"/>
      <c r="DD294" s="27"/>
      <c r="DE294" s="27"/>
      <c r="DF294" s="28" t="str">
        <f>IFERROR(VLOOKUP(DD294,Horarios!$H:$I,2,0),"")</f>
        <v/>
      </c>
      <c r="DG294" s="28" t="str">
        <f>IFERROR(VLOOKUP(DE294,Horarios!$H:$I,2,0),"")</f>
        <v/>
      </c>
      <c r="DH294" s="28" t="str">
        <f t="shared" si="211"/>
        <v>00:00</v>
      </c>
      <c r="DI294" s="29"/>
      <c r="DJ294" s="27"/>
      <c r="DK294" s="27"/>
      <c r="DL294" s="28" t="str">
        <f>IFERROR(VLOOKUP(DJ294,Horarios!$H:$I,2,0),"")</f>
        <v/>
      </c>
      <c r="DM294" s="28" t="str">
        <f>IFERROR(VLOOKUP(DK294,Horarios!$H:$I,2,0),"")</f>
        <v/>
      </c>
      <c r="DN294" s="28" t="str">
        <f t="shared" si="212"/>
        <v>00:00</v>
      </c>
      <c r="DO294" s="29"/>
      <c r="DP294" s="27"/>
      <c r="DQ294" s="27"/>
      <c r="DR294" s="28" t="str">
        <f>IFERROR(VLOOKUP(DP294,Horarios!$H:$I,2,0),"")</f>
        <v/>
      </c>
      <c r="DS294" s="28" t="str">
        <f>IFERROR(VLOOKUP(DQ294,Horarios!$H:$I,2,0),"")</f>
        <v/>
      </c>
      <c r="DT294" s="28" t="str">
        <f t="shared" si="213"/>
        <v>00:00</v>
      </c>
      <c r="DU294" s="29"/>
      <c r="DV294" s="27"/>
      <c r="DW294" s="27"/>
      <c r="DX294" s="28" t="str">
        <f>IFERROR(VLOOKUP(DV294,Horarios!$H:$I,2,0),"")</f>
        <v/>
      </c>
      <c r="DY294" s="28" t="str">
        <f>IFERROR(VLOOKUP(DW294,Horarios!$H:$I,2,0),"")</f>
        <v/>
      </c>
      <c r="DZ294" s="28" t="str">
        <f t="shared" si="214"/>
        <v>00:00</v>
      </c>
      <c r="EA294" s="29"/>
      <c r="EB294" s="31" t="str">
        <f t="shared" si="215"/>
        <v/>
      </c>
      <c r="EC294" s="27"/>
      <c r="ED294" s="27"/>
      <c r="EE294" s="28" t="str">
        <f>IFERROR(VLOOKUP(EC294,Horarios!$H:$I,2,0),"")</f>
        <v/>
      </c>
      <c r="EF294" s="28" t="str">
        <f>IFERROR(VLOOKUP(ED294,Horarios!$H:$I,2,0),"")</f>
        <v/>
      </c>
      <c r="EG294" s="28" t="str">
        <f t="shared" si="216"/>
        <v>00:00</v>
      </c>
      <c r="EH294" s="29"/>
      <c r="EI294" s="27"/>
      <c r="EJ294" s="27"/>
      <c r="EK294" s="28" t="str">
        <f>IFERROR(VLOOKUP(EI294,Horarios!$H:$I,2,0),"")</f>
        <v/>
      </c>
      <c r="EL294" s="28" t="str">
        <f>IFERROR(VLOOKUP(EJ294,Horarios!$H:$I,2,0),"")</f>
        <v/>
      </c>
      <c r="EM294" s="28" t="str">
        <f t="shared" si="217"/>
        <v>00:00</v>
      </c>
      <c r="EN294" s="29"/>
      <c r="EO294" s="27"/>
      <c r="EP294" s="27"/>
      <c r="EQ294" s="28" t="str">
        <f>IFERROR(VLOOKUP(EO294,Horarios!$H:$I,2,0),"")</f>
        <v/>
      </c>
      <c r="ER294" s="28" t="str">
        <f>IFERROR(VLOOKUP(EP294,Horarios!$H:$I,2,0),"")</f>
        <v/>
      </c>
      <c r="ES294" s="28" t="str">
        <f t="shared" si="218"/>
        <v>00:00</v>
      </c>
      <c r="ET294" s="29"/>
      <c r="EU294" s="27"/>
      <c r="EV294" s="27"/>
      <c r="EW294" s="28" t="str">
        <f>IFERROR(VLOOKUP(EU294,Horarios!$H:$I,2,0),"")</f>
        <v/>
      </c>
      <c r="EX294" s="28" t="str">
        <f>IFERROR(VLOOKUP(EV294,Horarios!$H:$I,2,0),"")</f>
        <v/>
      </c>
      <c r="EY294" s="28" t="str">
        <f t="shared" si="219"/>
        <v>00:00</v>
      </c>
      <c r="EZ294" s="29"/>
      <c r="FA294" s="27"/>
      <c r="FB294" s="27"/>
      <c r="FC294" s="28" t="str">
        <f>IFERROR(VLOOKUP(FA294,Horarios!$H:$I,2,0),"")</f>
        <v/>
      </c>
      <c r="FD294" s="28" t="str">
        <f>IFERROR(VLOOKUP(FB294,Horarios!$H:$I,2,0),"")</f>
        <v/>
      </c>
      <c r="FE294" s="28" t="str">
        <f t="shared" si="220"/>
        <v>00:00</v>
      </c>
      <c r="FF294" s="29"/>
      <c r="FG294" s="27"/>
      <c r="FH294" s="27"/>
      <c r="FI294" s="28" t="str">
        <f>IFERROR(VLOOKUP(FG294,Horarios!$H:$I,2,0),"")</f>
        <v/>
      </c>
      <c r="FJ294" s="28" t="str">
        <f>IFERROR(VLOOKUP(FH294,Horarios!$H:$I,2,0),"")</f>
        <v/>
      </c>
      <c r="FK294" s="28" t="str">
        <f t="shared" si="221"/>
        <v>00:00</v>
      </c>
      <c r="FL294" s="29"/>
      <c r="FM294" s="27"/>
      <c r="FN294" s="27"/>
      <c r="FO294" s="28" t="str">
        <f>IFERROR(VLOOKUP(FM294,Horarios!$H:$I,2,0),"")</f>
        <v/>
      </c>
      <c r="FP294" s="28" t="str">
        <f>IFERROR(VLOOKUP(FN294,Horarios!$H:$I,2,0),"")</f>
        <v/>
      </c>
      <c r="FQ294" s="28" t="str">
        <f t="shared" si="222"/>
        <v>00:00</v>
      </c>
      <c r="FR294" s="29"/>
      <c r="FS294" s="31" t="str">
        <f t="shared" si="223"/>
        <v/>
      </c>
      <c r="FT294" s="27"/>
      <c r="FU294" s="27"/>
      <c r="FV294" s="28" t="str">
        <f>IFERROR(VLOOKUP(FT294,Horarios!$H:$I,2,0),"")</f>
        <v/>
      </c>
      <c r="FW294" s="28" t="str">
        <f>IFERROR(VLOOKUP(FU294,Horarios!$H:$I,2,0),"")</f>
        <v/>
      </c>
      <c r="FX294" s="28" t="str">
        <f t="shared" si="224"/>
        <v>00:00</v>
      </c>
      <c r="FY294" s="29"/>
      <c r="FZ294" s="27"/>
      <c r="GA294" s="27"/>
      <c r="GB294" s="28" t="str">
        <f>IFERROR(VLOOKUP(FZ294,Horarios!$H:$I,2,0),"")</f>
        <v/>
      </c>
      <c r="GC294" s="28" t="str">
        <f>IFERROR(VLOOKUP(GA294,Horarios!$H:$I,2,0),"")</f>
        <v/>
      </c>
      <c r="GD294" s="28" t="str">
        <f t="shared" si="225"/>
        <v>00:00</v>
      </c>
      <c r="GE294" s="29"/>
      <c r="GF294" s="27"/>
      <c r="GG294" s="27"/>
      <c r="GH294" s="28" t="str">
        <f>IFERROR(VLOOKUP(GF294,Horarios!$H:$I,2,0),"")</f>
        <v/>
      </c>
      <c r="GI294" s="28" t="str">
        <f>IFERROR(VLOOKUP(GG294,Horarios!$H:$I,2,0),"")</f>
        <v/>
      </c>
      <c r="GJ294" s="28" t="str">
        <f t="shared" si="226"/>
        <v>00:00</v>
      </c>
      <c r="GK294" s="29"/>
      <c r="GL294" s="27"/>
      <c r="GM294" s="27"/>
      <c r="GN294" s="28" t="str">
        <f>IFERROR(VLOOKUP(GL294,Horarios!$H:$I,2,0),"")</f>
        <v/>
      </c>
      <c r="GO294" s="28" t="str">
        <f>IFERROR(VLOOKUP(GM294,Horarios!$H:$I,2,0),"")</f>
        <v/>
      </c>
      <c r="GP294" s="28" t="str">
        <f t="shared" si="227"/>
        <v>00:00</v>
      </c>
      <c r="GQ294" s="29"/>
      <c r="GR294" s="27"/>
      <c r="GS294" s="27"/>
      <c r="GT294" s="28" t="str">
        <f>IFERROR(VLOOKUP(GR294,Horarios!$H:$I,2,0),"")</f>
        <v/>
      </c>
      <c r="GU294" s="28" t="str">
        <f>IFERROR(VLOOKUP(GS294,Horarios!$H:$I,2,0),"")</f>
        <v/>
      </c>
      <c r="GV294" s="28" t="str">
        <f t="shared" si="228"/>
        <v>00:00</v>
      </c>
      <c r="GW294" s="29"/>
      <c r="GX294" s="27"/>
      <c r="GY294" s="27"/>
      <c r="GZ294" s="28" t="str">
        <f>IFERROR(VLOOKUP(GX294,Horarios!$H:$I,2,0),"")</f>
        <v/>
      </c>
      <c r="HA294" s="28" t="str">
        <f>IFERROR(VLOOKUP(GY294,Horarios!$H:$I,2,0),"")</f>
        <v/>
      </c>
      <c r="HB294" s="28" t="str">
        <f t="shared" si="229"/>
        <v>00:00</v>
      </c>
      <c r="HC294" s="29"/>
      <c r="HD294" s="27"/>
      <c r="HE294" s="27"/>
      <c r="HF294" s="28" t="str">
        <f>IFERROR(VLOOKUP(HD294,Horarios!$H:$I,2,0),"")</f>
        <v/>
      </c>
      <c r="HG294" s="28" t="str">
        <f>IFERROR(VLOOKUP(HE294,Horarios!$H:$I,2,0),"")</f>
        <v/>
      </c>
      <c r="HH294" s="28" t="str">
        <f t="shared" si="230"/>
        <v>00:00</v>
      </c>
      <c r="HI294" s="29"/>
      <c r="HJ294" s="31" t="str">
        <f t="shared" si="231"/>
        <v/>
      </c>
      <c r="HK294" s="27"/>
      <c r="HL294" s="27"/>
      <c r="HM294" s="28" t="str">
        <f>IFERROR(VLOOKUP(HK294,Horarios!$H:$I,2,0),"")</f>
        <v/>
      </c>
      <c r="HN294" s="28" t="str">
        <f>IFERROR(VLOOKUP(HL294,Horarios!$H:$I,2,0),"")</f>
        <v/>
      </c>
      <c r="HO294" s="28" t="str">
        <f t="shared" si="232"/>
        <v>00:00</v>
      </c>
      <c r="HP294" s="29"/>
      <c r="HQ294" s="27"/>
      <c r="HR294" s="27"/>
      <c r="HS294" s="28" t="str">
        <f>IFERROR(VLOOKUP(HQ294,Horarios!$H:$I,2,0),"")</f>
        <v/>
      </c>
      <c r="HT294" s="28" t="str">
        <f>IFERROR(VLOOKUP(HR294,Horarios!$H:$I,2,0),"")</f>
        <v/>
      </c>
      <c r="HU294" s="28" t="str">
        <f t="shared" si="233"/>
        <v>00:00</v>
      </c>
      <c r="HV294" s="29"/>
      <c r="HW294" s="27"/>
      <c r="HX294" s="27"/>
      <c r="HY294" s="28" t="str">
        <f>IFERROR(VLOOKUP(HW294,Horarios!$H:$I,2,0),"")</f>
        <v/>
      </c>
      <c r="HZ294" s="28" t="str">
        <f>IFERROR(VLOOKUP(HX294,Horarios!$H:$I,2,0),"")</f>
        <v/>
      </c>
      <c r="IA294" s="28" t="str">
        <f t="shared" si="234"/>
        <v>00:00</v>
      </c>
      <c r="IB294" s="29"/>
      <c r="IC294" s="27"/>
      <c r="ID294" s="27"/>
      <c r="IE294" s="28" t="str">
        <f>IFERROR(VLOOKUP(IC294,Horarios!$H:$I,2,0),"")</f>
        <v/>
      </c>
      <c r="IF294" s="28" t="str">
        <f>IFERROR(VLOOKUP(ID294,Horarios!$H:$I,2,0),"")</f>
        <v/>
      </c>
      <c r="IG294" s="28" t="str">
        <f t="shared" si="235"/>
        <v>00:00</v>
      </c>
      <c r="IH294" s="29"/>
      <c r="II294" s="27"/>
      <c r="IJ294" s="27"/>
      <c r="IK294" s="28" t="str">
        <f>IFERROR(VLOOKUP(II294,Horarios!$H:$I,2,0),"")</f>
        <v/>
      </c>
      <c r="IL294" s="28" t="str">
        <f>IFERROR(VLOOKUP(IJ294,Horarios!$H:$I,2,0),"")</f>
        <v/>
      </c>
      <c r="IM294" s="28" t="str">
        <f t="shared" si="236"/>
        <v>00:00</v>
      </c>
      <c r="IN294" s="29"/>
      <c r="IO294" s="27"/>
      <c r="IP294" s="27"/>
      <c r="IQ294" s="28" t="str">
        <f>IFERROR(VLOOKUP(IO294,Horarios!$H:$I,2,0),"")</f>
        <v/>
      </c>
      <c r="IR294" s="28" t="str">
        <f>IFERROR(VLOOKUP(IP294,Horarios!$H:$I,2,0),"")</f>
        <v/>
      </c>
      <c r="IS294" s="28" t="str">
        <f t="shared" si="237"/>
        <v>00:00</v>
      </c>
      <c r="IT294" s="29"/>
      <c r="IU294" s="27"/>
      <c r="IV294" s="27"/>
      <c r="IW294" s="28" t="str">
        <f>IFERROR(VLOOKUP(IU294,Horarios!$H:$I,2,0),"")</f>
        <v/>
      </c>
      <c r="IX294" s="28" t="str">
        <f>IFERROR(VLOOKUP(IV294,Horarios!$H:$I,2,0),"")</f>
        <v/>
      </c>
      <c r="IY294" s="28" t="str">
        <f t="shared" si="238"/>
        <v>00:00</v>
      </c>
      <c r="IZ294" s="29"/>
      <c r="JA294" s="31" t="str">
        <f t="shared" si="239"/>
        <v/>
      </c>
    </row>
    <row r="295" spans="1:261" s="24" customFormat="1" ht="17.399999999999999" x14ac:dyDescent="0.25">
      <c r="A295" s="25"/>
      <c r="B295" s="26" t="str">
        <f>IFERROR(VLOOKUP(A295,BaseNombres!A:B,2,0),"")</f>
        <v/>
      </c>
      <c r="C295" s="26" t="str">
        <f>IFERROR(VLOOKUP(A295,BaseNombres!A:C,3,0),"")</f>
        <v/>
      </c>
      <c r="D295" s="27"/>
      <c r="E295" s="27"/>
      <c r="F295" s="28" t="str">
        <f>IFERROR(VLOOKUP(D295,Horarios!$H:$I,2,0),"")</f>
        <v/>
      </c>
      <c r="G295" s="28" t="str">
        <f>IFERROR(VLOOKUP(E295,Horarios!$H:$I,2,0),"")</f>
        <v/>
      </c>
      <c r="H295" s="28" t="str">
        <f t="shared" si="192"/>
        <v>00:00</v>
      </c>
      <c r="I295" s="29"/>
      <c r="J295" s="27"/>
      <c r="K295" s="27"/>
      <c r="L295" s="28" t="str">
        <f>IFERROR(VLOOKUP(J295,Horarios!$H:$I,2,0),"")</f>
        <v/>
      </c>
      <c r="M295" s="28" t="str">
        <f>IFERROR(VLOOKUP(K295,Horarios!$H:$I,2,0),"")</f>
        <v/>
      </c>
      <c r="N295" s="28" t="str">
        <f t="shared" si="193"/>
        <v>00:00</v>
      </c>
      <c r="O295" s="29"/>
      <c r="P295" s="27"/>
      <c r="Q295" s="27"/>
      <c r="R295" s="28" t="str">
        <f>IFERROR(VLOOKUP(P295,Horarios!$H:$I,2,0),"")</f>
        <v/>
      </c>
      <c r="S295" s="28" t="str">
        <f>IFERROR(VLOOKUP(Q295,Horarios!$H:$I,2,0),"")</f>
        <v/>
      </c>
      <c r="T295" s="28" t="str">
        <f t="shared" si="194"/>
        <v>00:00</v>
      </c>
      <c r="U295" s="29"/>
      <c r="V295" s="27"/>
      <c r="W295" s="27"/>
      <c r="X295" s="28" t="str">
        <f>IFERROR(VLOOKUP(V295,Horarios!$H:$I,2,0),"")</f>
        <v/>
      </c>
      <c r="Y295" s="28" t="str">
        <f>IFERROR(VLOOKUP(W295,Horarios!$H:$I,2,0),"")</f>
        <v/>
      </c>
      <c r="Z295" s="28" t="str">
        <f t="shared" si="195"/>
        <v>00:00</v>
      </c>
      <c r="AA295" s="29"/>
      <c r="AB295" s="27"/>
      <c r="AC295" s="27"/>
      <c r="AD295" s="28" t="str">
        <f>IFERROR(VLOOKUP(AB295,Horarios!$H:$I,2,0),"")</f>
        <v/>
      </c>
      <c r="AE295" s="28" t="str">
        <f>IFERROR(VLOOKUP(AC295,Horarios!$H:$I,2,0),"")</f>
        <v/>
      </c>
      <c r="AF295" s="28" t="str">
        <f t="shared" si="196"/>
        <v>00:00</v>
      </c>
      <c r="AG295" s="29"/>
      <c r="AH295" s="27"/>
      <c r="AI295" s="27"/>
      <c r="AJ295" s="28" t="str">
        <f>IFERROR(VLOOKUP(AH295,Horarios!$H:$I,2,0),"")</f>
        <v/>
      </c>
      <c r="AK295" s="28" t="str">
        <f>IFERROR(VLOOKUP(AI295,Horarios!$H:$I,2,0),"")</f>
        <v/>
      </c>
      <c r="AL295" s="28" t="str">
        <f t="shared" si="197"/>
        <v>00:00</v>
      </c>
      <c r="AM295" s="29"/>
      <c r="AN295" s="27"/>
      <c r="AO295" s="27"/>
      <c r="AP295" s="28" t="str">
        <f>IFERROR(VLOOKUP(AN295,Horarios!$H:$I,2,0),"")</f>
        <v/>
      </c>
      <c r="AQ295" s="28" t="str">
        <f>IFERROR(VLOOKUP(AO295,Horarios!$H:$I,2,0),"")</f>
        <v/>
      </c>
      <c r="AR295" s="28" t="str">
        <f t="shared" si="198"/>
        <v>00:00</v>
      </c>
      <c r="AS295" s="29"/>
      <c r="AT295" s="31" t="str">
        <f t="shared" si="199"/>
        <v/>
      </c>
      <c r="AU295" s="27"/>
      <c r="AV295" s="27"/>
      <c r="AW295" s="28" t="str">
        <f>IFERROR(VLOOKUP(AU295,Horarios!$H:$I,2,0),"")</f>
        <v/>
      </c>
      <c r="AX295" s="28" t="str">
        <f>IFERROR(VLOOKUP(AV295,Horarios!$H:$I,2,0),"")</f>
        <v/>
      </c>
      <c r="AY295" s="28" t="str">
        <f t="shared" si="200"/>
        <v>00:00</v>
      </c>
      <c r="AZ295" s="29"/>
      <c r="BA295" s="27"/>
      <c r="BB295" s="27"/>
      <c r="BC295" s="28" t="str">
        <f>IFERROR(VLOOKUP(BA295,Horarios!$H:$I,2,0),"")</f>
        <v/>
      </c>
      <c r="BD295" s="28" t="str">
        <f>IFERROR(VLOOKUP(BB295,Horarios!$H:$I,2,0),"")</f>
        <v/>
      </c>
      <c r="BE295" s="28" t="str">
        <f t="shared" si="201"/>
        <v>00:00</v>
      </c>
      <c r="BF295" s="29"/>
      <c r="BG295" s="27"/>
      <c r="BH295" s="27"/>
      <c r="BI295" s="28" t="str">
        <f>IFERROR(VLOOKUP(BG295,Horarios!$H:$I,2,0),"")</f>
        <v/>
      </c>
      <c r="BJ295" s="28" t="str">
        <f>IFERROR(VLOOKUP(BH295,Horarios!$H:$I,2,0),"")</f>
        <v/>
      </c>
      <c r="BK295" s="28" t="str">
        <f t="shared" si="202"/>
        <v>00:00</v>
      </c>
      <c r="BL295" s="29"/>
      <c r="BM295" s="27"/>
      <c r="BN295" s="27"/>
      <c r="BO295" s="28" t="str">
        <f>IFERROR(VLOOKUP(BM295,Horarios!$H:$I,2,0),"")</f>
        <v/>
      </c>
      <c r="BP295" s="28" t="str">
        <f>IFERROR(VLOOKUP(BN295,Horarios!$H:$I,2,0),"")</f>
        <v/>
      </c>
      <c r="BQ295" s="28" t="str">
        <f t="shared" si="203"/>
        <v>00:00</v>
      </c>
      <c r="BR295" s="29"/>
      <c r="BS295" s="27"/>
      <c r="BT295" s="27"/>
      <c r="BU295" s="28" t="str">
        <f>IFERROR(VLOOKUP(BS295,Horarios!$H:$I,2,0),"")</f>
        <v/>
      </c>
      <c r="BV295" s="28" t="str">
        <f>IFERROR(VLOOKUP(BT295,Horarios!$H:$I,2,0),"")</f>
        <v/>
      </c>
      <c r="BW295" s="28" t="str">
        <f t="shared" si="204"/>
        <v>00:00</v>
      </c>
      <c r="BX295" s="29"/>
      <c r="BY295" s="27"/>
      <c r="BZ295" s="27"/>
      <c r="CA295" s="28" t="str">
        <f>IFERROR(VLOOKUP(BY295,Horarios!$H:$I,2,0),"")</f>
        <v/>
      </c>
      <c r="CB295" s="28" t="str">
        <f>IFERROR(VLOOKUP(BZ295,Horarios!$H:$I,2,0),"")</f>
        <v/>
      </c>
      <c r="CC295" s="28" t="str">
        <f t="shared" si="205"/>
        <v>00:00</v>
      </c>
      <c r="CD295" s="29"/>
      <c r="CE295" s="27"/>
      <c r="CF295" s="27"/>
      <c r="CG295" s="28" t="str">
        <f>IFERROR(VLOOKUP(CE295,Horarios!$H:$I,2,0),"")</f>
        <v/>
      </c>
      <c r="CH295" s="28" t="str">
        <f>IFERROR(VLOOKUP(CF295,Horarios!$H:$I,2,0),"")</f>
        <v/>
      </c>
      <c r="CI295" s="28" t="str">
        <f t="shared" si="206"/>
        <v>00:00</v>
      </c>
      <c r="CJ295" s="29"/>
      <c r="CK295" s="31" t="str">
        <f t="shared" si="207"/>
        <v/>
      </c>
      <c r="CL295" s="27"/>
      <c r="CM295" s="27"/>
      <c r="CN295" s="28" t="str">
        <f>IFERROR(VLOOKUP(CL295,Horarios!$H:$I,2,0),"")</f>
        <v/>
      </c>
      <c r="CO295" s="28" t="str">
        <f>IFERROR(VLOOKUP(CM295,Horarios!$H:$I,2,0),"")</f>
        <v/>
      </c>
      <c r="CP295" s="28" t="str">
        <f t="shared" si="208"/>
        <v>00:00</v>
      </c>
      <c r="CQ295" s="29"/>
      <c r="CR295" s="27"/>
      <c r="CS295" s="27"/>
      <c r="CT295" s="28" t="str">
        <f>IFERROR(VLOOKUP(CR295,Horarios!$H:$I,2,0),"")</f>
        <v/>
      </c>
      <c r="CU295" s="28" t="str">
        <f>IFERROR(VLOOKUP(CS295,Horarios!$H:$I,2,0),"")</f>
        <v/>
      </c>
      <c r="CV295" s="28" t="str">
        <f t="shared" si="209"/>
        <v>00:00</v>
      </c>
      <c r="CW295" s="29"/>
      <c r="CX295" s="27"/>
      <c r="CY295" s="27"/>
      <c r="CZ295" s="28" t="str">
        <f>IFERROR(VLOOKUP(CX295,Horarios!$H:$I,2,0),"")</f>
        <v/>
      </c>
      <c r="DA295" s="28" t="str">
        <f>IFERROR(VLOOKUP(CY295,Horarios!$H:$I,2,0),"")</f>
        <v/>
      </c>
      <c r="DB295" s="28" t="str">
        <f t="shared" si="210"/>
        <v>00:00</v>
      </c>
      <c r="DC295" s="29"/>
      <c r="DD295" s="27"/>
      <c r="DE295" s="27"/>
      <c r="DF295" s="28" t="str">
        <f>IFERROR(VLOOKUP(DD295,Horarios!$H:$I,2,0),"")</f>
        <v/>
      </c>
      <c r="DG295" s="28" t="str">
        <f>IFERROR(VLOOKUP(DE295,Horarios!$H:$I,2,0),"")</f>
        <v/>
      </c>
      <c r="DH295" s="28" t="str">
        <f t="shared" si="211"/>
        <v>00:00</v>
      </c>
      <c r="DI295" s="29"/>
      <c r="DJ295" s="27"/>
      <c r="DK295" s="27"/>
      <c r="DL295" s="28" t="str">
        <f>IFERROR(VLOOKUP(DJ295,Horarios!$H:$I,2,0),"")</f>
        <v/>
      </c>
      <c r="DM295" s="28" t="str">
        <f>IFERROR(VLOOKUP(DK295,Horarios!$H:$I,2,0),"")</f>
        <v/>
      </c>
      <c r="DN295" s="28" t="str">
        <f t="shared" si="212"/>
        <v>00:00</v>
      </c>
      <c r="DO295" s="29"/>
      <c r="DP295" s="27"/>
      <c r="DQ295" s="27"/>
      <c r="DR295" s="28" t="str">
        <f>IFERROR(VLOOKUP(DP295,Horarios!$H:$I,2,0),"")</f>
        <v/>
      </c>
      <c r="DS295" s="28" t="str">
        <f>IFERROR(VLOOKUP(DQ295,Horarios!$H:$I,2,0),"")</f>
        <v/>
      </c>
      <c r="DT295" s="28" t="str">
        <f t="shared" si="213"/>
        <v>00:00</v>
      </c>
      <c r="DU295" s="29"/>
      <c r="DV295" s="27"/>
      <c r="DW295" s="27"/>
      <c r="DX295" s="28" t="str">
        <f>IFERROR(VLOOKUP(DV295,Horarios!$H:$I,2,0),"")</f>
        <v/>
      </c>
      <c r="DY295" s="28" t="str">
        <f>IFERROR(VLOOKUP(DW295,Horarios!$H:$I,2,0),"")</f>
        <v/>
      </c>
      <c r="DZ295" s="28" t="str">
        <f t="shared" si="214"/>
        <v>00:00</v>
      </c>
      <c r="EA295" s="29"/>
      <c r="EB295" s="31" t="str">
        <f t="shared" si="215"/>
        <v/>
      </c>
      <c r="EC295" s="27"/>
      <c r="ED295" s="27"/>
      <c r="EE295" s="28" t="str">
        <f>IFERROR(VLOOKUP(EC295,Horarios!$H:$I,2,0),"")</f>
        <v/>
      </c>
      <c r="EF295" s="28" t="str">
        <f>IFERROR(VLOOKUP(ED295,Horarios!$H:$I,2,0),"")</f>
        <v/>
      </c>
      <c r="EG295" s="28" t="str">
        <f t="shared" si="216"/>
        <v>00:00</v>
      </c>
      <c r="EH295" s="29"/>
      <c r="EI295" s="27"/>
      <c r="EJ295" s="27"/>
      <c r="EK295" s="28" t="str">
        <f>IFERROR(VLOOKUP(EI295,Horarios!$H:$I,2,0),"")</f>
        <v/>
      </c>
      <c r="EL295" s="28" t="str">
        <f>IFERROR(VLOOKUP(EJ295,Horarios!$H:$I,2,0),"")</f>
        <v/>
      </c>
      <c r="EM295" s="28" t="str">
        <f t="shared" si="217"/>
        <v>00:00</v>
      </c>
      <c r="EN295" s="29"/>
      <c r="EO295" s="27"/>
      <c r="EP295" s="27"/>
      <c r="EQ295" s="28" t="str">
        <f>IFERROR(VLOOKUP(EO295,Horarios!$H:$I,2,0),"")</f>
        <v/>
      </c>
      <c r="ER295" s="28" t="str">
        <f>IFERROR(VLOOKUP(EP295,Horarios!$H:$I,2,0),"")</f>
        <v/>
      </c>
      <c r="ES295" s="28" t="str">
        <f t="shared" si="218"/>
        <v>00:00</v>
      </c>
      <c r="ET295" s="29"/>
      <c r="EU295" s="27"/>
      <c r="EV295" s="27"/>
      <c r="EW295" s="28" t="str">
        <f>IFERROR(VLOOKUP(EU295,Horarios!$H:$I,2,0),"")</f>
        <v/>
      </c>
      <c r="EX295" s="28" t="str">
        <f>IFERROR(VLOOKUP(EV295,Horarios!$H:$I,2,0),"")</f>
        <v/>
      </c>
      <c r="EY295" s="28" t="str">
        <f t="shared" si="219"/>
        <v>00:00</v>
      </c>
      <c r="EZ295" s="29"/>
      <c r="FA295" s="27"/>
      <c r="FB295" s="27"/>
      <c r="FC295" s="28" t="str">
        <f>IFERROR(VLOOKUP(FA295,Horarios!$H:$I,2,0),"")</f>
        <v/>
      </c>
      <c r="FD295" s="28" t="str">
        <f>IFERROR(VLOOKUP(FB295,Horarios!$H:$I,2,0),"")</f>
        <v/>
      </c>
      <c r="FE295" s="28" t="str">
        <f t="shared" si="220"/>
        <v>00:00</v>
      </c>
      <c r="FF295" s="29"/>
      <c r="FG295" s="27"/>
      <c r="FH295" s="27"/>
      <c r="FI295" s="28" t="str">
        <f>IFERROR(VLOOKUP(FG295,Horarios!$H:$I,2,0),"")</f>
        <v/>
      </c>
      <c r="FJ295" s="28" t="str">
        <f>IFERROR(VLOOKUP(FH295,Horarios!$H:$I,2,0),"")</f>
        <v/>
      </c>
      <c r="FK295" s="28" t="str">
        <f t="shared" si="221"/>
        <v>00:00</v>
      </c>
      <c r="FL295" s="29"/>
      <c r="FM295" s="27"/>
      <c r="FN295" s="27"/>
      <c r="FO295" s="28" t="str">
        <f>IFERROR(VLOOKUP(FM295,Horarios!$H:$I,2,0),"")</f>
        <v/>
      </c>
      <c r="FP295" s="28" t="str">
        <f>IFERROR(VLOOKUP(FN295,Horarios!$H:$I,2,0),"")</f>
        <v/>
      </c>
      <c r="FQ295" s="28" t="str">
        <f t="shared" si="222"/>
        <v>00:00</v>
      </c>
      <c r="FR295" s="29"/>
      <c r="FS295" s="31" t="str">
        <f t="shared" si="223"/>
        <v/>
      </c>
      <c r="FT295" s="27"/>
      <c r="FU295" s="27"/>
      <c r="FV295" s="28" t="str">
        <f>IFERROR(VLOOKUP(FT295,Horarios!$H:$I,2,0),"")</f>
        <v/>
      </c>
      <c r="FW295" s="28" t="str">
        <f>IFERROR(VLOOKUP(FU295,Horarios!$H:$I,2,0),"")</f>
        <v/>
      </c>
      <c r="FX295" s="28" t="str">
        <f t="shared" si="224"/>
        <v>00:00</v>
      </c>
      <c r="FY295" s="29"/>
      <c r="FZ295" s="27"/>
      <c r="GA295" s="27"/>
      <c r="GB295" s="28" t="str">
        <f>IFERROR(VLOOKUP(FZ295,Horarios!$H:$I,2,0),"")</f>
        <v/>
      </c>
      <c r="GC295" s="28" t="str">
        <f>IFERROR(VLOOKUP(GA295,Horarios!$H:$I,2,0),"")</f>
        <v/>
      </c>
      <c r="GD295" s="28" t="str">
        <f t="shared" si="225"/>
        <v>00:00</v>
      </c>
      <c r="GE295" s="29"/>
      <c r="GF295" s="27"/>
      <c r="GG295" s="27"/>
      <c r="GH295" s="28" t="str">
        <f>IFERROR(VLOOKUP(GF295,Horarios!$H:$I,2,0),"")</f>
        <v/>
      </c>
      <c r="GI295" s="28" t="str">
        <f>IFERROR(VLOOKUP(GG295,Horarios!$H:$I,2,0),"")</f>
        <v/>
      </c>
      <c r="GJ295" s="28" t="str">
        <f t="shared" si="226"/>
        <v>00:00</v>
      </c>
      <c r="GK295" s="29"/>
      <c r="GL295" s="27"/>
      <c r="GM295" s="27"/>
      <c r="GN295" s="28" t="str">
        <f>IFERROR(VLOOKUP(GL295,Horarios!$H:$I,2,0),"")</f>
        <v/>
      </c>
      <c r="GO295" s="28" t="str">
        <f>IFERROR(VLOOKUP(GM295,Horarios!$H:$I,2,0),"")</f>
        <v/>
      </c>
      <c r="GP295" s="28" t="str">
        <f t="shared" si="227"/>
        <v>00:00</v>
      </c>
      <c r="GQ295" s="29"/>
      <c r="GR295" s="27"/>
      <c r="GS295" s="27"/>
      <c r="GT295" s="28" t="str">
        <f>IFERROR(VLOOKUP(GR295,Horarios!$H:$I,2,0),"")</f>
        <v/>
      </c>
      <c r="GU295" s="28" t="str">
        <f>IFERROR(VLOOKUP(GS295,Horarios!$H:$I,2,0),"")</f>
        <v/>
      </c>
      <c r="GV295" s="28" t="str">
        <f t="shared" si="228"/>
        <v>00:00</v>
      </c>
      <c r="GW295" s="29"/>
      <c r="GX295" s="27"/>
      <c r="GY295" s="27"/>
      <c r="GZ295" s="28" t="str">
        <f>IFERROR(VLOOKUP(GX295,Horarios!$H:$I,2,0),"")</f>
        <v/>
      </c>
      <c r="HA295" s="28" t="str">
        <f>IFERROR(VLOOKUP(GY295,Horarios!$H:$I,2,0),"")</f>
        <v/>
      </c>
      <c r="HB295" s="28" t="str">
        <f t="shared" si="229"/>
        <v>00:00</v>
      </c>
      <c r="HC295" s="29"/>
      <c r="HD295" s="27"/>
      <c r="HE295" s="27"/>
      <c r="HF295" s="28" t="str">
        <f>IFERROR(VLOOKUP(HD295,Horarios!$H:$I,2,0),"")</f>
        <v/>
      </c>
      <c r="HG295" s="28" t="str">
        <f>IFERROR(VLOOKUP(HE295,Horarios!$H:$I,2,0),"")</f>
        <v/>
      </c>
      <c r="HH295" s="28" t="str">
        <f t="shared" si="230"/>
        <v>00:00</v>
      </c>
      <c r="HI295" s="29"/>
      <c r="HJ295" s="31" t="str">
        <f t="shared" si="231"/>
        <v/>
      </c>
      <c r="HK295" s="27"/>
      <c r="HL295" s="27"/>
      <c r="HM295" s="28" t="str">
        <f>IFERROR(VLOOKUP(HK295,Horarios!$H:$I,2,0),"")</f>
        <v/>
      </c>
      <c r="HN295" s="28" t="str">
        <f>IFERROR(VLOOKUP(HL295,Horarios!$H:$I,2,0),"")</f>
        <v/>
      </c>
      <c r="HO295" s="28" t="str">
        <f t="shared" si="232"/>
        <v>00:00</v>
      </c>
      <c r="HP295" s="29"/>
      <c r="HQ295" s="27"/>
      <c r="HR295" s="27"/>
      <c r="HS295" s="28" t="str">
        <f>IFERROR(VLOOKUP(HQ295,Horarios!$H:$I,2,0),"")</f>
        <v/>
      </c>
      <c r="HT295" s="28" t="str">
        <f>IFERROR(VLOOKUP(HR295,Horarios!$H:$I,2,0),"")</f>
        <v/>
      </c>
      <c r="HU295" s="28" t="str">
        <f t="shared" si="233"/>
        <v>00:00</v>
      </c>
      <c r="HV295" s="29"/>
      <c r="HW295" s="27"/>
      <c r="HX295" s="27"/>
      <c r="HY295" s="28" t="str">
        <f>IFERROR(VLOOKUP(HW295,Horarios!$H:$I,2,0),"")</f>
        <v/>
      </c>
      <c r="HZ295" s="28" t="str">
        <f>IFERROR(VLOOKUP(HX295,Horarios!$H:$I,2,0),"")</f>
        <v/>
      </c>
      <c r="IA295" s="28" t="str">
        <f t="shared" si="234"/>
        <v>00:00</v>
      </c>
      <c r="IB295" s="29"/>
      <c r="IC295" s="27"/>
      <c r="ID295" s="27"/>
      <c r="IE295" s="28" t="str">
        <f>IFERROR(VLOOKUP(IC295,Horarios!$H:$I,2,0),"")</f>
        <v/>
      </c>
      <c r="IF295" s="28" t="str">
        <f>IFERROR(VLOOKUP(ID295,Horarios!$H:$I,2,0),"")</f>
        <v/>
      </c>
      <c r="IG295" s="28" t="str">
        <f t="shared" si="235"/>
        <v>00:00</v>
      </c>
      <c r="IH295" s="29"/>
      <c r="II295" s="27"/>
      <c r="IJ295" s="27"/>
      <c r="IK295" s="28" t="str">
        <f>IFERROR(VLOOKUP(II295,Horarios!$H:$I,2,0),"")</f>
        <v/>
      </c>
      <c r="IL295" s="28" t="str">
        <f>IFERROR(VLOOKUP(IJ295,Horarios!$H:$I,2,0),"")</f>
        <v/>
      </c>
      <c r="IM295" s="28" t="str">
        <f t="shared" si="236"/>
        <v>00:00</v>
      </c>
      <c r="IN295" s="29"/>
      <c r="IO295" s="27"/>
      <c r="IP295" s="27"/>
      <c r="IQ295" s="28" t="str">
        <f>IFERROR(VLOOKUP(IO295,Horarios!$H:$I,2,0),"")</f>
        <v/>
      </c>
      <c r="IR295" s="28" t="str">
        <f>IFERROR(VLOOKUP(IP295,Horarios!$H:$I,2,0),"")</f>
        <v/>
      </c>
      <c r="IS295" s="28" t="str">
        <f t="shared" si="237"/>
        <v>00:00</v>
      </c>
      <c r="IT295" s="29"/>
      <c r="IU295" s="27"/>
      <c r="IV295" s="27"/>
      <c r="IW295" s="28" t="str">
        <f>IFERROR(VLOOKUP(IU295,Horarios!$H:$I,2,0),"")</f>
        <v/>
      </c>
      <c r="IX295" s="28" t="str">
        <f>IFERROR(VLOOKUP(IV295,Horarios!$H:$I,2,0),"")</f>
        <v/>
      </c>
      <c r="IY295" s="28" t="str">
        <f t="shared" si="238"/>
        <v>00:00</v>
      </c>
      <c r="IZ295" s="29"/>
      <c r="JA295" s="31" t="str">
        <f t="shared" si="239"/>
        <v/>
      </c>
    </row>
    <row r="296" spans="1:261" s="24" customFormat="1" ht="17.399999999999999" x14ac:dyDescent="0.25">
      <c r="A296" s="25"/>
      <c r="B296" s="26" t="str">
        <f>IFERROR(VLOOKUP(A296,BaseNombres!A:B,2,0),"")</f>
        <v/>
      </c>
      <c r="C296" s="26" t="str">
        <f>IFERROR(VLOOKUP(A296,BaseNombres!A:C,3,0),"")</f>
        <v/>
      </c>
      <c r="D296" s="27"/>
      <c r="E296" s="27"/>
      <c r="F296" s="28" t="str">
        <f>IFERROR(VLOOKUP(D296,Horarios!$H:$I,2,0),"")</f>
        <v/>
      </c>
      <c r="G296" s="28" t="str">
        <f>IFERROR(VLOOKUP(E296,Horarios!$H:$I,2,0),"")</f>
        <v/>
      </c>
      <c r="H296" s="28" t="str">
        <f t="shared" si="192"/>
        <v>00:00</v>
      </c>
      <c r="I296" s="29"/>
      <c r="J296" s="27"/>
      <c r="K296" s="27"/>
      <c r="L296" s="28" t="str">
        <f>IFERROR(VLOOKUP(J296,Horarios!$H:$I,2,0),"")</f>
        <v/>
      </c>
      <c r="M296" s="28" t="str">
        <f>IFERROR(VLOOKUP(K296,Horarios!$H:$I,2,0),"")</f>
        <v/>
      </c>
      <c r="N296" s="28" t="str">
        <f t="shared" si="193"/>
        <v>00:00</v>
      </c>
      <c r="O296" s="29"/>
      <c r="P296" s="27"/>
      <c r="Q296" s="27"/>
      <c r="R296" s="28" t="str">
        <f>IFERROR(VLOOKUP(P296,Horarios!$H:$I,2,0),"")</f>
        <v/>
      </c>
      <c r="S296" s="28" t="str">
        <f>IFERROR(VLOOKUP(Q296,Horarios!$H:$I,2,0),"")</f>
        <v/>
      </c>
      <c r="T296" s="28" t="str">
        <f t="shared" si="194"/>
        <v>00:00</v>
      </c>
      <c r="U296" s="29"/>
      <c r="V296" s="27"/>
      <c r="W296" s="27"/>
      <c r="X296" s="28" t="str">
        <f>IFERROR(VLOOKUP(V296,Horarios!$H:$I,2,0),"")</f>
        <v/>
      </c>
      <c r="Y296" s="28" t="str">
        <f>IFERROR(VLOOKUP(W296,Horarios!$H:$I,2,0),"")</f>
        <v/>
      </c>
      <c r="Z296" s="28" t="str">
        <f t="shared" si="195"/>
        <v>00:00</v>
      </c>
      <c r="AA296" s="29"/>
      <c r="AB296" s="27"/>
      <c r="AC296" s="27"/>
      <c r="AD296" s="28" t="str">
        <f>IFERROR(VLOOKUP(AB296,Horarios!$H:$I,2,0),"")</f>
        <v/>
      </c>
      <c r="AE296" s="28" t="str">
        <f>IFERROR(VLOOKUP(AC296,Horarios!$H:$I,2,0),"")</f>
        <v/>
      </c>
      <c r="AF296" s="28" t="str">
        <f t="shared" si="196"/>
        <v>00:00</v>
      </c>
      <c r="AG296" s="29"/>
      <c r="AH296" s="27"/>
      <c r="AI296" s="27"/>
      <c r="AJ296" s="28" t="str">
        <f>IFERROR(VLOOKUP(AH296,Horarios!$H:$I,2,0),"")</f>
        <v/>
      </c>
      <c r="AK296" s="28" t="str">
        <f>IFERROR(VLOOKUP(AI296,Horarios!$H:$I,2,0),"")</f>
        <v/>
      </c>
      <c r="AL296" s="28" t="str">
        <f t="shared" si="197"/>
        <v>00:00</v>
      </c>
      <c r="AM296" s="29"/>
      <c r="AN296" s="27"/>
      <c r="AO296" s="27"/>
      <c r="AP296" s="28" t="str">
        <f>IFERROR(VLOOKUP(AN296,Horarios!$H:$I,2,0),"")</f>
        <v/>
      </c>
      <c r="AQ296" s="28" t="str">
        <f>IFERROR(VLOOKUP(AO296,Horarios!$H:$I,2,0),"")</f>
        <v/>
      </c>
      <c r="AR296" s="28" t="str">
        <f t="shared" si="198"/>
        <v>00:00</v>
      </c>
      <c r="AS296" s="29"/>
      <c r="AT296" s="31" t="str">
        <f t="shared" si="199"/>
        <v/>
      </c>
      <c r="AU296" s="27"/>
      <c r="AV296" s="27"/>
      <c r="AW296" s="28" t="str">
        <f>IFERROR(VLOOKUP(AU296,Horarios!$H:$I,2,0),"")</f>
        <v/>
      </c>
      <c r="AX296" s="28" t="str">
        <f>IFERROR(VLOOKUP(AV296,Horarios!$H:$I,2,0),"")</f>
        <v/>
      </c>
      <c r="AY296" s="28" t="str">
        <f t="shared" si="200"/>
        <v>00:00</v>
      </c>
      <c r="AZ296" s="29"/>
      <c r="BA296" s="27"/>
      <c r="BB296" s="27"/>
      <c r="BC296" s="28" t="str">
        <f>IFERROR(VLOOKUP(BA296,Horarios!$H:$I,2,0),"")</f>
        <v/>
      </c>
      <c r="BD296" s="28" t="str">
        <f>IFERROR(VLOOKUP(BB296,Horarios!$H:$I,2,0),"")</f>
        <v/>
      </c>
      <c r="BE296" s="28" t="str">
        <f t="shared" si="201"/>
        <v>00:00</v>
      </c>
      <c r="BF296" s="29"/>
      <c r="BG296" s="27"/>
      <c r="BH296" s="27"/>
      <c r="BI296" s="28" t="str">
        <f>IFERROR(VLOOKUP(BG296,Horarios!$H:$I,2,0),"")</f>
        <v/>
      </c>
      <c r="BJ296" s="28" t="str">
        <f>IFERROR(VLOOKUP(BH296,Horarios!$H:$I,2,0),"")</f>
        <v/>
      </c>
      <c r="BK296" s="28" t="str">
        <f t="shared" si="202"/>
        <v>00:00</v>
      </c>
      <c r="BL296" s="29"/>
      <c r="BM296" s="27"/>
      <c r="BN296" s="27"/>
      <c r="BO296" s="28" t="str">
        <f>IFERROR(VLOOKUP(BM296,Horarios!$H:$I,2,0),"")</f>
        <v/>
      </c>
      <c r="BP296" s="28" t="str">
        <f>IFERROR(VLOOKUP(BN296,Horarios!$H:$I,2,0),"")</f>
        <v/>
      </c>
      <c r="BQ296" s="28" t="str">
        <f t="shared" si="203"/>
        <v>00:00</v>
      </c>
      <c r="BR296" s="29"/>
      <c r="BS296" s="27"/>
      <c r="BT296" s="27"/>
      <c r="BU296" s="28" t="str">
        <f>IFERROR(VLOOKUP(BS296,Horarios!$H:$I,2,0),"")</f>
        <v/>
      </c>
      <c r="BV296" s="28" t="str">
        <f>IFERROR(VLOOKUP(BT296,Horarios!$H:$I,2,0),"")</f>
        <v/>
      </c>
      <c r="BW296" s="28" t="str">
        <f t="shared" si="204"/>
        <v>00:00</v>
      </c>
      <c r="BX296" s="29"/>
      <c r="BY296" s="27"/>
      <c r="BZ296" s="27"/>
      <c r="CA296" s="28" t="str">
        <f>IFERROR(VLOOKUP(BY296,Horarios!$H:$I,2,0),"")</f>
        <v/>
      </c>
      <c r="CB296" s="28" t="str">
        <f>IFERROR(VLOOKUP(BZ296,Horarios!$H:$I,2,0),"")</f>
        <v/>
      </c>
      <c r="CC296" s="28" t="str">
        <f t="shared" si="205"/>
        <v>00:00</v>
      </c>
      <c r="CD296" s="29"/>
      <c r="CE296" s="27"/>
      <c r="CF296" s="27"/>
      <c r="CG296" s="28" t="str">
        <f>IFERROR(VLOOKUP(CE296,Horarios!$H:$I,2,0),"")</f>
        <v/>
      </c>
      <c r="CH296" s="28" t="str">
        <f>IFERROR(VLOOKUP(CF296,Horarios!$H:$I,2,0),"")</f>
        <v/>
      </c>
      <c r="CI296" s="28" t="str">
        <f t="shared" si="206"/>
        <v>00:00</v>
      </c>
      <c r="CJ296" s="29"/>
      <c r="CK296" s="31" t="str">
        <f t="shared" si="207"/>
        <v/>
      </c>
      <c r="CL296" s="27"/>
      <c r="CM296" s="27"/>
      <c r="CN296" s="28" t="str">
        <f>IFERROR(VLOOKUP(CL296,Horarios!$H:$I,2,0),"")</f>
        <v/>
      </c>
      <c r="CO296" s="28" t="str">
        <f>IFERROR(VLOOKUP(CM296,Horarios!$H:$I,2,0),"")</f>
        <v/>
      </c>
      <c r="CP296" s="28" t="str">
        <f t="shared" si="208"/>
        <v>00:00</v>
      </c>
      <c r="CQ296" s="29"/>
      <c r="CR296" s="27"/>
      <c r="CS296" s="27"/>
      <c r="CT296" s="28" t="str">
        <f>IFERROR(VLOOKUP(CR296,Horarios!$H:$I,2,0),"")</f>
        <v/>
      </c>
      <c r="CU296" s="28" t="str">
        <f>IFERROR(VLOOKUP(CS296,Horarios!$H:$I,2,0),"")</f>
        <v/>
      </c>
      <c r="CV296" s="28" t="str">
        <f t="shared" si="209"/>
        <v>00:00</v>
      </c>
      <c r="CW296" s="29"/>
      <c r="CX296" s="27"/>
      <c r="CY296" s="27"/>
      <c r="CZ296" s="28" t="str">
        <f>IFERROR(VLOOKUP(CX296,Horarios!$H:$I,2,0),"")</f>
        <v/>
      </c>
      <c r="DA296" s="28" t="str">
        <f>IFERROR(VLOOKUP(CY296,Horarios!$H:$I,2,0),"")</f>
        <v/>
      </c>
      <c r="DB296" s="28" t="str">
        <f t="shared" si="210"/>
        <v>00:00</v>
      </c>
      <c r="DC296" s="29"/>
      <c r="DD296" s="27"/>
      <c r="DE296" s="27"/>
      <c r="DF296" s="28" t="str">
        <f>IFERROR(VLOOKUP(DD296,Horarios!$H:$I,2,0),"")</f>
        <v/>
      </c>
      <c r="DG296" s="28" t="str">
        <f>IFERROR(VLOOKUP(DE296,Horarios!$H:$I,2,0),"")</f>
        <v/>
      </c>
      <c r="DH296" s="28" t="str">
        <f t="shared" si="211"/>
        <v>00:00</v>
      </c>
      <c r="DI296" s="29"/>
      <c r="DJ296" s="27"/>
      <c r="DK296" s="27"/>
      <c r="DL296" s="28" t="str">
        <f>IFERROR(VLOOKUP(DJ296,Horarios!$H:$I,2,0),"")</f>
        <v/>
      </c>
      <c r="DM296" s="28" t="str">
        <f>IFERROR(VLOOKUP(DK296,Horarios!$H:$I,2,0),"")</f>
        <v/>
      </c>
      <c r="DN296" s="28" t="str">
        <f t="shared" si="212"/>
        <v>00:00</v>
      </c>
      <c r="DO296" s="29"/>
      <c r="DP296" s="27"/>
      <c r="DQ296" s="27"/>
      <c r="DR296" s="28" t="str">
        <f>IFERROR(VLOOKUP(DP296,Horarios!$H:$I,2,0),"")</f>
        <v/>
      </c>
      <c r="DS296" s="28" t="str">
        <f>IFERROR(VLOOKUP(DQ296,Horarios!$H:$I,2,0),"")</f>
        <v/>
      </c>
      <c r="DT296" s="28" t="str">
        <f t="shared" si="213"/>
        <v>00:00</v>
      </c>
      <c r="DU296" s="29"/>
      <c r="DV296" s="27"/>
      <c r="DW296" s="27"/>
      <c r="DX296" s="28" t="str">
        <f>IFERROR(VLOOKUP(DV296,Horarios!$H:$I,2,0),"")</f>
        <v/>
      </c>
      <c r="DY296" s="28" t="str">
        <f>IFERROR(VLOOKUP(DW296,Horarios!$H:$I,2,0),"")</f>
        <v/>
      </c>
      <c r="DZ296" s="28" t="str">
        <f t="shared" si="214"/>
        <v>00:00</v>
      </c>
      <c r="EA296" s="29"/>
      <c r="EB296" s="31" t="str">
        <f t="shared" si="215"/>
        <v/>
      </c>
      <c r="EC296" s="27"/>
      <c r="ED296" s="27"/>
      <c r="EE296" s="28" t="str">
        <f>IFERROR(VLOOKUP(EC296,Horarios!$H:$I,2,0),"")</f>
        <v/>
      </c>
      <c r="EF296" s="28" t="str">
        <f>IFERROR(VLOOKUP(ED296,Horarios!$H:$I,2,0),"")</f>
        <v/>
      </c>
      <c r="EG296" s="28" t="str">
        <f t="shared" si="216"/>
        <v>00:00</v>
      </c>
      <c r="EH296" s="29"/>
      <c r="EI296" s="27"/>
      <c r="EJ296" s="27"/>
      <c r="EK296" s="28" t="str">
        <f>IFERROR(VLOOKUP(EI296,Horarios!$H:$I,2,0),"")</f>
        <v/>
      </c>
      <c r="EL296" s="28" t="str">
        <f>IFERROR(VLOOKUP(EJ296,Horarios!$H:$I,2,0),"")</f>
        <v/>
      </c>
      <c r="EM296" s="28" t="str">
        <f t="shared" si="217"/>
        <v>00:00</v>
      </c>
      <c r="EN296" s="29"/>
      <c r="EO296" s="27"/>
      <c r="EP296" s="27"/>
      <c r="EQ296" s="28" t="str">
        <f>IFERROR(VLOOKUP(EO296,Horarios!$H:$I,2,0),"")</f>
        <v/>
      </c>
      <c r="ER296" s="28" t="str">
        <f>IFERROR(VLOOKUP(EP296,Horarios!$H:$I,2,0),"")</f>
        <v/>
      </c>
      <c r="ES296" s="28" t="str">
        <f t="shared" si="218"/>
        <v>00:00</v>
      </c>
      <c r="ET296" s="29"/>
      <c r="EU296" s="27"/>
      <c r="EV296" s="27"/>
      <c r="EW296" s="28" t="str">
        <f>IFERROR(VLOOKUP(EU296,Horarios!$H:$I,2,0),"")</f>
        <v/>
      </c>
      <c r="EX296" s="28" t="str">
        <f>IFERROR(VLOOKUP(EV296,Horarios!$H:$I,2,0),"")</f>
        <v/>
      </c>
      <c r="EY296" s="28" t="str">
        <f t="shared" si="219"/>
        <v>00:00</v>
      </c>
      <c r="EZ296" s="29"/>
      <c r="FA296" s="27"/>
      <c r="FB296" s="27"/>
      <c r="FC296" s="28" t="str">
        <f>IFERROR(VLOOKUP(FA296,Horarios!$H:$I,2,0),"")</f>
        <v/>
      </c>
      <c r="FD296" s="28" t="str">
        <f>IFERROR(VLOOKUP(FB296,Horarios!$H:$I,2,0),"")</f>
        <v/>
      </c>
      <c r="FE296" s="28" t="str">
        <f t="shared" si="220"/>
        <v>00:00</v>
      </c>
      <c r="FF296" s="29"/>
      <c r="FG296" s="27"/>
      <c r="FH296" s="27"/>
      <c r="FI296" s="28" t="str">
        <f>IFERROR(VLOOKUP(FG296,Horarios!$H:$I,2,0),"")</f>
        <v/>
      </c>
      <c r="FJ296" s="28" t="str">
        <f>IFERROR(VLOOKUP(FH296,Horarios!$H:$I,2,0),"")</f>
        <v/>
      </c>
      <c r="FK296" s="28" t="str">
        <f t="shared" si="221"/>
        <v>00:00</v>
      </c>
      <c r="FL296" s="29"/>
      <c r="FM296" s="27"/>
      <c r="FN296" s="27"/>
      <c r="FO296" s="28" t="str">
        <f>IFERROR(VLOOKUP(FM296,Horarios!$H:$I,2,0),"")</f>
        <v/>
      </c>
      <c r="FP296" s="28" t="str">
        <f>IFERROR(VLOOKUP(FN296,Horarios!$H:$I,2,0),"")</f>
        <v/>
      </c>
      <c r="FQ296" s="28" t="str">
        <f t="shared" si="222"/>
        <v>00:00</v>
      </c>
      <c r="FR296" s="29"/>
      <c r="FS296" s="31" t="str">
        <f t="shared" si="223"/>
        <v/>
      </c>
      <c r="FT296" s="27"/>
      <c r="FU296" s="27"/>
      <c r="FV296" s="28" t="str">
        <f>IFERROR(VLOOKUP(FT296,Horarios!$H:$I,2,0),"")</f>
        <v/>
      </c>
      <c r="FW296" s="28" t="str">
        <f>IFERROR(VLOOKUP(FU296,Horarios!$H:$I,2,0),"")</f>
        <v/>
      </c>
      <c r="FX296" s="28" t="str">
        <f t="shared" si="224"/>
        <v>00:00</v>
      </c>
      <c r="FY296" s="29"/>
      <c r="FZ296" s="27"/>
      <c r="GA296" s="27"/>
      <c r="GB296" s="28" t="str">
        <f>IFERROR(VLOOKUP(FZ296,Horarios!$H:$I,2,0),"")</f>
        <v/>
      </c>
      <c r="GC296" s="28" t="str">
        <f>IFERROR(VLOOKUP(GA296,Horarios!$H:$I,2,0),"")</f>
        <v/>
      </c>
      <c r="GD296" s="28" t="str">
        <f t="shared" si="225"/>
        <v>00:00</v>
      </c>
      <c r="GE296" s="29"/>
      <c r="GF296" s="27"/>
      <c r="GG296" s="27"/>
      <c r="GH296" s="28" t="str">
        <f>IFERROR(VLOOKUP(GF296,Horarios!$H:$I,2,0),"")</f>
        <v/>
      </c>
      <c r="GI296" s="28" t="str">
        <f>IFERROR(VLOOKUP(GG296,Horarios!$H:$I,2,0),"")</f>
        <v/>
      </c>
      <c r="GJ296" s="28" t="str">
        <f t="shared" si="226"/>
        <v>00:00</v>
      </c>
      <c r="GK296" s="29"/>
      <c r="GL296" s="27"/>
      <c r="GM296" s="27"/>
      <c r="GN296" s="28" t="str">
        <f>IFERROR(VLOOKUP(GL296,Horarios!$H:$I,2,0),"")</f>
        <v/>
      </c>
      <c r="GO296" s="28" t="str">
        <f>IFERROR(VLOOKUP(GM296,Horarios!$H:$I,2,0),"")</f>
        <v/>
      </c>
      <c r="GP296" s="28" t="str">
        <f t="shared" si="227"/>
        <v>00:00</v>
      </c>
      <c r="GQ296" s="29"/>
      <c r="GR296" s="27"/>
      <c r="GS296" s="27"/>
      <c r="GT296" s="28" t="str">
        <f>IFERROR(VLOOKUP(GR296,Horarios!$H:$I,2,0),"")</f>
        <v/>
      </c>
      <c r="GU296" s="28" t="str">
        <f>IFERROR(VLOOKUP(GS296,Horarios!$H:$I,2,0),"")</f>
        <v/>
      </c>
      <c r="GV296" s="28" t="str">
        <f t="shared" si="228"/>
        <v>00:00</v>
      </c>
      <c r="GW296" s="29"/>
      <c r="GX296" s="27"/>
      <c r="GY296" s="27"/>
      <c r="GZ296" s="28" t="str">
        <f>IFERROR(VLOOKUP(GX296,Horarios!$H:$I,2,0),"")</f>
        <v/>
      </c>
      <c r="HA296" s="28" t="str">
        <f>IFERROR(VLOOKUP(GY296,Horarios!$H:$I,2,0),"")</f>
        <v/>
      </c>
      <c r="HB296" s="28" t="str">
        <f t="shared" si="229"/>
        <v>00:00</v>
      </c>
      <c r="HC296" s="29"/>
      <c r="HD296" s="27"/>
      <c r="HE296" s="27"/>
      <c r="HF296" s="28" t="str">
        <f>IFERROR(VLOOKUP(HD296,Horarios!$H:$I,2,0),"")</f>
        <v/>
      </c>
      <c r="HG296" s="28" t="str">
        <f>IFERROR(VLOOKUP(HE296,Horarios!$H:$I,2,0),"")</f>
        <v/>
      </c>
      <c r="HH296" s="28" t="str">
        <f t="shared" si="230"/>
        <v>00:00</v>
      </c>
      <c r="HI296" s="29"/>
      <c r="HJ296" s="31" t="str">
        <f t="shared" si="231"/>
        <v/>
      </c>
      <c r="HK296" s="27"/>
      <c r="HL296" s="27"/>
      <c r="HM296" s="28" t="str">
        <f>IFERROR(VLOOKUP(HK296,Horarios!$H:$I,2,0),"")</f>
        <v/>
      </c>
      <c r="HN296" s="28" t="str">
        <f>IFERROR(VLOOKUP(HL296,Horarios!$H:$I,2,0),"")</f>
        <v/>
      </c>
      <c r="HO296" s="28" t="str">
        <f t="shared" si="232"/>
        <v>00:00</v>
      </c>
      <c r="HP296" s="29"/>
      <c r="HQ296" s="27"/>
      <c r="HR296" s="27"/>
      <c r="HS296" s="28" t="str">
        <f>IFERROR(VLOOKUP(HQ296,Horarios!$H:$I,2,0),"")</f>
        <v/>
      </c>
      <c r="HT296" s="28" t="str">
        <f>IFERROR(VLOOKUP(HR296,Horarios!$H:$I,2,0),"")</f>
        <v/>
      </c>
      <c r="HU296" s="28" t="str">
        <f t="shared" si="233"/>
        <v>00:00</v>
      </c>
      <c r="HV296" s="29"/>
      <c r="HW296" s="27"/>
      <c r="HX296" s="27"/>
      <c r="HY296" s="28" t="str">
        <f>IFERROR(VLOOKUP(HW296,Horarios!$H:$I,2,0),"")</f>
        <v/>
      </c>
      <c r="HZ296" s="28" t="str">
        <f>IFERROR(VLOOKUP(HX296,Horarios!$H:$I,2,0),"")</f>
        <v/>
      </c>
      <c r="IA296" s="28" t="str">
        <f t="shared" si="234"/>
        <v>00:00</v>
      </c>
      <c r="IB296" s="29"/>
      <c r="IC296" s="27"/>
      <c r="ID296" s="27"/>
      <c r="IE296" s="28" t="str">
        <f>IFERROR(VLOOKUP(IC296,Horarios!$H:$I,2,0),"")</f>
        <v/>
      </c>
      <c r="IF296" s="28" t="str">
        <f>IFERROR(VLOOKUP(ID296,Horarios!$H:$I,2,0),"")</f>
        <v/>
      </c>
      <c r="IG296" s="28" t="str">
        <f t="shared" si="235"/>
        <v>00:00</v>
      </c>
      <c r="IH296" s="29"/>
      <c r="II296" s="27"/>
      <c r="IJ296" s="27"/>
      <c r="IK296" s="28" t="str">
        <f>IFERROR(VLOOKUP(II296,Horarios!$H:$I,2,0),"")</f>
        <v/>
      </c>
      <c r="IL296" s="28" t="str">
        <f>IFERROR(VLOOKUP(IJ296,Horarios!$H:$I,2,0),"")</f>
        <v/>
      </c>
      <c r="IM296" s="28" t="str">
        <f t="shared" si="236"/>
        <v>00:00</v>
      </c>
      <c r="IN296" s="29"/>
      <c r="IO296" s="27"/>
      <c r="IP296" s="27"/>
      <c r="IQ296" s="28" t="str">
        <f>IFERROR(VLOOKUP(IO296,Horarios!$H:$I,2,0),"")</f>
        <v/>
      </c>
      <c r="IR296" s="28" t="str">
        <f>IFERROR(VLOOKUP(IP296,Horarios!$H:$I,2,0),"")</f>
        <v/>
      </c>
      <c r="IS296" s="28" t="str">
        <f t="shared" si="237"/>
        <v>00:00</v>
      </c>
      <c r="IT296" s="29"/>
      <c r="IU296" s="27"/>
      <c r="IV296" s="27"/>
      <c r="IW296" s="28" t="str">
        <f>IFERROR(VLOOKUP(IU296,Horarios!$H:$I,2,0),"")</f>
        <v/>
      </c>
      <c r="IX296" s="28" t="str">
        <f>IFERROR(VLOOKUP(IV296,Horarios!$H:$I,2,0),"")</f>
        <v/>
      </c>
      <c r="IY296" s="28" t="str">
        <f t="shared" si="238"/>
        <v>00:00</v>
      </c>
      <c r="IZ296" s="29"/>
      <c r="JA296" s="31" t="str">
        <f t="shared" si="239"/>
        <v/>
      </c>
    </row>
    <row r="297" spans="1:261" s="24" customFormat="1" ht="17.399999999999999" x14ac:dyDescent="0.25">
      <c r="A297" s="25"/>
      <c r="B297" s="26" t="str">
        <f>IFERROR(VLOOKUP(A297,BaseNombres!A:B,2,0),"")</f>
        <v/>
      </c>
      <c r="C297" s="26" t="str">
        <f>IFERROR(VLOOKUP(A297,BaseNombres!A:C,3,0),"")</f>
        <v/>
      </c>
      <c r="D297" s="27"/>
      <c r="E297" s="27"/>
      <c r="F297" s="28" t="str">
        <f>IFERROR(VLOOKUP(D297,Horarios!$H:$I,2,0),"")</f>
        <v/>
      </c>
      <c r="G297" s="28" t="str">
        <f>IFERROR(VLOOKUP(E297,Horarios!$H:$I,2,0),"")</f>
        <v/>
      </c>
      <c r="H297" s="28" t="str">
        <f t="shared" si="192"/>
        <v>00:00</v>
      </c>
      <c r="I297" s="29"/>
      <c r="J297" s="27"/>
      <c r="K297" s="27"/>
      <c r="L297" s="28" t="str">
        <f>IFERROR(VLOOKUP(J297,Horarios!$H:$I,2,0),"")</f>
        <v/>
      </c>
      <c r="M297" s="28" t="str">
        <f>IFERROR(VLOOKUP(K297,Horarios!$H:$I,2,0),"")</f>
        <v/>
      </c>
      <c r="N297" s="28" t="str">
        <f t="shared" si="193"/>
        <v>00:00</v>
      </c>
      <c r="O297" s="29"/>
      <c r="P297" s="27"/>
      <c r="Q297" s="27"/>
      <c r="R297" s="28" t="str">
        <f>IFERROR(VLOOKUP(P297,Horarios!$H:$I,2,0),"")</f>
        <v/>
      </c>
      <c r="S297" s="28" t="str">
        <f>IFERROR(VLOOKUP(Q297,Horarios!$H:$I,2,0),"")</f>
        <v/>
      </c>
      <c r="T297" s="28" t="str">
        <f t="shared" si="194"/>
        <v>00:00</v>
      </c>
      <c r="U297" s="29"/>
      <c r="V297" s="27"/>
      <c r="W297" s="27"/>
      <c r="X297" s="28" t="str">
        <f>IFERROR(VLOOKUP(V297,Horarios!$H:$I,2,0),"")</f>
        <v/>
      </c>
      <c r="Y297" s="28" t="str">
        <f>IFERROR(VLOOKUP(W297,Horarios!$H:$I,2,0),"")</f>
        <v/>
      </c>
      <c r="Z297" s="28" t="str">
        <f t="shared" si="195"/>
        <v>00:00</v>
      </c>
      <c r="AA297" s="29"/>
      <c r="AB297" s="27"/>
      <c r="AC297" s="27"/>
      <c r="AD297" s="28" t="str">
        <f>IFERROR(VLOOKUP(AB297,Horarios!$H:$I,2,0),"")</f>
        <v/>
      </c>
      <c r="AE297" s="28" t="str">
        <f>IFERROR(VLOOKUP(AC297,Horarios!$H:$I,2,0),"")</f>
        <v/>
      </c>
      <c r="AF297" s="28" t="str">
        <f t="shared" si="196"/>
        <v>00:00</v>
      </c>
      <c r="AG297" s="29"/>
      <c r="AH297" s="27"/>
      <c r="AI297" s="27"/>
      <c r="AJ297" s="28" t="str">
        <f>IFERROR(VLOOKUP(AH297,Horarios!$H:$I,2,0),"")</f>
        <v/>
      </c>
      <c r="AK297" s="28" t="str">
        <f>IFERROR(VLOOKUP(AI297,Horarios!$H:$I,2,0),"")</f>
        <v/>
      </c>
      <c r="AL297" s="28" t="str">
        <f t="shared" si="197"/>
        <v>00:00</v>
      </c>
      <c r="AM297" s="29"/>
      <c r="AN297" s="27"/>
      <c r="AO297" s="27"/>
      <c r="AP297" s="28" t="str">
        <f>IFERROR(VLOOKUP(AN297,Horarios!$H:$I,2,0),"")</f>
        <v/>
      </c>
      <c r="AQ297" s="28" t="str">
        <f>IFERROR(VLOOKUP(AO297,Horarios!$H:$I,2,0),"")</f>
        <v/>
      </c>
      <c r="AR297" s="28" t="str">
        <f t="shared" si="198"/>
        <v>00:00</v>
      </c>
      <c r="AS297" s="29"/>
      <c r="AT297" s="31" t="str">
        <f t="shared" si="199"/>
        <v/>
      </c>
      <c r="AU297" s="27"/>
      <c r="AV297" s="27"/>
      <c r="AW297" s="28" t="str">
        <f>IFERROR(VLOOKUP(AU297,Horarios!$H:$I,2,0),"")</f>
        <v/>
      </c>
      <c r="AX297" s="28" t="str">
        <f>IFERROR(VLOOKUP(AV297,Horarios!$H:$I,2,0),"")</f>
        <v/>
      </c>
      <c r="AY297" s="28" t="str">
        <f t="shared" si="200"/>
        <v>00:00</v>
      </c>
      <c r="AZ297" s="29"/>
      <c r="BA297" s="27"/>
      <c r="BB297" s="27"/>
      <c r="BC297" s="28" t="str">
        <f>IFERROR(VLOOKUP(BA297,Horarios!$H:$I,2,0),"")</f>
        <v/>
      </c>
      <c r="BD297" s="28" t="str">
        <f>IFERROR(VLOOKUP(BB297,Horarios!$H:$I,2,0),"")</f>
        <v/>
      </c>
      <c r="BE297" s="28" t="str">
        <f t="shared" si="201"/>
        <v>00:00</v>
      </c>
      <c r="BF297" s="29"/>
      <c r="BG297" s="27"/>
      <c r="BH297" s="27"/>
      <c r="BI297" s="28" t="str">
        <f>IFERROR(VLOOKUP(BG297,Horarios!$H:$I,2,0),"")</f>
        <v/>
      </c>
      <c r="BJ297" s="28" t="str">
        <f>IFERROR(VLOOKUP(BH297,Horarios!$H:$I,2,0),"")</f>
        <v/>
      </c>
      <c r="BK297" s="28" t="str">
        <f t="shared" si="202"/>
        <v>00:00</v>
      </c>
      <c r="BL297" s="29"/>
      <c r="BM297" s="27"/>
      <c r="BN297" s="27"/>
      <c r="BO297" s="28" t="str">
        <f>IFERROR(VLOOKUP(BM297,Horarios!$H:$I,2,0),"")</f>
        <v/>
      </c>
      <c r="BP297" s="28" t="str">
        <f>IFERROR(VLOOKUP(BN297,Horarios!$H:$I,2,0),"")</f>
        <v/>
      </c>
      <c r="BQ297" s="28" t="str">
        <f t="shared" si="203"/>
        <v>00:00</v>
      </c>
      <c r="BR297" s="29"/>
      <c r="BS297" s="27"/>
      <c r="BT297" s="27"/>
      <c r="BU297" s="28" t="str">
        <f>IFERROR(VLOOKUP(BS297,Horarios!$H:$I,2,0),"")</f>
        <v/>
      </c>
      <c r="BV297" s="28" t="str">
        <f>IFERROR(VLOOKUP(BT297,Horarios!$H:$I,2,0),"")</f>
        <v/>
      </c>
      <c r="BW297" s="28" t="str">
        <f t="shared" si="204"/>
        <v>00:00</v>
      </c>
      <c r="BX297" s="29"/>
      <c r="BY297" s="27"/>
      <c r="BZ297" s="27"/>
      <c r="CA297" s="28" t="str">
        <f>IFERROR(VLOOKUP(BY297,Horarios!$H:$I,2,0),"")</f>
        <v/>
      </c>
      <c r="CB297" s="28" t="str">
        <f>IFERROR(VLOOKUP(BZ297,Horarios!$H:$I,2,0),"")</f>
        <v/>
      </c>
      <c r="CC297" s="28" t="str">
        <f t="shared" si="205"/>
        <v>00:00</v>
      </c>
      <c r="CD297" s="29"/>
      <c r="CE297" s="27"/>
      <c r="CF297" s="27"/>
      <c r="CG297" s="28" t="str">
        <f>IFERROR(VLOOKUP(CE297,Horarios!$H:$I,2,0),"")</f>
        <v/>
      </c>
      <c r="CH297" s="28" t="str">
        <f>IFERROR(VLOOKUP(CF297,Horarios!$H:$I,2,0),"")</f>
        <v/>
      </c>
      <c r="CI297" s="28" t="str">
        <f t="shared" si="206"/>
        <v>00:00</v>
      </c>
      <c r="CJ297" s="29"/>
      <c r="CK297" s="31" t="str">
        <f t="shared" si="207"/>
        <v/>
      </c>
      <c r="CL297" s="27"/>
      <c r="CM297" s="27"/>
      <c r="CN297" s="28" t="str">
        <f>IFERROR(VLOOKUP(CL297,Horarios!$H:$I,2,0),"")</f>
        <v/>
      </c>
      <c r="CO297" s="28" t="str">
        <f>IFERROR(VLOOKUP(CM297,Horarios!$H:$I,2,0),"")</f>
        <v/>
      </c>
      <c r="CP297" s="28" t="str">
        <f t="shared" si="208"/>
        <v>00:00</v>
      </c>
      <c r="CQ297" s="29"/>
      <c r="CR297" s="27"/>
      <c r="CS297" s="27"/>
      <c r="CT297" s="28" t="str">
        <f>IFERROR(VLOOKUP(CR297,Horarios!$H:$I,2,0),"")</f>
        <v/>
      </c>
      <c r="CU297" s="28" t="str">
        <f>IFERROR(VLOOKUP(CS297,Horarios!$H:$I,2,0),"")</f>
        <v/>
      </c>
      <c r="CV297" s="28" t="str">
        <f t="shared" si="209"/>
        <v>00:00</v>
      </c>
      <c r="CW297" s="29"/>
      <c r="CX297" s="27"/>
      <c r="CY297" s="27"/>
      <c r="CZ297" s="28" t="str">
        <f>IFERROR(VLOOKUP(CX297,Horarios!$H:$I,2,0),"")</f>
        <v/>
      </c>
      <c r="DA297" s="28" t="str">
        <f>IFERROR(VLOOKUP(CY297,Horarios!$H:$I,2,0),"")</f>
        <v/>
      </c>
      <c r="DB297" s="28" t="str">
        <f t="shared" si="210"/>
        <v>00:00</v>
      </c>
      <c r="DC297" s="29"/>
      <c r="DD297" s="27"/>
      <c r="DE297" s="27"/>
      <c r="DF297" s="28" t="str">
        <f>IFERROR(VLOOKUP(DD297,Horarios!$H:$I,2,0),"")</f>
        <v/>
      </c>
      <c r="DG297" s="28" t="str">
        <f>IFERROR(VLOOKUP(DE297,Horarios!$H:$I,2,0),"")</f>
        <v/>
      </c>
      <c r="DH297" s="28" t="str">
        <f t="shared" si="211"/>
        <v>00:00</v>
      </c>
      <c r="DI297" s="29"/>
      <c r="DJ297" s="27"/>
      <c r="DK297" s="27"/>
      <c r="DL297" s="28" t="str">
        <f>IFERROR(VLOOKUP(DJ297,Horarios!$H:$I,2,0),"")</f>
        <v/>
      </c>
      <c r="DM297" s="28" t="str">
        <f>IFERROR(VLOOKUP(DK297,Horarios!$H:$I,2,0),"")</f>
        <v/>
      </c>
      <c r="DN297" s="28" t="str">
        <f t="shared" si="212"/>
        <v>00:00</v>
      </c>
      <c r="DO297" s="29"/>
      <c r="DP297" s="27"/>
      <c r="DQ297" s="27"/>
      <c r="DR297" s="28" t="str">
        <f>IFERROR(VLOOKUP(DP297,Horarios!$H:$I,2,0),"")</f>
        <v/>
      </c>
      <c r="DS297" s="28" t="str">
        <f>IFERROR(VLOOKUP(DQ297,Horarios!$H:$I,2,0),"")</f>
        <v/>
      </c>
      <c r="DT297" s="28" t="str">
        <f t="shared" si="213"/>
        <v>00:00</v>
      </c>
      <c r="DU297" s="29"/>
      <c r="DV297" s="27"/>
      <c r="DW297" s="27"/>
      <c r="DX297" s="28" t="str">
        <f>IFERROR(VLOOKUP(DV297,Horarios!$H:$I,2,0),"")</f>
        <v/>
      </c>
      <c r="DY297" s="28" t="str">
        <f>IFERROR(VLOOKUP(DW297,Horarios!$H:$I,2,0),"")</f>
        <v/>
      </c>
      <c r="DZ297" s="28" t="str">
        <f t="shared" si="214"/>
        <v>00:00</v>
      </c>
      <c r="EA297" s="29"/>
      <c r="EB297" s="31" t="str">
        <f t="shared" si="215"/>
        <v/>
      </c>
      <c r="EC297" s="27"/>
      <c r="ED297" s="27"/>
      <c r="EE297" s="28" t="str">
        <f>IFERROR(VLOOKUP(EC297,Horarios!$H:$I,2,0),"")</f>
        <v/>
      </c>
      <c r="EF297" s="28" t="str">
        <f>IFERROR(VLOOKUP(ED297,Horarios!$H:$I,2,0),"")</f>
        <v/>
      </c>
      <c r="EG297" s="28" t="str">
        <f t="shared" si="216"/>
        <v>00:00</v>
      </c>
      <c r="EH297" s="29"/>
      <c r="EI297" s="27"/>
      <c r="EJ297" s="27"/>
      <c r="EK297" s="28" t="str">
        <f>IFERROR(VLOOKUP(EI297,Horarios!$H:$I,2,0),"")</f>
        <v/>
      </c>
      <c r="EL297" s="28" t="str">
        <f>IFERROR(VLOOKUP(EJ297,Horarios!$H:$I,2,0),"")</f>
        <v/>
      </c>
      <c r="EM297" s="28" t="str">
        <f t="shared" si="217"/>
        <v>00:00</v>
      </c>
      <c r="EN297" s="29"/>
      <c r="EO297" s="27"/>
      <c r="EP297" s="27"/>
      <c r="EQ297" s="28" t="str">
        <f>IFERROR(VLOOKUP(EO297,Horarios!$H:$I,2,0),"")</f>
        <v/>
      </c>
      <c r="ER297" s="28" t="str">
        <f>IFERROR(VLOOKUP(EP297,Horarios!$H:$I,2,0),"")</f>
        <v/>
      </c>
      <c r="ES297" s="28" t="str">
        <f t="shared" si="218"/>
        <v>00:00</v>
      </c>
      <c r="ET297" s="29"/>
      <c r="EU297" s="27"/>
      <c r="EV297" s="27"/>
      <c r="EW297" s="28" t="str">
        <f>IFERROR(VLOOKUP(EU297,Horarios!$H:$I,2,0),"")</f>
        <v/>
      </c>
      <c r="EX297" s="28" t="str">
        <f>IFERROR(VLOOKUP(EV297,Horarios!$H:$I,2,0),"")</f>
        <v/>
      </c>
      <c r="EY297" s="28" t="str">
        <f t="shared" si="219"/>
        <v>00:00</v>
      </c>
      <c r="EZ297" s="29"/>
      <c r="FA297" s="27"/>
      <c r="FB297" s="27"/>
      <c r="FC297" s="28" t="str">
        <f>IFERROR(VLOOKUP(FA297,Horarios!$H:$I,2,0),"")</f>
        <v/>
      </c>
      <c r="FD297" s="28" t="str">
        <f>IFERROR(VLOOKUP(FB297,Horarios!$H:$I,2,0),"")</f>
        <v/>
      </c>
      <c r="FE297" s="28" t="str">
        <f t="shared" si="220"/>
        <v>00:00</v>
      </c>
      <c r="FF297" s="29"/>
      <c r="FG297" s="27"/>
      <c r="FH297" s="27"/>
      <c r="FI297" s="28" t="str">
        <f>IFERROR(VLOOKUP(FG297,Horarios!$H:$I,2,0),"")</f>
        <v/>
      </c>
      <c r="FJ297" s="28" t="str">
        <f>IFERROR(VLOOKUP(FH297,Horarios!$H:$I,2,0),"")</f>
        <v/>
      </c>
      <c r="FK297" s="28" t="str">
        <f t="shared" si="221"/>
        <v>00:00</v>
      </c>
      <c r="FL297" s="29"/>
      <c r="FM297" s="27"/>
      <c r="FN297" s="27"/>
      <c r="FO297" s="28" t="str">
        <f>IFERROR(VLOOKUP(FM297,Horarios!$H:$I,2,0),"")</f>
        <v/>
      </c>
      <c r="FP297" s="28" t="str">
        <f>IFERROR(VLOOKUP(FN297,Horarios!$H:$I,2,0),"")</f>
        <v/>
      </c>
      <c r="FQ297" s="28" t="str">
        <f t="shared" si="222"/>
        <v>00:00</v>
      </c>
      <c r="FR297" s="29"/>
      <c r="FS297" s="31" t="str">
        <f t="shared" si="223"/>
        <v/>
      </c>
      <c r="FT297" s="27"/>
      <c r="FU297" s="27"/>
      <c r="FV297" s="28" t="str">
        <f>IFERROR(VLOOKUP(FT297,Horarios!$H:$I,2,0),"")</f>
        <v/>
      </c>
      <c r="FW297" s="28" t="str">
        <f>IFERROR(VLOOKUP(FU297,Horarios!$H:$I,2,0),"")</f>
        <v/>
      </c>
      <c r="FX297" s="28" t="str">
        <f t="shared" si="224"/>
        <v>00:00</v>
      </c>
      <c r="FY297" s="29"/>
      <c r="FZ297" s="27"/>
      <c r="GA297" s="27"/>
      <c r="GB297" s="28" t="str">
        <f>IFERROR(VLOOKUP(FZ297,Horarios!$H:$I,2,0),"")</f>
        <v/>
      </c>
      <c r="GC297" s="28" t="str">
        <f>IFERROR(VLOOKUP(GA297,Horarios!$H:$I,2,0),"")</f>
        <v/>
      </c>
      <c r="GD297" s="28" t="str">
        <f t="shared" si="225"/>
        <v>00:00</v>
      </c>
      <c r="GE297" s="29"/>
      <c r="GF297" s="27"/>
      <c r="GG297" s="27"/>
      <c r="GH297" s="28" t="str">
        <f>IFERROR(VLOOKUP(GF297,Horarios!$H:$I,2,0),"")</f>
        <v/>
      </c>
      <c r="GI297" s="28" t="str">
        <f>IFERROR(VLOOKUP(GG297,Horarios!$H:$I,2,0),"")</f>
        <v/>
      </c>
      <c r="GJ297" s="28" t="str">
        <f t="shared" si="226"/>
        <v>00:00</v>
      </c>
      <c r="GK297" s="29"/>
      <c r="GL297" s="27"/>
      <c r="GM297" s="27"/>
      <c r="GN297" s="28" t="str">
        <f>IFERROR(VLOOKUP(GL297,Horarios!$H:$I,2,0),"")</f>
        <v/>
      </c>
      <c r="GO297" s="28" t="str">
        <f>IFERROR(VLOOKUP(GM297,Horarios!$H:$I,2,0),"")</f>
        <v/>
      </c>
      <c r="GP297" s="28" t="str">
        <f t="shared" si="227"/>
        <v>00:00</v>
      </c>
      <c r="GQ297" s="29"/>
      <c r="GR297" s="27"/>
      <c r="GS297" s="27"/>
      <c r="GT297" s="28" t="str">
        <f>IFERROR(VLOOKUP(GR297,Horarios!$H:$I,2,0),"")</f>
        <v/>
      </c>
      <c r="GU297" s="28" t="str">
        <f>IFERROR(VLOOKUP(GS297,Horarios!$H:$I,2,0),"")</f>
        <v/>
      </c>
      <c r="GV297" s="28" t="str">
        <f t="shared" si="228"/>
        <v>00:00</v>
      </c>
      <c r="GW297" s="29"/>
      <c r="GX297" s="27"/>
      <c r="GY297" s="27"/>
      <c r="GZ297" s="28" t="str">
        <f>IFERROR(VLOOKUP(GX297,Horarios!$H:$I,2,0),"")</f>
        <v/>
      </c>
      <c r="HA297" s="28" t="str">
        <f>IFERROR(VLOOKUP(GY297,Horarios!$H:$I,2,0),"")</f>
        <v/>
      </c>
      <c r="HB297" s="28" t="str">
        <f t="shared" si="229"/>
        <v>00:00</v>
      </c>
      <c r="HC297" s="29"/>
      <c r="HD297" s="27"/>
      <c r="HE297" s="27"/>
      <c r="HF297" s="28" t="str">
        <f>IFERROR(VLOOKUP(HD297,Horarios!$H:$I,2,0),"")</f>
        <v/>
      </c>
      <c r="HG297" s="28" t="str">
        <f>IFERROR(VLOOKUP(HE297,Horarios!$H:$I,2,0),"")</f>
        <v/>
      </c>
      <c r="HH297" s="28" t="str">
        <f t="shared" si="230"/>
        <v>00:00</v>
      </c>
      <c r="HI297" s="29"/>
      <c r="HJ297" s="31" t="str">
        <f t="shared" si="231"/>
        <v/>
      </c>
      <c r="HK297" s="27"/>
      <c r="HL297" s="27"/>
      <c r="HM297" s="28" t="str">
        <f>IFERROR(VLOOKUP(HK297,Horarios!$H:$I,2,0),"")</f>
        <v/>
      </c>
      <c r="HN297" s="28" t="str">
        <f>IFERROR(VLOOKUP(HL297,Horarios!$H:$I,2,0),"")</f>
        <v/>
      </c>
      <c r="HO297" s="28" t="str">
        <f t="shared" si="232"/>
        <v>00:00</v>
      </c>
      <c r="HP297" s="29"/>
      <c r="HQ297" s="27"/>
      <c r="HR297" s="27"/>
      <c r="HS297" s="28" t="str">
        <f>IFERROR(VLOOKUP(HQ297,Horarios!$H:$I,2,0),"")</f>
        <v/>
      </c>
      <c r="HT297" s="28" t="str">
        <f>IFERROR(VLOOKUP(HR297,Horarios!$H:$I,2,0),"")</f>
        <v/>
      </c>
      <c r="HU297" s="28" t="str">
        <f t="shared" si="233"/>
        <v>00:00</v>
      </c>
      <c r="HV297" s="29"/>
      <c r="HW297" s="27"/>
      <c r="HX297" s="27"/>
      <c r="HY297" s="28" t="str">
        <f>IFERROR(VLOOKUP(HW297,Horarios!$H:$I,2,0),"")</f>
        <v/>
      </c>
      <c r="HZ297" s="28" t="str">
        <f>IFERROR(VLOOKUP(HX297,Horarios!$H:$I,2,0),"")</f>
        <v/>
      </c>
      <c r="IA297" s="28" t="str">
        <f t="shared" si="234"/>
        <v>00:00</v>
      </c>
      <c r="IB297" s="29"/>
      <c r="IC297" s="27"/>
      <c r="ID297" s="27"/>
      <c r="IE297" s="28" t="str">
        <f>IFERROR(VLOOKUP(IC297,Horarios!$H:$I,2,0),"")</f>
        <v/>
      </c>
      <c r="IF297" s="28" t="str">
        <f>IFERROR(VLOOKUP(ID297,Horarios!$H:$I,2,0),"")</f>
        <v/>
      </c>
      <c r="IG297" s="28" t="str">
        <f t="shared" si="235"/>
        <v>00:00</v>
      </c>
      <c r="IH297" s="29"/>
      <c r="II297" s="27"/>
      <c r="IJ297" s="27"/>
      <c r="IK297" s="28" t="str">
        <f>IFERROR(VLOOKUP(II297,Horarios!$H:$I,2,0),"")</f>
        <v/>
      </c>
      <c r="IL297" s="28" t="str">
        <f>IFERROR(VLOOKUP(IJ297,Horarios!$H:$I,2,0),"")</f>
        <v/>
      </c>
      <c r="IM297" s="28" t="str">
        <f t="shared" si="236"/>
        <v>00:00</v>
      </c>
      <c r="IN297" s="29"/>
      <c r="IO297" s="27"/>
      <c r="IP297" s="27"/>
      <c r="IQ297" s="28" t="str">
        <f>IFERROR(VLOOKUP(IO297,Horarios!$H:$I,2,0),"")</f>
        <v/>
      </c>
      <c r="IR297" s="28" t="str">
        <f>IFERROR(VLOOKUP(IP297,Horarios!$H:$I,2,0),"")</f>
        <v/>
      </c>
      <c r="IS297" s="28" t="str">
        <f t="shared" si="237"/>
        <v>00:00</v>
      </c>
      <c r="IT297" s="29"/>
      <c r="IU297" s="27"/>
      <c r="IV297" s="27"/>
      <c r="IW297" s="28" t="str">
        <f>IFERROR(VLOOKUP(IU297,Horarios!$H:$I,2,0),"")</f>
        <v/>
      </c>
      <c r="IX297" s="28" t="str">
        <f>IFERROR(VLOOKUP(IV297,Horarios!$H:$I,2,0),"")</f>
        <v/>
      </c>
      <c r="IY297" s="28" t="str">
        <f t="shared" si="238"/>
        <v>00:00</v>
      </c>
      <c r="IZ297" s="29"/>
      <c r="JA297" s="31" t="str">
        <f t="shared" si="239"/>
        <v/>
      </c>
    </row>
    <row r="298" spans="1:261" s="24" customFormat="1" ht="17.399999999999999" x14ac:dyDescent="0.25">
      <c r="A298" s="25"/>
      <c r="B298" s="26" t="str">
        <f>IFERROR(VLOOKUP(A298,BaseNombres!A:B,2,0),"")</f>
        <v/>
      </c>
      <c r="C298" s="26" t="str">
        <f>IFERROR(VLOOKUP(A298,BaseNombres!A:C,3,0),"")</f>
        <v/>
      </c>
      <c r="D298" s="27"/>
      <c r="E298" s="27"/>
      <c r="F298" s="28" t="str">
        <f>IFERROR(VLOOKUP(D298,Horarios!$H:$I,2,0),"")</f>
        <v/>
      </c>
      <c r="G298" s="28" t="str">
        <f>IFERROR(VLOOKUP(E298,Horarios!$H:$I,2,0),"")</f>
        <v/>
      </c>
      <c r="H298" s="28" t="str">
        <f t="shared" si="192"/>
        <v>00:00</v>
      </c>
      <c r="I298" s="29"/>
      <c r="J298" s="27"/>
      <c r="K298" s="27"/>
      <c r="L298" s="28" t="str">
        <f>IFERROR(VLOOKUP(J298,Horarios!$H:$I,2,0),"")</f>
        <v/>
      </c>
      <c r="M298" s="28" t="str">
        <f>IFERROR(VLOOKUP(K298,Horarios!$H:$I,2,0),"")</f>
        <v/>
      </c>
      <c r="N298" s="28" t="str">
        <f t="shared" si="193"/>
        <v>00:00</v>
      </c>
      <c r="O298" s="29"/>
      <c r="P298" s="27"/>
      <c r="Q298" s="27"/>
      <c r="R298" s="28" t="str">
        <f>IFERROR(VLOOKUP(P298,Horarios!$H:$I,2,0),"")</f>
        <v/>
      </c>
      <c r="S298" s="28" t="str">
        <f>IFERROR(VLOOKUP(Q298,Horarios!$H:$I,2,0),"")</f>
        <v/>
      </c>
      <c r="T298" s="28" t="str">
        <f t="shared" si="194"/>
        <v>00:00</v>
      </c>
      <c r="U298" s="29"/>
      <c r="V298" s="27"/>
      <c r="W298" s="27"/>
      <c r="X298" s="28" t="str">
        <f>IFERROR(VLOOKUP(V298,Horarios!$H:$I,2,0),"")</f>
        <v/>
      </c>
      <c r="Y298" s="28" t="str">
        <f>IFERROR(VLOOKUP(W298,Horarios!$H:$I,2,0),"")</f>
        <v/>
      </c>
      <c r="Z298" s="28" t="str">
        <f t="shared" si="195"/>
        <v>00:00</v>
      </c>
      <c r="AA298" s="29"/>
      <c r="AB298" s="27"/>
      <c r="AC298" s="27"/>
      <c r="AD298" s="28" t="str">
        <f>IFERROR(VLOOKUP(AB298,Horarios!$H:$I,2,0),"")</f>
        <v/>
      </c>
      <c r="AE298" s="28" t="str">
        <f>IFERROR(VLOOKUP(AC298,Horarios!$H:$I,2,0),"")</f>
        <v/>
      </c>
      <c r="AF298" s="28" t="str">
        <f t="shared" si="196"/>
        <v>00:00</v>
      </c>
      <c r="AG298" s="29"/>
      <c r="AH298" s="27"/>
      <c r="AI298" s="27"/>
      <c r="AJ298" s="28" t="str">
        <f>IFERROR(VLOOKUP(AH298,Horarios!$H:$I,2,0),"")</f>
        <v/>
      </c>
      <c r="AK298" s="28" t="str">
        <f>IFERROR(VLOOKUP(AI298,Horarios!$H:$I,2,0),"")</f>
        <v/>
      </c>
      <c r="AL298" s="28" t="str">
        <f t="shared" si="197"/>
        <v>00:00</v>
      </c>
      <c r="AM298" s="29"/>
      <c r="AN298" s="27"/>
      <c r="AO298" s="27"/>
      <c r="AP298" s="28" t="str">
        <f>IFERROR(VLOOKUP(AN298,Horarios!$H:$I,2,0),"")</f>
        <v/>
      </c>
      <c r="AQ298" s="28" t="str">
        <f>IFERROR(VLOOKUP(AO298,Horarios!$H:$I,2,0),"")</f>
        <v/>
      </c>
      <c r="AR298" s="28" t="str">
        <f t="shared" si="198"/>
        <v>00:00</v>
      </c>
      <c r="AS298" s="29"/>
      <c r="AT298" s="31" t="str">
        <f t="shared" si="199"/>
        <v/>
      </c>
      <c r="AU298" s="27"/>
      <c r="AV298" s="27"/>
      <c r="AW298" s="28" t="str">
        <f>IFERROR(VLOOKUP(AU298,Horarios!$H:$I,2,0),"")</f>
        <v/>
      </c>
      <c r="AX298" s="28" t="str">
        <f>IFERROR(VLOOKUP(AV298,Horarios!$H:$I,2,0),"")</f>
        <v/>
      </c>
      <c r="AY298" s="28" t="str">
        <f t="shared" si="200"/>
        <v>00:00</v>
      </c>
      <c r="AZ298" s="29"/>
      <c r="BA298" s="27"/>
      <c r="BB298" s="27"/>
      <c r="BC298" s="28" t="str">
        <f>IFERROR(VLOOKUP(BA298,Horarios!$H:$I,2,0),"")</f>
        <v/>
      </c>
      <c r="BD298" s="28" t="str">
        <f>IFERROR(VLOOKUP(BB298,Horarios!$H:$I,2,0),"")</f>
        <v/>
      </c>
      <c r="BE298" s="28" t="str">
        <f t="shared" si="201"/>
        <v>00:00</v>
      </c>
      <c r="BF298" s="29"/>
      <c r="BG298" s="27"/>
      <c r="BH298" s="27"/>
      <c r="BI298" s="28" t="str">
        <f>IFERROR(VLOOKUP(BG298,Horarios!$H:$I,2,0),"")</f>
        <v/>
      </c>
      <c r="BJ298" s="28" t="str">
        <f>IFERROR(VLOOKUP(BH298,Horarios!$H:$I,2,0),"")</f>
        <v/>
      </c>
      <c r="BK298" s="28" t="str">
        <f t="shared" si="202"/>
        <v>00:00</v>
      </c>
      <c r="BL298" s="29"/>
      <c r="BM298" s="27"/>
      <c r="BN298" s="27"/>
      <c r="BO298" s="28" t="str">
        <f>IFERROR(VLOOKUP(BM298,Horarios!$H:$I,2,0),"")</f>
        <v/>
      </c>
      <c r="BP298" s="28" t="str">
        <f>IFERROR(VLOOKUP(BN298,Horarios!$H:$I,2,0),"")</f>
        <v/>
      </c>
      <c r="BQ298" s="28" t="str">
        <f t="shared" si="203"/>
        <v>00:00</v>
      </c>
      <c r="BR298" s="29"/>
      <c r="BS298" s="27"/>
      <c r="BT298" s="27"/>
      <c r="BU298" s="28" t="str">
        <f>IFERROR(VLOOKUP(BS298,Horarios!$H:$I,2,0),"")</f>
        <v/>
      </c>
      <c r="BV298" s="28" t="str">
        <f>IFERROR(VLOOKUP(BT298,Horarios!$H:$I,2,0),"")</f>
        <v/>
      </c>
      <c r="BW298" s="28" t="str">
        <f t="shared" si="204"/>
        <v>00:00</v>
      </c>
      <c r="BX298" s="29"/>
      <c r="BY298" s="27"/>
      <c r="BZ298" s="27"/>
      <c r="CA298" s="28" t="str">
        <f>IFERROR(VLOOKUP(BY298,Horarios!$H:$I,2,0),"")</f>
        <v/>
      </c>
      <c r="CB298" s="28" t="str">
        <f>IFERROR(VLOOKUP(BZ298,Horarios!$H:$I,2,0),"")</f>
        <v/>
      </c>
      <c r="CC298" s="28" t="str">
        <f t="shared" si="205"/>
        <v>00:00</v>
      </c>
      <c r="CD298" s="29"/>
      <c r="CE298" s="27"/>
      <c r="CF298" s="27"/>
      <c r="CG298" s="28" t="str">
        <f>IFERROR(VLOOKUP(CE298,Horarios!$H:$I,2,0),"")</f>
        <v/>
      </c>
      <c r="CH298" s="28" t="str">
        <f>IFERROR(VLOOKUP(CF298,Horarios!$H:$I,2,0),"")</f>
        <v/>
      </c>
      <c r="CI298" s="28" t="str">
        <f t="shared" si="206"/>
        <v>00:00</v>
      </c>
      <c r="CJ298" s="29"/>
      <c r="CK298" s="31" t="str">
        <f t="shared" si="207"/>
        <v/>
      </c>
      <c r="CL298" s="27"/>
      <c r="CM298" s="27"/>
      <c r="CN298" s="28" t="str">
        <f>IFERROR(VLOOKUP(CL298,Horarios!$H:$I,2,0),"")</f>
        <v/>
      </c>
      <c r="CO298" s="28" t="str">
        <f>IFERROR(VLOOKUP(CM298,Horarios!$H:$I,2,0),"")</f>
        <v/>
      </c>
      <c r="CP298" s="28" t="str">
        <f t="shared" si="208"/>
        <v>00:00</v>
      </c>
      <c r="CQ298" s="29"/>
      <c r="CR298" s="27"/>
      <c r="CS298" s="27"/>
      <c r="CT298" s="28" t="str">
        <f>IFERROR(VLOOKUP(CR298,Horarios!$H:$I,2,0),"")</f>
        <v/>
      </c>
      <c r="CU298" s="28" t="str">
        <f>IFERROR(VLOOKUP(CS298,Horarios!$H:$I,2,0),"")</f>
        <v/>
      </c>
      <c r="CV298" s="28" t="str">
        <f t="shared" si="209"/>
        <v>00:00</v>
      </c>
      <c r="CW298" s="29"/>
      <c r="CX298" s="27"/>
      <c r="CY298" s="27"/>
      <c r="CZ298" s="28" t="str">
        <f>IFERROR(VLOOKUP(CX298,Horarios!$H:$I,2,0),"")</f>
        <v/>
      </c>
      <c r="DA298" s="28" t="str">
        <f>IFERROR(VLOOKUP(CY298,Horarios!$H:$I,2,0),"")</f>
        <v/>
      </c>
      <c r="DB298" s="28" t="str">
        <f t="shared" si="210"/>
        <v>00:00</v>
      </c>
      <c r="DC298" s="29"/>
      <c r="DD298" s="27"/>
      <c r="DE298" s="27"/>
      <c r="DF298" s="28" t="str">
        <f>IFERROR(VLOOKUP(DD298,Horarios!$H:$I,2,0),"")</f>
        <v/>
      </c>
      <c r="DG298" s="28" t="str">
        <f>IFERROR(VLOOKUP(DE298,Horarios!$H:$I,2,0),"")</f>
        <v/>
      </c>
      <c r="DH298" s="28" t="str">
        <f t="shared" si="211"/>
        <v>00:00</v>
      </c>
      <c r="DI298" s="29"/>
      <c r="DJ298" s="27"/>
      <c r="DK298" s="27"/>
      <c r="DL298" s="28" t="str">
        <f>IFERROR(VLOOKUP(DJ298,Horarios!$H:$I,2,0),"")</f>
        <v/>
      </c>
      <c r="DM298" s="28" t="str">
        <f>IFERROR(VLOOKUP(DK298,Horarios!$H:$I,2,0),"")</f>
        <v/>
      </c>
      <c r="DN298" s="28" t="str">
        <f t="shared" si="212"/>
        <v>00:00</v>
      </c>
      <c r="DO298" s="29"/>
      <c r="DP298" s="27"/>
      <c r="DQ298" s="27"/>
      <c r="DR298" s="28" t="str">
        <f>IFERROR(VLOOKUP(DP298,Horarios!$H:$I,2,0),"")</f>
        <v/>
      </c>
      <c r="DS298" s="28" t="str">
        <f>IFERROR(VLOOKUP(DQ298,Horarios!$H:$I,2,0),"")</f>
        <v/>
      </c>
      <c r="DT298" s="28" t="str">
        <f t="shared" si="213"/>
        <v>00:00</v>
      </c>
      <c r="DU298" s="29"/>
      <c r="DV298" s="27"/>
      <c r="DW298" s="27"/>
      <c r="DX298" s="28" t="str">
        <f>IFERROR(VLOOKUP(DV298,Horarios!$H:$I,2,0),"")</f>
        <v/>
      </c>
      <c r="DY298" s="28" t="str">
        <f>IFERROR(VLOOKUP(DW298,Horarios!$H:$I,2,0),"")</f>
        <v/>
      </c>
      <c r="DZ298" s="28" t="str">
        <f t="shared" si="214"/>
        <v>00:00</v>
      </c>
      <c r="EA298" s="29"/>
      <c r="EB298" s="31" t="str">
        <f t="shared" si="215"/>
        <v/>
      </c>
      <c r="EC298" s="27"/>
      <c r="ED298" s="27"/>
      <c r="EE298" s="28" t="str">
        <f>IFERROR(VLOOKUP(EC298,Horarios!$H:$I,2,0),"")</f>
        <v/>
      </c>
      <c r="EF298" s="28" t="str">
        <f>IFERROR(VLOOKUP(ED298,Horarios!$H:$I,2,0),"")</f>
        <v/>
      </c>
      <c r="EG298" s="28" t="str">
        <f t="shared" si="216"/>
        <v>00:00</v>
      </c>
      <c r="EH298" s="29"/>
      <c r="EI298" s="27"/>
      <c r="EJ298" s="27"/>
      <c r="EK298" s="28" t="str">
        <f>IFERROR(VLOOKUP(EI298,Horarios!$H:$I,2,0),"")</f>
        <v/>
      </c>
      <c r="EL298" s="28" t="str">
        <f>IFERROR(VLOOKUP(EJ298,Horarios!$H:$I,2,0),"")</f>
        <v/>
      </c>
      <c r="EM298" s="28" t="str">
        <f t="shared" si="217"/>
        <v>00:00</v>
      </c>
      <c r="EN298" s="29"/>
      <c r="EO298" s="27"/>
      <c r="EP298" s="27"/>
      <c r="EQ298" s="28" t="str">
        <f>IFERROR(VLOOKUP(EO298,Horarios!$H:$I,2,0),"")</f>
        <v/>
      </c>
      <c r="ER298" s="28" t="str">
        <f>IFERROR(VLOOKUP(EP298,Horarios!$H:$I,2,0),"")</f>
        <v/>
      </c>
      <c r="ES298" s="28" t="str">
        <f t="shared" si="218"/>
        <v>00:00</v>
      </c>
      <c r="ET298" s="29"/>
      <c r="EU298" s="27"/>
      <c r="EV298" s="27"/>
      <c r="EW298" s="28" t="str">
        <f>IFERROR(VLOOKUP(EU298,Horarios!$H:$I,2,0),"")</f>
        <v/>
      </c>
      <c r="EX298" s="28" t="str">
        <f>IFERROR(VLOOKUP(EV298,Horarios!$H:$I,2,0),"")</f>
        <v/>
      </c>
      <c r="EY298" s="28" t="str">
        <f t="shared" si="219"/>
        <v>00:00</v>
      </c>
      <c r="EZ298" s="29"/>
      <c r="FA298" s="27"/>
      <c r="FB298" s="27"/>
      <c r="FC298" s="28" t="str">
        <f>IFERROR(VLOOKUP(FA298,Horarios!$H:$I,2,0),"")</f>
        <v/>
      </c>
      <c r="FD298" s="28" t="str">
        <f>IFERROR(VLOOKUP(FB298,Horarios!$H:$I,2,0),"")</f>
        <v/>
      </c>
      <c r="FE298" s="28" t="str">
        <f t="shared" si="220"/>
        <v>00:00</v>
      </c>
      <c r="FF298" s="29"/>
      <c r="FG298" s="27"/>
      <c r="FH298" s="27"/>
      <c r="FI298" s="28" t="str">
        <f>IFERROR(VLOOKUP(FG298,Horarios!$H:$I,2,0),"")</f>
        <v/>
      </c>
      <c r="FJ298" s="28" t="str">
        <f>IFERROR(VLOOKUP(FH298,Horarios!$H:$I,2,0),"")</f>
        <v/>
      </c>
      <c r="FK298" s="28" t="str">
        <f t="shared" si="221"/>
        <v>00:00</v>
      </c>
      <c r="FL298" s="29"/>
      <c r="FM298" s="27"/>
      <c r="FN298" s="27"/>
      <c r="FO298" s="28" t="str">
        <f>IFERROR(VLOOKUP(FM298,Horarios!$H:$I,2,0),"")</f>
        <v/>
      </c>
      <c r="FP298" s="28" t="str">
        <f>IFERROR(VLOOKUP(FN298,Horarios!$H:$I,2,0),"")</f>
        <v/>
      </c>
      <c r="FQ298" s="28" t="str">
        <f t="shared" si="222"/>
        <v>00:00</v>
      </c>
      <c r="FR298" s="29"/>
      <c r="FS298" s="31" t="str">
        <f t="shared" si="223"/>
        <v/>
      </c>
      <c r="FT298" s="27"/>
      <c r="FU298" s="27"/>
      <c r="FV298" s="28" t="str">
        <f>IFERROR(VLOOKUP(FT298,Horarios!$H:$I,2,0),"")</f>
        <v/>
      </c>
      <c r="FW298" s="28" t="str">
        <f>IFERROR(VLOOKUP(FU298,Horarios!$H:$I,2,0),"")</f>
        <v/>
      </c>
      <c r="FX298" s="28" t="str">
        <f t="shared" si="224"/>
        <v>00:00</v>
      </c>
      <c r="FY298" s="29"/>
      <c r="FZ298" s="27"/>
      <c r="GA298" s="27"/>
      <c r="GB298" s="28" t="str">
        <f>IFERROR(VLOOKUP(FZ298,Horarios!$H:$I,2,0),"")</f>
        <v/>
      </c>
      <c r="GC298" s="28" t="str">
        <f>IFERROR(VLOOKUP(GA298,Horarios!$H:$I,2,0),"")</f>
        <v/>
      </c>
      <c r="GD298" s="28" t="str">
        <f t="shared" si="225"/>
        <v>00:00</v>
      </c>
      <c r="GE298" s="29"/>
      <c r="GF298" s="27"/>
      <c r="GG298" s="27"/>
      <c r="GH298" s="28" t="str">
        <f>IFERROR(VLOOKUP(GF298,Horarios!$H:$I,2,0),"")</f>
        <v/>
      </c>
      <c r="GI298" s="28" t="str">
        <f>IFERROR(VLOOKUP(GG298,Horarios!$H:$I,2,0),"")</f>
        <v/>
      </c>
      <c r="GJ298" s="28" t="str">
        <f t="shared" si="226"/>
        <v>00:00</v>
      </c>
      <c r="GK298" s="29"/>
      <c r="GL298" s="27"/>
      <c r="GM298" s="27"/>
      <c r="GN298" s="28" t="str">
        <f>IFERROR(VLOOKUP(GL298,Horarios!$H:$I,2,0),"")</f>
        <v/>
      </c>
      <c r="GO298" s="28" t="str">
        <f>IFERROR(VLOOKUP(GM298,Horarios!$H:$I,2,0),"")</f>
        <v/>
      </c>
      <c r="GP298" s="28" t="str">
        <f t="shared" si="227"/>
        <v>00:00</v>
      </c>
      <c r="GQ298" s="29"/>
      <c r="GR298" s="27"/>
      <c r="GS298" s="27"/>
      <c r="GT298" s="28" t="str">
        <f>IFERROR(VLOOKUP(GR298,Horarios!$H:$I,2,0),"")</f>
        <v/>
      </c>
      <c r="GU298" s="28" t="str">
        <f>IFERROR(VLOOKUP(GS298,Horarios!$H:$I,2,0),"")</f>
        <v/>
      </c>
      <c r="GV298" s="28" t="str">
        <f t="shared" si="228"/>
        <v>00:00</v>
      </c>
      <c r="GW298" s="29"/>
      <c r="GX298" s="27"/>
      <c r="GY298" s="27"/>
      <c r="GZ298" s="28" t="str">
        <f>IFERROR(VLOOKUP(GX298,Horarios!$H:$I,2,0),"")</f>
        <v/>
      </c>
      <c r="HA298" s="28" t="str">
        <f>IFERROR(VLOOKUP(GY298,Horarios!$H:$I,2,0),"")</f>
        <v/>
      </c>
      <c r="HB298" s="28" t="str">
        <f t="shared" si="229"/>
        <v>00:00</v>
      </c>
      <c r="HC298" s="29"/>
      <c r="HD298" s="27"/>
      <c r="HE298" s="27"/>
      <c r="HF298" s="28" t="str">
        <f>IFERROR(VLOOKUP(HD298,Horarios!$H:$I,2,0),"")</f>
        <v/>
      </c>
      <c r="HG298" s="28" t="str">
        <f>IFERROR(VLOOKUP(HE298,Horarios!$H:$I,2,0),"")</f>
        <v/>
      </c>
      <c r="HH298" s="28" t="str">
        <f t="shared" si="230"/>
        <v>00:00</v>
      </c>
      <c r="HI298" s="29"/>
      <c r="HJ298" s="31" t="str">
        <f t="shared" si="231"/>
        <v/>
      </c>
      <c r="HK298" s="27"/>
      <c r="HL298" s="27"/>
      <c r="HM298" s="28" t="str">
        <f>IFERROR(VLOOKUP(HK298,Horarios!$H:$I,2,0),"")</f>
        <v/>
      </c>
      <c r="HN298" s="28" t="str">
        <f>IFERROR(VLOOKUP(HL298,Horarios!$H:$I,2,0),"")</f>
        <v/>
      </c>
      <c r="HO298" s="28" t="str">
        <f t="shared" si="232"/>
        <v>00:00</v>
      </c>
      <c r="HP298" s="29"/>
      <c r="HQ298" s="27"/>
      <c r="HR298" s="27"/>
      <c r="HS298" s="28" t="str">
        <f>IFERROR(VLOOKUP(HQ298,Horarios!$H:$I,2,0),"")</f>
        <v/>
      </c>
      <c r="HT298" s="28" t="str">
        <f>IFERROR(VLOOKUP(HR298,Horarios!$H:$I,2,0),"")</f>
        <v/>
      </c>
      <c r="HU298" s="28" t="str">
        <f t="shared" si="233"/>
        <v>00:00</v>
      </c>
      <c r="HV298" s="29"/>
      <c r="HW298" s="27"/>
      <c r="HX298" s="27"/>
      <c r="HY298" s="28" t="str">
        <f>IFERROR(VLOOKUP(HW298,Horarios!$H:$I,2,0),"")</f>
        <v/>
      </c>
      <c r="HZ298" s="28" t="str">
        <f>IFERROR(VLOOKUP(HX298,Horarios!$H:$I,2,0),"")</f>
        <v/>
      </c>
      <c r="IA298" s="28" t="str">
        <f t="shared" si="234"/>
        <v>00:00</v>
      </c>
      <c r="IB298" s="29"/>
      <c r="IC298" s="27"/>
      <c r="ID298" s="27"/>
      <c r="IE298" s="28" t="str">
        <f>IFERROR(VLOOKUP(IC298,Horarios!$H:$I,2,0),"")</f>
        <v/>
      </c>
      <c r="IF298" s="28" t="str">
        <f>IFERROR(VLOOKUP(ID298,Horarios!$H:$I,2,0),"")</f>
        <v/>
      </c>
      <c r="IG298" s="28" t="str">
        <f t="shared" si="235"/>
        <v>00:00</v>
      </c>
      <c r="IH298" s="29"/>
      <c r="II298" s="27"/>
      <c r="IJ298" s="27"/>
      <c r="IK298" s="28" t="str">
        <f>IFERROR(VLOOKUP(II298,Horarios!$H:$I,2,0),"")</f>
        <v/>
      </c>
      <c r="IL298" s="28" t="str">
        <f>IFERROR(VLOOKUP(IJ298,Horarios!$H:$I,2,0),"")</f>
        <v/>
      </c>
      <c r="IM298" s="28" t="str">
        <f t="shared" si="236"/>
        <v>00:00</v>
      </c>
      <c r="IN298" s="29"/>
      <c r="IO298" s="27"/>
      <c r="IP298" s="27"/>
      <c r="IQ298" s="28" t="str">
        <f>IFERROR(VLOOKUP(IO298,Horarios!$H:$I,2,0),"")</f>
        <v/>
      </c>
      <c r="IR298" s="28" t="str">
        <f>IFERROR(VLOOKUP(IP298,Horarios!$H:$I,2,0),"")</f>
        <v/>
      </c>
      <c r="IS298" s="28" t="str">
        <f t="shared" si="237"/>
        <v>00:00</v>
      </c>
      <c r="IT298" s="29"/>
      <c r="IU298" s="27"/>
      <c r="IV298" s="27"/>
      <c r="IW298" s="28" t="str">
        <f>IFERROR(VLOOKUP(IU298,Horarios!$H:$I,2,0),"")</f>
        <v/>
      </c>
      <c r="IX298" s="28" t="str">
        <f>IFERROR(VLOOKUP(IV298,Horarios!$H:$I,2,0),"")</f>
        <v/>
      </c>
      <c r="IY298" s="28" t="str">
        <f t="shared" si="238"/>
        <v>00:00</v>
      </c>
      <c r="IZ298" s="29"/>
      <c r="JA298" s="31" t="str">
        <f t="shared" si="239"/>
        <v/>
      </c>
    </row>
    <row r="299" spans="1:261" s="24" customFormat="1" ht="17.399999999999999" x14ac:dyDescent="0.25">
      <c r="A299" s="25"/>
      <c r="B299" s="26" t="str">
        <f>IFERROR(VLOOKUP(A299,BaseNombres!A:B,2,0),"")</f>
        <v/>
      </c>
      <c r="C299" s="26" t="str">
        <f>IFERROR(VLOOKUP(A299,BaseNombres!A:C,3,0),"")</f>
        <v/>
      </c>
      <c r="D299" s="27"/>
      <c r="E299" s="27"/>
      <c r="F299" s="28" t="str">
        <f>IFERROR(VLOOKUP(D299,Horarios!$H:$I,2,0),"")</f>
        <v/>
      </c>
      <c r="G299" s="28" t="str">
        <f>IFERROR(VLOOKUP(E299,Horarios!$H:$I,2,0),"")</f>
        <v/>
      </c>
      <c r="H299" s="28" t="str">
        <f t="shared" si="192"/>
        <v>00:00</v>
      </c>
      <c r="I299" s="29"/>
      <c r="J299" s="27"/>
      <c r="K299" s="27"/>
      <c r="L299" s="28" t="str">
        <f>IFERROR(VLOOKUP(J299,Horarios!$H:$I,2,0),"")</f>
        <v/>
      </c>
      <c r="M299" s="28" t="str">
        <f>IFERROR(VLOOKUP(K299,Horarios!$H:$I,2,0),"")</f>
        <v/>
      </c>
      <c r="N299" s="28" t="str">
        <f t="shared" si="193"/>
        <v>00:00</v>
      </c>
      <c r="O299" s="29"/>
      <c r="P299" s="27"/>
      <c r="Q299" s="27"/>
      <c r="R299" s="28" t="str">
        <f>IFERROR(VLOOKUP(P299,Horarios!$H:$I,2,0),"")</f>
        <v/>
      </c>
      <c r="S299" s="28" t="str">
        <f>IFERROR(VLOOKUP(Q299,Horarios!$H:$I,2,0),"")</f>
        <v/>
      </c>
      <c r="T299" s="28" t="str">
        <f t="shared" si="194"/>
        <v>00:00</v>
      </c>
      <c r="U299" s="29"/>
      <c r="V299" s="27"/>
      <c r="W299" s="27"/>
      <c r="X299" s="28" t="str">
        <f>IFERROR(VLOOKUP(V299,Horarios!$H:$I,2,0),"")</f>
        <v/>
      </c>
      <c r="Y299" s="28" t="str">
        <f>IFERROR(VLOOKUP(W299,Horarios!$H:$I,2,0),"")</f>
        <v/>
      </c>
      <c r="Z299" s="28" t="str">
        <f t="shared" si="195"/>
        <v>00:00</v>
      </c>
      <c r="AA299" s="29"/>
      <c r="AB299" s="27"/>
      <c r="AC299" s="27"/>
      <c r="AD299" s="28" t="str">
        <f>IFERROR(VLOOKUP(AB299,Horarios!$H:$I,2,0),"")</f>
        <v/>
      </c>
      <c r="AE299" s="28" t="str">
        <f>IFERROR(VLOOKUP(AC299,Horarios!$H:$I,2,0),"")</f>
        <v/>
      </c>
      <c r="AF299" s="28" t="str">
        <f t="shared" si="196"/>
        <v>00:00</v>
      </c>
      <c r="AG299" s="29"/>
      <c r="AH299" s="27"/>
      <c r="AI299" s="27"/>
      <c r="AJ299" s="28" t="str">
        <f>IFERROR(VLOOKUP(AH299,Horarios!$H:$I,2,0),"")</f>
        <v/>
      </c>
      <c r="AK299" s="28" t="str">
        <f>IFERROR(VLOOKUP(AI299,Horarios!$H:$I,2,0),"")</f>
        <v/>
      </c>
      <c r="AL299" s="28" t="str">
        <f t="shared" si="197"/>
        <v>00:00</v>
      </c>
      <c r="AM299" s="29"/>
      <c r="AN299" s="27"/>
      <c r="AO299" s="27"/>
      <c r="AP299" s="28" t="str">
        <f>IFERROR(VLOOKUP(AN299,Horarios!$H:$I,2,0),"")</f>
        <v/>
      </c>
      <c r="AQ299" s="28" t="str">
        <f>IFERROR(VLOOKUP(AO299,Horarios!$H:$I,2,0),"")</f>
        <v/>
      </c>
      <c r="AR299" s="28" t="str">
        <f t="shared" si="198"/>
        <v>00:00</v>
      </c>
      <c r="AS299" s="29"/>
      <c r="AT299" s="31" t="str">
        <f t="shared" si="199"/>
        <v/>
      </c>
      <c r="AU299" s="27"/>
      <c r="AV299" s="27"/>
      <c r="AW299" s="28" t="str">
        <f>IFERROR(VLOOKUP(AU299,Horarios!$H:$I,2,0),"")</f>
        <v/>
      </c>
      <c r="AX299" s="28" t="str">
        <f>IFERROR(VLOOKUP(AV299,Horarios!$H:$I,2,0),"")</f>
        <v/>
      </c>
      <c r="AY299" s="28" t="str">
        <f t="shared" si="200"/>
        <v>00:00</v>
      </c>
      <c r="AZ299" s="29"/>
      <c r="BA299" s="27"/>
      <c r="BB299" s="27"/>
      <c r="BC299" s="28" t="str">
        <f>IFERROR(VLOOKUP(BA299,Horarios!$H:$I,2,0),"")</f>
        <v/>
      </c>
      <c r="BD299" s="28" t="str">
        <f>IFERROR(VLOOKUP(BB299,Horarios!$H:$I,2,0),"")</f>
        <v/>
      </c>
      <c r="BE299" s="28" t="str">
        <f t="shared" si="201"/>
        <v>00:00</v>
      </c>
      <c r="BF299" s="29"/>
      <c r="BG299" s="27"/>
      <c r="BH299" s="27"/>
      <c r="BI299" s="28" t="str">
        <f>IFERROR(VLOOKUP(BG299,Horarios!$H:$I,2,0),"")</f>
        <v/>
      </c>
      <c r="BJ299" s="28" t="str">
        <f>IFERROR(VLOOKUP(BH299,Horarios!$H:$I,2,0),"")</f>
        <v/>
      </c>
      <c r="BK299" s="28" t="str">
        <f t="shared" si="202"/>
        <v>00:00</v>
      </c>
      <c r="BL299" s="29"/>
      <c r="BM299" s="27"/>
      <c r="BN299" s="27"/>
      <c r="BO299" s="28" t="str">
        <f>IFERROR(VLOOKUP(BM299,Horarios!$H:$I,2,0),"")</f>
        <v/>
      </c>
      <c r="BP299" s="28" t="str">
        <f>IFERROR(VLOOKUP(BN299,Horarios!$H:$I,2,0),"")</f>
        <v/>
      </c>
      <c r="BQ299" s="28" t="str">
        <f t="shared" si="203"/>
        <v>00:00</v>
      </c>
      <c r="BR299" s="29"/>
      <c r="BS299" s="27"/>
      <c r="BT299" s="27"/>
      <c r="BU299" s="28" t="str">
        <f>IFERROR(VLOOKUP(BS299,Horarios!$H:$I,2,0),"")</f>
        <v/>
      </c>
      <c r="BV299" s="28" t="str">
        <f>IFERROR(VLOOKUP(BT299,Horarios!$H:$I,2,0),"")</f>
        <v/>
      </c>
      <c r="BW299" s="28" t="str">
        <f t="shared" si="204"/>
        <v>00:00</v>
      </c>
      <c r="BX299" s="29"/>
      <c r="BY299" s="27"/>
      <c r="BZ299" s="27"/>
      <c r="CA299" s="28" t="str">
        <f>IFERROR(VLOOKUP(BY299,Horarios!$H:$I,2,0),"")</f>
        <v/>
      </c>
      <c r="CB299" s="28" t="str">
        <f>IFERROR(VLOOKUP(BZ299,Horarios!$H:$I,2,0),"")</f>
        <v/>
      </c>
      <c r="CC299" s="28" t="str">
        <f t="shared" si="205"/>
        <v>00:00</v>
      </c>
      <c r="CD299" s="29"/>
      <c r="CE299" s="27"/>
      <c r="CF299" s="27"/>
      <c r="CG299" s="28" t="str">
        <f>IFERROR(VLOOKUP(CE299,Horarios!$H:$I,2,0),"")</f>
        <v/>
      </c>
      <c r="CH299" s="28" t="str">
        <f>IFERROR(VLOOKUP(CF299,Horarios!$H:$I,2,0),"")</f>
        <v/>
      </c>
      <c r="CI299" s="28" t="str">
        <f t="shared" si="206"/>
        <v>00:00</v>
      </c>
      <c r="CJ299" s="29"/>
      <c r="CK299" s="31" t="str">
        <f t="shared" si="207"/>
        <v/>
      </c>
      <c r="CL299" s="27"/>
      <c r="CM299" s="27"/>
      <c r="CN299" s="28" t="str">
        <f>IFERROR(VLOOKUP(CL299,Horarios!$H:$I,2,0),"")</f>
        <v/>
      </c>
      <c r="CO299" s="28" t="str">
        <f>IFERROR(VLOOKUP(CM299,Horarios!$H:$I,2,0),"")</f>
        <v/>
      </c>
      <c r="CP299" s="28" t="str">
        <f t="shared" si="208"/>
        <v>00:00</v>
      </c>
      <c r="CQ299" s="29"/>
      <c r="CR299" s="27"/>
      <c r="CS299" s="27"/>
      <c r="CT299" s="28" t="str">
        <f>IFERROR(VLOOKUP(CR299,Horarios!$H:$I,2,0),"")</f>
        <v/>
      </c>
      <c r="CU299" s="28" t="str">
        <f>IFERROR(VLOOKUP(CS299,Horarios!$H:$I,2,0),"")</f>
        <v/>
      </c>
      <c r="CV299" s="28" t="str">
        <f t="shared" si="209"/>
        <v>00:00</v>
      </c>
      <c r="CW299" s="29"/>
      <c r="CX299" s="27"/>
      <c r="CY299" s="27"/>
      <c r="CZ299" s="28" t="str">
        <f>IFERROR(VLOOKUP(CX299,Horarios!$H:$I,2,0),"")</f>
        <v/>
      </c>
      <c r="DA299" s="28" t="str">
        <f>IFERROR(VLOOKUP(CY299,Horarios!$H:$I,2,0),"")</f>
        <v/>
      </c>
      <c r="DB299" s="28" t="str">
        <f t="shared" si="210"/>
        <v>00:00</v>
      </c>
      <c r="DC299" s="29"/>
      <c r="DD299" s="27"/>
      <c r="DE299" s="27"/>
      <c r="DF299" s="28" t="str">
        <f>IFERROR(VLOOKUP(DD299,Horarios!$H:$I,2,0),"")</f>
        <v/>
      </c>
      <c r="DG299" s="28" t="str">
        <f>IFERROR(VLOOKUP(DE299,Horarios!$H:$I,2,0),"")</f>
        <v/>
      </c>
      <c r="DH299" s="28" t="str">
        <f t="shared" si="211"/>
        <v>00:00</v>
      </c>
      <c r="DI299" s="29"/>
      <c r="DJ299" s="27"/>
      <c r="DK299" s="27"/>
      <c r="DL299" s="28" t="str">
        <f>IFERROR(VLOOKUP(DJ299,Horarios!$H:$I,2,0),"")</f>
        <v/>
      </c>
      <c r="DM299" s="28" t="str">
        <f>IFERROR(VLOOKUP(DK299,Horarios!$H:$I,2,0),"")</f>
        <v/>
      </c>
      <c r="DN299" s="28" t="str">
        <f t="shared" si="212"/>
        <v>00:00</v>
      </c>
      <c r="DO299" s="29"/>
      <c r="DP299" s="27"/>
      <c r="DQ299" s="27"/>
      <c r="DR299" s="28" t="str">
        <f>IFERROR(VLOOKUP(DP299,Horarios!$H:$I,2,0),"")</f>
        <v/>
      </c>
      <c r="DS299" s="28" t="str">
        <f>IFERROR(VLOOKUP(DQ299,Horarios!$H:$I,2,0),"")</f>
        <v/>
      </c>
      <c r="DT299" s="28" t="str">
        <f t="shared" si="213"/>
        <v>00:00</v>
      </c>
      <c r="DU299" s="29"/>
      <c r="DV299" s="27"/>
      <c r="DW299" s="27"/>
      <c r="DX299" s="28" t="str">
        <f>IFERROR(VLOOKUP(DV299,Horarios!$H:$I,2,0),"")</f>
        <v/>
      </c>
      <c r="DY299" s="28" t="str">
        <f>IFERROR(VLOOKUP(DW299,Horarios!$H:$I,2,0),"")</f>
        <v/>
      </c>
      <c r="DZ299" s="28" t="str">
        <f t="shared" si="214"/>
        <v>00:00</v>
      </c>
      <c r="EA299" s="29"/>
      <c r="EB299" s="31" t="str">
        <f t="shared" si="215"/>
        <v/>
      </c>
      <c r="EC299" s="27"/>
      <c r="ED299" s="27"/>
      <c r="EE299" s="28" t="str">
        <f>IFERROR(VLOOKUP(EC299,Horarios!$H:$I,2,0),"")</f>
        <v/>
      </c>
      <c r="EF299" s="28" t="str">
        <f>IFERROR(VLOOKUP(ED299,Horarios!$H:$I,2,0),"")</f>
        <v/>
      </c>
      <c r="EG299" s="28" t="str">
        <f t="shared" si="216"/>
        <v>00:00</v>
      </c>
      <c r="EH299" s="29"/>
      <c r="EI299" s="27"/>
      <c r="EJ299" s="27"/>
      <c r="EK299" s="28" t="str">
        <f>IFERROR(VLOOKUP(EI299,Horarios!$H:$I,2,0),"")</f>
        <v/>
      </c>
      <c r="EL299" s="28" t="str">
        <f>IFERROR(VLOOKUP(EJ299,Horarios!$H:$I,2,0),"")</f>
        <v/>
      </c>
      <c r="EM299" s="28" t="str">
        <f t="shared" si="217"/>
        <v>00:00</v>
      </c>
      <c r="EN299" s="29"/>
      <c r="EO299" s="27"/>
      <c r="EP299" s="27"/>
      <c r="EQ299" s="28" t="str">
        <f>IFERROR(VLOOKUP(EO299,Horarios!$H:$I,2,0),"")</f>
        <v/>
      </c>
      <c r="ER299" s="28" t="str">
        <f>IFERROR(VLOOKUP(EP299,Horarios!$H:$I,2,0),"")</f>
        <v/>
      </c>
      <c r="ES299" s="28" t="str">
        <f t="shared" si="218"/>
        <v>00:00</v>
      </c>
      <c r="ET299" s="29"/>
      <c r="EU299" s="27"/>
      <c r="EV299" s="27"/>
      <c r="EW299" s="28" t="str">
        <f>IFERROR(VLOOKUP(EU299,Horarios!$H:$I,2,0),"")</f>
        <v/>
      </c>
      <c r="EX299" s="28" t="str">
        <f>IFERROR(VLOOKUP(EV299,Horarios!$H:$I,2,0),"")</f>
        <v/>
      </c>
      <c r="EY299" s="28" t="str">
        <f t="shared" si="219"/>
        <v>00:00</v>
      </c>
      <c r="EZ299" s="29"/>
      <c r="FA299" s="27"/>
      <c r="FB299" s="27"/>
      <c r="FC299" s="28" t="str">
        <f>IFERROR(VLOOKUP(FA299,Horarios!$H:$I,2,0),"")</f>
        <v/>
      </c>
      <c r="FD299" s="28" t="str">
        <f>IFERROR(VLOOKUP(FB299,Horarios!$H:$I,2,0),"")</f>
        <v/>
      </c>
      <c r="FE299" s="28" t="str">
        <f t="shared" si="220"/>
        <v>00:00</v>
      </c>
      <c r="FF299" s="29"/>
      <c r="FG299" s="27"/>
      <c r="FH299" s="27"/>
      <c r="FI299" s="28" t="str">
        <f>IFERROR(VLOOKUP(FG299,Horarios!$H:$I,2,0),"")</f>
        <v/>
      </c>
      <c r="FJ299" s="28" t="str">
        <f>IFERROR(VLOOKUP(FH299,Horarios!$H:$I,2,0),"")</f>
        <v/>
      </c>
      <c r="FK299" s="28" t="str">
        <f t="shared" si="221"/>
        <v>00:00</v>
      </c>
      <c r="FL299" s="29"/>
      <c r="FM299" s="27"/>
      <c r="FN299" s="27"/>
      <c r="FO299" s="28" t="str">
        <f>IFERROR(VLOOKUP(FM299,Horarios!$H:$I,2,0),"")</f>
        <v/>
      </c>
      <c r="FP299" s="28" t="str">
        <f>IFERROR(VLOOKUP(FN299,Horarios!$H:$I,2,0),"")</f>
        <v/>
      </c>
      <c r="FQ299" s="28" t="str">
        <f t="shared" si="222"/>
        <v>00:00</v>
      </c>
      <c r="FR299" s="29"/>
      <c r="FS299" s="31" t="str">
        <f t="shared" si="223"/>
        <v/>
      </c>
      <c r="FT299" s="27"/>
      <c r="FU299" s="27"/>
      <c r="FV299" s="28" t="str">
        <f>IFERROR(VLOOKUP(FT299,Horarios!$H:$I,2,0),"")</f>
        <v/>
      </c>
      <c r="FW299" s="28" t="str">
        <f>IFERROR(VLOOKUP(FU299,Horarios!$H:$I,2,0),"")</f>
        <v/>
      </c>
      <c r="FX299" s="28" t="str">
        <f t="shared" si="224"/>
        <v>00:00</v>
      </c>
      <c r="FY299" s="29"/>
      <c r="FZ299" s="27"/>
      <c r="GA299" s="27"/>
      <c r="GB299" s="28" t="str">
        <f>IFERROR(VLOOKUP(FZ299,Horarios!$H:$I,2,0),"")</f>
        <v/>
      </c>
      <c r="GC299" s="28" t="str">
        <f>IFERROR(VLOOKUP(GA299,Horarios!$H:$I,2,0),"")</f>
        <v/>
      </c>
      <c r="GD299" s="28" t="str">
        <f t="shared" si="225"/>
        <v>00:00</v>
      </c>
      <c r="GE299" s="29"/>
      <c r="GF299" s="27"/>
      <c r="GG299" s="27"/>
      <c r="GH299" s="28" t="str">
        <f>IFERROR(VLOOKUP(GF299,Horarios!$H:$I,2,0),"")</f>
        <v/>
      </c>
      <c r="GI299" s="28" t="str">
        <f>IFERROR(VLOOKUP(GG299,Horarios!$H:$I,2,0),"")</f>
        <v/>
      </c>
      <c r="GJ299" s="28" t="str">
        <f t="shared" si="226"/>
        <v>00:00</v>
      </c>
      <c r="GK299" s="29"/>
      <c r="GL299" s="27"/>
      <c r="GM299" s="27"/>
      <c r="GN299" s="28" t="str">
        <f>IFERROR(VLOOKUP(GL299,Horarios!$H:$I,2,0),"")</f>
        <v/>
      </c>
      <c r="GO299" s="28" t="str">
        <f>IFERROR(VLOOKUP(GM299,Horarios!$H:$I,2,0),"")</f>
        <v/>
      </c>
      <c r="GP299" s="28" t="str">
        <f t="shared" si="227"/>
        <v>00:00</v>
      </c>
      <c r="GQ299" s="29"/>
      <c r="GR299" s="27"/>
      <c r="GS299" s="27"/>
      <c r="GT299" s="28" t="str">
        <f>IFERROR(VLOOKUP(GR299,Horarios!$H:$I,2,0),"")</f>
        <v/>
      </c>
      <c r="GU299" s="28" t="str">
        <f>IFERROR(VLOOKUP(GS299,Horarios!$H:$I,2,0),"")</f>
        <v/>
      </c>
      <c r="GV299" s="28" t="str">
        <f t="shared" si="228"/>
        <v>00:00</v>
      </c>
      <c r="GW299" s="29"/>
      <c r="GX299" s="27"/>
      <c r="GY299" s="27"/>
      <c r="GZ299" s="28" t="str">
        <f>IFERROR(VLOOKUP(GX299,Horarios!$H:$I,2,0),"")</f>
        <v/>
      </c>
      <c r="HA299" s="28" t="str">
        <f>IFERROR(VLOOKUP(GY299,Horarios!$H:$I,2,0),"")</f>
        <v/>
      </c>
      <c r="HB299" s="28" t="str">
        <f t="shared" si="229"/>
        <v>00:00</v>
      </c>
      <c r="HC299" s="29"/>
      <c r="HD299" s="27"/>
      <c r="HE299" s="27"/>
      <c r="HF299" s="28" t="str">
        <f>IFERROR(VLOOKUP(HD299,Horarios!$H:$I,2,0),"")</f>
        <v/>
      </c>
      <c r="HG299" s="28" t="str">
        <f>IFERROR(VLOOKUP(HE299,Horarios!$H:$I,2,0),"")</f>
        <v/>
      </c>
      <c r="HH299" s="28" t="str">
        <f t="shared" si="230"/>
        <v>00:00</v>
      </c>
      <c r="HI299" s="29"/>
      <c r="HJ299" s="31" t="str">
        <f t="shared" si="231"/>
        <v/>
      </c>
      <c r="HK299" s="27"/>
      <c r="HL299" s="27"/>
      <c r="HM299" s="28" t="str">
        <f>IFERROR(VLOOKUP(HK299,Horarios!$H:$I,2,0),"")</f>
        <v/>
      </c>
      <c r="HN299" s="28" t="str">
        <f>IFERROR(VLOOKUP(HL299,Horarios!$H:$I,2,0),"")</f>
        <v/>
      </c>
      <c r="HO299" s="28" t="str">
        <f t="shared" si="232"/>
        <v>00:00</v>
      </c>
      <c r="HP299" s="29"/>
      <c r="HQ299" s="27"/>
      <c r="HR299" s="27"/>
      <c r="HS299" s="28" t="str">
        <f>IFERROR(VLOOKUP(HQ299,Horarios!$H:$I,2,0),"")</f>
        <v/>
      </c>
      <c r="HT299" s="28" t="str">
        <f>IFERROR(VLOOKUP(HR299,Horarios!$H:$I,2,0),"")</f>
        <v/>
      </c>
      <c r="HU299" s="28" t="str">
        <f t="shared" si="233"/>
        <v>00:00</v>
      </c>
      <c r="HV299" s="29"/>
      <c r="HW299" s="27"/>
      <c r="HX299" s="27"/>
      <c r="HY299" s="28" t="str">
        <f>IFERROR(VLOOKUP(HW299,Horarios!$H:$I,2,0),"")</f>
        <v/>
      </c>
      <c r="HZ299" s="28" t="str">
        <f>IFERROR(VLOOKUP(HX299,Horarios!$H:$I,2,0),"")</f>
        <v/>
      </c>
      <c r="IA299" s="28" t="str">
        <f t="shared" si="234"/>
        <v>00:00</v>
      </c>
      <c r="IB299" s="29"/>
      <c r="IC299" s="27"/>
      <c r="ID299" s="27"/>
      <c r="IE299" s="28" t="str">
        <f>IFERROR(VLOOKUP(IC299,Horarios!$H:$I,2,0),"")</f>
        <v/>
      </c>
      <c r="IF299" s="28" t="str">
        <f>IFERROR(VLOOKUP(ID299,Horarios!$H:$I,2,0),"")</f>
        <v/>
      </c>
      <c r="IG299" s="28" t="str">
        <f t="shared" si="235"/>
        <v>00:00</v>
      </c>
      <c r="IH299" s="29"/>
      <c r="II299" s="27"/>
      <c r="IJ299" s="27"/>
      <c r="IK299" s="28" t="str">
        <f>IFERROR(VLOOKUP(II299,Horarios!$H:$I,2,0),"")</f>
        <v/>
      </c>
      <c r="IL299" s="28" t="str">
        <f>IFERROR(VLOOKUP(IJ299,Horarios!$H:$I,2,0),"")</f>
        <v/>
      </c>
      <c r="IM299" s="28" t="str">
        <f t="shared" si="236"/>
        <v>00:00</v>
      </c>
      <c r="IN299" s="29"/>
      <c r="IO299" s="27"/>
      <c r="IP299" s="27"/>
      <c r="IQ299" s="28" t="str">
        <f>IFERROR(VLOOKUP(IO299,Horarios!$H:$I,2,0),"")</f>
        <v/>
      </c>
      <c r="IR299" s="28" t="str">
        <f>IFERROR(VLOOKUP(IP299,Horarios!$H:$I,2,0),"")</f>
        <v/>
      </c>
      <c r="IS299" s="28" t="str">
        <f t="shared" si="237"/>
        <v>00:00</v>
      </c>
      <c r="IT299" s="29"/>
      <c r="IU299" s="27"/>
      <c r="IV299" s="27"/>
      <c r="IW299" s="28" t="str">
        <f>IFERROR(VLOOKUP(IU299,Horarios!$H:$I,2,0),"")</f>
        <v/>
      </c>
      <c r="IX299" s="28" t="str">
        <f>IFERROR(VLOOKUP(IV299,Horarios!$H:$I,2,0),"")</f>
        <v/>
      </c>
      <c r="IY299" s="28" t="str">
        <f t="shared" si="238"/>
        <v>00:00</v>
      </c>
      <c r="IZ299" s="29"/>
      <c r="JA299" s="31" t="str">
        <f t="shared" si="239"/>
        <v/>
      </c>
    </row>
    <row r="300" spans="1:261" s="24" customFormat="1" ht="17.399999999999999" x14ac:dyDescent="0.25">
      <c r="A300" s="25"/>
      <c r="B300" s="26" t="str">
        <f>IFERROR(VLOOKUP(A300,BaseNombres!A:B,2,0),"")</f>
        <v/>
      </c>
      <c r="C300" s="26" t="str">
        <f>IFERROR(VLOOKUP(A300,BaseNombres!A:C,3,0),"")</f>
        <v/>
      </c>
      <c r="D300" s="27"/>
      <c r="E300" s="27"/>
      <c r="F300" s="28" t="str">
        <f>IFERROR(VLOOKUP(D300,Horarios!$H:$I,2,0),"")</f>
        <v/>
      </c>
      <c r="G300" s="28" t="str">
        <f>IFERROR(VLOOKUP(E300,Horarios!$H:$I,2,0),"")</f>
        <v/>
      </c>
      <c r="H300" s="28" t="str">
        <f t="shared" si="192"/>
        <v>00:00</v>
      </c>
      <c r="I300" s="29"/>
      <c r="J300" s="27"/>
      <c r="K300" s="27"/>
      <c r="L300" s="28" t="str">
        <f>IFERROR(VLOOKUP(J300,Horarios!$H:$I,2,0),"")</f>
        <v/>
      </c>
      <c r="M300" s="28" t="str">
        <f>IFERROR(VLOOKUP(K300,Horarios!$H:$I,2,0),"")</f>
        <v/>
      </c>
      <c r="N300" s="28" t="str">
        <f t="shared" si="193"/>
        <v>00:00</v>
      </c>
      <c r="O300" s="29"/>
      <c r="P300" s="27"/>
      <c r="Q300" s="27"/>
      <c r="R300" s="28" t="str">
        <f>IFERROR(VLOOKUP(P300,Horarios!$H:$I,2,0),"")</f>
        <v/>
      </c>
      <c r="S300" s="28" t="str">
        <f>IFERROR(VLOOKUP(Q300,Horarios!$H:$I,2,0),"")</f>
        <v/>
      </c>
      <c r="T300" s="28" t="str">
        <f t="shared" si="194"/>
        <v>00:00</v>
      </c>
      <c r="U300" s="29"/>
      <c r="V300" s="27"/>
      <c r="W300" s="27"/>
      <c r="X300" s="28" t="str">
        <f>IFERROR(VLOOKUP(V300,Horarios!$H:$I,2,0),"")</f>
        <v/>
      </c>
      <c r="Y300" s="28" t="str">
        <f>IFERROR(VLOOKUP(W300,Horarios!$H:$I,2,0),"")</f>
        <v/>
      </c>
      <c r="Z300" s="28" t="str">
        <f t="shared" si="195"/>
        <v>00:00</v>
      </c>
      <c r="AA300" s="29"/>
      <c r="AB300" s="27"/>
      <c r="AC300" s="27"/>
      <c r="AD300" s="28" t="str">
        <f>IFERROR(VLOOKUP(AB300,Horarios!$H:$I,2,0),"")</f>
        <v/>
      </c>
      <c r="AE300" s="28" t="str">
        <f>IFERROR(VLOOKUP(AC300,Horarios!$H:$I,2,0),"")</f>
        <v/>
      </c>
      <c r="AF300" s="28" t="str">
        <f t="shared" si="196"/>
        <v>00:00</v>
      </c>
      <c r="AG300" s="29"/>
      <c r="AH300" s="27"/>
      <c r="AI300" s="27"/>
      <c r="AJ300" s="28" t="str">
        <f>IFERROR(VLOOKUP(AH300,Horarios!$H:$I,2,0),"")</f>
        <v/>
      </c>
      <c r="AK300" s="28" t="str">
        <f>IFERROR(VLOOKUP(AI300,Horarios!$H:$I,2,0),"")</f>
        <v/>
      </c>
      <c r="AL300" s="28" t="str">
        <f t="shared" si="197"/>
        <v>00:00</v>
      </c>
      <c r="AM300" s="29"/>
      <c r="AN300" s="27"/>
      <c r="AO300" s="27"/>
      <c r="AP300" s="28" t="str">
        <f>IFERROR(VLOOKUP(AN300,Horarios!$H:$I,2,0),"")</f>
        <v/>
      </c>
      <c r="AQ300" s="28" t="str">
        <f>IFERROR(VLOOKUP(AO300,Horarios!$H:$I,2,0),"")</f>
        <v/>
      </c>
      <c r="AR300" s="28" t="str">
        <f t="shared" si="198"/>
        <v>00:00</v>
      </c>
      <c r="AS300" s="29"/>
      <c r="AT300" s="31" t="str">
        <f t="shared" si="199"/>
        <v/>
      </c>
      <c r="AU300" s="27"/>
      <c r="AV300" s="27"/>
      <c r="AW300" s="28" t="str">
        <f>IFERROR(VLOOKUP(AU300,Horarios!$H:$I,2,0),"")</f>
        <v/>
      </c>
      <c r="AX300" s="28" t="str">
        <f>IFERROR(VLOOKUP(AV300,Horarios!$H:$I,2,0),"")</f>
        <v/>
      </c>
      <c r="AY300" s="28" t="str">
        <f t="shared" si="200"/>
        <v>00:00</v>
      </c>
      <c r="AZ300" s="29"/>
      <c r="BA300" s="27"/>
      <c r="BB300" s="27"/>
      <c r="BC300" s="28" t="str">
        <f>IFERROR(VLOOKUP(BA300,Horarios!$H:$I,2,0),"")</f>
        <v/>
      </c>
      <c r="BD300" s="28" t="str">
        <f>IFERROR(VLOOKUP(BB300,Horarios!$H:$I,2,0),"")</f>
        <v/>
      </c>
      <c r="BE300" s="28" t="str">
        <f t="shared" si="201"/>
        <v>00:00</v>
      </c>
      <c r="BF300" s="29"/>
      <c r="BG300" s="27"/>
      <c r="BH300" s="27"/>
      <c r="BI300" s="28" t="str">
        <f>IFERROR(VLOOKUP(BG300,Horarios!$H:$I,2,0),"")</f>
        <v/>
      </c>
      <c r="BJ300" s="28" t="str">
        <f>IFERROR(VLOOKUP(BH300,Horarios!$H:$I,2,0),"")</f>
        <v/>
      </c>
      <c r="BK300" s="28" t="str">
        <f t="shared" si="202"/>
        <v>00:00</v>
      </c>
      <c r="BL300" s="29"/>
      <c r="BM300" s="27"/>
      <c r="BN300" s="27"/>
      <c r="BO300" s="28" t="str">
        <f>IFERROR(VLOOKUP(BM300,Horarios!$H:$I,2,0),"")</f>
        <v/>
      </c>
      <c r="BP300" s="28" t="str">
        <f>IFERROR(VLOOKUP(BN300,Horarios!$H:$I,2,0),"")</f>
        <v/>
      </c>
      <c r="BQ300" s="28" t="str">
        <f t="shared" si="203"/>
        <v>00:00</v>
      </c>
      <c r="BR300" s="29"/>
      <c r="BS300" s="27"/>
      <c r="BT300" s="27"/>
      <c r="BU300" s="28" t="str">
        <f>IFERROR(VLOOKUP(BS300,Horarios!$H:$I,2,0),"")</f>
        <v/>
      </c>
      <c r="BV300" s="28" t="str">
        <f>IFERROR(VLOOKUP(BT300,Horarios!$H:$I,2,0),"")</f>
        <v/>
      </c>
      <c r="BW300" s="28" t="str">
        <f t="shared" si="204"/>
        <v>00:00</v>
      </c>
      <c r="BX300" s="29"/>
      <c r="BY300" s="27"/>
      <c r="BZ300" s="27"/>
      <c r="CA300" s="28" t="str">
        <f>IFERROR(VLOOKUP(BY300,Horarios!$H:$I,2,0),"")</f>
        <v/>
      </c>
      <c r="CB300" s="28" t="str">
        <f>IFERROR(VLOOKUP(BZ300,Horarios!$H:$I,2,0),"")</f>
        <v/>
      </c>
      <c r="CC300" s="28" t="str">
        <f t="shared" si="205"/>
        <v>00:00</v>
      </c>
      <c r="CD300" s="29"/>
      <c r="CE300" s="27"/>
      <c r="CF300" s="27"/>
      <c r="CG300" s="28" t="str">
        <f>IFERROR(VLOOKUP(CE300,Horarios!$H:$I,2,0),"")</f>
        <v/>
      </c>
      <c r="CH300" s="28" t="str">
        <f>IFERROR(VLOOKUP(CF300,Horarios!$H:$I,2,0),"")</f>
        <v/>
      </c>
      <c r="CI300" s="28" t="str">
        <f t="shared" si="206"/>
        <v>00:00</v>
      </c>
      <c r="CJ300" s="29"/>
      <c r="CK300" s="31" t="str">
        <f t="shared" si="207"/>
        <v/>
      </c>
      <c r="CL300" s="27"/>
      <c r="CM300" s="27"/>
      <c r="CN300" s="28" t="str">
        <f>IFERROR(VLOOKUP(CL300,Horarios!$H:$I,2,0),"")</f>
        <v/>
      </c>
      <c r="CO300" s="28" t="str">
        <f>IFERROR(VLOOKUP(CM300,Horarios!$H:$I,2,0),"")</f>
        <v/>
      </c>
      <c r="CP300" s="28" t="str">
        <f t="shared" si="208"/>
        <v>00:00</v>
      </c>
      <c r="CQ300" s="29"/>
      <c r="CR300" s="27"/>
      <c r="CS300" s="27"/>
      <c r="CT300" s="28" t="str">
        <f>IFERROR(VLOOKUP(CR300,Horarios!$H:$I,2,0),"")</f>
        <v/>
      </c>
      <c r="CU300" s="28" t="str">
        <f>IFERROR(VLOOKUP(CS300,Horarios!$H:$I,2,0),"")</f>
        <v/>
      </c>
      <c r="CV300" s="28" t="str">
        <f t="shared" si="209"/>
        <v>00:00</v>
      </c>
      <c r="CW300" s="29"/>
      <c r="CX300" s="27"/>
      <c r="CY300" s="27"/>
      <c r="CZ300" s="28" t="str">
        <f>IFERROR(VLOOKUP(CX300,Horarios!$H:$I,2,0),"")</f>
        <v/>
      </c>
      <c r="DA300" s="28" t="str">
        <f>IFERROR(VLOOKUP(CY300,Horarios!$H:$I,2,0),"")</f>
        <v/>
      </c>
      <c r="DB300" s="28" t="str">
        <f t="shared" si="210"/>
        <v>00:00</v>
      </c>
      <c r="DC300" s="29"/>
      <c r="DD300" s="27"/>
      <c r="DE300" s="27"/>
      <c r="DF300" s="28" t="str">
        <f>IFERROR(VLOOKUP(DD300,Horarios!$H:$I,2,0),"")</f>
        <v/>
      </c>
      <c r="DG300" s="28" t="str">
        <f>IFERROR(VLOOKUP(DE300,Horarios!$H:$I,2,0),"")</f>
        <v/>
      </c>
      <c r="DH300" s="28" t="str">
        <f t="shared" si="211"/>
        <v>00:00</v>
      </c>
      <c r="DI300" s="29"/>
      <c r="DJ300" s="27"/>
      <c r="DK300" s="27"/>
      <c r="DL300" s="28" t="str">
        <f>IFERROR(VLOOKUP(DJ300,Horarios!$H:$I,2,0),"")</f>
        <v/>
      </c>
      <c r="DM300" s="28" t="str">
        <f>IFERROR(VLOOKUP(DK300,Horarios!$H:$I,2,0),"")</f>
        <v/>
      </c>
      <c r="DN300" s="28" t="str">
        <f t="shared" si="212"/>
        <v>00:00</v>
      </c>
      <c r="DO300" s="29"/>
      <c r="DP300" s="27"/>
      <c r="DQ300" s="27"/>
      <c r="DR300" s="28" t="str">
        <f>IFERROR(VLOOKUP(DP300,Horarios!$H:$I,2,0),"")</f>
        <v/>
      </c>
      <c r="DS300" s="28" t="str">
        <f>IFERROR(VLOOKUP(DQ300,Horarios!$H:$I,2,0),"")</f>
        <v/>
      </c>
      <c r="DT300" s="28" t="str">
        <f t="shared" si="213"/>
        <v>00:00</v>
      </c>
      <c r="DU300" s="29"/>
      <c r="DV300" s="27"/>
      <c r="DW300" s="27"/>
      <c r="DX300" s="28" t="str">
        <f>IFERROR(VLOOKUP(DV300,Horarios!$H:$I,2,0),"")</f>
        <v/>
      </c>
      <c r="DY300" s="28" t="str">
        <f>IFERROR(VLOOKUP(DW300,Horarios!$H:$I,2,0),"")</f>
        <v/>
      </c>
      <c r="DZ300" s="28" t="str">
        <f t="shared" si="214"/>
        <v>00:00</v>
      </c>
      <c r="EA300" s="29"/>
      <c r="EB300" s="31" t="str">
        <f t="shared" si="215"/>
        <v/>
      </c>
      <c r="EC300" s="27"/>
      <c r="ED300" s="27"/>
      <c r="EE300" s="28" t="str">
        <f>IFERROR(VLOOKUP(EC300,Horarios!$H:$I,2,0),"")</f>
        <v/>
      </c>
      <c r="EF300" s="28" t="str">
        <f>IFERROR(VLOOKUP(ED300,Horarios!$H:$I,2,0),"")</f>
        <v/>
      </c>
      <c r="EG300" s="28" t="str">
        <f t="shared" si="216"/>
        <v>00:00</v>
      </c>
      <c r="EH300" s="29"/>
      <c r="EI300" s="27"/>
      <c r="EJ300" s="27"/>
      <c r="EK300" s="28" t="str">
        <f>IFERROR(VLOOKUP(EI300,Horarios!$H:$I,2,0),"")</f>
        <v/>
      </c>
      <c r="EL300" s="28" t="str">
        <f>IFERROR(VLOOKUP(EJ300,Horarios!$H:$I,2,0),"")</f>
        <v/>
      </c>
      <c r="EM300" s="28" t="str">
        <f t="shared" si="217"/>
        <v>00:00</v>
      </c>
      <c r="EN300" s="29"/>
      <c r="EO300" s="27"/>
      <c r="EP300" s="27"/>
      <c r="EQ300" s="28" t="str">
        <f>IFERROR(VLOOKUP(EO300,Horarios!$H:$I,2,0),"")</f>
        <v/>
      </c>
      <c r="ER300" s="28" t="str">
        <f>IFERROR(VLOOKUP(EP300,Horarios!$H:$I,2,0),"")</f>
        <v/>
      </c>
      <c r="ES300" s="28" t="str">
        <f t="shared" si="218"/>
        <v>00:00</v>
      </c>
      <c r="ET300" s="29"/>
      <c r="EU300" s="27"/>
      <c r="EV300" s="27"/>
      <c r="EW300" s="28" t="str">
        <f>IFERROR(VLOOKUP(EU300,Horarios!$H:$I,2,0),"")</f>
        <v/>
      </c>
      <c r="EX300" s="28" t="str">
        <f>IFERROR(VLOOKUP(EV300,Horarios!$H:$I,2,0),"")</f>
        <v/>
      </c>
      <c r="EY300" s="28" t="str">
        <f t="shared" si="219"/>
        <v>00:00</v>
      </c>
      <c r="EZ300" s="29"/>
      <c r="FA300" s="27"/>
      <c r="FB300" s="27"/>
      <c r="FC300" s="28" t="str">
        <f>IFERROR(VLOOKUP(FA300,Horarios!$H:$I,2,0),"")</f>
        <v/>
      </c>
      <c r="FD300" s="28" t="str">
        <f>IFERROR(VLOOKUP(FB300,Horarios!$H:$I,2,0),"")</f>
        <v/>
      </c>
      <c r="FE300" s="28" t="str">
        <f t="shared" si="220"/>
        <v>00:00</v>
      </c>
      <c r="FF300" s="29"/>
      <c r="FG300" s="27"/>
      <c r="FH300" s="27"/>
      <c r="FI300" s="28" t="str">
        <f>IFERROR(VLOOKUP(FG300,Horarios!$H:$I,2,0),"")</f>
        <v/>
      </c>
      <c r="FJ300" s="28" t="str">
        <f>IFERROR(VLOOKUP(FH300,Horarios!$H:$I,2,0),"")</f>
        <v/>
      </c>
      <c r="FK300" s="28" t="str">
        <f t="shared" si="221"/>
        <v>00:00</v>
      </c>
      <c r="FL300" s="29"/>
      <c r="FM300" s="27"/>
      <c r="FN300" s="27"/>
      <c r="FO300" s="28" t="str">
        <f>IFERROR(VLOOKUP(FM300,Horarios!$H:$I,2,0),"")</f>
        <v/>
      </c>
      <c r="FP300" s="28" t="str">
        <f>IFERROR(VLOOKUP(FN300,Horarios!$H:$I,2,0),"")</f>
        <v/>
      </c>
      <c r="FQ300" s="28" t="str">
        <f t="shared" si="222"/>
        <v>00:00</v>
      </c>
      <c r="FR300" s="29"/>
      <c r="FS300" s="31" t="str">
        <f t="shared" si="223"/>
        <v/>
      </c>
      <c r="FT300" s="27"/>
      <c r="FU300" s="27"/>
      <c r="FV300" s="28" t="str">
        <f>IFERROR(VLOOKUP(FT300,Horarios!$H:$I,2,0),"")</f>
        <v/>
      </c>
      <c r="FW300" s="28" t="str">
        <f>IFERROR(VLOOKUP(FU300,Horarios!$H:$I,2,0),"")</f>
        <v/>
      </c>
      <c r="FX300" s="28" t="str">
        <f t="shared" si="224"/>
        <v>00:00</v>
      </c>
      <c r="FY300" s="29"/>
      <c r="FZ300" s="27"/>
      <c r="GA300" s="27"/>
      <c r="GB300" s="28" t="str">
        <f>IFERROR(VLOOKUP(FZ300,Horarios!$H:$I,2,0),"")</f>
        <v/>
      </c>
      <c r="GC300" s="28" t="str">
        <f>IFERROR(VLOOKUP(GA300,Horarios!$H:$I,2,0),"")</f>
        <v/>
      </c>
      <c r="GD300" s="28" t="str">
        <f t="shared" si="225"/>
        <v>00:00</v>
      </c>
      <c r="GE300" s="29"/>
      <c r="GF300" s="27"/>
      <c r="GG300" s="27"/>
      <c r="GH300" s="28" t="str">
        <f>IFERROR(VLOOKUP(GF300,Horarios!$H:$I,2,0),"")</f>
        <v/>
      </c>
      <c r="GI300" s="28" t="str">
        <f>IFERROR(VLOOKUP(GG300,Horarios!$H:$I,2,0),"")</f>
        <v/>
      </c>
      <c r="GJ300" s="28" t="str">
        <f t="shared" si="226"/>
        <v>00:00</v>
      </c>
      <c r="GK300" s="29"/>
      <c r="GL300" s="27"/>
      <c r="GM300" s="27"/>
      <c r="GN300" s="28" t="str">
        <f>IFERROR(VLOOKUP(GL300,Horarios!$H:$I,2,0),"")</f>
        <v/>
      </c>
      <c r="GO300" s="28" t="str">
        <f>IFERROR(VLOOKUP(GM300,Horarios!$H:$I,2,0),"")</f>
        <v/>
      </c>
      <c r="GP300" s="28" t="str">
        <f t="shared" si="227"/>
        <v>00:00</v>
      </c>
      <c r="GQ300" s="29"/>
      <c r="GR300" s="27"/>
      <c r="GS300" s="27"/>
      <c r="GT300" s="28" t="str">
        <f>IFERROR(VLOOKUP(GR300,Horarios!$H:$I,2,0),"")</f>
        <v/>
      </c>
      <c r="GU300" s="28" t="str">
        <f>IFERROR(VLOOKUP(GS300,Horarios!$H:$I,2,0),"")</f>
        <v/>
      </c>
      <c r="GV300" s="28" t="str">
        <f t="shared" si="228"/>
        <v>00:00</v>
      </c>
      <c r="GW300" s="29"/>
      <c r="GX300" s="27"/>
      <c r="GY300" s="27"/>
      <c r="GZ300" s="28" t="str">
        <f>IFERROR(VLOOKUP(GX300,Horarios!$H:$I,2,0),"")</f>
        <v/>
      </c>
      <c r="HA300" s="28" t="str">
        <f>IFERROR(VLOOKUP(GY300,Horarios!$H:$I,2,0),"")</f>
        <v/>
      </c>
      <c r="HB300" s="28" t="str">
        <f t="shared" si="229"/>
        <v>00:00</v>
      </c>
      <c r="HC300" s="29"/>
      <c r="HD300" s="27"/>
      <c r="HE300" s="27"/>
      <c r="HF300" s="28" t="str">
        <f>IFERROR(VLOOKUP(HD300,Horarios!$H:$I,2,0),"")</f>
        <v/>
      </c>
      <c r="HG300" s="28" t="str">
        <f>IFERROR(VLOOKUP(HE300,Horarios!$H:$I,2,0),"")</f>
        <v/>
      </c>
      <c r="HH300" s="28" t="str">
        <f t="shared" si="230"/>
        <v>00:00</v>
      </c>
      <c r="HI300" s="29"/>
      <c r="HJ300" s="31" t="str">
        <f t="shared" si="231"/>
        <v/>
      </c>
      <c r="HK300" s="27"/>
      <c r="HL300" s="27"/>
      <c r="HM300" s="28" t="str">
        <f>IFERROR(VLOOKUP(HK300,Horarios!$H:$I,2,0),"")</f>
        <v/>
      </c>
      <c r="HN300" s="28" t="str">
        <f>IFERROR(VLOOKUP(HL300,Horarios!$H:$I,2,0),"")</f>
        <v/>
      </c>
      <c r="HO300" s="28" t="str">
        <f t="shared" si="232"/>
        <v>00:00</v>
      </c>
      <c r="HP300" s="29"/>
      <c r="HQ300" s="27"/>
      <c r="HR300" s="27"/>
      <c r="HS300" s="28" t="str">
        <f>IFERROR(VLOOKUP(HQ300,Horarios!$H:$I,2,0),"")</f>
        <v/>
      </c>
      <c r="HT300" s="28" t="str">
        <f>IFERROR(VLOOKUP(HR300,Horarios!$H:$I,2,0),"")</f>
        <v/>
      </c>
      <c r="HU300" s="28" t="str">
        <f t="shared" si="233"/>
        <v>00:00</v>
      </c>
      <c r="HV300" s="29"/>
      <c r="HW300" s="27"/>
      <c r="HX300" s="27"/>
      <c r="HY300" s="28" t="str">
        <f>IFERROR(VLOOKUP(HW300,Horarios!$H:$I,2,0),"")</f>
        <v/>
      </c>
      <c r="HZ300" s="28" t="str">
        <f>IFERROR(VLOOKUP(HX300,Horarios!$H:$I,2,0),"")</f>
        <v/>
      </c>
      <c r="IA300" s="28" t="str">
        <f t="shared" si="234"/>
        <v>00:00</v>
      </c>
      <c r="IB300" s="29"/>
      <c r="IC300" s="27"/>
      <c r="ID300" s="27"/>
      <c r="IE300" s="28" t="str">
        <f>IFERROR(VLOOKUP(IC300,Horarios!$H:$I,2,0),"")</f>
        <v/>
      </c>
      <c r="IF300" s="28" t="str">
        <f>IFERROR(VLOOKUP(ID300,Horarios!$H:$I,2,0),"")</f>
        <v/>
      </c>
      <c r="IG300" s="28" t="str">
        <f t="shared" si="235"/>
        <v>00:00</v>
      </c>
      <c r="IH300" s="29"/>
      <c r="II300" s="27"/>
      <c r="IJ300" s="27"/>
      <c r="IK300" s="28" t="str">
        <f>IFERROR(VLOOKUP(II300,Horarios!$H:$I,2,0),"")</f>
        <v/>
      </c>
      <c r="IL300" s="28" t="str">
        <f>IFERROR(VLOOKUP(IJ300,Horarios!$H:$I,2,0),"")</f>
        <v/>
      </c>
      <c r="IM300" s="28" t="str">
        <f t="shared" si="236"/>
        <v>00:00</v>
      </c>
      <c r="IN300" s="29"/>
      <c r="IO300" s="27"/>
      <c r="IP300" s="27"/>
      <c r="IQ300" s="28" t="str">
        <f>IFERROR(VLOOKUP(IO300,Horarios!$H:$I,2,0),"")</f>
        <v/>
      </c>
      <c r="IR300" s="28" t="str">
        <f>IFERROR(VLOOKUP(IP300,Horarios!$H:$I,2,0),"")</f>
        <v/>
      </c>
      <c r="IS300" s="28" t="str">
        <f t="shared" si="237"/>
        <v>00:00</v>
      </c>
      <c r="IT300" s="29"/>
      <c r="IU300" s="27"/>
      <c r="IV300" s="27"/>
      <c r="IW300" s="28" t="str">
        <f>IFERROR(VLOOKUP(IU300,Horarios!$H:$I,2,0),"")</f>
        <v/>
      </c>
      <c r="IX300" s="28" t="str">
        <f>IFERROR(VLOOKUP(IV300,Horarios!$H:$I,2,0),"")</f>
        <v/>
      </c>
      <c r="IY300" s="28" t="str">
        <f t="shared" si="238"/>
        <v>00:00</v>
      </c>
      <c r="IZ300" s="29"/>
      <c r="JA300" s="31" t="str">
        <f t="shared" si="239"/>
        <v/>
      </c>
    </row>
  </sheetData>
  <sheetProtection algorithmName="SHA-512" hashValue="YxxYjfbQNcQdVe67aHpSt455ttic9moG0qyWz1ycwyTYNVTHitPOrbBDBF0LSrBOH/ZhZxlgxaYOD8mm60FKZw==" saltValue="FmzrpyF0hKvcwyuF1MF+Mg==" spinCount="100000" sheet="1" objects="1" scenarios="1" formatCells="0" autoFilter="0"/>
  <mergeCells count="90">
    <mergeCell ref="FT6:HJ6"/>
    <mergeCell ref="HK6:JA6"/>
    <mergeCell ref="D6:AT6"/>
    <mergeCell ref="AU6:CK6"/>
    <mergeCell ref="CL6:EB6"/>
    <mergeCell ref="EC6:FS6"/>
    <mergeCell ref="AH7:AL7"/>
    <mergeCell ref="AN7:AR7"/>
    <mergeCell ref="D7:H7"/>
    <mergeCell ref="J7:O7"/>
    <mergeCell ref="P7:T7"/>
    <mergeCell ref="V7:Z7"/>
    <mergeCell ref="AB7:AF7"/>
    <mergeCell ref="AH8:AL8"/>
    <mergeCell ref="AN8:AR8"/>
    <mergeCell ref="D8:H8"/>
    <mergeCell ref="J8:N8"/>
    <mergeCell ref="P8:T8"/>
    <mergeCell ref="V8:Z8"/>
    <mergeCell ref="AB8:AF8"/>
    <mergeCell ref="BY7:CC7"/>
    <mergeCell ref="CE7:CI7"/>
    <mergeCell ref="AU8:AY8"/>
    <mergeCell ref="BA8:BE8"/>
    <mergeCell ref="BG8:BK8"/>
    <mergeCell ref="BM8:BQ8"/>
    <mergeCell ref="BS8:BW8"/>
    <mergeCell ref="AU7:AY7"/>
    <mergeCell ref="BA7:BF7"/>
    <mergeCell ref="BG7:BK7"/>
    <mergeCell ref="BM7:BQ7"/>
    <mergeCell ref="BS7:BW7"/>
    <mergeCell ref="BY8:CC8"/>
    <mergeCell ref="CE8:CI8"/>
    <mergeCell ref="DP7:DT7"/>
    <mergeCell ref="DV7:DZ7"/>
    <mergeCell ref="CL8:CP8"/>
    <mergeCell ref="CR8:CV8"/>
    <mergeCell ref="CX8:DB8"/>
    <mergeCell ref="DD8:DH8"/>
    <mergeCell ref="DJ8:DN8"/>
    <mergeCell ref="DP8:DT8"/>
    <mergeCell ref="DV8:DZ8"/>
    <mergeCell ref="CL7:CP7"/>
    <mergeCell ref="CR7:CW7"/>
    <mergeCell ref="CX7:DB7"/>
    <mergeCell ref="DD7:DH7"/>
    <mergeCell ref="DJ7:DN7"/>
    <mergeCell ref="FG7:FK7"/>
    <mergeCell ref="FM7:FQ7"/>
    <mergeCell ref="EC8:EG8"/>
    <mergeCell ref="EI8:EM8"/>
    <mergeCell ref="EO8:ES8"/>
    <mergeCell ref="EU8:EY8"/>
    <mergeCell ref="FA8:FE8"/>
    <mergeCell ref="FG8:FK8"/>
    <mergeCell ref="FM8:FQ8"/>
    <mergeCell ref="EC7:EG7"/>
    <mergeCell ref="EI7:EN7"/>
    <mergeCell ref="EO7:ES7"/>
    <mergeCell ref="EU7:EY7"/>
    <mergeCell ref="FA7:FE7"/>
    <mergeCell ref="GX7:HB7"/>
    <mergeCell ref="HD7:HH7"/>
    <mergeCell ref="FT8:FX8"/>
    <mergeCell ref="FZ8:GD8"/>
    <mergeCell ref="GF8:GJ8"/>
    <mergeCell ref="GL8:GP8"/>
    <mergeCell ref="GR8:GV8"/>
    <mergeCell ref="GX8:HB8"/>
    <mergeCell ref="HD8:HH8"/>
    <mergeCell ref="FT7:FX7"/>
    <mergeCell ref="FZ7:GE7"/>
    <mergeCell ref="GF7:GJ7"/>
    <mergeCell ref="GL7:GP7"/>
    <mergeCell ref="GR7:GV7"/>
    <mergeCell ref="IO7:IS7"/>
    <mergeCell ref="IU7:IY7"/>
    <mergeCell ref="HK8:HO8"/>
    <mergeCell ref="HQ8:HU8"/>
    <mergeCell ref="HW8:IA8"/>
    <mergeCell ref="IC8:IG8"/>
    <mergeCell ref="II8:IM8"/>
    <mergeCell ref="IO8:IS8"/>
    <mergeCell ref="IU8:IY8"/>
    <mergeCell ref="HK7:HO7"/>
    <mergeCell ref="HQ7:HV7"/>
    <mergeCell ref="HW7:IA7"/>
    <mergeCell ref="IC7:IG7"/>
    <mergeCell ref="II7:IM7"/>
  </mergeCells>
  <conditionalFormatting sqref="AT9">
    <cfRule type="cellIs" dxfId="12" priority="1097" operator="equal">
      <formula>0</formula>
    </cfRule>
  </conditionalFormatting>
  <conditionalFormatting sqref="CK9">
    <cfRule type="cellIs" dxfId="11" priority="1033" operator="equal">
      <formula>0</formula>
    </cfRule>
  </conditionalFormatting>
  <conditionalFormatting sqref="EB9">
    <cfRule type="cellIs" dxfId="10" priority="998" operator="equal">
      <formula>0</formula>
    </cfRule>
  </conditionalFormatting>
  <conditionalFormatting sqref="FS9">
    <cfRule type="cellIs" dxfId="9" priority="963" operator="equal">
      <formula>0</formula>
    </cfRule>
  </conditionalFormatting>
  <conditionalFormatting sqref="HJ9">
    <cfRule type="cellIs" dxfId="8" priority="928" operator="equal">
      <formula>0</formula>
    </cfRule>
  </conditionalFormatting>
  <conditionalFormatting sqref="JA9">
    <cfRule type="cellIs" dxfId="7" priority="893" operator="equal">
      <formula>0</formula>
    </cfRule>
  </conditionalFormatting>
  <conditionalFormatting sqref="H10:H299 N10:N299 T10:T299 Z10:Z299 AF10:AF299 AL10:AL299 AR10:AR299 AY10:AY299 BE10:BE299 BK10:BK299 BQ10:BQ299 BW10:BW299 CC10:CC299 CI10:CI299 CP10:CP299 CV10:CV299 DB10:DB299 DH10:DH299 DN10:DN299 DT10:DT299 DZ10:DZ299 EG10:EG299 EM10:EM299 ES10:ES299 EY10:EY299 FE10:FE299 FK10:FK299 FQ10:FQ299 FX10:FX299 GD10:GD299 GJ10:GJ299 GP10:GP299 GV10:GV299 HB10:HB299 HH10:HH299 HO10:HO299 HU10:HU299 IA10:IA299 IG10:IG299 IM10:IM299 IS10:IS299 IY10:IY299">
    <cfRule type="expression" dxfId="6" priority="86">
      <formula>H10="00:00"</formula>
    </cfRule>
    <cfRule type="expression" dxfId="5" priority="97">
      <formula>H10&lt;&gt;"00:00"</formula>
    </cfRule>
  </conditionalFormatting>
  <conditionalFormatting sqref="A20">
    <cfRule type="duplicateValues" dxfId="4" priority="88"/>
  </conditionalFormatting>
  <conditionalFormatting sqref="A11:A14 A16:A18">
    <cfRule type="duplicateValues" dxfId="3" priority="87"/>
  </conditionalFormatting>
  <conditionalFormatting sqref="IY10:IY300 IS10:IS300 IM10:IM300 IG10:IG300 IA10:IA300 HU10:HU300 HO10:HO300 HH10:HH300 HB10:HB300 GV10:GV300 GP10:GP300 GJ10:GJ300 GD10:GD300 FX10:FX300 FQ10:FQ300 FK10:FK300 FE10:FE300 EY10:EY300 ES10:ES300 EM10:EM300 EG10:EG300 DZ10:DZ300 DT10:DT300 DN10:DN300 DH10:DH300 DB10:DB300 CV10:CV300 CP10:CP300 CI10:CI300 CC10:CC300 BW10:BW300 BQ10:BQ300 BK10:BK300 BE10:BE300 AY10:AY300 AR10:AR300 AL10:AL300 AF10:AF300 Z10:Z300 T10:T300 N10:N300 H10:H300">
    <cfRule type="expression" dxfId="2" priority="2">
      <formula>H10="00:00"</formula>
    </cfRule>
    <cfRule type="expression" dxfId="1" priority="3">
      <formula>H10&lt;&gt;"00:00"</formula>
    </cfRule>
  </conditionalFormatting>
  <conditionalFormatting sqref="A10:A300">
    <cfRule type="duplicateValues" dxfId="0" priority="1098"/>
  </conditionalFormatting>
  <dataValidations count="1">
    <dataValidation type="list" allowBlank="1" showInputMessage="1" showErrorMessage="1" sqref="B5" xr:uid="{00000000-0002-0000-0200-000000000000}">
      <formula1>"ENERO,FEBRERO,MARZO,ABRIL,MAYO,JUNIO,JULIO,AGOSTO,SEPTIEMBRE,OCTUBRE,NOVIEMBRE,DICIEMBRE"</formula1>
    </dataValidation>
  </dataValidations>
  <printOptions headings="1"/>
  <pageMargins left="0.31" right="0.21" top="0.74803149606299213" bottom="0.74803149606299213" header="0.31496062992125984" footer="0.31496062992125984"/>
  <pageSetup scale="56" orientation="landscape" r:id="rId1"/>
  <headerFooter>
    <oddFooter xml:space="preserve">&amp;LF.________________________     
Hecho por:&amp;CF.____________________
Autorizado por:&amp;R&amp;P/&amp;N
&amp;D   &amp;T
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2000000}">
          <x14:formula1>
            <xm:f>INDIRECT("Horarios!H4:H"&amp;Horarios!$K$5)</xm:f>
          </x14:formula1>
          <xm:sqref>D10:E300 J10:K300 P10:Q300 V10:W300 AB10:AC300 AH10:AI300 AN10:AO300 BG10:BH300 BM10:BN300 BS10:BT300 BY10:BZ300 CE10:CF300 CL10:CM300 CR10:CS300 CX10:CY300 DD10:DE300 DJ10:DK300 DP10:DQ300 DV10:DW300 EC10:ED300 EI10:EJ300 EO10:EP300 EU10:EV300 FA10:FB300 FG10:FH300 FM10:FN300 FT10:FU300 FZ10:GA300 GF10:GG300 GL10:GM300 GR10:GS300 GX10:GY300 HD10:HE300 HK10:HL300 HQ10:HR300 HW10:HX300 IC10:ID300 II10:IJ300 IO10:IP300 IU10:IV300 AU10:AV300 BA10:BB300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B13"/>
  <sheetViews>
    <sheetView workbookViewId="0">
      <selection activeCell="C4" sqref="C4"/>
    </sheetView>
  </sheetViews>
  <sheetFormatPr baseColWidth="10" defaultRowHeight="13.8" x14ac:dyDescent="0.25"/>
  <cols>
    <col min="1" max="1" width="12.59765625" customWidth="1"/>
    <col min="2" max="2" width="5.19921875" style="71" customWidth="1"/>
  </cols>
  <sheetData>
    <row r="2" spans="1:2" x14ac:dyDescent="0.25">
      <c r="A2" t="s">
        <v>54</v>
      </c>
      <c r="B2" s="71">
        <v>1</v>
      </c>
    </row>
    <row r="3" spans="1:2" x14ac:dyDescent="0.25">
      <c r="A3" t="s">
        <v>55</v>
      </c>
      <c r="B3" s="71">
        <v>2</v>
      </c>
    </row>
    <row r="4" spans="1:2" x14ac:dyDescent="0.25">
      <c r="A4" t="s">
        <v>56</v>
      </c>
      <c r="B4" s="71">
        <v>3</v>
      </c>
    </row>
    <row r="5" spans="1:2" x14ac:dyDescent="0.25">
      <c r="A5" t="s">
        <v>57</v>
      </c>
      <c r="B5" s="71">
        <v>4</v>
      </c>
    </row>
    <row r="6" spans="1:2" x14ac:dyDescent="0.25">
      <c r="A6" t="s">
        <v>58</v>
      </c>
      <c r="B6" s="71">
        <v>5</v>
      </c>
    </row>
    <row r="7" spans="1:2" x14ac:dyDescent="0.25">
      <c r="A7" t="s">
        <v>59</v>
      </c>
      <c r="B7" s="71">
        <v>6</v>
      </c>
    </row>
    <row r="8" spans="1:2" x14ac:dyDescent="0.25">
      <c r="A8" t="s">
        <v>60</v>
      </c>
      <c r="B8" s="71">
        <v>7</v>
      </c>
    </row>
    <row r="9" spans="1:2" x14ac:dyDescent="0.25">
      <c r="A9" t="s">
        <v>61</v>
      </c>
      <c r="B9" s="71">
        <v>8</v>
      </c>
    </row>
    <row r="10" spans="1:2" x14ac:dyDescent="0.25">
      <c r="A10" t="s">
        <v>62</v>
      </c>
      <c r="B10" s="71">
        <v>9</v>
      </c>
    </row>
    <row r="11" spans="1:2" x14ac:dyDescent="0.25">
      <c r="A11" t="s">
        <v>63</v>
      </c>
      <c r="B11" s="71">
        <v>10</v>
      </c>
    </row>
    <row r="12" spans="1:2" x14ac:dyDescent="0.25">
      <c r="A12" t="s">
        <v>64</v>
      </c>
      <c r="B12" s="71">
        <v>11</v>
      </c>
    </row>
    <row r="13" spans="1:2" x14ac:dyDescent="0.25">
      <c r="A13" t="s">
        <v>65</v>
      </c>
      <c r="B13" s="71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12</vt:i4>
      </vt:variant>
    </vt:vector>
  </HeadingPairs>
  <TitlesOfParts>
    <vt:vector size="16" baseType="lpstr">
      <vt:lpstr>BaseNombres</vt:lpstr>
      <vt:lpstr>Horarios</vt:lpstr>
      <vt:lpstr>Programación</vt:lpstr>
      <vt:lpstr>Hoja1</vt:lpstr>
      <vt:lpstr>Programación!Área_de_impresión</vt:lpstr>
      <vt:lpstr>Columnas_Ocultas</vt:lpstr>
      <vt:lpstr>Horario_1</vt:lpstr>
      <vt:lpstr>Horario_2</vt:lpstr>
      <vt:lpstr>Limpiar_Registros</vt:lpstr>
      <vt:lpstr>Semana_1</vt:lpstr>
      <vt:lpstr>Semana_2</vt:lpstr>
      <vt:lpstr>Semana_3</vt:lpstr>
      <vt:lpstr>Semana_4</vt:lpstr>
      <vt:lpstr>Semana_5</vt:lpstr>
      <vt:lpstr>Semana_6</vt:lpstr>
      <vt:lpstr>Total_día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cp:lastPrinted>2019-02-01T02:20:24Z</cp:lastPrinted>
  <dcterms:created xsi:type="dcterms:W3CDTF">2017-09-12T15:25:37Z</dcterms:created>
  <dcterms:modified xsi:type="dcterms:W3CDTF">2022-12-27T17:04:52Z</dcterms:modified>
</cp:coreProperties>
</file>